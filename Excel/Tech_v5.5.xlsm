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esktop\"/>
    </mc:Choice>
  </mc:AlternateContent>
  <xr:revisionPtr revIDLastSave="0" documentId="13_ncr:1_{B679E57B-E7B8-48E0-828C-426C14200E5A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1C" sheetId="8" r:id="rId7"/>
    <sheet name="Manufactures" sheetId="3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nm._FilterDatabase" localSheetId="2" hidden="1">MaterialsTranslate!$B$1:$C$24</definedName>
    <definedName name="_xlnm._FilterDatabase" localSheetId="0" hidden="1">Table!$A$1:$BC$4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MaterialsTranslate!$B$2:$C$24</definedName>
    <definedName name="NewModel">'1C'!$AC$1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Table!$A$2:$BA$432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Категории!$A$2:$A$51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Colors!$A$2:$A$255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" i="1" l="1"/>
  <c r="M2" i="1"/>
  <c r="L2" i="1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A2" i="8"/>
  <c r="B218" i="8"/>
  <c r="G2" i="1" l="1"/>
  <c r="J2" i="1" l="1"/>
  <c r="AZ2" i="1" l="1"/>
  <c r="AU2" i="1"/>
  <c r="AV2" i="1" s="1"/>
  <c r="AQ2" i="1"/>
  <c r="B2" i="1"/>
  <c r="BC2" i="1" s="1"/>
  <c r="AW2" i="1" l="1"/>
  <c r="AX2" i="1"/>
  <c r="O2" i="1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Y2" i="8" l="1"/>
  <c r="Y3" i="8"/>
  <c r="Y4" i="8"/>
  <c r="Y5" i="8"/>
  <c r="Y6" i="8"/>
  <c r="Y7" i="8"/>
  <c r="Y8" i="8"/>
  <c r="Y9" i="8"/>
  <c r="Y10" i="8"/>
  <c r="Y11" i="8"/>
  <c r="Y12" i="8"/>
  <c r="Y13" i="8"/>
  <c r="Y14" i="8"/>
  <c r="Y15" i="8"/>
  <c r="Y16" i="8"/>
  <c r="Y17" i="8"/>
  <c r="Y18" i="8"/>
  <c r="Y19" i="8"/>
  <c r="Y20" i="8"/>
  <c r="Y21" i="8"/>
  <c r="Y22" i="8"/>
  <c r="Y23" i="8"/>
  <c r="Y24" i="8"/>
  <c r="Y25" i="8"/>
  <c r="Y26" i="8"/>
  <c r="Y27" i="8"/>
  <c r="Y28" i="8"/>
  <c r="Y29" i="8"/>
  <c r="Y30" i="8"/>
  <c r="Y31" i="8"/>
  <c r="Y32" i="8"/>
  <c r="Y33" i="8"/>
  <c r="Y34" i="8"/>
  <c r="Y35" i="8"/>
  <c r="Y36" i="8"/>
  <c r="Y37" i="8"/>
  <c r="Y38" i="8"/>
  <c r="Y39" i="8"/>
  <c r="Y40" i="8"/>
  <c r="Y41" i="8"/>
  <c r="Y42" i="8"/>
  <c r="Y43" i="8"/>
  <c r="Y44" i="8"/>
  <c r="Y45" i="8"/>
  <c r="Y46" i="8"/>
  <c r="Y47" i="8"/>
  <c r="Y48" i="8"/>
  <c r="Y49" i="8"/>
  <c r="Y50" i="8"/>
  <c r="Y51" i="8"/>
  <c r="Y52" i="8"/>
  <c r="Y53" i="8"/>
  <c r="Y54" i="8"/>
  <c r="Y55" i="8"/>
  <c r="Y56" i="8"/>
  <c r="Y57" i="8"/>
  <c r="Y58" i="8"/>
  <c r="Y59" i="8"/>
  <c r="Y60" i="8"/>
  <c r="Y61" i="8"/>
  <c r="Y62" i="8"/>
  <c r="Y63" i="8"/>
  <c r="Y64" i="8"/>
  <c r="Y65" i="8"/>
  <c r="Y66" i="8"/>
  <c r="Y67" i="8"/>
  <c r="Y68" i="8"/>
  <c r="Y69" i="8"/>
  <c r="Y70" i="8"/>
  <c r="Y71" i="8"/>
  <c r="Y72" i="8"/>
  <c r="Y73" i="8"/>
  <c r="Y74" i="8"/>
  <c r="Y75" i="8"/>
  <c r="Y76" i="8"/>
  <c r="Y77" i="8"/>
  <c r="Y78" i="8"/>
  <c r="Y79" i="8"/>
  <c r="Y80" i="8"/>
  <c r="Y81" i="8"/>
  <c r="Y82" i="8"/>
  <c r="Y83" i="8"/>
  <c r="Y84" i="8"/>
  <c r="Y85" i="8"/>
  <c r="Y86" i="8"/>
  <c r="Y87" i="8"/>
  <c r="Y88" i="8"/>
  <c r="Y89" i="8"/>
  <c r="Y90" i="8"/>
  <c r="Y91" i="8"/>
  <c r="Y92" i="8"/>
  <c r="Y93" i="8"/>
  <c r="Y94" i="8"/>
  <c r="Y95" i="8"/>
  <c r="Y96" i="8"/>
  <c r="Y97" i="8"/>
  <c r="Y98" i="8"/>
  <c r="Y99" i="8"/>
  <c r="Y100" i="8"/>
  <c r="Y101" i="8"/>
  <c r="Y102" i="8"/>
  <c r="Y103" i="8"/>
  <c r="Y104" i="8"/>
  <c r="Y105" i="8"/>
  <c r="Y106" i="8"/>
  <c r="Y107" i="8"/>
  <c r="Y108" i="8"/>
  <c r="Y109" i="8"/>
  <c r="Y110" i="8"/>
  <c r="Y111" i="8"/>
  <c r="Y112" i="8"/>
  <c r="Y113" i="8"/>
  <c r="Y114" i="8"/>
  <c r="Y115" i="8"/>
  <c r="Y116" i="8"/>
  <c r="Y117" i="8"/>
  <c r="Y118" i="8"/>
  <c r="Y119" i="8"/>
  <c r="Y120" i="8"/>
  <c r="Y121" i="8"/>
  <c r="Y122" i="8"/>
  <c r="Y123" i="8"/>
  <c r="Y124" i="8"/>
  <c r="Y125" i="8"/>
  <c r="Y126" i="8"/>
  <c r="Y127" i="8"/>
  <c r="Y128" i="8"/>
  <c r="Y129" i="8"/>
  <c r="Y130" i="8"/>
  <c r="Y131" i="8"/>
  <c r="Y132" i="8"/>
  <c r="Y133" i="8"/>
  <c r="Y134" i="8"/>
  <c r="Y135" i="8"/>
  <c r="Y136" i="8"/>
  <c r="Y137" i="8"/>
  <c r="Y138" i="8"/>
  <c r="Y139" i="8"/>
  <c r="Y140" i="8"/>
  <c r="Y141" i="8"/>
  <c r="Y142" i="8"/>
  <c r="Y143" i="8"/>
  <c r="Y144" i="8"/>
  <c r="Y145" i="8"/>
  <c r="Y146" i="8"/>
  <c r="Y147" i="8"/>
  <c r="Y148" i="8"/>
  <c r="Y149" i="8"/>
  <c r="Y150" i="8"/>
  <c r="Y151" i="8"/>
  <c r="Y152" i="8"/>
  <c r="Y153" i="8"/>
  <c r="Y154" i="8"/>
  <c r="Y155" i="8"/>
  <c r="Y156" i="8"/>
  <c r="Y157" i="8"/>
  <c r="Y158" i="8"/>
  <c r="Y159" i="8"/>
  <c r="Y160" i="8"/>
  <c r="Y161" i="8"/>
  <c r="Y162" i="8"/>
  <c r="Y163" i="8"/>
  <c r="Y164" i="8"/>
  <c r="Y165" i="8"/>
  <c r="Y166" i="8"/>
  <c r="Y167" i="8"/>
  <c r="Y168" i="8"/>
  <c r="Y169" i="8"/>
  <c r="Y170" i="8"/>
  <c r="Y171" i="8"/>
  <c r="Y172" i="8"/>
  <c r="Y173" i="8"/>
  <c r="Y174" i="8"/>
  <c r="Y175" i="8"/>
  <c r="Y176" i="8"/>
  <c r="Y177" i="8"/>
  <c r="Y178" i="8"/>
  <c r="Y179" i="8"/>
  <c r="Y180" i="8"/>
  <c r="Y181" i="8"/>
  <c r="Y182" i="8"/>
  <c r="Y183" i="8"/>
  <c r="Y184" i="8"/>
  <c r="Y185" i="8"/>
  <c r="Y186" i="8"/>
  <c r="Y187" i="8"/>
  <c r="Y188" i="8"/>
  <c r="Y189" i="8"/>
  <c r="Y190" i="8"/>
  <c r="Y191" i="8"/>
  <c r="Y192" i="8"/>
  <c r="Y193" i="8"/>
  <c r="Y194" i="8"/>
  <c r="Y195" i="8"/>
  <c r="Y196" i="8"/>
  <c r="Y197" i="8"/>
  <c r="Y198" i="8"/>
  <c r="Y199" i="8"/>
  <c r="Y200" i="8"/>
  <c r="Y201" i="8"/>
  <c r="Y202" i="8"/>
  <c r="Y203" i="8"/>
  <c r="Y204" i="8"/>
  <c r="Y205" i="8"/>
  <c r="Y206" i="8"/>
  <c r="Y207" i="8"/>
  <c r="Y208" i="8"/>
  <c r="Y209" i="8"/>
  <c r="Y210" i="8"/>
  <c r="Y211" i="8"/>
  <c r="Y212" i="8"/>
  <c r="Y213" i="8"/>
  <c r="Y214" i="8"/>
  <c r="Y215" i="8"/>
  <c r="Y216" i="8"/>
  <c r="Y217" i="8"/>
  <c r="Y218" i="8"/>
  <c r="Y219" i="8"/>
  <c r="Y220" i="8"/>
  <c r="Y221" i="8"/>
  <c r="Y222" i="8"/>
  <c r="Y223" i="8"/>
  <c r="Y224" i="8"/>
  <c r="Y225" i="8"/>
  <c r="Y226" i="8"/>
  <c r="Y227" i="8"/>
  <c r="Y228" i="8"/>
  <c r="Y229" i="8"/>
  <c r="Y230" i="8"/>
  <c r="Y231" i="8"/>
  <c r="Y232" i="8"/>
  <c r="Y233" i="8"/>
  <c r="Y234" i="8"/>
  <c r="Y235" i="8"/>
  <c r="Y236" i="8"/>
  <c r="Y237" i="8"/>
  <c r="Y238" i="8"/>
  <c r="Y239" i="8"/>
  <c r="Y240" i="8"/>
  <c r="Y241" i="8"/>
  <c r="Y242" i="8"/>
  <c r="Y243" i="8"/>
  <c r="Y244" i="8"/>
  <c r="Y245" i="8"/>
  <c r="Y246" i="8"/>
  <c r="Y247" i="8"/>
  <c r="Y248" i="8"/>
  <c r="Y249" i="8"/>
  <c r="Y250" i="8"/>
  <c r="Y251" i="8"/>
  <c r="Y252" i="8"/>
  <c r="Y253" i="8"/>
  <c r="Y254" i="8"/>
  <c r="Y255" i="8"/>
  <c r="Y256" i="8"/>
  <c r="Y257" i="8"/>
  <c r="Y258" i="8"/>
  <c r="Y259" i="8"/>
  <c r="Y260" i="8"/>
  <c r="Y261" i="8"/>
  <c r="Y262" i="8"/>
  <c r="Y263" i="8"/>
  <c r="Y264" i="8"/>
  <c r="Y265" i="8"/>
  <c r="Y266" i="8"/>
  <c r="Y267" i="8"/>
  <c r="Y268" i="8"/>
  <c r="Y269" i="8"/>
  <c r="Y270" i="8"/>
  <c r="Y271" i="8"/>
  <c r="Y272" i="8"/>
  <c r="Y273" i="8"/>
  <c r="Y274" i="8"/>
  <c r="Y275" i="8"/>
  <c r="Y276" i="8"/>
  <c r="Y277" i="8"/>
  <c r="Y278" i="8"/>
  <c r="Y279" i="8"/>
  <c r="Y280" i="8"/>
  <c r="Y281" i="8"/>
  <c r="Y282" i="8"/>
  <c r="Y283" i="8"/>
  <c r="Y284" i="8"/>
  <c r="Y285" i="8"/>
  <c r="Y286" i="8"/>
  <c r="Y287" i="8"/>
  <c r="Y288" i="8"/>
  <c r="Y289" i="8"/>
  <c r="Y290" i="8"/>
  <c r="Y291" i="8"/>
  <c r="Y292" i="8"/>
  <c r="Y293" i="8"/>
  <c r="Y294" i="8"/>
  <c r="Y295" i="8"/>
  <c r="Y296" i="8"/>
  <c r="Y297" i="8"/>
  <c r="Y298" i="8"/>
  <c r="Y299" i="8"/>
  <c r="Y300" i="8"/>
  <c r="Y301" i="8"/>
  <c r="Y302" i="8"/>
  <c r="Y303" i="8"/>
  <c r="Y304" i="8"/>
  <c r="Y305" i="8"/>
  <c r="Y306" i="8"/>
  <c r="Y307" i="8"/>
  <c r="Y308" i="8"/>
  <c r="Y309" i="8"/>
  <c r="Y310" i="8"/>
  <c r="Y311" i="8"/>
  <c r="Y312" i="8"/>
  <c r="Y313" i="8"/>
  <c r="Y314" i="8"/>
  <c r="Y315" i="8"/>
  <c r="Y316" i="8"/>
  <c r="Y317" i="8"/>
  <c r="Y318" i="8"/>
  <c r="Y319" i="8"/>
  <c r="Y320" i="8"/>
  <c r="Y321" i="8"/>
  <c r="Y322" i="8"/>
  <c r="Y323" i="8"/>
  <c r="Y324" i="8"/>
  <c r="Y325" i="8"/>
  <c r="Y326" i="8"/>
  <c r="Y327" i="8"/>
  <c r="Y328" i="8"/>
  <c r="Y329" i="8"/>
  <c r="Y330" i="8"/>
  <c r="Y331" i="8"/>
  <c r="Y332" i="8"/>
  <c r="Y333" i="8"/>
  <c r="Y334" i="8"/>
  <c r="Y335" i="8"/>
  <c r="Y336" i="8"/>
  <c r="Y337" i="8"/>
  <c r="Y338" i="8"/>
  <c r="Y339" i="8"/>
  <c r="Y340" i="8"/>
  <c r="Y341" i="8"/>
  <c r="Y342" i="8"/>
  <c r="Y343" i="8"/>
  <c r="Y344" i="8"/>
  <c r="Y345" i="8"/>
  <c r="Y346" i="8"/>
  <c r="Y347" i="8"/>
  <c r="Y348" i="8"/>
  <c r="Y349" i="8"/>
  <c r="Y350" i="8"/>
  <c r="Y351" i="8"/>
  <c r="Y352" i="8"/>
  <c r="Y353" i="8"/>
  <c r="Y354" i="8"/>
  <c r="Y355" i="8"/>
  <c r="Y356" i="8"/>
  <c r="Y357" i="8"/>
  <c r="Y358" i="8"/>
  <c r="Y359" i="8"/>
  <c r="Y360" i="8"/>
  <c r="Y361" i="8"/>
  <c r="Y362" i="8"/>
  <c r="Y363" i="8"/>
  <c r="Y364" i="8"/>
  <c r="Y365" i="8"/>
  <c r="Y366" i="8"/>
  <c r="Y367" i="8"/>
  <c r="Y368" i="8"/>
  <c r="Y369" i="8"/>
  <c r="Y370" i="8"/>
  <c r="Y371" i="8"/>
  <c r="Y372" i="8"/>
  <c r="Y373" i="8"/>
  <c r="Y374" i="8"/>
  <c r="Y375" i="8"/>
  <c r="Y376" i="8"/>
  <c r="Y377" i="8"/>
  <c r="Y378" i="8"/>
  <c r="Y379" i="8"/>
  <c r="Y380" i="8"/>
  <c r="Y381" i="8"/>
  <c r="Y382" i="8"/>
  <c r="Y383" i="8"/>
  <c r="Y384" i="8"/>
  <c r="Y385" i="8"/>
  <c r="Y386" i="8"/>
  <c r="Y387" i="8"/>
  <c r="Y388" i="8"/>
  <c r="Y389" i="8"/>
  <c r="Y390" i="8"/>
  <c r="Y391" i="8"/>
  <c r="Y392" i="8"/>
  <c r="Y393" i="8"/>
  <c r="Y394" i="8"/>
  <c r="Y395" i="8"/>
  <c r="Y396" i="8"/>
  <c r="Y397" i="8"/>
  <c r="Y398" i="8"/>
  <c r="Y399" i="8"/>
  <c r="Y400" i="8"/>
  <c r="Y401" i="8"/>
  <c r="Y402" i="8"/>
  <c r="Y403" i="8"/>
  <c r="Y404" i="8"/>
  <c r="Y405" i="8"/>
  <c r="Y406" i="8"/>
  <c r="Y407" i="8"/>
  <c r="Y408" i="8"/>
  <c r="Y409" i="8"/>
  <c r="Y410" i="8"/>
  <c r="Y411" i="8"/>
  <c r="Y412" i="8"/>
  <c r="Y413" i="8"/>
  <c r="Y414" i="8"/>
  <c r="Y415" i="8"/>
  <c r="Y416" i="8"/>
  <c r="Y417" i="8"/>
  <c r="Y418" i="8"/>
  <c r="Y419" i="8"/>
  <c r="Y420" i="8"/>
  <c r="Y421" i="8"/>
  <c r="Y422" i="8"/>
  <c r="Y423" i="8"/>
  <c r="Y424" i="8"/>
  <c r="Y425" i="8"/>
  <c r="Y426" i="8"/>
  <c r="Y427" i="8"/>
  <c r="Y428" i="8"/>
  <c r="Y429" i="8"/>
  <c r="Y430" i="8"/>
  <c r="Y431" i="8"/>
  <c r="Y432" i="8"/>
  <c r="Y433" i="8"/>
  <c r="Y434" i="8"/>
  <c r="Y435" i="8"/>
  <c r="Y436" i="8"/>
  <c r="Y437" i="8"/>
  <c r="Y438" i="8"/>
  <c r="Y439" i="8"/>
  <c r="Y440" i="8"/>
  <c r="Y441" i="8"/>
  <c r="Y442" i="8"/>
  <c r="Y443" i="8"/>
  <c r="Y444" i="8"/>
  <c r="Y445" i="8"/>
  <c r="Y446" i="8"/>
  <c r="Y447" i="8"/>
  <c r="Y448" i="8"/>
  <c r="Y449" i="8"/>
  <c r="Y450" i="8"/>
  <c r="Y451" i="8"/>
  <c r="Y452" i="8"/>
  <c r="Y453" i="8"/>
  <c r="Y454" i="8"/>
  <c r="Y455" i="8"/>
  <c r="Y456" i="8"/>
  <c r="Y457" i="8"/>
  <c r="Y458" i="8"/>
  <c r="Y459" i="8"/>
  <c r="Y460" i="8"/>
  <c r="Y461" i="8"/>
  <c r="Y462" i="8"/>
  <c r="Y463" i="8"/>
  <c r="Y464" i="8"/>
  <c r="Y465" i="8"/>
  <c r="Y466" i="8"/>
  <c r="Y467" i="8"/>
  <c r="Y468" i="8"/>
  <c r="Y469" i="8"/>
  <c r="Y470" i="8"/>
  <c r="Y471" i="8"/>
  <c r="Y472" i="8"/>
  <c r="Y473" i="8"/>
  <c r="Y474" i="8"/>
  <c r="Y475" i="8"/>
  <c r="Y476" i="8"/>
  <c r="Y477" i="8"/>
  <c r="Y478" i="8"/>
  <c r="Y479" i="8"/>
  <c r="Y480" i="8"/>
  <c r="Y481" i="8"/>
  <c r="Y482" i="8"/>
  <c r="Y483" i="8"/>
  <c r="Y484" i="8"/>
  <c r="Y485" i="8"/>
  <c r="Y486" i="8"/>
  <c r="Y487" i="8"/>
  <c r="Y488" i="8"/>
  <c r="Y489" i="8"/>
  <c r="Y490" i="8"/>
  <c r="Y491" i="8"/>
  <c r="Y492" i="8"/>
  <c r="Y493" i="8"/>
  <c r="Y494" i="8"/>
  <c r="Y495" i="8"/>
  <c r="Y496" i="8"/>
  <c r="Y497" i="8"/>
  <c r="Y498" i="8"/>
  <c r="Y499" i="8"/>
  <c r="Y500" i="8"/>
  <c r="Y501" i="8"/>
  <c r="Y502" i="8"/>
  <c r="Y503" i="8"/>
  <c r="Y504" i="8"/>
  <c r="Y505" i="8"/>
  <c r="Y506" i="8"/>
  <c r="Y507" i="8"/>
  <c r="Y508" i="8"/>
  <c r="Y509" i="8"/>
  <c r="Y510" i="8"/>
  <c r="Y511" i="8"/>
  <c r="Y512" i="8"/>
  <c r="Y513" i="8"/>
  <c r="Y514" i="8"/>
  <c r="Y515" i="8"/>
  <c r="Y516" i="8"/>
  <c r="Y517" i="8"/>
  <c r="Y518" i="8"/>
  <c r="Y519" i="8"/>
  <c r="Y520" i="8"/>
  <c r="Y521" i="8"/>
  <c r="Y522" i="8"/>
  <c r="Y523" i="8"/>
  <c r="Y524" i="8"/>
  <c r="Y525" i="8"/>
  <c r="Y526" i="8"/>
  <c r="Y527" i="8"/>
  <c r="Y528" i="8"/>
  <c r="Y529" i="8"/>
  <c r="Y530" i="8"/>
  <c r="Y531" i="8"/>
  <c r="Y532" i="8"/>
  <c r="Y533" i="8"/>
  <c r="Y534" i="8"/>
  <c r="Y535" i="8"/>
  <c r="Y536" i="8"/>
  <c r="Y537" i="8"/>
  <c r="Y538" i="8"/>
  <c r="Y539" i="8"/>
  <c r="Y540" i="8"/>
  <c r="Y541" i="8"/>
  <c r="Y542" i="8"/>
  <c r="Y543" i="8"/>
  <c r="Y544" i="8"/>
  <c r="Y545" i="8"/>
  <c r="Y546" i="8"/>
  <c r="Y547" i="8"/>
  <c r="Y548" i="8"/>
  <c r="Y549" i="8"/>
  <c r="Y550" i="8"/>
  <c r="Y551" i="8"/>
  <c r="Y552" i="8"/>
  <c r="Y553" i="8"/>
  <c r="Y554" i="8"/>
  <c r="Y555" i="8"/>
  <c r="Y556" i="8"/>
  <c r="Y557" i="8"/>
  <c r="Y558" i="8"/>
  <c r="Y559" i="8"/>
  <c r="Y560" i="8"/>
  <c r="Y561" i="8"/>
  <c r="Y562" i="8"/>
  <c r="Y563" i="8"/>
  <c r="Y564" i="8"/>
  <c r="Y565" i="8"/>
  <c r="Y566" i="8"/>
  <c r="Y567" i="8"/>
  <c r="Y568" i="8"/>
  <c r="Y569" i="8"/>
  <c r="Y570" i="8"/>
  <c r="Y571" i="8"/>
  <c r="Y572" i="8"/>
  <c r="Y573" i="8"/>
  <c r="Y574" i="8"/>
  <c r="Y575" i="8"/>
  <c r="Y576" i="8"/>
  <c r="Y577" i="8"/>
  <c r="Y578" i="8"/>
  <c r="Y579" i="8"/>
  <c r="Y580" i="8"/>
  <c r="Y581" i="8"/>
  <c r="Y582" i="8"/>
  <c r="Y583" i="8"/>
  <c r="Y584" i="8"/>
  <c r="Y585" i="8"/>
  <c r="Y586" i="8"/>
  <c r="Y587" i="8"/>
  <c r="Y588" i="8"/>
  <c r="Y589" i="8"/>
  <c r="Y590" i="8"/>
  <c r="Y591" i="8"/>
  <c r="Y592" i="8"/>
  <c r="Y593" i="8"/>
  <c r="Y594" i="8"/>
  <c r="Y595" i="8"/>
  <c r="Y596" i="8"/>
  <c r="Y597" i="8"/>
  <c r="Y598" i="8"/>
  <c r="Y599" i="8"/>
  <c r="Y600" i="8"/>
  <c r="Y601" i="8"/>
  <c r="Y602" i="8"/>
  <c r="Y603" i="8"/>
  <c r="Y604" i="8"/>
  <c r="Y605" i="8"/>
  <c r="Y606" i="8"/>
  <c r="Y607" i="8"/>
  <c r="Y608" i="8"/>
  <c r="Y609" i="8"/>
  <c r="Y610" i="8"/>
  <c r="Y611" i="8"/>
  <c r="Y612" i="8"/>
  <c r="Y613" i="8"/>
  <c r="Y614" i="8"/>
  <c r="Y615" i="8"/>
  <c r="Y616" i="8"/>
  <c r="Y617" i="8"/>
  <c r="Y618" i="8"/>
  <c r="Y619" i="8"/>
  <c r="Y620" i="8"/>
  <c r="Y621" i="8"/>
  <c r="Y622" i="8"/>
  <c r="Y623" i="8"/>
  <c r="Y624" i="8"/>
  <c r="Y625" i="8"/>
  <c r="Y626" i="8"/>
  <c r="Y627" i="8"/>
  <c r="Y628" i="8"/>
  <c r="Y629" i="8"/>
  <c r="Y630" i="8"/>
  <c r="Y631" i="8"/>
  <c r="Y632" i="8"/>
  <c r="Y633" i="8"/>
  <c r="Y634" i="8"/>
  <c r="Y635" i="8"/>
  <c r="Y636" i="8"/>
  <c r="Y637" i="8"/>
  <c r="Y638" i="8"/>
  <c r="Y639" i="8"/>
  <c r="Y640" i="8"/>
  <c r="Y641" i="8"/>
  <c r="Y642" i="8"/>
  <c r="Y643" i="8"/>
  <c r="Y644" i="8"/>
  <c r="Y645" i="8"/>
  <c r="Y646" i="8"/>
  <c r="Y647" i="8"/>
  <c r="Y648" i="8"/>
  <c r="Y649" i="8"/>
  <c r="Y650" i="8"/>
  <c r="Y651" i="8"/>
  <c r="Y652" i="8"/>
  <c r="Y653" i="8"/>
  <c r="Y654" i="8"/>
  <c r="Y655" i="8"/>
  <c r="Y656" i="8"/>
  <c r="Y657" i="8"/>
  <c r="Y658" i="8"/>
  <c r="Y659" i="8"/>
  <c r="Y660" i="8"/>
  <c r="Y661" i="8"/>
  <c r="Y662" i="8"/>
  <c r="Y663" i="8"/>
  <c r="Y664" i="8"/>
  <c r="Y665" i="8"/>
  <c r="Y666" i="8"/>
  <c r="Y667" i="8"/>
  <c r="Y668" i="8"/>
  <c r="Y669" i="8"/>
  <c r="Y670" i="8"/>
  <c r="Y671" i="8"/>
  <c r="Y672" i="8"/>
  <c r="Y673" i="8"/>
  <c r="Y674" i="8"/>
  <c r="Y675" i="8"/>
  <c r="Y676" i="8"/>
  <c r="Y677" i="8"/>
  <c r="Y678" i="8"/>
  <c r="Y679" i="8"/>
  <c r="Y680" i="8"/>
  <c r="Y681" i="8"/>
  <c r="Y682" i="8"/>
  <c r="Y683" i="8"/>
  <c r="Y684" i="8"/>
  <c r="Y685" i="8"/>
  <c r="Y686" i="8"/>
  <c r="Y687" i="8"/>
  <c r="Y688" i="8"/>
  <c r="Y689" i="8"/>
  <c r="Y690" i="8"/>
  <c r="Y691" i="8"/>
  <c r="Y692" i="8"/>
  <c r="Y693" i="8"/>
  <c r="Y694" i="8"/>
  <c r="Y695" i="8"/>
  <c r="Y696" i="8"/>
  <c r="Y697" i="8"/>
  <c r="Y698" i="8"/>
  <c r="Y699" i="8"/>
  <c r="Y700" i="8"/>
  <c r="Y701" i="8"/>
  <c r="Y702" i="8"/>
  <c r="Y703" i="8"/>
  <c r="Y704" i="8"/>
  <c r="Y705" i="8"/>
  <c r="Y706" i="8"/>
  <c r="Y707" i="8"/>
  <c r="Y708" i="8"/>
  <c r="Y709" i="8"/>
  <c r="Y710" i="8"/>
  <c r="Y711" i="8"/>
  <c r="Y712" i="8"/>
  <c r="Y713" i="8"/>
  <c r="Y714" i="8"/>
  <c r="Y715" i="8"/>
  <c r="Y716" i="8"/>
  <c r="Y717" i="8"/>
  <c r="Y718" i="8"/>
  <c r="Y719" i="8"/>
  <c r="Y720" i="8"/>
  <c r="Y721" i="8"/>
  <c r="Y722" i="8"/>
  <c r="Y723" i="8"/>
  <c r="Y724" i="8"/>
  <c r="Y725" i="8"/>
  <c r="Y726" i="8"/>
  <c r="Y727" i="8"/>
  <c r="Y728" i="8"/>
  <c r="Y729" i="8"/>
  <c r="Y730" i="8"/>
  <c r="Y731" i="8"/>
  <c r="Y732" i="8"/>
  <c r="Y733" i="8"/>
  <c r="Y734" i="8"/>
  <c r="Y735" i="8"/>
  <c r="Y736" i="8"/>
  <c r="Y737" i="8"/>
  <c r="Y738" i="8"/>
  <c r="Y739" i="8"/>
  <c r="Y740" i="8"/>
  <c r="Y741" i="8"/>
  <c r="Y742" i="8"/>
  <c r="Y743" i="8"/>
  <c r="Y744" i="8"/>
  <c r="Y745" i="8"/>
  <c r="Y746" i="8"/>
  <c r="Y747" i="8"/>
  <c r="Y748" i="8"/>
  <c r="Y749" i="8"/>
  <c r="Y750" i="8"/>
  <c r="Y751" i="8"/>
  <c r="Y752" i="8"/>
  <c r="Y753" i="8"/>
  <c r="Y754" i="8"/>
  <c r="Y755" i="8"/>
  <c r="Y756" i="8"/>
  <c r="Y757" i="8"/>
  <c r="Y758" i="8"/>
  <c r="Y759" i="8"/>
  <c r="Y760" i="8"/>
  <c r="Y761" i="8"/>
  <c r="Y762" i="8"/>
  <c r="Y763" i="8"/>
  <c r="Y764" i="8"/>
  <c r="Y765" i="8"/>
  <c r="Y766" i="8"/>
  <c r="Y767" i="8"/>
  <c r="Y768" i="8"/>
  <c r="Y769" i="8"/>
  <c r="Y770" i="8"/>
  <c r="Y771" i="8"/>
  <c r="Y772" i="8"/>
  <c r="Y773" i="8"/>
  <c r="Y774" i="8"/>
  <c r="Y775" i="8"/>
  <c r="Y776" i="8"/>
  <c r="Y777" i="8"/>
  <c r="Y778" i="8"/>
  <c r="Y779" i="8"/>
  <c r="Y780" i="8"/>
  <c r="Y781" i="8"/>
  <c r="Y782" i="8"/>
  <c r="Y783" i="8"/>
  <c r="Y784" i="8"/>
  <c r="Y785" i="8"/>
  <c r="Y786" i="8"/>
  <c r="Y787" i="8"/>
  <c r="Y788" i="8"/>
  <c r="Y789" i="8"/>
  <c r="Y790" i="8"/>
  <c r="Y791" i="8"/>
  <c r="Y792" i="8"/>
  <c r="Y793" i="8"/>
  <c r="Y794" i="8"/>
  <c r="Y795" i="8"/>
  <c r="Y796" i="8"/>
  <c r="Y797" i="8"/>
  <c r="Y798" i="8"/>
  <c r="Y799" i="8"/>
  <c r="Y800" i="8"/>
  <c r="Y801" i="8"/>
  <c r="Y802" i="8"/>
  <c r="Y803" i="8"/>
  <c r="Y804" i="8"/>
  <c r="Y805" i="8"/>
  <c r="Y806" i="8"/>
  <c r="Y807" i="8"/>
  <c r="Y808" i="8"/>
  <c r="Y809" i="8"/>
  <c r="Y810" i="8"/>
  <c r="Y811" i="8"/>
  <c r="Y812" i="8"/>
  <c r="Y813" i="8"/>
  <c r="Y814" i="8"/>
  <c r="Y815" i="8"/>
  <c r="Y816" i="8"/>
  <c r="Y817" i="8"/>
  <c r="Y818" i="8"/>
  <c r="Y819" i="8"/>
  <c r="Y820" i="8"/>
  <c r="Y821" i="8"/>
  <c r="Y822" i="8"/>
  <c r="Y823" i="8"/>
  <c r="Y824" i="8"/>
  <c r="Y825" i="8"/>
  <c r="Y826" i="8"/>
  <c r="Y827" i="8"/>
  <c r="Y828" i="8"/>
  <c r="Y829" i="8"/>
  <c r="Y830" i="8"/>
  <c r="Y831" i="8"/>
  <c r="Y832" i="8"/>
  <c r="Y833" i="8"/>
  <c r="Y834" i="8"/>
  <c r="Y835" i="8"/>
  <c r="Y836" i="8"/>
  <c r="Y837" i="8"/>
  <c r="Y838" i="8"/>
  <c r="Y839" i="8"/>
  <c r="Y840" i="8"/>
  <c r="Y841" i="8"/>
  <c r="Y842" i="8"/>
  <c r="Y843" i="8"/>
  <c r="Y844" i="8"/>
  <c r="Y845" i="8"/>
  <c r="Y846" i="8"/>
  <c r="Y847" i="8"/>
  <c r="Y848" i="8"/>
  <c r="Y849" i="8"/>
  <c r="Y850" i="8"/>
  <c r="Y851" i="8"/>
  <c r="Y852" i="8"/>
  <c r="Y853" i="8"/>
  <c r="Y854" i="8"/>
  <c r="Y855" i="8"/>
  <c r="Y856" i="8"/>
  <c r="Y857" i="8"/>
  <c r="Y858" i="8"/>
  <c r="Y859" i="8"/>
  <c r="Y860" i="8"/>
  <c r="Y861" i="8"/>
  <c r="Y862" i="8"/>
  <c r="Y863" i="8"/>
  <c r="Y864" i="8"/>
  <c r="Y865" i="8"/>
  <c r="Y866" i="8"/>
  <c r="Y867" i="8"/>
  <c r="Y868" i="8"/>
  <c r="Y869" i="8"/>
  <c r="Y870" i="8"/>
  <c r="Y871" i="8"/>
  <c r="Y872" i="8"/>
  <c r="Y873" i="8"/>
  <c r="Y874" i="8"/>
  <c r="Y875" i="8"/>
  <c r="Y876" i="8"/>
  <c r="Y877" i="8"/>
  <c r="Y878" i="8"/>
  <c r="Y879" i="8"/>
  <c r="Y880" i="8"/>
  <c r="Y881" i="8"/>
  <c r="Y882" i="8"/>
  <c r="Y883" i="8"/>
  <c r="Y884" i="8"/>
  <c r="Y885" i="8"/>
  <c r="Y886" i="8"/>
  <c r="Y887" i="8"/>
  <c r="Y888" i="8"/>
  <c r="Y889" i="8"/>
  <c r="Y890" i="8"/>
  <c r="Y891" i="8"/>
  <c r="Y892" i="8"/>
  <c r="Y893" i="8"/>
  <c r="Y894" i="8"/>
  <c r="Y895" i="8"/>
  <c r="Y896" i="8"/>
  <c r="Y897" i="8"/>
  <c r="Y898" i="8"/>
  <c r="Y899" i="8"/>
  <c r="Y900" i="8"/>
  <c r="Y901" i="8"/>
  <c r="Y902" i="8"/>
  <c r="Y903" i="8"/>
  <c r="Y904" i="8"/>
  <c r="Y905" i="8"/>
  <c r="Y906" i="8"/>
  <c r="Y907" i="8"/>
  <c r="Y908" i="8"/>
  <c r="Y909" i="8"/>
  <c r="Y910" i="8"/>
  <c r="Y911" i="8"/>
  <c r="Y912" i="8"/>
  <c r="Y913" i="8"/>
  <c r="Y914" i="8"/>
  <c r="Y915" i="8"/>
  <c r="Y916" i="8"/>
  <c r="Y917" i="8"/>
  <c r="Y918" i="8"/>
  <c r="Y919" i="8"/>
  <c r="Y920" i="8"/>
  <c r="Y921" i="8"/>
  <c r="Y922" i="8"/>
  <c r="Y923" i="8"/>
  <c r="Y924" i="8"/>
  <c r="Y925" i="8"/>
  <c r="Y926" i="8"/>
  <c r="Y927" i="8"/>
  <c r="Y928" i="8"/>
  <c r="Y929" i="8"/>
  <c r="Y930" i="8"/>
  <c r="Y931" i="8"/>
  <c r="Y932" i="8"/>
  <c r="Y933" i="8"/>
  <c r="Y934" i="8"/>
  <c r="Y935" i="8"/>
  <c r="Y936" i="8"/>
  <c r="Y937" i="8"/>
  <c r="Y938" i="8"/>
  <c r="Y939" i="8"/>
  <c r="Y940" i="8"/>
  <c r="Y941" i="8"/>
  <c r="Y942" i="8"/>
  <c r="Y943" i="8"/>
  <c r="Y944" i="8"/>
  <c r="Y945" i="8"/>
  <c r="Y946" i="8"/>
  <c r="Y947" i="8"/>
  <c r="Y948" i="8"/>
  <c r="Y949" i="8"/>
  <c r="Y950" i="8"/>
  <c r="Y951" i="8"/>
  <c r="Y952" i="8"/>
  <c r="Y953" i="8"/>
  <c r="Y954" i="8"/>
  <c r="Y955" i="8"/>
  <c r="Y956" i="8"/>
  <c r="Y957" i="8"/>
  <c r="Y958" i="8"/>
  <c r="Y959" i="8"/>
  <c r="Y960" i="8"/>
  <c r="Y961" i="8"/>
  <c r="Y962" i="8"/>
  <c r="Y963" i="8"/>
  <c r="Y964" i="8"/>
  <c r="Y965" i="8"/>
  <c r="Y966" i="8"/>
  <c r="Y967" i="8"/>
  <c r="Y968" i="8"/>
  <c r="Y969" i="8"/>
  <c r="Y970" i="8"/>
  <c r="Y971" i="8"/>
  <c r="Y972" i="8"/>
  <c r="Y973" i="8"/>
  <c r="Y974" i="8"/>
  <c r="Y975" i="8"/>
  <c r="Y976" i="8"/>
  <c r="Y977" i="8"/>
  <c r="Y978" i="8"/>
  <c r="Y979" i="8"/>
  <c r="Y980" i="8"/>
  <c r="Y981" i="8"/>
  <c r="Y982" i="8"/>
  <c r="Y983" i="8"/>
  <c r="Y984" i="8"/>
  <c r="Y985" i="8"/>
  <c r="Y986" i="8"/>
  <c r="Y987" i="8"/>
  <c r="Y988" i="8"/>
  <c r="Y989" i="8"/>
  <c r="Y990" i="8"/>
  <c r="Y991" i="8"/>
  <c r="Y992" i="8"/>
  <c r="Y993" i="8"/>
  <c r="Y994" i="8"/>
  <c r="Y995" i="8"/>
  <c r="Y996" i="8"/>
  <c r="Y997" i="8"/>
  <c r="Y998" i="8"/>
  <c r="Y999" i="8"/>
  <c r="Y1000" i="8"/>
  <c r="Y1001" i="8"/>
  <c r="Y1002" i="8"/>
  <c r="Y1003" i="8"/>
  <c r="Y1004" i="8"/>
  <c r="Y1005" i="8"/>
  <c r="Y1006" i="8"/>
  <c r="Y1007" i="8"/>
  <c r="Y1008" i="8"/>
  <c r="Y1009" i="8"/>
  <c r="Y1010" i="8"/>
  <c r="Y1011" i="8"/>
  <c r="Y1012" i="8"/>
  <c r="Y1013" i="8"/>
  <c r="Y1014" i="8"/>
  <c r="Y1015" i="8"/>
  <c r="Y1016" i="8"/>
  <c r="Y1017" i="8"/>
  <c r="Y1018" i="8"/>
  <c r="Y1019" i="8"/>
  <c r="Y1020" i="8"/>
  <c r="Y1021" i="8"/>
  <c r="Y1022" i="8"/>
  <c r="Y1023" i="8"/>
  <c r="Y1024" i="8"/>
  <c r="Y1025" i="8"/>
  <c r="Y1026" i="8"/>
  <c r="Y1027" i="8"/>
  <c r="Y1028" i="8"/>
  <c r="Y1029" i="8"/>
  <c r="Y1030" i="8"/>
  <c r="Y1031" i="8"/>
  <c r="Y1032" i="8"/>
  <c r="Y1033" i="8"/>
  <c r="Y1034" i="8"/>
  <c r="Y1035" i="8"/>
  <c r="Y1036" i="8"/>
  <c r="Y1037" i="8"/>
  <c r="Y1038" i="8"/>
  <c r="Y1039" i="8"/>
  <c r="Y1040" i="8"/>
  <c r="Y1041" i="8"/>
  <c r="Y1042" i="8"/>
  <c r="Y1043" i="8"/>
  <c r="Y1044" i="8"/>
  <c r="Y1045" i="8"/>
  <c r="Y1046" i="8"/>
  <c r="Y1047" i="8"/>
  <c r="Y1048" i="8"/>
  <c r="Y1049" i="8"/>
  <c r="Y1050" i="8"/>
  <c r="Y1051" i="8"/>
  <c r="Y1052" i="8"/>
  <c r="Y1053" i="8"/>
  <c r="Y1054" i="8"/>
  <c r="Y1055" i="8"/>
  <c r="Y1056" i="8"/>
  <c r="Y1057" i="8"/>
  <c r="Y1058" i="8"/>
  <c r="Y1059" i="8"/>
  <c r="Y1060" i="8"/>
  <c r="Y1061" i="8"/>
  <c r="Y1062" i="8"/>
  <c r="Y1063" i="8"/>
  <c r="Y1064" i="8"/>
  <c r="Y1065" i="8"/>
  <c r="Y1066" i="8"/>
  <c r="Y1067" i="8"/>
  <c r="Y1068" i="8"/>
  <c r="Y1069" i="8"/>
  <c r="Y1070" i="8"/>
  <c r="Y1071" i="8"/>
  <c r="Y1072" i="8"/>
  <c r="Y1073" i="8"/>
  <c r="Y1074" i="8"/>
  <c r="Y1075" i="8"/>
  <c r="Y1076" i="8"/>
  <c r="Y1077" i="8"/>
  <c r="Y1078" i="8"/>
  <c r="Y1079" i="8"/>
  <c r="Y1080" i="8"/>
  <c r="Y1081" i="8"/>
  <c r="Y1082" i="8"/>
  <c r="Y1083" i="8"/>
  <c r="Y1084" i="8"/>
  <c r="Y1085" i="8"/>
  <c r="Y1086" i="8"/>
  <c r="Y1087" i="8"/>
  <c r="Y1088" i="8"/>
  <c r="Y1089" i="8"/>
  <c r="Y1090" i="8"/>
  <c r="Y1091" i="8"/>
  <c r="Y1092" i="8"/>
  <c r="Y1093" i="8"/>
  <c r="Y1094" i="8"/>
  <c r="Y1095" i="8"/>
  <c r="Y1096" i="8"/>
  <c r="Y1097" i="8"/>
  <c r="Y1098" i="8"/>
  <c r="Y1099" i="8"/>
  <c r="Y1100" i="8"/>
  <c r="Y1101" i="8"/>
  <c r="Y1102" i="8"/>
  <c r="Y1103" i="8"/>
  <c r="Y1104" i="8"/>
  <c r="Y1105" i="8"/>
  <c r="Y1106" i="8"/>
  <c r="Y1107" i="8"/>
  <c r="Y1108" i="8"/>
  <c r="Y1109" i="8"/>
  <c r="Y1110" i="8"/>
  <c r="Y1111" i="8"/>
  <c r="Y1112" i="8"/>
  <c r="Y1113" i="8"/>
  <c r="Y1114" i="8"/>
  <c r="Y1115" i="8"/>
  <c r="Y1116" i="8"/>
  <c r="Y1117" i="8"/>
  <c r="Y1118" i="8"/>
  <c r="Y1119" i="8"/>
  <c r="Y1120" i="8"/>
  <c r="Y1121" i="8"/>
  <c r="Y1122" i="8"/>
  <c r="Y1123" i="8"/>
  <c r="Y1124" i="8"/>
  <c r="Y1125" i="8"/>
  <c r="Y1126" i="8"/>
  <c r="Y1127" i="8"/>
  <c r="Y1128" i="8"/>
  <c r="Y1129" i="8"/>
  <c r="Y1130" i="8"/>
  <c r="Y1131" i="8"/>
  <c r="Y1132" i="8"/>
  <c r="Y1133" i="8"/>
  <c r="Y1134" i="8"/>
  <c r="Y1135" i="8"/>
  <c r="Y1136" i="8"/>
  <c r="Y1137" i="8"/>
  <c r="Y1138" i="8"/>
  <c r="Y1139" i="8"/>
  <c r="Y1140" i="8"/>
  <c r="Y1141" i="8"/>
  <c r="Y1142" i="8"/>
  <c r="Y1143" i="8"/>
  <c r="Y1144" i="8"/>
  <c r="Y1145" i="8"/>
  <c r="Y1146" i="8"/>
  <c r="Y1147" i="8"/>
  <c r="Y1148" i="8"/>
  <c r="Y1149" i="8"/>
  <c r="Y1150" i="8"/>
  <c r="Y1151" i="8"/>
  <c r="Y1152" i="8"/>
  <c r="Y1153" i="8"/>
  <c r="Y1154" i="8"/>
  <c r="Y1155" i="8"/>
  <c r="Y1156" i="8"/>
  <c r="Y1157" i="8"/>
  <c r="Y1158" i="8"/>
  <c r="Y1159" i="8"/>
  <c r="Y1160" i="8"/>
  <c r="Y1161" i="8"/>
  <c r="Y1162" i="8"/>
  <c r="Y1163" i="8"/>
  <c r="Y1164" i="8"/>
  <c r="Y1165" i="8"/>
  <c r="Y1166" i="8"/>
  <c r="Y1167" i="8"/>
  <c r="Y1168" i="8"/>
  <c r="Y1169" i="8"/>
  <c r="Y1170" i="8"/>
  <c r="Y1171" i="8"/>
  <c r="Y1172" i="8"/>
  <c r="Y1173" i="8"/>
  <c r="Y1174" i="8"/>
  <c r="Y1175" i="8"/>
  <c r="Y1176" i="8"/>
  <c r="Y1177" i="8"/>
  <c r="Y1178" i="8"/>
  <c r="Y1179" i="8"/>
  <c r="Y1180" i="8"/>
  <c r="Y1181" i="8"/>
  <c r="Y1182" i="8"/>
  <c r="Y1183" i="8"/>
  <c r="Y1184" i="8"/>
  <c r="Y1185" i="8"/>
  <c r="Y1186" i="8"/>
  <c r="Y1187" i="8"/>
  <c r="Y1188" i="8"/>
  <c r="Y1189" i="8"/>
  <c r="Y1190" i="8"/>
  <c r="Y1191" i="8"/>
  <c r="Y1192" i="8"/>
  <c r="Y1193" i="8"/>
  <c r="Y1194" i="8"/>
  <c r="Y1195" i="8"/>
  <c r="Y1196" i="8"/>
  <c r="Y1197" i="8"/>
  <c r="Y1198" i="8"/>
  <c r="Y1199" i="8"/>
  <c r="Y1200" i="8"/>
  <c r="Y1201" i="8"/>
  <c r="Y1202" i="8"/>
  <c r="Y1203" i="8"/>
  <c r="Y1204" i="8"/>
  <c r="Y1205" i="8"/>
  <c r="Y1206" i="8"/>
  <c r="Y1207" i="8"/>
  <c r="Y1208" i="8"/>
  <c r="Y1209" i="8"/>
  <c r="Y1210" i="8"/>
  <c r="Y1211" i="8"/>
  <c r="Y1212" i="8"/>
  <c r="Y1213" i="8"/>
  <c r="Y1214" i="8"/>
  <c r="Y1215" i="8"/>
  <c r="Y1216" i="8"/>
  <c r="Y1217" i="8"/>
  <c r="Y1218" i="8"/>
  <c r="Y1219" i="8"/>
  <c r="Y1220" i="8"/>
  <c r="Y1221" i="8"/>
  <c r="Y1222" i="8"/>
  <c r="Y1223" i="8"/>
  <c r="Y1224" i="8"/>
  <c r="Y1225" i="8"/>
  <c r="Y1226" i="8"/>
  <c r="Y1227" i="8"/>
  <c r="Y1228" i="8"/>
  <c r="Y1229" i="8"/>
  <c r="Y1230" i="8"/>
  <c r="Y1231" i="8"/>
  <c r="Y1232" i="8"/>
  <c r="Y1233" i="8"/>
  <c r="Y1234" i="8"/>
  <c r="Y1235" i="8"/>
  <c r="Y1236" i="8"/>
  <c r="Y1237" i="8"/>
  <c r="Y1238" i="8"/>
  <c r="Y1239" i="8"/>
  <c r="Y1240" i="8"/>
  <c r="Y1241" i="8"/>
  <c r="Y1242" i="8"/>
  <c r="Y1243" i="8"/>
  <c r="Y1244" i="8"/>
  <c r="Y1245" i="8"/>
  <c r="Y1246" i="8"/>
  <c r="Y1247" i="8"/>
  <c r="Y1248" i="8"/>
  <c r="Y1249" i="8"/>
  <c r="Y1250" i="8"/>
  <c r="Y1251" i="8"/>
  <c r="Y1252" i="8"/>
  <c r="Y1253" i="8"/>
  <c r="Y1254" i="8"/>
  <c r="Y1255" i="8"/>
  <c r="Y1256" i="8"/>
  <c r="Y1257" i="8"/>
  <c r="Y1258" i="8"/>
  <c r="Y1259" i="8"/>
  <c r="Y1260" i="8"/>
  <c r="Y1261" i="8"/>
  <c r="Y1262" i="8"/>
  <c r="Y1263" i="8"/>
  <c r="Y1264" i="8"/>
  <c r="Y1265" i="8"/>
  <c r="Y1266" i="8"/>
  <c r="Y1267" i="8"/>
  <c r="Y1268" i="8"/>
  <c r="Y1269" i="8"/>
  <c r="Y1270" i="8"/>
  <c r="Y1271" i="8"/>
  <c r="Y1272" i="8"/>
  <c r="Y1273" i="8"/>
  <c r="Y1274" i="8"/>
  <c r="Y1275" i="8"/>
  <c r="Y1276" i="8"/>
  <c r="Y1277" i="8"/>
  <c r="Y1278" i="8"/>
  <c r="Y1279" i="8"/>
  <c r="Y1280" i="8"/>
  <c r="Y1281" i="8"/>
  <c r="Y1282" i="8"/>
  <c r="Y1283" i="8"/>
  <c r="Y1284" i="8"/>
  <c r="Y1285" i="8"/>
  <c r="Y1286" i="8"/>
  <c r="Y1287" i="8"/>
  <c r="Y1288" i="8"/>
  <c r="Y1289" i="8"/>
  <c r="Y1290" i="8"/>
  <c r="Y1291" i="8"/>
  <c r="Y1292" i="8"/>
  <c r="Y1293" i="8"/>
  <c r="Y1294" i="8"/>
  <c r="Y1295" i="8"/>
  <c r="Y1296" i="8"/>
  <c r="Y1297" i="8"/>
  <c r="Y1298" i="8"/>
  <c r="Y1299" i="8"/>
  <c r="Y1300" i="8"/>
  <c r="Y1301" i="8"/>
  <c r="Y1302" i="8"/>
  <c r="Y1303" i="8"/>
  <c r="Y1304" i="8"/>
  <c r="Y1305" i="8"/>
  <c r="Y1306" i="8"/>
  <c r="Y1307" i="8"/>
  <c r="Y1308" i="8"/>
  <c r="Y1309" i="8"/>
  <c r="Y1310" i="8"/>
  <c r="Y1311" i="8"/>
  <c r="Y1312" i="8"/>
  <c r="Y1313" i="8"/>
  <c r="Y1314" i="8"/>
  <c r="Y1315" i="8"/>
  <c r="Y1316" i="8"/>
  <c r="Y1317" i="8"/>
  <c r="Y1318" i="8"/>
  <c r="Y1319" i="8"/>
  <c r="Y1320" i="8"/>
  <c r="Y1321" i="8"/>
  <c r="Y1322" i="8"/>
  <c r="Y1323" i="8"/>
  <c r="Y1324" i="8"/>
  <c r="Y1325" i="8"/>
  <c r="Y1326" i="8"/>
  <c r="Y1327" i="8"/>
  <c r="Y1328" i="8"/>
  <c r="Y1329" i="8"/>
  <c r="Y1330" i="8"/>
  <c r="Y1331" i="8"/>
  <c r="Y1332" i="8"/>
  <c r="Y1333" i="8"/>
  <c r="Y1334" i="8"/>
  <c r="Y1335" i="8"/>
  <c r="Y1336" i="8"/>
  <c r="Y1337" i="8"/>
  <c r="Y1338" i="8"/>
  <c r="Y1339" i="8"/>
  <c r="Y1340" i="8"/>
  <c r="Y1341" i="8"/>
  <c r="Y1342" i="8"/>
  <c r="Y1343" i="8"/>
  <c r="Y1344" i="8"/>
  <c r="Y1345" i="8"/>
  <c r="Y1346" i="8"/>
  <c r="Y1347" i="8"/>
  <c r="Y1348" i="8"/>
  <c r="Y1349" i="8"/>
  <c r="Y1350" i="8"/>
  <c r="Y1351" i="8"/>
  <c r="Y1352" i="8"/>
  <c r="Y1353" i="8"/>
  <c r="Y1354" i="8"/>
  <c r="Y1355" i="8"/>
  <c r="Y1356" i="8"/>
  <c r="Y1357" i="8"/>
  <c r="Y1358" i="8"/>
  <c r="Y1359" i="8"/>
  <c r="Y1360" i="8"/>
  <c r="Y1361" i="8"/>
  <c r="Y1362" i="8"/>
  <c r="Y1363" i="8"/>
  <c r="Y1364" i="8"/>
  <c r="Y1365" i="8"/>
  <c r="Y1366" i="8"/>
  <c r="Y1367" i="8"/>
  <c r="Y1368" i="8"/>
  <c r="Y1369" i="8"/>
  <c r="Y1370" i="8"/>
  <c r="Y1371" i="8"/>
  <c r="Y1372" i="8"/>
  <c r="Y1373" i="8"/>
  <c r="Y1374" i="8"/>
  <c r="Y1375" i="8"/>
  <c r="Y1376" i="8"/>
  <c r="Y1377" i="8"/>
  <c r="Y1378" i="8"/>
  <c r="Y1379" i="8"/>
  <c r="Y1380" i="8"/>
  <c r="Y1381" i="8"/>
  <c r="Y1382" i="8"/>
  <c r="Y1383" i="8"/>
  <c r="Y1384" i="8"/>
  <c r="Y1385" i="8"/>
  <c r="Y1386" i="8"/>
  <c r="Y1387" i="8"/>
  <c r="Y1388" i="8"/>
  <c r="Y1389" i="8"/>
  <c r="Y1390" i="8"/>
  <c r="Y1391" i="8"/>
  <c r="Y1392" i="8"/>
  <c r="Y1393" i="8"/>
  <c r="Y1394" i="8"/>
  <c r="Y1395" i="8"/>
  <c r="Y1396" i="8"/>
  <c r="Y1397" i="8"/>
  <c r="Y1398" i="8"/>
  <c r="Y1399" i="8"/>
  <c r="Y1400" i="8"/>
  <c r="Y1401" i="8"/>
  <c r="Y1402" i="8"/>
  <c r="Y1403" i="8"/>
  <c r="Y1404" i="8"/>
  <c r="Y1405" i="8"/>
  <c r="Y1406" i="8"/>
  <c r="Y1407" i="8"/>
  <c r="Y1408" i="8"/>
  <c r="Y1409" i="8"/>
  <c r="Y1410" i="8"/>
  <c r="Y1411" i="8"/>
  <c r="Y1412" i="8"/>
  <c r="Y1413" i="8"/>
  <c r="Y1414" i="8"/>
  <c r="Y1415" i="8"/>
  <c r="Y1416" i="8"/>
  <c r="Y1417" i="8"/>
  <c r="Y1418" i="8"/>
  <c r="Y1419" i="8"/>
  <c r="Y1420" i="8"/>
  <c r="Y1421" i="8"/>
  <c r="Y1422" i="8"/>
  <c r="Y1423" i="8"/>
  <c r="Y1424" i="8"/>
  <c r="Y1425" i="8"/>
  <c r="Y1426" i="8"/>
  <c r="Y1427" i="8"/>
  <c r="Y1428" i="8"/>
  <c r="Y1429" i="8"/>
  <c r="Y1430" i="8"/>
  <c r="Y1431" i="8"/>
  <c r="Y1432" i="8"/>
  <c r="Y1433" i="8"/>
  <c r="Y1434" i="8"/>
  <c r="Y1435" i="8"/>
  <c r="Y1436" i="8"/>
  <c r="Y1437" i="8"/>
  <c r="Y1438" i="8"/>
  <c r="Y1439" i="8"/>
  <c r="Y1440" i="8"/>
  <c r="Y1441" i="8"/>
  <c r="Y1442" i="8"/>
  <c r="Y1443" i="8"/>
  <c r="Y1444" i="8"/>
  <c r="Y1445" i="8"/>
  <c r="Y1446" i="8"/>
  <c r="Y1447" i="8"/>
  <c r="Y1448" i="8"/>
  <c r="Y1449" i="8"/>
  <c r="Y1450" i="8"/>
  <c r="Y1451" i="8"/>
  <c r="Y1452" i="8"/>
  <c r="Y1453" i="8"/>
  <c r="Y1454" i="8"/>
  <c r="Y1455" i="8"/>
  <c r="Y1456" i="8"/>
  <c r="Y1457" i="8"/>
  <c r="Y1458" i="8"/>
  <c r="Y1459" i="8"/>
  <c r="Y1460" i="8"/>
  <c r="Y1461" i="8"/>
  <c r="Y1462" i="8"/>
  <c r="Y1463" i="8"/>
  <c r="Y1464" i="8"/>
  <c r="Y1465" i="8"/>
  <c r="Y1466" i="8"/>
  <c r="Y1467" i="8"/>
  <c r="Y1468" i="8"/>
  <c r="Y1469" i="8"/>
  <c r="Y1470" i="8"/>
  <c r="Y1471" i="8"/>
  <c r="Y1472" i="8"/>
  <c r="Y1473" i="8"/>
  <c r="Y1474" i="8"/>
  <c r="Y1475" i="8"/>
  <c r="Y1476" i="8"/>
  <c r="Y1477" i="8"/>
  <c r="Y1478" i="8"/>
  <c r="Y1479" i="8"/>
  <c r="Y1480" i="8"/>
  <c r="Y1481" i="8"/>
  <c r="Y1482" i="8"/>
  <c r="Y1483" i="8"/>
  <c r="Y1484" i="8"/>
  <c r="Y1485" i="8"/>
  <c r="Y1486" i="8"/>
  <c r="Y1487" i="8"/>
  <c r="Y1488" i="8"/>
  <c r="Y1489" i="8"/>
  <c r="Y1490" i="8"/>
  <c r="Y1491" i="8"/>
  <c r="Y1492" i="8"/>
  <c r="Y1493" i="8"/>
  <c r="Y1494" i="8"/>
  <c r="Y1495" i="8"/>
  <c r="Y1496" i="8"/>
  <c r="Y1497" i="8"/>
  <c r="Y1498" i="8"/>
  <c r="Y1499" i="8"/>
  <c r="Y1500" i="8"/>
  <c r="Y1501" i="8"/>
  <c r="Y1502" i="8"/>
  <c r="Y1503" i="8"/>
  <c r="Y1504" i="8"/>
  <c r="Y1505" i="8"/>
  <c r="Y1506" i="8"/>
  <c r="Y1507" i="8"/>
  <c r="Y1508" i="8"/>
  <c r="Y1509" i="8"/>
  <c r="Y1510" i="8"/>
  <c r="Y1511" i="8"/>
  <c r="Y1512" i="8"/>
  <c r="Y1513" i="8"/>
  <c r="Y1514" i="8"/>
  <c r="Y1515" i="8"/>
  <c r="Y1516" i="8"/>
  <c r="Y1517" i="8"/>
  <c r="Y1518" i="8"/>
  <c r="Y1519" i="8"/>
  <c r="Y1520" i="8"/>
  <c r="Y1521" i="8"/>
  <c r="Y1522" i="8"/>
  <c r="Y1523" i="8"/>
  <c r="Y1524" i="8"/>
  <c r="Y1525" i="8"/>
  <c r="Y1526" i="8"/>
  <c r="Y1527" i="8"/>
  <c r="Y1528" i="8"/>
  <c r="Y1529" i="8"/>
  <c r="Y1530" i="8"/>
  <c r="Y1531" i="8"/>
  <c r="Y1532" i="8"/>
  <c r="Y1533" i="8"/>
  <c r="Y1534" i="8"/>
  <c r="Y1535" i="8"/>
  <c r="Y1536" i="8"/>
  <c r="Y1537" i="8"/>
  <c r="Y1538" i="8"/>
  <c r="Y1539" i="8"/>
  <c r="Y1540" i="8"/>
  <c r="Y1541" i="8"/>
  <c r="Y1542" i="8"/>
  <c r="Y1543" i="8"/>
  <c r="Y1544" i="8"/>
  <c r="Y1545" i="8"/>
  <c r="Y1546" i="8"/>
  <c r="Y1547" i="8"/>
  <c r="Y1548" i="8"/>
  <c r="Y1549" i="8"/>
  <c r="Y1550" i="8"/>
  <c r="Y1551" i="8"/>
  <c r="Y1552" i="8"/>
  <c r="Y1553" i="8"/>
  <c r="Y1554" i="8"/>
  <c r="Y1555" i="8"/>
  <c r="Y1556" i="8"/>
  <c r="Y1557" i="8"/>
  <c r="Y1558" i="8"/>
  <c r="Y1559" i="8"/>
  <c r="Y1560" i="8"/>
  <c r="Y1561" i="8"/>
  <c r="Y1562" i="8"/>
  <c r="Y1563" i="8"/>
  <c r="Y1564" i="8"/>
  <c r="Y1565" i="8"/>
  <c r="Y1566" i="8"/>
  <c r="Y1567" i="8"/>
  <c r="Y1568" i="8"/>
  <c r="Y1569" i="8"/>
  <c r="Y1570" i="8"/>
  <c r="Y1571" i="8"/>
  <c r="Y1572" i="8"/>
  <c r="Y1573" i="8"/>
  <c r="Y1574" i="8"/>
  <c r="Y1575" i="8"/>
  <c r="Y1576" i="8"/>
  <c r="Y1577" i="8"/>
  <c r="Y1578" i="8"/>
  <c r="Y1579" i="8"/>
  <c r="Y1580" i="8"/>
  <c r="Y1581" i="8"/>
  <c r="Y1582" i="8"/>
  <c r="Y1583" i="8"/>
  <c r="Y1584" i="8"/>
  <c r="Y1585" i="8"/>
  <c r="Y1586" i="8"/>
  <c r="Y1587" i="8"/>
  <c r="Y1588" i="8"/>
  <c r="Y1589" i="8"/>
  <c r="Y1590" i="8"/>
  <c r="Y1591" i="8"/>
  <c r="Y1592" i="8"/>
  <c r="Y1593" i="8"/>
  <c r="Y1594" i="8"/>
  <c r="Y1595" i="8"/>
  <c r="Y1596" i="8"/>
  <c r="Y1597" i="8"/>
  <c r="Y1598" i="8"/>
  <c r="Y1599" i="8"/>
  <c r="Y1600" i="8"/>
  <c r="Y1601" i="8"/>
  <c r="Y1602" i="8"/>
  <c r="Y1603" i="8"/>
  <c r="Y1604" i="8"/>
  <c r="Y1605" i="8"/>
  <c r="Y1606" i="8"/>
  <c r="Y1607" i="8"/>
  <c r="Y1608" i="8"/>
  <c r="Y1609" i="8"/>
  <c r="Y1610" i="8"/>
  <c r="Y1611" i="8"/>
  <c r="Y1612" i="8"/>
  <c r="Y1613" i="8"/>
  <c r="Y1614" i="8"/>
  <c r="Y1615" i="8"/>
  <c r="Y1616" i="8"/>
  <c r="Y1617" i="8"/>
  <c r="Y1618" i="8"/>
  <c r="Y1619" i="8"/>
  <c r="Y1620" i="8"/>
  <c r="Y1621" i="8"/>
  <c r="Y1622" i="8"/>
  <c r="Y1623" i="8"/>
  <c r="Y1624" i="8"/>
  <c r="Y1625" i="8"/>
  <c r="Y1626" i="8"/>
  <c r="Y1627" i="8"/>
  <c r="Y1628" i="8"/>
  <c r="Y1629" i="8"/>
  <c r="Y1630" i="8"/>
  <c r="Y1631" i="8"/>
  <c r="Y1632" i="8"/>
  <c r="Y1633" i="8"/>
  <c r="Y1634" i="8"/>
  <c r="Y1635" i="8"/>
  <c r="Y1636" i="8"/>
  <c r="Y1637" i="8"/>
  <c r="Y1638" i="8"/>
  <c r="Y1639" i="8"/>
  <c r="Y1640" i="8"/>
  <c r="Y1641" i="8"/>
  <c r="Y1642" i="8"/>
  <c r="Y1643" i="8"/>
  <c r="Y1644" i="8"/>
  <c r="Y1645" i="8"/>
  <c r="Y1646" i="8"/>
  <c r="Y1647" i="8"/>
  <c r="Y1648" i="8"/>
  <c r="Y1649" i="8"/>
  <c r="Y1650" i="8"/>
  <c r="Y1651" i="8"/>
  <c r="Y1652" i="8"/>
  <c r="Y1653" i="8"/>
  <c r="Y1654" i="8"/>
  <c r="Y1655" i="8"/>
  <c r="Y1656" i="8"/>
  <c r="Y1657" i="8"/>
  <c r="Y1658" i="8"/>
  <c r="Y1659" i="8"/>
  <c r="Y1660" i="8"/>
  <c r="Y1661" i="8"/>
  <c r="Y1662" i="8"/>
  <c r="Y1663" i="8"/>
  <c r="Y1664" i="8"/>
  <c r="Y1665" i="8"/>
  <c r="Y1666" i="8"/>
  <c r="Y1667" i="8"/>
  <c r="Y1668" i="8"/>
  <c r="Y1669" i="8"/>
  <c r="Y1670" i="8"/>
  <c r="Y1671" i="8"/>
  <c r="Y1672" i="8"/>
  <c r="Y1673" i="8"/>
  <c r="Y1674" i="8"/>
  <c r="Y1675" i="8"/>
  <c r="Y1676" i="8"/>
  <c r="Y1677" i="8"/>
  <c r="Y1678" i="8"/>
  <c r="Y1679" i="8"/>
  <c r="Y1680" i="8"/>
  <c r="Y1681" i="8"/>
  <c r="Y1682" i="8"/>
  <c r="Y1683" i="8"/>
  <c r="Y1684" i="8"/>
  <c r="Y1685" i="8"/>
  <c r="Y1686" i="8"/>
  <c r="Y1687" i="8"/>
  <c r="Y1688" i="8"/>
  <c r="Y1689" i="8"/>
  <c r="Y1690" i="8"/>
  <c r="Y1691" i="8"/>
  <c r="Y1692" i="8"/>
  <c r="Y1693" i="8"/>
  <c r="Y1694" i="8"/>
  <c r="Y1695" i="8"/>
  <c r="Y1696" i="8"/>
  <c r="Y1697" i="8"/>
  <c r="Y1698" i="8"/>
  <c r="Y1699" i="8"/>
  <c r="Y1700" i="8"/>
  <c r="Y1701" i="8"/>
  <c r="Y1702" i="8"/>
  <c r="Y1703" i="8"/>
  <c r="Y1704" i="8"/>
  <c r="Y1705" i="8"/>
  <c r="Y1706" i="8"/>
  <c r="Y1707" i="8"/>
  <c r="Y1708" i="8"/>
  <c r="Y1709" i="8"/>
  <c r="Y1710" i="8"/>
  <c r="Y1711" i="8"/>
  <c r="Y1712" i="8"/>
  <c r="Y1713" i="8"/>
  <c r="Y1714" i="8"/>
  <c r="Y1715" i="8"/>
  <c r="Y1716" i="8"/>
  <c r="Y1717" i="8"/>
  <c r="Y1718" i="8"/>
  <c r="Y1719" i="8"/>
  <c r="Y1720" i="8"/>
  <c r="Y1721" i="8"/>
  <c r="Y1722" i="8"/>
  <c r="Y1723" i="8"/>
  <c r="Y1724" i="8"/>
  <c r="Y1725" i="8"/>
  <c r="Y1726" i="8"/>
  <c r="Y1727" i="8"/>
  <c r="Y1728" i="8"/>
  <c r="Y1729" i="8"/>
  <c r="Y1730" i="8"/>
  <c r="Y1731" i="8"/>
  <c r="Y1732" i="8"/>
  <c r="Y1733" i="8"/>
  <c r="Y1734" i="8"/>
  <c r="Y1735" i="8"/>
  <c r="Y1736" i="8"/>
  <c r="Y1737" i="8"/>
  <c r="Y1738" i="8"/>
  <c r="Y1739" i="8"/>
  <c r="Y1740" i="8"/>
  <c r="Y1741" i="8"/>
  <c r="Y1742" i="8"/>
  <c r="Y1743" i="8"/>
  <c r="Y1744" i="8"/>
  <c r="Y1745" i="8"/>
  <c r="Y1746" i="8"/>
  <c r="Y1747" i="8"/>
  <c r="Y1748" i="8"/>
  <c r="Y1749" i="8"/>
  <c r="Y1750" i="8"/>
  <c r="Y1751" i="8"/>
  <c r="Y1752" i="8"/>
  <c r="Y1753" i="8"/>
  <c r="Y1754" i="8"/>
  <c r="Y1755" i="8"/>
  <c r="Y1756" i="8"/>
  <c r="Y1757" i="8"/>
  <c r="Y1758" i="8"/>
  <c r="Y1759" i="8"/>
  <c r="Y1760" i="8"/>
  <c r="Y1761" i="8"/>
  <c r="Y1762" i="8"/>
  <c r="Y1763" i="8"/>
  <c r="Y1764" i="8"/>
  <c r="Y1765" i="8"/>
  <c r="Y1766" i="8"/>
  <c r="Y1767" i="8"/>
  <c r="Y1768" i="8"/>
  <c r="Y1769" i="8"/>
  <c r="Y1770" i="8"/>
  <c r="Y1771" i="8"/>
  <c r="Y1772" i="8"/>
  <c r="Y1773" i="8"/>
  <c r="Y1774" i="8"/>
  <c r="Y1775" i="8"/>
  <c r="Y1776" i="8"/>
  <c r="Y1777" i="8"/>
  <c r="Y1778" i="8"/>
  <c r="Y1779" i="8"/>
  <c r="Y1780" i="8"/>
  <c r="Y1781" i="8"/>
  <c r="Y1782" i="8"/>
  <c r="Y1783" i="8"/>
  <c r="Y1784" i="8"/>
  <c r="Y1785" i="8"/>
  <c r="Y1786" i="8"/>
  <c r="Y1787" i="8"/>
  <c r="Y1788" i="8"/>
  <c r="Y1789" i="8"/>
  <c r="Y1790" i="8"/>
  <c r="Y1791" i="8"/>
  <c r="Y1792" i="8"/>
  <c r="Y1793" i="8"/>
  <c r="Y1794" i="8"/>
  <c r="Y1795" i="8"/>
  <c r="Y1796" i="8"/>
  <c r="Y1797" i="8"/>
  <c r="Y1798" i="8"/>
  <c r="Y1799" i="8"/>
  <c r="Y1800" i="8"/>
  <c r="Y1801" i="8"/>
  <c r="Y1802" i="8"/>
  <c r="Y1803" i="8"/>
  <c r="Y1804" i="8"/>
  <c r="Y1805" i="8"/>
  <c r="Y1806" i="8"/>
  <c r="Y1807" i="8"/>
  <c r="Y1808" i="8"/>
  <c r="Y1809" i="8"/>
  <c r="Y1810" i="8"/>
  <c r="Y1811" i="8"/>
  <c r="Y1812" i="8"/>
  <c r="Y1813" i="8"/>
  <c r="Y1814" i="8"/>
  <c r="Y1815" i="8"/>
  <c r="Y1816" i="8"/>
  <c r="Y1817" i="8"/>
  <c r="Y1818" i="8"/>
  <c r="Y1819" i="8"/>
  <c r="Y1820" i="8"/>
  <c r="Y1821" i="8"/>
  <c r="Y1822" i="8"/>
  <c r="Y1823" i="8"/>
  <c r="Y1824" i="8"/>
  <c r="Y1825" i="8"/>
  <c r="Y1826" i="8"/>
  <c r="Y1827" i="8"/>
  <c r="Y1828" i="8"/>
  <c r="Y1829" i="8"/>
  <c r="Y1830" i="8"/>
  <c r="Y1831" i="8"/>
  <c r="Y1832" i="8"/>
  <c r="Y1833" i="8"/>
  <c r="Y1834" i="8"/>
  <c r="Y1835" i="8"/>
  <c r="Y1836" i="8"/>
  <c r="Y1837" i="8"/>
  <c r="Y1838" i="8"/>
  <c r="Y1839" i="8"/>
  <c r="Y1840" i="8"/>
  <c r="Y1841" i="8"/>
  <c r="Y1842" i="8"/>
  <c r="Y1843" i="8"/>
  <c r="Y1844" i="8"/>
  <c r="Y1845" i="8"/>
  <c r="Y1846" i="8"/>
  <c r="Y1847" i="8"/>
  <c r="Y1848" i="8"/>
  <c r="Y1849" i="8"/>
  <c r="Y1850" i="8"/>
  <c r="Y1851" i="8"/>
  <c r="Y1852" i="8"/>
  <c r="Y1853" i="8"/>
  <c r="Y1854" i="8"/>
  <c r="Y1855" i="8"/>
  <c r="Y1856" i="8"/>
  <c r="Y1857" i="8"/>
  <c r="Y1858" i="8"/>
  <c r="Y1859" i="8"/>
  <c r="Y1860" i="8"/>
  <c r="Y1861" i="8"/>
  <c r="Y1862" i="8"/>
  <c r="Y1863" i="8"/>
  <c r="Y1864" i="8"/>
  <c r="Y1865" i="8"/>
  <c r="Y1866" i="8"/>
  <c r="Y1867" i="8"/>
  <c r="Y1868" i="8"/>
  <c r="Y1869" i="8"/>
  <c r="Y1870" i="8"/>
  <c r="Y1871" i="8"/>
  <c r="Y1872" i="8"/>
  <c r="Y1873" i="8"/>
  <c r="Y1874" i="8"/>
  <c r="Y1875" i="8"/>
  <c r="Y1876" i="8"/>
  <c r="Y1877" i="8"/>
  <c r="Y1878" i="8"/>
  <c r="Y1879" i="8"/>
  <c r="Y1880" i="8"/>
  <c r="Y1881" i="8"/>
  <c r="Y1882" i="8"/>
  <c r="Y1883" i="8"/>
  <c r="Y1884" i="8"/>
  <c r="Y1885" i="8"/>
  <c r="Y1886" i="8"/>
  <c r="Y1887" i="8"/>
  <c r="Y1888" i="8"/>
  <c r="Y1889" i="8"/>
  <c r="Y1890" i="8"/>
  <c r="Y1891" i="8"/>
  <c r="Y1892" i="8"/>
  <c r="Y1893" i="8"/>
  <c r="Y1894" i="8"/>
  <c r="Y1895" i="8"/>
  <c r="Y1896" i="8"/>
  <c r="Y1897" i="8"/>
  <c r="Y1898" i="8"/>
  <c r="Y1899" i="8"/>
  <c r="Y1900" i="8"/>
  <c r="Y1901" i="8"/>
  <c r="Y1902" i="8"/>
  <c r="Y1903" i="8"/>
  <c r="Y1904" i="8"/>
  <c r="Y1905" i="8"/>
  <c r="Y1906" i="8"/>
  <c r="Y1907" i="8"/>
  <c r="Y1908" i="8"/>
  <c r="Y1909" i="8"/>
  <c r="Y1910" i="8"/>
  <c r="Y1911" i="8"/>
  <c r="Y1912" i="8"/>
  <c r="Y1913" i="8"/>
  <c r="Y1914" i="8"/>
  <c r="Y1915" i="8"/>
  <c r="Y1916" i="8"/>
  <c r="Y1917" i="8"/>
  <c r="Y1918" i="8"/>
  <c r="Y1919" i="8"/>
  <c r="Y1920" i="8"/>
  <c r="Y1921" i="8"/>
  <c r="Y1922" i="8"/>
  <c r="Y1923" i="8"/>
  <c r="Y1924" i="8"/>
  <c r="Y1925" i="8"/>
  <c r="Y1926" i="8"/>
  <c r="Y1927" i="8"/>
  <c r="Y1928" i="8"/>
  <c r="Y1929" i="8"/>
  <c r="Y1930" i="8"/>
  <c r="Y1931" i="8"/>
  <c r="Y1932" i="8"/>
  <c r="Y1933" i="8"/>
  <c r="Y1934" i="8"/>
  <c r="Y1935" i="8"/>
  <c r="Y1936" i="8"/>
  <c r="Y1937" i="8"/>
  <c r="Y1938" i="8"/>
  <c r="Y1939" i="8"/>
  <c r="Y1940" i="8"/>
  <c r="Y1941" i="8"/>
  <c r="Y1942" i="8"/>
  <c r="Y1943" i="8"/>
  <c r="Y1944" i="8"/>
  <c r="Y1945" i="8"/>
  <c r="Y1946" i="8"/>
  <c r="Y1947" i="8"/>
  <c r="Y1948" i="8"/>
  <c r="Y1949" i="8"/>
  <c r="Y1950" i="8"/>
  <c r="Y1951" i="8"/>
  <c r="Y1952" i="8"/>
  <c r="Y1953" i="8"/>
  <c r="Y1954" i="8"/>
  <c r="Y1955" i="8"/>
  <c r="Y1956" i="8"/>
  <c r="Y1957" i="8"/>
  <c r="Y1958" i="8"/>
  <c r="Y1959" i="8"/>
  <c r="Y1960" i="8"/>
  <c r="Y1961" i="8"/>
  <c r="Y1962" i="8"/>
  <c r="Y1963" i="8"/>
  <c r="Y1964" i="8"/>
  <c r="Y1965" i="8"/>
  <c r="Y1966" i="8"/>
  <c r="Y1967" i="8"/>
  <c r="Y1968" i="8"/>
  <c r="Y1969" i="8"/>
  <c r="Y1970" i="8"/>
  <c r="Y1971" i="8"/>
  <c r="Y1972" i="8"/>
  <c r="Y1973" i="8"/>
  <c r="Y1974" i="8"/>
  <c r="Y1975" i="8"/>
  <c r="Y1976" i="8"/>
  <c r="Y1977" i="8"/>
  <c r="Y1978" i="8"/>
  <c r="Y1979" i="8"/>
  <c r="Y1980" i="8"/>
  <c r="Y1981" i="8"/>
  <c r="Y1982" i="8"/>
  <c r="Y1983" i="8"/>
  <c r="Y1984" i="8"/>
  <c r="Y1985" i="8"/>
  <c r="Y1986" i="8"/>
  <c r="Y1987" i="8"/>
  <c r="Y1988" i="8"/>
  <c r="Y1989" i="8"/>
  <c r="Y1990" i="8"/>
  <c r="Y1991" i="8"/>
  <c r="Y1992" i="8"/>
  <c r="Y1993" i="8"/>
  <c r="Y1994" i="8"/>
  <c r="Y1995" i="8"/>
  <c r="Y1996" i="8"/>
  <c r="Y1997" i="8"/>
  <c r="Y1998" i="8"/>
  <c r="Y1999" i="8"/>
  <c r="Y2000" i="8"/>
  <c r="Y2001" i="8"/>
  <c r="Y2002" i="8"/>
  <c r="Y2003" i="8"/>
  <c r="Y2004" i="8"/>
  <c r="Y2005" i="8"/>
  <c r="Y2006" i="8"/>
  <c r="Y2007" i="8"/>
  <c r="Y2008" i="8"/>
  <c r="Y2009" i="8"/>
  <c r="Y2010" i="8"/>
  <c r="Y2011" i="8"/>
  <c r="Y2012" i="8"/>
  <c r="Y2013" i="8"/>
  <c r="Y2014" i="8"/>
  <c r="Y2015" i="8"/>
  <c r="Y2016" i="8"/>
  <c r="Y2017" i="8"/>
  <c r="Y2018" i="8"/>
  <c r="Y2019" i="8"/>
  <c r="Y2020" i="8"/>
  <c r="Y2021" i="8"/>
  <c r="Y2022" i="8"/>
  <c r="Y2023" i="8"/>
  <c r="Y2024" i="8"/>
  <c r="Y2025" i="8"/>
  <c r="Y2026" i="8"/>
  <c r="Y2027" i="8"/>
  <c r="Y2028" i="8"/>
  <c r="Y2029" i="8"/>
  <c r="Y2030" i="8"/>
  <c r="Y2031" i="8"/>
  <c r="Y2032" i="8"/>
  <c r="Y2033" i="8"/>
  <c r="Y2034" i="8"/>
  <c r="Y2035" i="8"/>
  <c r="Y2036" i="8"/>
  <c r="Y2037" i="8"/>
  <c r="Y2038" i="8"/>
  <c r="Y2039" i="8"/>
  <c r="Y2040" i="8"/>
  <c r="Y2041" i="8"/>
  <c r="Y2042" i="8"/>
  <c r="Y2043" i="8"/>
  <c r="Y2044" i="8"/>
  <c r="Y2045" i="8"/>
  <c r="Y2046" i="8"/>
  <c r="Y2047" i="8"/>
  <c r="Y2048" i="8"/>
  <c r="Y2049" i="8"/>
  <c r="Y2050" i="8"/>
  <c r="Y2051" i="8"/>
  <c r="Y2052" i="8"/>
  <c r="Y2053" i="8"/>
  <c r="Y2054" i="8"/>
  <c r="Y2055" i="8"/>
  <c r="Y2056" i="8"/>
  <c r="Y2057" i="8"/>
  <c r="Y2058" i="8"/>
  <c r="Y2059" i="8"/>
  <c r="Y2060" i="8"/>
  <c r="Y2061" i="8"/>
  <c r="Y2062" i="8"/>
  <c r="Y2063" i="8"/>
  <c r="Y2064" i="8"/>
  <c r="Y2065" i="8"/>
  <c r="Y2066" i="8"/>
  <c r="Y2067" i="8"/>
  <c r="Y2068" i="8"/>
  <c r="Y2069" i="8"/>
  <c r="Y2070" i="8"/>
  <c r="Y2071" i="8"/>
  <c r="Y2072" i="8"/>
  <c r="Y2073" i="8"/>
  <c r="Y2074" i="8"/>
  <c r="Y2075" i="8"/>
  <c r="Y2076" i="8"/>
  <c r="Y2077" i="8"/>
  <c r="Y2078" i="8"/>
  <c r="Y2079" i="8"/>
  <c r="Y2080" i="8"/>
  <c r="Y2081" i="8"/>
  <c r="Y2082" i="8"/>
  <c r="Y2083" i="8"/>
  <c r="Y2084" i="8"/>
  <c r="Y2085" i="8"/>
  <c r="Y2086" i="8"/>
  <c r="Y2087" i="8"/>
  <c r="Y2088" i="8"/>
  <c r="Y2089" i="8"/>
  <c r="Y2090" i="8"/>
  <c r="Y2091" i="8"/>
  <c r="Y2092" i="8"/>
  <c r="Y2093" i="8"/>
  <c r="Y2094" i="8"/>
  <c r="Y2095" i="8"/>
  <c r="Y2096" i="8"/>
  <c r="Y2097" i="8"/>
  <c r="Y2098" i="8"/>
  <c r="Y2099" i="8"/>
  <c r="Y2100" i="8"/>
  <c r="Y2101" i="8"/>
  <c r="Y2102" i="8"/>
  <c r="Y2103" i="8"/>
  <c r="Y2104" i="8"/>
  <c r="Y2105" i="8"/>
  <c r="Y2106" i="8"/>
  <c r="Y2107" i="8"/>
  <c r="Y2108" i="8"/>
  <c r="Y2109" i="8"/>
  <c r="Y2110" i="8"/>
  <c r="Y2111" i="8"/>
  <c r="Y2112" i="8"/>
  <c r="Y2113" i="8"/>
  <c r="Y2114" i="8"/>
  <c r="Y2115" i="8"/>
  <c r="Y2116" i="8"/>
  <c r="Y2117" i="8"/>
  <c r="Y2118" i="8"/>
  <c r="Y2119" i="8"/>
  <c r="Y2120" i="8"/>
  <c r="Y2121" i="8"/>
  <c r="Y2122" i="8"/>
  <c r="Y2123" i="8"/>
  <c r="Y2124" i="8"/>
  <c r="Y2125" i="8"/>
  <c r="Y2126" i="8"/>
  <c r="Y2127" i="8"/>
  <c r="Y2128" i="8"/>
  <c r="Y2129" i="8"/>
  <c r="Y2130" i="8"/>
  <c r="Y2131" i="8"/>
  <c r="Y2132" i="8"/>
  <c r="Y2133" i="8"/>
  <c r="Y2134" i="8"/>
  <c r="Y2135" i="8"/>
  <c r="Y2136" i="8"/>
  <c r="Y2137" i="8"/>
  <c r="Y2138" i="8"/>
  <c r="Y2139" i="8"/>
  <c r="Y2140" i="8"/>
  <c r="Y2141" i="8"/>
  <c r="Y2142" i="8"/>
  <c r="Y2143" i="8"/>
  <c r="Y2144" i="8"/>
  <c r="Y2145" i="8"/>
  <c r="Y2146" i="8"/>
  <c r="Y2147" i="8"/>
  <c r="Y2148" i="8"/>
  <c r="Y2149" i="8"/>
  <c r="Y2150" i="8"/>
  <c r="Y2151" i="8"/>
  <c r="Y2152" i="8"/>
  <c r="Y2153" i="8"/>
  <c r="Y2154" i="8"/>
  <c r="Y2155" i="8"/>
  <c r="Y2156" i="8"/>
  <c r="Y2157" i="8"/>
  <c r="Y2158" i="8"/>
  <c r="Y2159" i="8"/>
  <c r="Y2160" i="8"/>
  <c r="Y2161" i="8"/>
  <c r="Y2162" i="8"/>
  <c r="Y2163" i="8"/>
  <c r="Y2164" i="8"/>
  <c r="Y2165" i="8"/>
  <c r="Y2166" i="8"/>
  <c r="Y2167" i="8"/>
  <c r="Y2168" i="8"/>
  <c r="Y2169" i="8"/>
  <c r="Y2170" i="8"/>
  <c r="Y2171" i="8"/>
  <c r="Y2172" i="8"/>
  <c r="Y2173" i="8"/>
  <c r="Y2174" i="8"/>
  <c r="Y2175" i="8"/>
  <c r="Y2176" i="8"/>
  <c r="Y2177" i="8"/>
  <c r="Y2178" i="8"/>
  <c r="Y2179" i="8"/>
  <c r="Y2180" i="8"/>
  <c r="Y2181" i="8"/>
  <c r="Y2182" i="8"/>
  <c r="Y2183" i="8"/>
  <c r="Y2184" i="8"/>
  <c r="Y2185" i="8"/>
  <c r="Y2186" i="8"/>
  <c r="Y2187" i="8"/>
  <c r="Y2188" i="8"/>
  <c r="Y2189" i="8"/>
  <c r="Y2190" i="8"/>
  <c r="Y2191" i="8"/>
  <c r="Y2192" i="8"/>
  <c r="Y2193" i="8"/>
  <c r="Y2194" i="8"/>
  <c r="Y2195" i="8"/>
  <c r="Y2196" i="8"/>
  <c r="Y2197" i="8"/>
  <c r="Y2198" i="8"/>
  <c r="Y2199" i="8"/>
  <c r="Y2200" i="8"/>
  <c r="Y2201" i="8"/>
  <c r="Y2202" i="8"/>
  <c r="Y2203" i="8"/>
  <c r="Y2204" i="8"/>
  <c r="Y2205" i="8"/>
  <c r="Y2206" i="8"/>
  <c r="Y2207" i="8"/>
  <c r="Y2208" i="8"/>
  <c r="Y2209" i="8"/>
  <c r="Y2210" i="8"/>
  <c r="Y2211" i="8"/>
  <c r="Y2212" i="8"/>
  <c r="Y2213" i="8"/>
  <c r="Y2214" i="8"/>
  <c r="Y2215" i="8"/>
  <c r="Y2216" i="8"/>
  <c r="Y2217" i="8"/>
  <c r="Y2218" i="8"/>
  <c r="Y2219" i="8"/>
  <c r="Y2220" i="8"/>
  <c r="Y2221" i="8"/>
  <c r="Y2222" i="8"/>
  <c r="Y2223" i="8"/>
  <c r="Y2224" i="8"/>
  <c r="Y2225" i="8"/>
  <c r="Y2226" i="8"/>
  <c r="Y2227" i="8"/>
  <c r="Y2228" i="8"/>
  <c r="Y2229" i="8"/>
  <c r="Y2230" i="8"/>
  <c r="Y2231" i="8"/>
  <c r="Y2232" i="8"/>
  <c r="Y2233" i="8"/>
  <c r="Y2234" i="8"/>
  <c r="Y2235" i="8"/>
  <c r="Y2236" i="8"/>
  <c r="Y2237" i="8"/>
  <c r="Y2238" i="8"/>
  <c r="Y2239" i="8"/>
  <c r="Y2240" i="8"/>
  <c r="Y2241" i="8"/>
  <c r="Y2242" i="8"/>
  <c r="Y2243" i="8"/>
  <c r="Y2244" i="8"/>
  <c r="Y2245" i="8"/>
  <c r="Y2246" i="8"/>
  <c r="Y2247" i="8"/>
  <c r="Y2248" i="8"/>
  <c r="Y2249" i="8"/>
  <c r="Y2250" i="8"/>
  <c r="Y2251" i="8"/>
  <c r="Y2252" i="8"/>
  <c r="Y2253" i="8"/>
  <c r="Y2254" i="8"/>
  <c r="Y2255" i="8"/>
  <c r="Y2256" i="8"/>
  <c r="Y2257" i="8"/>
  <c r="Y2258" i="8"/>
  <c r="Y2259" i="8"/>
  <c r="Y2260" i="8"/>
  <c r="Y2261" i="8"/>
  <c r="Y2262" i="8"/>
  <c r="Y2263" i="8"/>
  <c r="Y2264" i="8"/>
  <c r="Y2265" i="8"/>
  <c r="Y2266" i="8"/>
  <c r="Y2267" i="8"/>
  <c r="Y2268" i="8"/>
  <c r="Y2269" i="8"/>
  <c r="Y2270" i="8"/>
  <c r="Y2271" i="8"/>
  <c r="Y2272" i="8"/>
  <c r="Y2273" i="8"/>
  <c r="Y2274" i="8"/>
  <c r="Y2275" i="8"/>
  <c r="Y2276" i="8"/>
  <c r="Y2277" i="8"/>
  <c r="Y2278" i="8"/>
  <c r="Y2279" i="8"/>
  <c r="Y2280" i="8"/>
  <c r="Y2281" i="8"/>
  <c r="Y2282" i="8"/>
  <c r="Y2283" i="8"/>
  <c r="Y2284" i="8"/>
  <c r="Y2285" i="8"/>
  <c r="Y2286" i="8"/>
  <c r="Y2287" i="8"/>
  <c r="Y2288" i="8"/>
  <c r="Y2289" i="8"/>
  <c r="Y2290" i="8"/>
  <c r="Y2291" i="8"/>
  <c r="Y2292" i="8"/>
  <c r="Y2293" i="8"/>
  <c r="Y2294" i="8"/>
  <c r="Y2295" i="8"/>
  <c r="Y2296" i="8"/>
  <c r="Y2297" i="8"/>
  <c r="Y2298" i="8"/>
  <c r="Y2299" i="8"/>
  <c r="Y2300" i="8"/>
  <c r="Y2301" i="8"/>
  <c r="Y2302" i="8"/>
  <c r="Y2303" i="8"/>
  <c r="Y2304" i="8"/>
  <c r="Y2305" i="8"/>
  <c r="Y2306" i="8"/>
  <c r="Y2307" i="8"/>
  <c r="Y2308" i="8"/>
  <c r="Y2309" i="8"/>
  <c r="Y2310" i="8"/>
  <c r="Y2311" i="8"/>
  <c r="Y2312" i="8"/>
  <c r="Y2313" i="8"/>
  <c r="Y2314" i="8"/>
  <c r="Y2315" i="8"/>
  <c r="Y2316" i="8"/>
  <c r="Y2317" i="8"/>
  <c r="Y2318" i="8"/>
  <c r="Y2319" i="8"/>
  <c r="Y2320" i="8"/>
  <c r="Y2321" i="8"/>
  <c r="Y2322" i="8"/>
  <c r="Y2323" i="8"/>
  <c r="Y2324" i="8"/>
  <c r="Y2325" i="8"/>
  <c r="Y2326" i="8"/>
  <c r="Y2327" i="8"/>
  <c r="Y2328" i="8"/>
  <c r="Y2329" i="8"/>
  <c r="Y2330" i="8"/>
  <c r="Y2331" i="8"/>
  <c r="Y2332" i="8"/>
  <c r="Y2333" i="8"/>
  <c r="Y2334" i="8"/>
  <c r="Y2335" i="8"/>
  <c r="Y2336" i="8"/>
  <c r="Y2337" i="8"/>
  <c r="Y2338" i="8"/>
  <c r="Y2339" i="8"/>
  <c r="Y2340" i="8"/>
  <c r="Y2341" i="8"/>
  <c r="Y2342" i="8"/>
  <c r="Y2343" i="8"/>
  <c r="Y2344" i="8"/>
  <c r="Y2345" i="8"/>
  <c r="Y2346" i="8"/>
  <c r="Y2347" i="8"/>
  <c r="Y2348" i="8"/>
  <c r="Y2349" i="8"/>
  <c r="Y2350" i="8"/>
  <c r="Y2351" i="8"/>
  <c r="Y2352" i="8"/>
  <c r="Y2353" i="8"/>
  <c r="Y2354" i="8"/>
  <c r="Y2355" i="8"/>
  <c r="Y2356" i="8"/>
  <c r="Y2357" i="8"/>
  <c r="Y2358" i="8"/>
  <c r="Y2359" i="8"/>
  <c r="Y2360" i="8"/>
  <c r="Y2361" i="8"/>
  <c r="Y2362" i="8"/>
  <c r="Y2363" i="8"/>
  <c r="Y2364" i="8"/>
  <c r="Y2365" i="8"/>
  <c r="Y2366" i="8"/>
  <c r="Y2367" i="8"/>
  <c r="Y2368" i="8"/>
  <c r="Y2369" i="8"/>
  <c r="Y2370" i="8"/>
  <c r="Y2371" i="8"/>
  <c r="Y2372" i="8"/>
  <c r="Y2373" i="8"/>
  <c r="Y2374" i="8"/>
  <c r="Y2375" i="8"/>
  <c r="Y2376" i="8"/>
  <c r="Y2377" i="8"/>
  <c r="Y2378" i="8"/>
  <c r="Y2379" i="8"/>
  <c r="Y2380" i="8"/>
  <c r="Y2381" i="8"/>
  <c r="Y2382" i="8"/>
  <c r="Y2383" i="8"/>
  <c r="Y2384" i="8"/>
  <c r="Y2385" i="8"/>
  <c r="Y2386" i="8"/>
  <c r="Y2387" i="8"/>
  <c r="Y2388" i="8"/>
  <c r="Y2389" i="8"/>
  <c r="Y2390" i="8"/>
  <c r="Y2391" i="8"/>
  <c r="Y2392" i="8"/>
  <c r="Y2393" i="8"/>
  <c r="Y2394" i="8"/>
  <c r="Y2395" i="8"/>
  <c r="Y2396" i="8"/>
  <c r="Y2397" i="8"/>
  <c r="Y2398" i="8"/>
  <c r="Y2399" i="8"/>
  <c r="Y2400" i="8"/>
  <c r="Y2401" i="8"/>
  <c r="Y2402" i="8"/>
  <c r="Y2403" i="8"/>
  <c r="Y2404" i="8"/>
  <c r="Y2405" i="8"/>
  <c r="Y2406" i="8"/>
  <c r="Y2407" i="8"/>
  <c r="Y2408" i="8"/>
  <c r="Y2409" i="8"/>
  <c r="Y2410" i="8"/>
  <c r="Y2411" i="8"/>
  <c r="Y2412" i="8"/>
  <c r="Y2413" i="8"/>
  <c r="Y2414" i="8"/>
  <c r="Y2415" i="8"/>
  <c r="Y2416" i="8"/>
  <c r="Y2417" i="8"/>
  <c r="Y2418" i="8"/>
  <c r="Y2419" i="8"/>
  <c r="Y2420" i="8"/>
  <c r="Y2421" i="8"/>
  <c r="Y2422" i="8"/>
  <c r="Y2423" i="8"/>
  <c r="Y2424" i="8"/>
  <c r="Y2425" i="8"/>
  <c r="Y2426" i="8"/>
  <c r="Y2427" i="8"/>
  <c r="Y2428" i="8"/>
  <c r="Y2429" i="8"/>
  <c r="Y2430" i="8"/>
  <c r="Y2431" i="8"/>
  <c r="Y2432" i="8"/>
  <c r="Y2433" i="8"/>
  <c r="Y2434" i="8"/>
  <c r="Y2435" i="8"/>
  <c r="Y2436" i="8"/>
  <c r="Y2437" i="8"/>
  <c r="Y2438" i="8"/>
  <c r="Y2439" i="8"/>
  <c r="Y2440" i="8"/>
  <c r="Y2441" i="8"/>
  <c r="Y2442" i="8"/>
  <c r="Y2443" i="8"/>
  <c r="Y2444" i="8"/>
  <c r="Y2445" i="8"/>
  <c r="Y2446" i="8"/>
  <c r="Y2447" i="8"/>
  <c r="Y2448" i="8"/>
  <c r="Y2449" i="8"/>
  <c r="Y2450" i="8"/>
  <c r="Y2451" i="8"/>
  <c r="Y2452" i="8"/>
  <c r="Y2453" i="8"/>
  <c r="Y2454" i="8"/>
  <c r="Y2455" i="8"/>
  <c r="Y2456" i="8"/>
  <c r="Y2457" i="8"/>
  <c r="Y2458" i="8"/>
  <c r="Y2459" i="8"/>
  <c r="Y2460" i="8"/>
  <c r="Y2461" i="8"/>
  <c r="Y2462" i="8"/>
  <c r="Y2463" i="8"/>
  <c r="Y2464" i="8"/>
  <c r="Y2465" i="8"/>
  <c r="Y2466" i="8"/>
  <c r="Y2467" i="8"/>
  <c r="Y2468" i="8"/>
  <c r="Y2469" i="8"/>
  <c r="Y2470" i="8"/>
  <c r="Y2471" i="8"/>
  <c r="Y2472" i="8"/>
  <c r="Y2473" i="8"/>
  <c r="Y2474" i="8"/>
  <c r="Y2475" i="8"/>
  <c r="Y2476" i="8"/>
  <c r="Y2477" i="8"/>
  <c r="Y2478" i="8"/>
  <c r="Y2479" i="8"/>
  <c r="Y2480" i="8"/>
  <c r="Y2481" i="8"/>
  <c r="Y2482" i="8"/>
  <c r="Y2483" i="8"/>
  <c r="Y2484" i="8"/>
  <c r="Y2485" i="8"/>
  <c r="Y2486" i="8"/>
  <c r="Y2487" i="8"/>
  <c r="Y2488" i="8"/>
  <c r="Y2489" i="8"/>
  <c r="Y2490" i="8"/>
  <c r="Y2491" i="8"/>
  <c r="Y2492" i="8"/>
  <c r="Y2493" i="8"/>
  <c r="Y2494" i="8"/>
  <c r="Y2495" i="8"/>
  <c r="Y2496" i="8"/>
  <c r="Y2497" i="8"/>
  <c r="Y2498" i="8"/>
  <c r="Y2499" i="8"/>
  <c r="Y2500" i="8"/>
  <c r="Y2501" i="8"/>
  <c r="Y2502" i="8"/>
  <c r="Y2503" i="8"/>
  <c r="Y2504" i="8"/>
  <c r="Y2505" i="8"/>
  <c r="Y2506" i="8"/>
  <c r="Y2507" i="8"/>
  <c r="Y2508" i="8"/>
  <c r="Y2509" i="8"/>
  <c r="Y2510" i="8"/>
  <c r="Y2511" i="8"/>
  <c r="Y2512" i="8"/>
  <c r="Y2513" i="8"/>
  <c r="Y2514" i="8"/>
  <c r="Y2515" i="8"/>
  <c r="Y2516" i="8"/>
  <c r="Y2517" i="8"/>
  <c r="Y2518" i="8"/>
  <c r="Y2519" i="8"/>
  <c r="Y2520" i="8"/>
  <c r="Y2521" i="8"/>
  <c r="Y2522" i="8"/>
  <c r="Y2523" i="8"/>
  <c r="Y2524" i="8"/>
  <c r="Y2525" i="8"/>
  <c r="Y2526" i="8"/>
  <c r="Y2527" i="8"/>
  <c r="Y2528" i="8"/>
  <c r="Y2529" i="8"/>
  <c r="Y2530" i="8"/>
  <c r="Y2531" i="8"/>
  <c r="Y2532" i="8"/>
  <c r="Y2533" i="8"/>
  <c r="Y2534" i="8"/>
  <c r="Y2535" i="8"/>
  <c r="Y2536" i="8"/>
  <c r="Y2537" i="8"/>
  <c r="Y2538" i="8"/>
  <c r="Y2539" i="8"/>
  <c r="Y2540" i="8"/>
  <c r="Y2541" i="8"/>
  <c r="Y2542" i="8"/>
  <c r="Y2543" i="8"/>
  <c r="Y2544" i="8"/>
  <c r="Y2545" i="8"/>
  <c r="Y2546" i="8"/>
  <c r="Y2547" i="8"/>
  <c r="Y2548" i="8"/>
  <c r="Y2549" i="8"/>
  <c r="Y2550" i="8"/>
  <c r="Y2551" i="8"/>
  <c r="Y2552" i="8"/>
  <c r="Y2553" i="8"/>
  <c r="Y2554" i="8"/>
  <c r="Y2555" i="8"/>
  <c r="Y2556" i="8"/>
  <c r="Y2557" i="8"/>
  <c r="Y2558" i="8"/>
  <c r="Y2559" i="8"/>
  <c r="Y2560" i="8"/>
  <c r="Y2561" i="8"/>
  <c r="Y2562" i="8"/>
  <c r="Y2563" i="8"/>
  <c r="Y2564" i="8"/>
  <c r="Y2565" i="8"/>
  <c r="Y2566" i="8"/>
  <c r="Y2567" i="8"/>
  <c r="Y2568" i="8"/>
  <c r="Y2569" i="8"/>
  <c r="Y2570" i="8"/>
  <c r="Y2571" i="8"/>
  <c r="Y2572" i="8"/>
  <c r="Y2573" i="8"/>
  <c r="Y2574" i="8"/>
  <c r="Y2575" i="8"/>
  <c r="Y2576" i="8"/>
  <c r="Y2577" i="8"/>
  <c r="Y2578" i="8"/>
  <c r="Y2579" i="8"/>
  <c r="Y2580" i="8"/>
  <c r="Y2581" i="8"/>
  <c r="Y2582" i="8"/>
  <c r="Y2583" i="8"/>
  <c r="Y2584" i="8"/>
  <c r="Y2585" i="8"/>
  <c r="Y2586" i="8"/>
  <c r="Y2587" i="8"/>
  <c r="Y2588" i="8"/>
  <c r="Y2589" i="8"/>
  <c r="Y2590" i="8"/>
  <c r="Y2591" i="8"/>
  <c r="Y2592" i="8"/>
  <c r="Y2593" i="8"/>
  <c r="Y2594" i="8"/>
  <c r="Y2595" i="8"/>
  <c r="Y2596" i="8"/>
  <c r="Y2597" i="8"/>
  <c r="Y2598" i="8"/>
  <c r="Y2599" i="8"/>
  <c r="Y2600" i="8"/>
  <c r="Y2601" i="8"/>
  <c r="Y2602" i="8"/>
  <c r="Y2603" i="8"/>
  <c r="Y2604" i="8"/>
  <c r="Y2605" i="8"/>
  <c r="Y2606" i="8"/>
  <c r="Y2607" i="8"/>
  <c r="Y2608" i="8"/>
  <c r="Y2609" i="8"/>
  <c r="Y2610" i="8"/>
  <c r="Y2611" i="8"/>
  <c r="Y2612" i="8"/>
  <c r="Y2613" i="8"/>
  <c r="Y2614" i="8"/>
  <c r="Y2615" i="8"/>
  <c r="Y2616" i="8"/>
  <c r="Y2617" i="8"/>
  <c r="Y2618" i="8"/>
  <c r="Y2619" i="8"/>
  <c r="Y2620" i="8"/>
  <c r="Y2621" i="8"/>
  <c r="Y2622" i="8"/>
  <c r="Y2623" i="8"/>
  <c r="Y2624" i="8"/>
  <c r="Y2625" i="8"/>
  <c r="Y2626" i="8"/>
  <c r="Y2627" i="8"/>
  <c r="Y2628" i="8"/>
  <c r="Y2629" i="8"/>
  <c r="Y2630" i="8"/>
  <c r="Y2631" i="8"/>
  <c r="Y2632" i="8"/>
  <c r="Y2633" i="8"/>
  <c r="Y2634" i="8"/>
  <c r="Y2635" i="8"/>
  <c r="Y2636" i="8"/>
  <c r="Y2637" i="8"/>
  <c r="Y2638" i="8"/>
  <c r="Y2639" i="8"/>
  <c r="Y2640" i="8"/>
  <c r="Y2641" i="8"/>
  <c r="Y2642" i="8"/>
  <c r="Y2643" i="8"/>
  <c r="Y2644" i="8"/>
  <c r="Y2645" i="8"/>
  <c r="Y2646" i="8"/>
  <c r="Y2647" i="8"/>
  <c r="Y2648" i="8"/>
  <c r="Y2649" i="8"/>
  <c r="Y2650" i="8"/>
  <c r="Y2651" i="8"/>
  <c r="Y2652" i="8"/>
  <c r="Y2653" i="8"/>
  <c r="Y2654" i="8"/>
  <c r="Y2655" i="8"/>
  <c r="Y2656" i="8"/>
  <c r="Y2657" i="8"/>
  <c r="Y2658" i="8"/>
  <c r="Y2659" i="8"/>
  <c r="Y2660" i="8"/>
  <c r="Y2661" i="8"/>
  <c r="Y2662" i="8"/>
  <c r="Y2663" i="8"/>
  <c r="Y2664" i="8"/>
  <c r="Y2665" i="8"/>
  <c r="Y2666" i="8"/>
  <c r="Y2667" i="8"/>
  <c r="Y2668" i="8"/>
  <c r="Y2669" i="8"/>
  <c r="Y2670" i="8"/>
  <c r="Y2671" i="8"/>
  <c r="Y2672" i="8"/>
  <c r="Y2673" i="8"/>
  <c r="Y2674" i="8"/>
  <c r="Y2675" i="8"/>
  <c r="Y2676" i="8"/>
  <c r="Y2677" i="8"/>
  <c r="Y2678" i="8"/>
  <c r="Y2679" i="8"/>
  <c r="Y2680" i="8"/>
  <c r="Y2681" i="8"/>
  <c r="Y2682" i="8"/>
  <c r="Y2683" i="8"/>
  <c r="Y2684" i="8"/>
  <c r="Y2685" i="8"/>
  <c r="Y2686" i="8"/>
  <c r="Y2687" i="8"/>
  <c r="Y2688" i="8"/>
  <c r="Y2689" i="8"/>
  <c r="Y2690" i="8"/>
  <c r="Y2691" i="8"/>
  <c r="Y2692" i="8"/>
  <c r="Y2693" i="8"/>
  <c r="Y2694" i="8"/>
  <c r="Y2695" i="8"/>
  <c r="Y2696" i="8"/>
  <c r="Y2697" i="8"/>
  <c r="Y2698" i="8"/>
  <c r="Y2699" i="8"/>
  <c r="Y2700" i="8"/>
  <c r="Y2701" i="8"/>
  <c r="Y2702" i="8"/>
  <c r="Y2703" i="8"/>
  <c r="Y2704" i="8"/>
  <c r="Y2705" i="8"/>
  <c r="Y2706" i="8"/>
  <c r="Y2707" i="8"/>
  <c r="Y2708" i="8"/>
  <c r="Y2709" i="8"/>
  <c r="Y2710" i="8"/>
  <c r="Y2711" i="8"/>
  <c r="Y2712" i="8"/>
  <c r="Y2713" i="8"/>
  <c r="Y2714" i="8"/>
  <c r="Y2715" i="8"/>
  <c r="Y2716" i="8"/>
  <c r="Y2717" i="8"/>
  <c r="Y2718" i="8"/>
  <c r="Y2719" i="8"/>
  <c r="Y2720" i="8"/>
  <c r="Y2721" i="8"/>
  <c r="Y2722" i="8"/>
  <c r="Y2723" i="8"/>
  <c r="Y2724" i="8"/>
  <c r="Y2725" i="8"/>
  <c r="Y2726" i="8"/>
  <c r="Y2727" i="8"/>
  <c r="Y2728" i="8"/>
  <c r="Y2729" i="8"/>
  <c r="Y2730" i="8"/>
  <c r="Y2731" i="8"/>
  <c r="Y2732" i="8"/>
  <c r="Y2733" i="8"/>
  <c r="Y2734" i="8"/>
  <c r="Y2735" i="8"/>
  <c r="Y2736" i="8"/>
  <c r="Y2737" i="8"/>
  <c r="Y2738" i="8"/>
  <c r="Y2739" i="8"/>
  <c r="Y2740" i="8"/>
  <c r="Y2741" i="8"/>
  <c r="Y2742" i="8"/>
  <c r="Y2743" i="8"/>
  <c r="Y2744" i="8"/>
  <c r="Y2745" i="8"/>
  <c r="Y2746" i="8"/>
  <c r="Y2747" i="8"/>
  <c r="Y2748" i="8"/>
  <c r="Y2749" i="8"/>
  <c r="Y2750" i="8"/>
  <c r="Y2751" i="8"/>
  <c r="Y2752" i="8"/>
  <c r="Y2753" i="8"/>
  <c r="Y2754" i="8"/>
  <c r="Y2755" i="8"/>
  <c r="Y2756" i="8"/>
  <c r="Y2757" i="8"/>
  <c r="Y2758" i="8"/>
  <c r="Y2759" i="8"/>
  <c r="Y2760" i="8"/>
  <c r="Y2761" i="8"/>
  <c r="Y2762" i="8"/>
  <c r="Y2763" i="8"/>
  <c r="Y2764" i="8"/>
  <c r="Y2765" i="8"/>
  <c r="Y2766" i="8"/>
  <c r="Y2767" i="8"/>
  <c r="Y2768" i="8"/>
  <c r="Y2769" i="8"/>
  <c r="Y2770" i="8"/>
  <c r="Y2771" i="8"/>
  <c r="Y2772" i="8"/>
  <c r="Y2773" i="8"/>
  <c r="Y2774" i="8"/>
  <c r="Y2775" i="8"/>
  <c r="Y2776" i="8"/>
  <c r="Y2777" i="8"/>
  <c r="Y2778" i="8"/>
  <c r="Y2779" i="8"/>
  <c r="Y2780" i="8"/>
  <c r="Y2781" i="8"/>
  <c r="Y2782" i="8"/>
  <c r="Y2783" i="8"/>
  <c r="Y2784" i="8"/>
  <c r="Y2785" i="8"/>
  <c r="Y2786" i="8"/>
  <c r="Y2787" i="8"/>
  <c r="Y2788" i="8"/>
  <c r="Y2789" i="8"/>
  <c r="Y2790" i="8"/>
  <c r="Y2791" i="8"/>
  <c r="Y2792" i="8"/>
  <c r="Y2793" i="8"/>
  <c r="Y2794" i="8"/>
  <c r="Y2795" i="8"/>
  <c r="Y2796" i="8"/>
  <c r="Y2797" i="8"/>
  <c r="Y2798" i="8"/>
  <c r="Y2799" i="8"/>
  <c r="Y2800" i="8"/>
  <c r="Y2801" i="8"/>
  <c r="Y2802" i="8"/>
  <c r="Y2803" i="8"/>
  <c r="Y2804" i="8"/>
  <c r="Y2805" i="8"/>
  <c r="Y2806" i="8"/>
  <c r="Y2807" i="8"/>
  <c r="Y2808" i="8"/>
  <c r="Y2809" i="8"/>
  <c r="Y2810" i="8"/>
  <c r="Y2811" i="8"/>
  <c r="Y2812" i="8"/>
  <c r="Y2813" i="8"/>
  <c r="Y2814" i="8"/>
  <c r="Y2815" i="8"/>
  <c r="Y2816" i="8"/>
  <c r="Y2817" i="8"/>
  <c r="Y2818" i="8"/>
  <c r="Y2819" i="8"/>
  <c r="Y2820" i="8"/>
  <c r="Y2821" i="8"/>
  <c r="Y2822" i="8"/>
  <c r="Y2823" i="8"/>
  <c r="Y2824" i="8"/>
  <c r="Y2825" i="8"/>
  <c r="Y2826" i="8"/>
  <c r="Y2827" i="8"/>
  <c r="Y2828" i="8"/>
  <c r="Y2829" i="8"/>
  <c r="Y2830" i="8"/>
  <c r="Y2831" i="8"/>
  <c r="Y2832" i="8"/>
  <c r="Y2833" i="8"/>
  <c r="Y2834" i="8"/>
  <c r="Y2835" i="8"/>
  <c r="Y2836" i="8"/>
  <c r="Y2837" i="8"/>
  <c r="Y2838" i="8"/>
  <c r="Y2839" i="8"/>
  <c r="Y2840" i="8"/>
  <c r="Y2841" i="8"/>
  <c r="Y2842" i="8"/>
  <c r="Y2843" i="8"/>
  <c r="Y2844" i="8"/>
  <c r="Y2845" i="8"/>
  <c r="Y2846" i="8"/>
  <c r="Y2847" i="8"/>
  <c r="Y2848" i="8"/>
  <c r="Y2849" i="8"/>
  <c r="Y2850" i="8"/>
  <c r="Y2851" i="8"/>
  <c r="Y2852" i="8"/>
  <c r="Y2853" i="8"/>
  <c r="Y2854" i="8"/>
  <c r="Y2855" i="8"/>
  <c r="Y2856" i="8"/>
  <c r="Y2857" i="8"/>
  <c r="Y2858" i="8"/>
  <c r="Y2859" i="8"/>
  <c r="Y2860" i="8"/>
  <c r="Y2861" i="8"/>
  <c r="Y2862" i="8"/>
  <c r="Y2863" i="8"/>
  <c r="Y2864" i="8"/>
  <c r="Y2865" i="8"/>
  <c r="Y2866" i="8"/>
  <c r="Y2867" i="8"/>
  <c r="Y2868" i="8"/>
  <c r="Y2869" i="8"/>
  <c r="Y2870" i="8"/>
  <c r="Y2871" i="8"/>
  <c r="Y2872" i="8"/>
  <c r="Y2873" i="8"/>
  <c r="Y2874" i="8"/>
  <c r="Y2875" i="8"/>
  <c r="Y2876" i="8"/>
  <c r="Y2877" i="8"/>
  <c r="Y2878" i="8"/>
  <c r="Y2879" i="8"/>
  <c r="Y2880" i="8"/>
  <c r="Y2881" i="8"/>
  <c r="Y2882" i="8"/>
  <c r="Y2883" i="8"/>
  <c r="Y2884" i="8"/>
  <c r="Y2885" i="8"/>
  <c r="Y2886" i="8"/>
  <c r="Y2887" i="8"/>
  <c r="Y2888" i="8"/>
  <c r="Y2889" i="8"/>
  <c r="Y2890" i="8"/>
  <c r="Y2891" i="8"/>
  <c r="Y2892" i="8"/>
  <c r="Y2893" i="8"/>
  <c r="Y2894" i="8"/>
  <c r="Y2895" i="8"/>
  <c r="Y2896" i="8"/>
  <c r="Y2897" i="8"/>
  <c r="Y2898" i="8"/>
  <c r="Y2899" i="8"/>
  <c r="Y2900" i="8"/>
  <c r="Y2901" i="8"/>
  <c r="Y2902" i="8"/>
  <c r="Y2903" i="8"/>
  <c r="Y2904" i="8"/>
  <c r="Y2905" i="8"/>
  <c r="Y2906" i="8"/>
  <c r="Y2907" i="8"/>
  <c r="Y2908" i="8"/>
  <c r="Y2909" i="8"/>
  <c r="Y2910" i="8"/>
  <c r="Y2911" i="8"/>
  <c r="Y2912" i="8"/>
  <c r="Y2913" i="8"/>
  <c r="Y2914" i="8"/>
  <c r="Y2915" i="8"/>
  <c r="Y2916" i="8"/>
  <c r="Y2917" i="8"/>
  <c r="Y2918" i="8"/>
  <c r="Y2919" i="8"/>
  <c r="Y2920" i="8"/>
  <c r="Y2921" i="8"/>
  <c r="Y2922" i="8"/>
  <c r="Y2923" i="8"/>
  <c r="Y2924" i="8"/>
  <c r="Y2925" i="8"/>
  <c r="Y2926" i="8"/>
  <c r="Y2927" i="8"/>
  <c r="Y2928" i="8"/>
  <c r="Y2929" i="8"/>
  <c r="Y2930" i="8"/>
  <c r="Y2931" i="8"/>
  <c r="Y2932" i="8"/>
  <c r="Y2933" i="8"/>
  <c r="Y2934" i="8"/>
  <c r="Y2935" i="8"/>
  <c r="Y2936" i="8"/>
  <c r="Y2937" i="8"/>
  <c r="Y2938" i="8"/>
  <c r="Y2939" i="8"/>
  <c r="Y2940" i="8"/>
  <c r="Y2941" i="8"/>
  <c r="Y2942" i="8"/>
  <c r="Y2943" i="8"/>
  <c r="Y2944" i="8"/>
  <c r="Y2945" i="8"/>
  <c r="Y2946" i="8"/>
  <c r="Y2947" i="8"/>
  <c r="Y2948" i="8"/>
  <c r="Y2949" i="8"/>
  <c r="Y2950" i="8"/>
  <c r="Y2951" i="8"/>
  <c r="Y2952" i="8"/>
  <c r="Y2953" i="8"/>
  <c r="Y2954" i="8"/>
  <c r="Y2955" i="8"/>
  <c r="Y2956" i="8"/>
  <c r="Y2957" i="8"/>
  <c r="Y2958" i="8"/>
  <c r="Y2959" i="8"/>
  <c r="Y2960" i="8"/>
  <c r="Y2961" i="8"/>
  <c r="Y2962" i="8"/>
  <c r="Y2963" i="8"/>
  <c r="Y2964" i="8"/>
  <c r="Y2965" i="8"/>
  <c r="Y2966" i="8"/>
  <c r="Y2967" i="8"/>
  <c r="Y2968" i="8"/>
  <c r="Y2969" i="8"/>
  <c r="Y2970" i="8"/>
  <c r="Y2971" i="8"/>
  <c r="Y2972" i="8"/>
  <c r="Y2973" i="8"/>
  <c r="Y2974" i="8"/>
  <c r="Y2975" i="8"/>
  <c r="Y2976" i="8"/>
  <c r="Y2977" i="8"/>
  <c r="Y2978" i="8"/>
  <c r="Y2979" i="8"/>
  <c r="Y2980" i="8"/>
  <c r="Y2981" i="8"/>
  <c r="Y2982" i="8"/>
  <c r="Y2983" i="8"/>
  <c r="Y2984" i="8"/>
  <c r="Y2985" i="8"/>
  <c r="Y2986" i="8"/>
  <c r="Y2987" i="8"/>
  <c r="Y2988" i="8"/>
  <c r="Y2989" i="8"/>
  <c r="Y2990" i="8"/>
  <c r="Y2991" i="8"/>
  <c r="Y2992" i="8"/>
  <c r="Y2993" i="8"/>
  <c r="Y2994" i="8"/>
  <c r="Y2995" i="8"/>
  <c r="Y2996" i="8"/>
  <c r="Y2997" i="8"/>
  <c r="Y2998" i="8"/>
  <c r="Y2999" i="8"/>
  <c r="Y3000" i="8"/>
  <c r="Y3001" i="8"/>
  <c r="Y3002" i="8"/>
  <c r="Y3003" i="8"/>
  <c r="Y3004" i="8"/>
  <c r="Y3005" i="8"/>
  <c r="Y3006" i="8"/>
  <c r="Y3007" i="8"/>
  <c r="Y3008" i="8"/>
  <c r="Y3009" i="8"/>
  <c r="Y3010" i="8"/>
  <c r="Y3011" i="8"/>
  <c r="Y3012" i="8"/>
  <c r="Y3013" i="8"/>
  <c r="Y3014" i="8"/>
  <c r="Y3015" i="8"/>
  <c r="Y3016" i="8"/>
  <c r="Y3017" i="8"/>
  <c r="Y3018" i="8"/>
  <c r="Y3019" i="8"/>
  <c r="Y3020" i="8"/>
  <c r="Y3021" i="8"/>
  <c r="Y3022" i="8"/>
  <c r="Y3023" i="8"/>
  <c r="Y3024" i="8"/>
  <c r="Y3025" i="8"/>
  <c r="Y3026" i="8"/>
  <c r="Y3027" i="8"/>
  <c r="Y3028" i="8"/>
  <c r="Y3029" i="8"/>
  <c r="Y3030" i="8"/>
  <c r="Y3031" i="8"/>
  <c r="Y3032" i="8"/>
  <c r="Y3033" i="8"/>
  <c r="Y3034" i="8"/>
  <c r="Y3035" i="8"/>
  <c r="Y3036" i="8"/>
  <c r="Y3037" i="8"/>
  <c r="Y3038" i="8"/>
  <c r="Y3039" i="8"/>
  <c r="Y3040" i="8"/>
  <c r="Y3041" i="8"/>
  <c r="Y3042" i="8"/>
  <c r="Y3043" i="8"/>
  <c r="Y3044" i="8"/>
  <c r="Y3045" i="8"/>
  <c r="Y3046" i="8"/>
  <c r="Y3047" i="8"/>
  <c r="Y3048" i="8"/>
  <c r="Y3049" i="8"/>
  <c r="Y3050" i="8"/>
  <c r="Y3051" i="8"/>
  <c r="Y3052" i="8"/>
  <c r="Y3053" i="8"/>
  <c r="Y3054" i="8"/>
  <c r="Y3055" i="8"/>
  <c r="Y3056" i="8"/>
  <c r="Y3057" i="8"/>
  <c r="Y3058" i="8"/>
  <c r="Y3059" i="8"/>
  <c r="Y3060" i="8"/>
  <c r="Y3061" i="8"/>
  <c r="Y3062" i="8"/>
  <c r="Y3063" i="8"/>
  <c r="Y3064" i="8"/>
  <c r="Y3065" i="8"/>
  <c r="Y3066" i="8"/>
  <c r="Y3067" i="8"/>
  <c r="Y3068" i="8"/>
  <c r="Y3069" i="8"/>
  <c r="Y3070" i="8"/>
  <c r="Y3071" i="8"/>
  <c r="Y3072" i="8"/>
  <c r="Y3073" i="8"/>
  <c r="Y3074" i="8"/>
  <c r="Y3075" i="8"/>
  <c r="Y3076" i="8"/>
  <c r="Y3077" i="8"/>
  <c r="Y3078" i="8"/>
  <c r="Y3079" i="8"/>
  <c r="Y3080" i="8"/>
  <c r="Y3081" i="8"/>
  <c r="Y3082" i="8"/>
  <c r="Y3083" i="8"/>
  <c r="Y3084" i="8"/>
  <c r="Y3085" i="8"/>
  <c r="Y3086" i="8"/>
  <c r="Y3087" i="8"/>
  <c r="Y3088" i="8"/>
  <c r="Y3089" i="8"/>
  <c r="Y3090" i="8"/>
  <c r="Y3091" i="8"/>
  <c r="Y3092" i="8"/>
  <c r="Y3093" i="8"/>
  <c r="Y3094" i="8"/>
  <c r="Y3095" i="8"/>
  <c r="Y3096" i="8"/>
  <c r="Y3097" i="8"/>
  <c r="Y3098" i="8"/>
  <c r="Y3099" i="8"/>
  <c r="Y3100" i="8"/>
  <c r="Y3101" i="8"/>
  <c r="Y3102" i="8"/>
  <c r="Y3103" i="8"/>
  <c r="Y3104" i="8"/>
  <c r="Y3105" i="8"/>
  <c r="Y3106" i="8"/>
  <c r="Y3107" i="8"/>
  <c r="Y3108" i="8"/>
  <c r="Y3109" i="8"/>
  <c r="Y3110" i="8"/>
  <c r="Y3111" i="8"/>
  <c r="Y3112" i="8"/>
  <c r="Y3113" i="8"/>
  <c r="Y3114" i="8"/>
  <c r="Y3115" i="8"/>
  <c r="Y3116" i="8"/>
  <c r="Y3117" i="8"/>
  <c r="Y3118" i="8"/>
  <c r="Y3119" i="8"/>
  <c r="Y3120" i="8"/>
  <c r="Y3121" i="8"/>
  <c r="Y3122" i="8"/>
  <c r="Y3123" i="8"/>
  <c r="Y3124" i="8"/>
  <c r="Y3125" i="8"/>
  <c r="Y3126" i="8"/>
  <c r="Y3127" i="8"/>
  <c r="Y3128" i="8"/>
  <c r="Y3129" i="8"/>
  <c r="Y3130" i="8"/>
  <c r="Y3131" i="8"/>
  <c r="Y3132" i="8"/>
  <c r="Y3133" i="8"/>
  <c r="Y3134" i="8"/>
  <c r="Y3135" i="8"/>
  <c r="Y3136" i="8"/>
  <c r="Y3137" i="8"/>
  <c r="Y3138" i="8"/>
  <c r="Y3139" i="8"/>
  <c r="Y3140" i="8"/>
  <c r="Y3141" i="8"/>
  <c r="Y3142" i="8"/>
  <c r="Y3143" i="8"/>
  <c r="Y3144" i="8"/>
  <c r="Y3145" i="8"/>
  <c r="Y3146" i="8"/>
  <c r="Y3147" i="8"/>
  <c r="Y3148" i="8"/>
  <c r="Y3149" i="8"/>
  <c r="Y3150" i="8"/>
  <c r="Y3151" i="8"/>
  <c r="Y3152" i="8"/>
  <c r="Y3153" i="8"/>
  <c r="Y3154" i="8"/>
  <c r="Y3155" i="8"/>
  <c r="Y3156" i="8"/>
  <c r="Y3157" i="8"/>
  <c r="Y3158" i="8"/>
  <c r="Y3159" i="8"/>
  <c r="Y3160" i="8"/>
  <c r="Y3161" i="8"/>
  <c r="Y3162" i="8"/>
  <c r="Y3163" i="8"/>
  <c r="Y3164" i="8"/>
  <c r="Y3165" i="8"/>
  <c r="Y3166" i="8"/>
  <c r="Y3167" i="8"/>
  <c r="Y3168" i="8"/>
  <c r="Y3169" i="8"/>
  <c r="Y3170" i="8"/>
  <c r="Y3171" i="8"/>
  <c r="Y3172" i="8"/>
  <c r="Y3173" i="8"/>
  <c r="Y3174" i="8"/>
  <c r="Y3175" i="8"/>
  <c r="Y3176" i="8"/>
  <c r="Y3177" i="8"/>
  <c r="Y3178" i="8"/>
  <c r="Y3179" i="8"/>
  <c r="Y3180" i="8"/>
  <c r="Y3181" i="8"/>
  <c r="Y3182" i="8"/>
  <c r="Y3183" i="8"/>
  <c r="Y3184" i="8"/>
  <c r="Y3185" i="8"/>
  <c r="Y3186" i="8"/>
  <c r="Y3187" i="8"/>
  <c r="Y3188" i="8"/>
  <c r="Y3189" i="8"/>
  <c r="Y3190" i="8"/>
  <c r="Y3191" i="8"/>
  <c r="Y3192" i="8"/>
  <c r="Y3193" i="8"/>
  <c r="Y3194" i="8"/>
  <c r="Y3195" i="8"/>
  <c r="Y3196" i="8"/>
  <c r="Y3197" i="8"/>
  <c r="Y3198" i="8"/>
  <c r="Y3199" i="8"/>
  <c r="Y3200" i="8"/>
  <c r="Y3201" i="8"/>
  <c r="Y3202" i="8"/>
  <c r="Y3203" i="8"/>
  <c r="Y3204" i="8"/>
  <c r="Y3205" i="8"/>
  <c r="Y3206" i="8"/>
  <c r="Y3207" i="8"/>
  <c r="Y3208" i="8"/>
  <c r="Y3209" i="8"/>
  <c r="Y3210" i="8"/>
  <c r="Y3211" i="8"/>
  <c r="Y3212" i="8"/>
  <c r="Y3213" i="8"/>
  <c r="Y3214" i="8"/>
  <c r="Y3215" i="8"/>
  <c r="Y3216" i="8"/>
  <c r="Y3217" i="8"/>
  <c r="Y3218" i="8"/>
  <c r="Y3219" i="8"/>
  <c r="Y3220" i="8"/>
  <c r="Y3221" i="8"/>
  <c r="Y3222" i="8"/>
  <c r="Y3223" i="8"/>
  <c r="Y3224" i="8"/>
  <c r="Y3225" i="8"/>
  <c r="Y3226" i="8"/>
  <c r="Y3227" i="8"/>
  <c r="Y3228" i="8"/>
  <c r="Y3229" i="8"/>
  <c r="Y3230" i="8"/>
  <c r="Y3231" i="8"/>
  <c r="Y3232" i="8"/>
  <c r="Y3233" i="8"/>
  <c r="Y3234" i="8"/>
  <c r="Y3235" i="8"/>
  <c r="Y3236" i="8"/>
  <c r="Y3237" i="8"/>
  <c r="Y3238" i="8"/>
  <c r="Y3239" i="8"/>
  <c r="Y3240" i="8"/>
  <c r="Y3241" i="8"/>
  <c r="Y3242" i="8"/>
  <c r="Y3243" i="8"/>
  <c r="Y3244" i="8"/>
  <c r="Y3245" i="8"/>
  <c r="Y3246" i="8"/>
  <c r="Y3247" i="8"/>
  <c r="Y3248" i="8"/>
  <c r="Y3249" i="8"/>
  <c r="Y3250" i="8"/>
  <c r="Y3251" i="8"/>
  <c r="Y3252" i="8"/>
  <c r="Y3253" i="8"/>
  <c r="Y3254" i="8"/>
  <c r="Y3255" i="8"/>
  <c r="Y3256" i="8"/>
  <c r="Y3257" i="8"/>
  <c r="Y3258" i="8"/>
  <c r="Y3259" i="8"/>
  <c r="Y3260" i="8"/>
  <c r="Y3261" i="8"/>
  <c r="Y3262" i="8"/>
  <c r="Y3263" i="8"/>
  <c r="Y3264" i="8"/>
  <c r="Y3265" i="8"/>
  <c r="Y3266" i="8"/>
  <c r="Y3267" i="8"/>
  <c r="Y3268" i="8"/>
  <c r="Y3269" i="8"/>
  <c r="Y3270" i="8"/>
  <c r="Y3271" i="8"/>
  <c r="Y3272" i="8"/>
  <c r="Y3273" i="8"/>
  <c r="Y3274" i="8"/>
  <c r="Y3275" i="8"/>
  <c r="Y3276" i="8"/>
  <c r="Y3277" i="8"/>
  <c r="Y3278" i="8"/>
  <c r="Y3279" i="8"/>
  <c r="Y3280" i="8"/>
  <c r="Y3281" i="8"/>
  <c r="Y3282" i="8"/>
  <c r="Y3283" i="8"/>
  <c r="Y3284" i="8"/>
  <c r="Y3285" i="8"/>
  <c r="Y3286" i="8"/>
  <c r="Y3287" i="8"/>
  <c r="Y3288" i="8"/>
  <c r="Y3289" i="8"/>
  <c r="Y3290" i="8"/>
  <c r="Y3291" i="8"/>
  <c r="Y3292" i="8"/>
  <c r="Y3293" i="8"/>
  <c r="Y3294" i="8"/>
  <c r="Y3295" i="8"/>
  <c r="Y3296" i="8"/>
  <c r="Y3297" i="8"/>
  <c r="Y3298" i="8"/>
  <c r="Y3299" i="8"/>
  <c r="Y3300" i="8"/>
  <c r="Y3301" i="8"/>
  <c r="Y3302" i="8"/>
  <c r="Y3303" i="8"/>
  <c r="Y3304" i="8"/>
  <c r="Y3305" i="8"/>
  <c r="Y3306" i="8"/>
  <c r="Y3307" i="8"/>
  <c r="Y3308" i="8"/>
  <c r="Y3309" i="8"/>
  <c r="Y3310" i="8"/>
  <c r="Y3311" i="8"/>
  <c r="Y3312" i="8"/>
  <c r="Y3313" i="8"/>
  <c r="Y3314" i="8"/>
  <c r="Y3315" i="8"/>
  <c r="Y3316" i="8"/>
  <c r="Y3317" i="8"/>
  <c r="Y3318" i="8"/>
  <c r="Y3319" i="8"/>
  <c r="Y3320" i="8"/>
  <c r="Y3321" i="8"/>
  <c r="Y3322" i="8"/>
  <c r="Y3323" i="8"/>
  <c r="Y3324" i="8"/>
  <c r="Y3325" i="8"/>
  <c r="Y3326" i="8"/>
  <c r="Y3327" i="8"/>
  <c r="Y3328" i="8"/>
  <c r="Y3329" i="8"/>
  <c r="Y3330" i="8"/>
  <c r="Y3331" i="8"/>
  <c r="Y3332" i="8"/>
  <c r="Y3333" i="8"/>
  <c r="Y3334" i="8"/>
  <c r="Y3335" i="8"/>
  <c r="Y3336" i="8"/>
  <c r="Y3337" i="8"/>
  <c r="Y3338" i="8"/>
  <c r="Y3339" i="8"/>
  <c r="Y3340" i="8"/>
  <c r="Y3341" i="8"/>
  <c r="Y3342" i="8"/>
  <c r="Y3343" i="8"/>
  <c r="Y3344" i="8"/>
  <c r="Y3345" i="8"/>
  <c r="Y3346" i="8"/>
  <c r="Y3347" i="8"/>
  <c r="Y3348" i="8"/>
  <c r="Y3349" i="8"/>
  <c r="Y3350" i="8"/>
  <c r="Y3351" i="8"/>
  <c r="Y3352" i="8"/>
  <c r="Y3353" i="8"/>
  <c r="Y3354" i="8"/>
  <c r="Y3355" i="8"/>
  <c r="Y3356" i="8"/>
  <c r="Y3357" i="8"/>
  <c r="Y3358" i="8"/>
  <c r="Y3359" i="8"/>
  <c r="Y3360" i="8"/>
  <c r="Y3361" i="8"/>
  <c r="Y3362" i="8"/>
  <c r="Y3363" i="8"/>
  <c r="Y3364" i="8"/>
  <c r="Y3365" i="8"/>
  <c r="Y3366" i="8"/>
  <c r="Y3367" i="8"/>
  <c r="Y3368" i="8"/>
  <c r="Y3369" i="8"/>
  <c r="Y3370" i="8"/>
  <c r="Y3371" i="8"/>
  <c r="Y3372" i="8"/>
  <c r="Y3373" i="8"/>
  <c r="Y3374" i="8"/>
  <c r="Y3375" i="8"/>
  <c r="Y3376" i="8"/>
  <c r="Y3377" i="8"/>
  <c r="Y3378" i="8"/>
  <c r="Y3379" i="8"/>
  <c r="Y3380" i="8"/>
  <c r="Y3381" i="8"/>
  <c r="Y3382" i="8"/>
  <c r="Y3383" i="8"/>
  <c r="Y3384" i="8"/>
  <c r="Y3385" i="8"/>
  <c r="Y3386" i="8"/>
  <c r="Y3387" i="8"/>
  <c r="Y3388" i="8"/>
  <c r="Y3389" i="8"/>
  <c r="Y3390" i="8"/>
  <c r="Y3391" i="8"/>
  <c r="Y3392" i="8"/>
  <c r="Y3393" i="8"/>
  <c r="Y3394" i="8"/>
  <c r="Y3395" i="8"/>
  <c r="Y3396" i="8"/>
  <c r="Y3397" i="8"/>
  <c r="Y3398" i="8"/>
  <c r="Y3399" i="8"/>
  <c r="Y3400" i="8"/>
  <c r="Y3401" i="8"/>
  <c r="Y3402" i="8"/>
  <c r="Y3403" i="8"/>
  <c r="Y3404" i="8"/>
  <c r="Y3405" i="8"/>
  <c r="Y3406" i="8"/>
  <c r="Y3407" i="8"/>
  <c r="Y3408" i="8"/>
  <c r="Y3409" i="8"/>
  <c r="Y3410" i="8"/>
  <c r="Y3411" i="8"/>
  <c r="Y3412" i="8"/>
  <c r="Y3413" i="8"/>
  <c r="Y3414" i="8"/>
  <c r="Y3415" i="8"/>
  <c r="Y3416" i="8"/>
  <c r="Y3417" i="8"/>
  <c r="Y3418" i="8"/>
  <c r="Y3419" i="8"/>
  <c r="Y3420" i="8"/>
  <c r="Y3421" i="8"/>
  <c r="Y3422" i="8"/>
  <c r="Y3423" i="8"/>
  <c r="Y3424" i="8"/>
  <c r="Y3425" i="8"/>
  <c r="Y3426" i="8"/>
  <c r="Y3427" i="8"/>
  <c r="Y3428" i="8"/>
  <c r="Y3429" i="8"/>
  <c r="Y3430" i="8"/>
  <c r="Y3431" i="8"/>
  <c r="Y3432" i="8"/>
  <c r="Y3433" i="8"/>
  <c r="Y3434" i="8"/>
  <c r="Y3435" i="8"/>
  <c r="Y3436" i="8"/>
  <c r="Y3437" i="8"/>
  <c r="Y3438" i="8"/>
  <c r="Y3439" i="8"/>
  <c r="Y3440" i="8"/>
  <c r="Y3441" i="8"/>
  <c r="Y3442" i="8"/>
  <c r="Y3443" i="8"/>
  <c r="Y3444" i="8"/>
  <c r="Y3445" i="8"/>
  <c r="Y3446" i="8"/>
  <c r="Y3447" i="8"/>
  <c r="Y3448" i="8"/>
  <c r="Y3449" i="8"/>
  <c r="Y3450" i="8"/>
  <c r="Y3451" i="8"/>
  <c r="Y3452" i="8"/>
  <c r="Y3453" i="8"/>
  <c r="Y3454" i="8"/>
  <c r="Y3455" i="8"/>
  <c r="Y3456" i="8"/>
  <c r="Y3457" i="8"/>
  <c r="Y3458" i="8"/>
  <c r="Y3459" i="8"/>
  <c r="Y3460" i="8"/>
  <c r="Y3461" i="8"/>
  <c r="Y3462" i="8"/>
  <c r="Y3463" i="8"/>
  <c r="Y3464" i="8"/>
  <c r="Y3465" i="8"/>
  <c r="Y3466" i="8"/>
  <c r="Y3467" i="8"/>
  <c r="Y3468" i="8"/>
  <c r="Y3469" i="8"/>
  <c r="Y3470" i="8"/>
  <c r="Y3471" i="8"/>
  <c r="Y3472" i="8"/>
  <c r="Y3473" i="8"/>
  <c r="Y3474" i="8"/>
  <c r="Y3475" i="8"/>
  <c r="Y3476" i="8"/>
  <c r="Y3477" i="8"/>
  <c r="Y3478" i="8"/>
  <c r="Y3479" i="8"/>
  <c r="Y3480" i="8"/>
  <c r="Y3481" i="8"/>
  <c r="Y3482" i="8"/>
  <c r="Y3483" i="8"/>
  <c r="Y3484" i="8"/>
  <c r="Y3485" i="8"/>
  <c r="Y3486" i="8"/>
  <c r="Y3487" i="8"/>
  <c r="Y3488" i="8"/>
  <c r="Y3489" i="8"/>
  <c r="Y3490" i="8"/>
  <c r="Y3491" i="8"/>
  <c r="Y3492" i="8"/>
  <c r="Y3493" i="8"/>
  <c r="Y3494" i="8"/>
  <c r="Y3495" i="8"/>
  <c r="Y3496" i="8"/>
  <c r="Y3497" i="8"/>
  <c r="Y3498" i="8"/>
  <c r="Y3499" i="8"/>
  <c r="Y3500" i="8"/>
  <c r="Y3501" i="8"/>
  <c r="Y3502" i="8"/>
  <c r="Y3503" i="8"/>
  <c r="Y3504" i="8"/>
  <c r="Y3505" i="8"/>
  <c r="Y3506" i="8"/>
  <c r="Y3507" i="8"/>
  <c r="Y3508" i="8"/>
  <c r="Y3509" i="8"/>
  <c r="Y3510" i="8"/>
  <c r="Y3511" i="8"/>
  <c r="Y3512" i="8"/>
  <c r="Y3513" i="8"/>
  <c r="Y3514" i="8"/>
  <c r="Y3515" i="8"/>
  <c r="Y3516" i="8"/>
  <c r="Y3517" i="8"/>
  <c r="Y3518" i="8"/>
  <c r="Y3519" i="8"/>
  <c r="Y3520" i="8"/>
  <c r="Y3521" i="8"/>
  <c r="Y3522" i="8"/>
  <c r="Y3523" i="8"/>
  <c r="Y3524" i="8"/>
  <c r="Y3525" i="8"/>
  <c r="Y3526" i="8"/>
  <c r="Y3527" i="8"/>
  <c r="Y3528" i="8"/>
  <c r="Y3529" i="8"/>
  <c r="Y3530" i="8"/>
  <c r="Y3531" i="8"/>
  <c r="Y3532" i="8"/>
  <c r="Y3533" i="8"/>
  <c r="Y3534" i="8"/>
  <c r="Y3535" i="8"/>
  <c r="Y3536" i="8"/>
  <c r="Y3537" i="8"/>
  <c r="Y3538" i="8"/>
  <c r="Y3539" i="8"/>
  <c r="Y3540" i="8"/>
  <c r="Y3541" i="8"/>
  <c r="Y3542" i="8"/>
  <c r="Y3543" i="8"/>
  <c r="Y3544" i="8"/>
  <c r="Y3545" i="8"/>
  <c r="Y3546" i="8"/>
  <c r="Y3547" i="8"/>
  <c r="Y3548" i="8"/>
  <c r="Y3549" i="8"/>
  <c r="Y3550" i="8"/>
  <c r="Y3551" i="8"/>
  <c r="Y3552" i="8"/>
  <c r="Y3553" i="8"/>
  <c r="Y3554" i="8"/>
  <c r="Y3555" i="8"/>
  <c r="Y3556" i="8"/>
  <c r="Y3557" i="8"/>
  <c r="Y3558" i="8"/>
  <c r="Y3559" i="8"/>
  <c r="Y3560" i="8"/>
  <c r="Y3561" i="8"/>
  <c r="Y3562" i="8"/>
  <c r="Y3563" i="8"/>
  <c r="Y3564" i="8"/>
  <c r="Y3565" i="8"/>
  <c r="Y3566" i="8"/>
  <c r="Y3567" i="8"/>
  <c r="Y3568" i="8"/>
  <c r="Y3569" i="8"/>
  <c r="Y3570" i="8"/>
  <c r="Y3571" i="8"/>
  <c r="Y3572" i="8"/>
  <c r="Y3573" i="8"/>
  <c r="Y3574" i="8"/>
  <c r="Y3575" i="8"/>
  <c r="Y3576" i="8"/>
  <c r="Y3577" i="8"/>
  <c r="Y3578" i="8"/>
  <c r="Y3579" i="8"/>
  <c r="Y3580" i="8"/>
  <c r="Y3581" i="8"/>
  <c r="Y3582" i="8"/>
  <c r="Y3583" i="8"/>
  <c r="Y3584" i="8"/>
  <c r="Y3585" i="8"/>
  <c r="Y3586" i="8"/>
  <c r="Y3587" i="8"/>
  <c r="Y3588" i="8"/>
  <c r="Y3589" i="8"/>
  <c r="Y3590" i="8"/>
  <c r="Y3591" i="8"/>
  <c r="Y3592" i="8"/>
  <c r="Y3593" i="8"/>
  <c r="Y3594" i="8"/>
  <c r="Y3595" i="8"/>
  <c r="Y3596" i="8"/>
  <c r="Y3597" i="8"/>
  <c r="Y3598" i="8"/>
  <c r="Y3599" i="8"/>
  <c r="Y3600" i="8"/>
  <c r="Y3601" i="8"/>
  <c r="Y3602" i="8"/>
  <c r="Y3603" i="8"/>
  <c r="Y3604" i="8"/>
  <c r="Y3605" i="8"/>
  <c r="Y3606" i="8"/>
  <c r="Y3607" i="8"/>
  <c r="Y3608" i="8"/>
  <c r="Y3609" i="8"/>
  <c r="Y3610" i="8"/>
  <c r="Y3611" i="8"/>
  <c r="Y3612" i="8"/>
  <c r="Y3613" i="8"/>
  <c r="Y3614" i="8"/>
  <c r="Y3615" i="8"/>
  <c r="Y3616" i="8"/>
  <c r="Y3617" i="8"/>
  <c r="Y3618" i="8"/>
  <c r="Y3619" i="8"/>
  <c r="Y3620" i="8"/>
  <c r="Y3621" i="8"/>
  <c r="Y3622" i="8"/>
  <c r="Y3623" i="8"/>
  <c r="Y3624" i="8"/>
  <c r="Y3625" i="8"/>
  <c r="Y3626" i="8"/>
  <c r="Y3627" i="8"/>
  <c r="Y3628" i="8"/>
  <c r="Y3629" i="8"/>
  <c r="Y3630" i="8"/>
  <c r="Y3631" i="8"/>
  <c r="Y3632" i="8"/>
  <c r="Y3633" i="8"/>
  <c r="Y3634" i="8"/>
  <c r="Y3635" i="8"/>
  <c r="Y3636" i="8"/>
  <c r="Y3637" i="8"/>
  <c r="Y3638" i="8"/>
  <c r="Y3639" i="8"/>
  <c r="Y3640" i="8"/>
  <c r="Y3641" i="8"/>
  <c r="Y3642" i="8"/>
  <c r="Y3643" i="8"/>
  <c r="Y3644" i="8"/>
  <c r="Y3645" i="8"/>
  <c r="Y3646" i="8"/>
  <c r="Y3647" i="8"/>
  <c r="Y3648" i="8"/>
  <c r="Y3649" i="8"/>
  <c r="Y3650" i="8"/>
  <c r="Y3651" i="8"/>
  <c r="Y3652" i="8"/>
  <c r="Y3653" i="8"/>
  <c r="Y3654" i="8"/>
  <c r="Y3655" i="8"/>
  <c r="Y3656" i="8"/>
  <c r="Y3657" i="8"/>
  <c r="Y3658" i="8"/>
  <c r="Y3659" i="8"/>
  <c r="Y3660" i="8"/>
  <c r="Y3661" i="8"/>
  <c r="Y3662" i="8"/>
  <c r="Y3663" i="8"/>
  <c r="Y3664" i="8"/>
  <c r="Y3665" i="8"/>
  <c r="Y3666" i="8"/>
  <c r="Y3667" i="8"/>
  <c r="Y3668" i="8"/>
  <c r="Y3669" i="8"/>
  <c r="Y3670" i="8"/>
  <c r="Y3671" i="8"/>
  <c r="Y3672" i="8"/>
  <c r="Y3673" i="8"/>
  <c r="Y3674" i="8"/>
  <c r="Y3675" i="8"/>
  <c r="Y3676" i="8"/>
  <c r="Y3677" i="8"/>
  <c r="Y3678" i="8"/>
  <c r="Y3679" i="8"/>
  <c r="Y3680" i="8"/>
  <c r="Y3681" i="8"/>
  <c r="Y3682" i="8"/>
  <c r="Y3683" i="8"/>
  <c r="Y3684" i="8"/>
  <c r="Y3685" i="8"/>
  <c r="Y3686" i="8"/>
  <c r="Y3687" i="8"/>
  <c r="Y3688" i="8"/>
  <c r="Y3689" i="8"/>
  <c r="Y3690" i="8"/>
  <c r="Y3691" i="8"/>
  <c r="Y3692" i="8"/>
  <c r="Y3693" i="8"/>
  <c r="Y3694" i="8"/>
  <c r="Y3695" i="8"/>
  <c r="Y3696" i="8"/>
  <c r="Y3697" i="8"/>
  <c r="Y3698" i="8"/>
  <c r="Y3699" i="8"/>
  <c r="Y3700" i="8"/>
  <c r="Y3701" i="8"/>
  <c r="Y3702" i="8"/>
  <c r="Y3703" i="8"/>
  <c r="Y3704" i="8"/>
  <c r="Y3705" i="8"/>
  <c r="Y3706" i="8"/>
  <c r="Y3707" i="8"/>
  <c r="Y3708" i="8"/>
  <c r="Y3709" i="8"/>
  <c r="Y3710" i="8"/>
  <c r="Y3711" i="8"/>
  <c r="Y3712" i="8"/>
  <c r="Y3713" i="8"/>
  <c r="Y3714" i="8"/>
  <c r="Y3715" i="8"/>
  <c r="Y3716" i="8"/>
  <c r="Y3717" i="8"/>
  <c r="Y3718" i="8"/>
  <c r="Y3719" i="8"/>
  <c r="Y3720" i="8"/>
  <c r="Y3721" i="8"/>
  <c r="Y3722" i="8"/>
  <c r="Y3723" i="8"/>
  <c r="Y3724" i="8"/>
  <c r="Y3725" i="8"/>
  <c r="Y3726" i="8"/>
  <c r="Y3727" i="8"/>
  <c r="Y3728" i="8"/>
  <c r="Y3729" i="8"/>
  <c r="Y3730" i="8"/>
  <c r="Y3731" i="8"/>
  <c r="Y3732" i="8"/>
  <c r="Y3733" i="8"/>
  <c r="Y3734" i="8"/>
  <c r="Y3735" i="8"/>
  <c r="Y3736" i="8"/>
  <c r="Y3737" i="8"/>
  <c r="Y3738" i="8"/>
  <c r="Y3739" i="8"/>
  <c r="Y3740" i="8"/>
  <c r="Y3741" i="8"/>
  <c r="Y3742" i="8"/>
  <c r="Y3743" i="8"/>
  <c r="Y3744" i="8"/>
  <c r="Y3745" i="8"/>
  <c r="Y3746" i="8"/>
  <c r="Y3747" i="8"/>
  <c r="Y3748" i="8"/>
  <c r="Y3749" i="8"/>
  <c r="Y3750" i="8"/>
  <c r="Y3751" i="8"/>
  <c r="Y3752" i="8"/>
  <c r="Y3753" i="8"/>
  <c r="Y3754" i="8"/>
  <c r="Y3755" i="8"/>
  <c r="Y3756" i="8"/>
  <c r="Y3757" i="8"/>
  <c r="Y3758" i="8"/>
  <c r="Y3759" i="8"/>
  <c r="Y3760" i="8"/>
  <c r="Y3761" i="8"/>
  <c r="Y3762" i="8"/>
  <c r="Y3763" i="8"/>
  <c r="Y3764" i="8"/>
  <c r="Y3765" i="8"/>
  <c r="Y3766" i="8"/>
  <c r="Y3767" i="8"/>
  <c r="Y3768" i="8"/>
  <c r="Y3769" i="8"/>
  <c r="Y3770" i="8"/>
  <c r="Y3771" i="8"/>
  <c r="Y3772" i="8"/>
  <c r="Y3773" i="8"/>
  <c r="Y3774" i="8"/>
  <c r="Y3775" i="8"/>
  <c r="Y3776" i="8"/>
  <c r="Y3777" i="8"/>
  <c r="Y3778" i="8"/>
  <c r="Y3779" i="8"/>
  <c r="Y3780" i="8"/>
  <c r="Y3781" i="8"/>
  <c r="Y3782" i="8"/>
  <c r="Y3783" i="8"/>
  <c r="Y3784" i="8"/>
  <c r="Y3785" i="8"/>
  <c r="Y3786" i="8"/>
  <c r="Y3787" i="8"/>
  <c r="Y3788" i="8"/>
  <c r="Y3789" i="8"/>
  <c r="Y3790" i="8"/>
  <c r="Y3791" i="8"/>
  <c r="Y3792" i="8"/>
  <c r="Y3793" i="8"/>
  <c r="Y3794" i="8"/>
  <c r="Y3795" i="8"/>
  <c r="Y3796" i="8"/>
  <c r="Y3797" i="8"/>
  <c r="Y3798" i="8"/>
  <c r="Y3799" i="8"/>
  <c r="Y3800" i="8"/>
  <c r="Y3801" i="8"/>
  <c r="Y3802" i="8"/>
  <c r="Y3803" i="8"/>
  <c r="Y3804" i="8"/>
  <c r="Y3805" i="8"/>
  <c r="Y3806" i="8"/>
  <c r="Y3807" i="8"/>
  <c r="Y3808" i="8"/>
  <c r="Y3809" i="8"/>
  <c r="Y3810" i="8"/>
  <c r="Y3811" i="8"/>
  <c r="Y3812" i="8"/>
  <c r="Y3813" i="8"/>
  <c r="Y3814" i="8"/>
  <c r="Y3815" i="8"/>
  <c r="Y3816" i="8"/>
  <c r="Y3817" i="8"/>
  <c r="Y3818" i="8"/>
  <c r="Y3819" i="8"/>
  <c r="Y3820" i="8"/>
  <c r="Y3821" i="8"/>
  <c r="Y3822" i="8"/>
  <c r="Y3823" i="8"/>
  <c r="Y3824" i="8"/>
  <c r="Y3825" i="8"/>
  <c r="Y3826" i="8"/>
  <c r="Y3827" i="8"/>
  <c r="Y3828" i="8"/>
  <c r="Y3829" i="8"/>
  <c r="Y3830" i="8"/>
  <c r="Y3831" i="8"/>
  <c r="Y3832" i="8"/>
  <c r="Y3833" i="8"/>
  <c r="Y3834" i="8"/>
  <c r="Y3835" i="8"/>
  <c r="Y3836" i="8"/>
  <c r="Y3837" i="8"/>
  <c r="Y3838" i="8"/>
  <c r="Y3839" i="8"/>
  <c r="Y3840" i="8"/>
  <c r="Y3841" i="8"/>
  <c r="Y3842" i="8"/>
  <c r="Y3843" i="8"/>
  <c r="Y3844" i="8"/>
  <c r="Y3845" i="8"/>
  <c r="Y3846" i="8"/>
  <c r="Y3847" i="8"/>
  <c r="Y3848" i="8"/>
  <c r="Y3849" i="8"/>
  <c r="Y3850" i="8"/>
  <c r="Y3851" i="8"/>
  <c r="Y3852" i="8"/>
  <c r="Y3853" i="8"/>
  <c r="Y3854" i="8"/>
  <c r="Y3855" i="8"/>
  <c r="Y3856" i="8"/>
  <c r="Y3857" i="8"/>
  <c r="Y3858" i="8"/>
  <c r="Y3859" i="8"/>
  <c r="Y3860" i="8"/>
  <c r="Y3861" i="8"/>
  <c r="Y3862" i="8"/>
  <c r="Y3863" i="8"/>
  <c r="Y3864" i="8"/>
  <c r="Y3865" i="8"/>
  <c r="Y3866" i="8"/>
  <c r="Y3867" i="8"/>
  <c r="Y3868" i="8"/>
  <c r="Y3869" i="8"/>
  <c r="Y3870" i="8"/>
  <c r="Y3871" i="8"/>
  <c r="Y3872" i="8"/>
  <c r="Y3873" i="8"/>
  <c r="Y3874" i="8"/>
  <c r="Y3875" i="8"/>
  <c r="Y3876" i="8"/>
  <c r="Y3877" i="8"/>
  <c r="Y3878" i="8"/>
  <c r="Y3879" i="8"/>
  <c r="Y3880" i="8"/>
  <c r="Y3881" i="8"/>
  <c r="Y3882" i="8"/>
  <c r="Y3883" i="8"/>
  <c r="Y3884" i="8"/>
  <c r="Y3885" i="8"/>
  <c r="Y3886" i="8"/>
  <c r="Y3887" i="8"/>
  <c r="Y3888" i="8"/>
  <c r="Y3889" i="8"/>
  <c r="Y3890" i="8"/>
  <c r="Y3891" i="8"/>
  <c r="Y3892" i="8"/>
  <c r="Y3893" i="8"/>
  <c r="Y3894" i="8"/>
  <c r="Y3895" i="8"/>
  <c r="Y3896" i="8"/>
  <c r="Y3897" i="8"/>
  <c r="Y3898" i="8"/>
  <c r="Y3899" i="8"/>
  <c r="Y3900" i="8"/>
  <c r="Y3901" i="8"/>
  <c r="Y3902" i="8"/>
  <c r="Y3903" i="8"/>
  <c r="Y3904" i="8"/>
  <c r="Y3905" i="8"/>
  <c r="Y3906" i="8"/>
  <c r="Y3907" i="8"/>
  <c r="Y3908" i="8"/>
  <c r="Y3909" i="8"/>
  <c r="Y3910" i="8"/>
  <c r="Y3911" i="8"/>
  <c r="Y3912" i="8"/>
  <c r="Y3913" i="8"/>
  <c r="Y3914" i="8"/>
  <c r="Y3915" i="8"/>
  <c r="Y3916" i="8"/>
  <c r="Y3917" i="8"/>
  <c r="Y3918" i="8"/>
  <c r="Y3919" i="8"/>
  <c r="Y3920" i="8"/>
  <c r="Y3921" i="8"/>
  <c r="Y3922" i="8"/>
  <c r="Y3923" i="8"/>
  <c r="Y3924" i="8"/>
  <c r="Y3925" i="8"/>
  <c r="Y3926" i="8"/>
  <c r="Y3927" i="8"/>
  <c r="Y3928" i="8"/>
  <c r="Y3929" i="8"/>
  <c r="Y3930" i="8"/>
  <c r="Y3931" i="8"/>
  <c r="Y3932" i="8"/>
  <c r="Y3933" i="8"/>
  <c r="Y3934" i="8"/>
  <c r="Y3935" i="8"/>
  <c r="Y3936" i="8"/>
  <c r="Y3937" i="8"/>
  <c r="Y3938" i="8"/>
  <c r="Y3939" i="8"/>
  <c r="Y3940" i="8"/>
  <c r="Y3941" i="8"/>
  <c r="Y3942" i="8"/>
  <c r="Y3943" i="8"/>
  <c r="Y3944" i="8"/>
  <c r="Y3945" i="8"/>
  <c r="Y3946" i="8"/>
  <c r="Y3947" i="8"/>
  <c r="Y3948" i="8"/>
  <c r="Y3949" i="8"/>
  <c r="Y3950" i="8"/>
  <c r="Y3951" i="8"/>
  <c r="Y3952" i="8"/>
  <c r="Y3953" i="8"/>
  <c r="Y3954" i="8"/>
  <c r="Y3955" i="8"/>
  <c r="Y3956" i="8"/>
  <c r="Y3957" i="8"/>
  <c r="Y3958" i="8"/>
  <c r="Y3959" i="8"/>
  <c r="Y3960" i="8"/>
  <c r="Y3961" i="8"/>
  <c r="Y3962" i="8"/>
  <c r="Y3963" i="8"/>
  <c r="Y3964" i="8"/>
  <c r="Y3965" i="8"/>
  <c r="Y3966" i="8"/>
  <c r="Y3967" i="8"/>
  <c r="Y3968" i="8"/>
  <c r="Y3969" i="8"/>
  <c r="Y3970" i="8"/>
  <c r="Y3971" i="8"/>
  <c r="Y3972" i="8"/>
  <c r="Y3973" i="8"/>
  <c r="Y3974" i="8"/>
  <c r="Y3975" i="8"/>
  <c r="Y3976" i="8"/>
  <c r="Y3977" i="8"/>
  <c r="Y3978" i="8"/>
  <c r="Y3979" i="8"/>
  <c r="Y3980" i="8"/>
  <c r="Y3981" i="8"/>
  <c r="Y3982" i="8"/>
  <c r="Y3983" i="8"/>
  <c r="Y3984" i="8"/>
  <c r="Y3985" i="8"/>
  <c r="Y3986" i="8"/>
  <c r="Y3987" i="8"/>
  <c r="Y3988" i="8"/>
  <c r="Y3989" i="8"/>
  <c r="Y3990" i="8"/>
  <c r="Y3991" i="8"/>
  <c r="Y3992" i="8"/>
  <c r="Y3993" i="8"/>
  <c r="Y3994" i="8"/>
  <c r="Y3995" i="8"/>
  <c r="Y3996" i="8"/>
  <c r="Y3997" i="8"/>
  <c r="Y3998" i="8"/>
  <c r="Y3999" i="8"/>
  <c r="Y4000" i="8"/>
  <c r="Y4001" i="8"/>
  <c r="Y4002" i="8"/>
  <c r="Y4003" i="8"/>
  <c r="Y4004" i="8"/>
  <c r="Y4005" i="8"/>
  <c r="Y4006" i="8"/>
  <c r="Y4007" i="8"/>
  <c r="Y4008" i="8"/>
  <c r="Y4009" i="8"/>
  <c r="Y4010" i="8"/>
  <c r="Y4011" i="8"/>
  <c r="Y4012" i="8"/>
  <c r="Y4013" i="8"/>
  <c r="Y4014" i="8"/>
  <c r="Y4015" i="8"/>
  <c r="Y4016" i="8"/>
  <c r="Y4017" i="8"/>
  <c r="Y4018" i="8"/>
  <c r="Y4019" i="8"/>
  <c r="Y4020" i="8"/>
  <c r="Y4021" i="8"/>
  <c r="Y4022" i="8"/>
  <c r="Y4023" i="8"/>
  <c r="Y4024" i="8"/>
  <c r="Y4025" i="8"/>
  <c r="Y4026" i="8"/>
  <c r="Y4027" i="8"/>
  <c r="Y4028" i="8"/>
  <c r="Y4029" i="8"/>
  <c r="Y4030" i="8"/>
  <c r="Y4031" i="8"/>
  <c r="Y4032" i="8"/>
  <c r="Y4033" i="8"/>
  <c r="Y4034" i="8"/>
  <c r="Y4035" i="8"/>
  <c r="Y4036" i="8"/>
  <c r="Y4037" i="8"/>
  <c r="Y4038" i="8"/>
  <c r="Y4039" i="8"/>
  <c r="Y4040" i="8"/>
  <c r="Y4041" i="8"/>
  <c r="Y4042" i="8"/>
  <c r="Y4043" i="8"/>
  <c r="Y4044" i="8"/>
  <c r="Y4045" i="8"/>
  <c r="Y4046" i="8"/>
  <c r="Y4047" i="8"/>
  <c r="Y4048" i="8"/>
  <c r="Y4049" i="8"/>
  <c r="Y4050" i="8"/>
  <c r="Y4051" i="8"/>
  <c r="Y4052" i="8"/>
  <c r="Y4053" i="8"/>
  <c r="Y4054" i="8"/>
  <c r="Y4055" i="8"/>
  <c r="Y4056" i="8"/>
  <c r="Y4057" i="8"/>
  <c r="Y4058" i="8"/>
  <c r="Y4059" i="8"/>
  <c r="Y4060" i="8"/>
  <c r="Y4061" i="8"/>
  <c r="Y4062" i="8"/>
  <c r="Y4063" i="8"/>
  <c r="Y4064" i="8"/>
  <c r="Y4065" i="8"/>
  <c r="Y4066" i="8"/>
  <c r="Y4067" i="8"/>
  <c r="Y4068" i="8"/>
  <c r="Y4069" i="8"/>
  <c r="Y4070" i="8"/>
  <c r="Y4071" i="8"/>
  <c r="Y4072" i="8"/>
  <c r="Y4073" i="8"/>
  <c r="Y4074" i="8"/>
  <c r="Y4075" i="8"/>
  <c r="Y4076" i="8"/>
  <c r="Y4077" i="8"/>
  <c r="Y4078" i="8"/>
  <c r="Y4079" i="8"/>
  <c r="Y4080" i="8"/>
  <c r="Y4081" i="8"/>
  <c r="Y4082" i="8"/>
  <c r="Y4083" i="8"/>
  <c r="Y4084" i="8"/>
  <c r="Y4085" i="8"/>
  <c r="Y4086" i="8"/>
  <c r="Y4087" i="8"/>
  <c r="Y4088" i="8"/>
  <c r="Y4089" i="8"/>
  <c r="Y4090" i="8"/>
  <c r="Y4091" i="8"/>
  <c r="Y4092" i="8"/>
  <c r="Y4093" i="8"/>
  <c r="Y4094" i="8"/>
  <c r="Y4095" i="8"/>
  <c r="Y4096" i="8"/>
  <c r="Y4097" i="8"/>
  <c r="Y4098" i="8"/>
  <c r="Y4099" i="8"/>
  <c r="Y4100" i="8"/>
  <c r="Y4101" i="8"/>
  <c r="Y4102" i="8"/>
  <c r="Y4103" i="8"/>
  <c r="Y4104" i="8"/>
  <c r="Y4105" i="8"/>
  <c r="Y4106" i="8"/>
  <c r="Y4107" i="8"/>
  <c r="Y4108" i="8"/>
  <c r="Y4109" i="8"/>
  <c r="Y4110" i="8"/>
  <c r="Y4111" i="8"/>
  <c r="Y4112" i="8"/>
  <c r="Y4113" i="8"/>
  <c r="Y4114" i="8"/>
  <c r="Y4115" i="8"/>
  <c r="Y4116" i="8"/>
  <c r="Y4117" i="8"/>
  <c r="Y4118" i="8"/>
  <c r="Y4119" i="8"/>
  <c r="Y4120" i="8"/>
  <c r="Y4121" i="8"/>
  <c r="Y4122" i="8"/>
  <c r="Y4123" i="8"/>
  <c r="Y4124" i="8"/>
  <c r="Y4125" i="8"/>
  <c r="Y4126" i="8"/>
  <c r="Y4127" i="8"/>
  <c r="Y4128" i="8"/>
  <c r="Y4129" i="8"/>
  <c r="Y4130" i="8"/>
  <c r="Y4131" i="8"/>
  <c r="Y4132" i="8"/>
  <c r="Y4133" i="8"/>
  <c r="Y4134" i="8"/>
  <c r="Y4135" i="8"/>
  <c r="Y4136" i="8"/>
  <c r="Y4137" i="8"/>
  <c r="Y4138" i="8"/>
  <c r="Y4139" i="8"/>
  <c r="Y4140" i="8"/>
  <c r="Y4141" i="8"/>
  <c r="Y4142" i="8"/>
  <c r="Y4143" i="8"/>
  <c r="Y4144" i="8"/>
  <c r="Y4145" i="8"/>
  <c r="Y4146" i="8"/>
  <c r="Y4147" i="8"/>
  <c r="Y4148" i="8"/>
  <c r="Y4149" i="8"/>
  <c r="Y4150" i="8"/>
  <c r="Y4151" i="8"/>
  <c r="Y4152" i="8"/>
  <c r="Y4153" i="8"/>
  <c r="Y4154" i="8"/>
  <c r="Y4155" i="8"/>
  <c r="Y4156" i="8"/>
  <c r="Y4157" i="8"/>
  <c r="Y4158" i="8"/>
  <c r="Y4159" i="8"/>
  <c r="Y4160" i="8"/>
  <c r="Y4161" i="8"/>
  <c r="Y4162" i="8"/>
  <c r="Y4163" i="8"/>
  <c r="Y4164" i="8"/>
  <c r="Y4165" i="8"/>
  <c r="Y4166" i="8"/>
  <c r="Y4167" i="8"/>
  <c r="Y4168" i="8"/>
  <c r="Y4169" i="8"/>
  <c r="Y4170" i="8"/>
  <c r="Y4171" i="8"/>
  <c r="Y4172" i="8"/>
  <c r="Y4173" i="8"/>
  <c r="Y4174" i="8"/>
  <c r="Y4175" i="8"/>
  <c r="Y4176" i="8"/>
  <c r="Y4177" i="8"/>
  <c r="Y4178" i="8"/>
  <c r="Y4179" i="8"/>
  <c r="Y4180" i="8"/>
  <c r="Y4181" i="8"/>
  <c r="Y4182" i="8"/>
  <c r="Y4183" i="8"/>
  <c r="Y4184" i="8"/>
  <c r="Y4185" i="8"/>
  <c r="Y4186" i="8"/>
  <c r="Y4187" i="8"/>
  <c r="Y4188" i="8"/>
  <c r="Y4189" i="8"/>
  <c r="Y4190" i="8"/>
  <c r="Y4191" i="8"/>
  <c r="Y4192" i="8"/>
  <c r="Y4193" i="8"/>
  <c r="Y4194" i="8"/>
  <c r="Y4195" i="8"/>
  <c r="Y4196" i="8"/>
  <c r="Y4197" i="8"/>
  <c r="Y4198" i="8"/>
  <c r="Y4199" i="8"/>
  <c r="Y4200" i="8"/>
  <c r="Y4201" i="8"/>
  <c r="Y4202" i="8"/>
  <c r="Y4203" i="8"/>
  <c r="Y4204" i="8"/>
  <c r="Y4205" i="8"/>
  <c r="Y4206" i="8"/>
  <c r="Y4207" i="8"/>
  <c r="Y4208" i="8"/>
  <c r="Y4209" i="8"/>
  <c r="Y4210" i="8"/>
  <c r="Y4211" i="8"/>
  <c r="Y4212" i="8"/>
  <c r="Y4213" i="8"/>
  <c r="Y4214" i="8"/>
  <c r="Y4215" i="8"/>
  <c r="Y4216" i="8"/>
  <c r="Y4217" i="8"/>
  <c r="Y4218" i="8"/>
  <c r="Y4219" i="8"/>
  <c r="Y4220" i="8"/>
  <c r="Y4221" i="8"/>
  <c r="Y4222" i="8"/>
  <c r="Y4223" i="8"/>
  <c r="Y4224" i="8"/>
  <c r="Y4225" i="8"/>
  <c r="Y4226" i="8"/>
  <c r="Y4227" i="8"/>
  <c r="Y4228" i="8"/>
  <c r="Y4229" i="8"/>
  <c r="Y4230" i="8"/>
  <c r="Y4231" i="8"/>
  <c r="Y4232" i="8"/>
  <c r="Y4233" i="8"/>
  <c r="Y4234" i="8"/>
  <c r="Y4235" i="8"/>
  <c r="Y4236" i="8"/>
  <c r="Y4237" i="8"/>
  <c r="Y4238" i="8"/>
  <c r="Y4239" i="8"/>
  <c r="Y4240" i="8"/>
  <c r="Y4241" i="8"/>
  <c r="Y4242" i="8"/>
  <c r="Y4243" i="8"/>
  <c r="Y4244" i="8"/>
  <c r="Y4245" i="8"/>
  <c r="Y4246" i="8"/>
  <c r="Y4247" i="8"/>
  <c r="Y4248" i="8"/>
  <c r="Y4249" i="8"/>
  <c r="Y4250" i="8"/>
  <c r="Y4251" i="8"/>
  <c r="Y4252" i="8"/>
  <c r="Y4253" i="8"/>
  <c r="Y4254" i="8"/>
  <c r="Y4255" i="8"/>
  <c r="Y4256" i="8"/>
  <c r="Y4257" i="8"/>
  <c r="Y4258" i="8"/>
  <c r="Y4259" i="8"/>
  <c r="Y4260" i="8"/>
  <c r="Y4261" i="8"/>
  <c r="Y4262" i="8"/>
  <c r="Y4263" i="8"/>
  <c r="Y4264" i="8"/>
  <c r="Y4265" i="8"/>
  <c r="Y4266" i="8"/>
  <c r="Y4267" i="8"/>
  <c r="Y4268" i="8"/>
  <c r="Y4269" i="8"/>
  <c r="Y4270" i="8"/>
  <c r="Y4271" i="8"/>
  <c r="Y4272" i="8"/>
  <c r="Y4273" i="8"/>
  <c r="Y4274" i="8"/>
  <c r="Y4275" i="8"/>
  <c r="Y4276" i="8"/>
  <c r="Y4277" i="8"/>
  <c r="Y4278" i="8"/>
  <c r="Y4279" i="8"/>
  <c r="Y4280" i="8"/>
  <c r="Y4281" i="8"/>
  <c r="Y4282" i="8"/>
  <c r="Y4283" i="8"/>
  <c r="Y4284" i="8"/>
  <c r="Y4285" i="8"/>
  <c r="Y4286" i="8"/>
  <c r="Y4287" i="8"/>
  <c r="Y4288" i="8"/>
  <c r="Y4289" i="8"/>
  <c r="Y4290" i="8"/>
  <c r="Y4291" i="8"/>
  <c r="Y4292" i="8"/>
  <c r="Y4293" i="8"/>
  <c r="Y4294" i="8"/>
  <c r="Y4295" i="8"/>
  <c r="Y4296" i="8"/>
  <c r="Y4297" i="8"/>
  <c r="Y4298" i="8"/>
  <c r="Y4299" i="8"/>
  <c r="Y4300" i="8"/>
  <c r="Y4301" i="8"/>
  <c r="Y4302" i="8"/>
  <c r="Y4303" i="8"/>
  <c r="Y4304" i="8"/>
  <c r="Y4305" i="8"/>
  <c r="Y4306" i="8"/>
  <c r="Y4307" i="8"/>
  <c r="Y4308" i="8"/>
  <c r="Y4309" i="8"/>
  <c r="Y4310" i="8"/>
  <c r="Y4311" i="8"/>
  <c r="Y4312" i="8"/>
  <c r="Y4313" i="8"/>
  <c r="Y4314" i="8"/>
  <c r="Y4315" i="8"/>
  <c r="Y4316" i="8"/>
  <c r="Y4317" i="8"/>
  <c r="Y4318" i="8"/>
  <c r="Y4319" i="8"/>
  <c r="Y4320" i="8"/>
  <c r="Y4321" i="8"/>
  <c r="Y4322" i="8"/>
  <c r="Y4323" i="8"/>
  <c r="Y4324" i="8"/>
  <c r="Y4325" i="8"/>
  <c r="Y4326" i="8"/>
  <c r="Y4327" i="8"/>
  <c r="Y4328" i="8"/>
  <c r="Y4329" i="8"/>
  <c r="Y4330" i="8"/>
  <c r="Y4331" i="8"/>
  <c r="Y4332" i="8"/>
  <c r="Y4333" i="8"/>
  <c r="Y4334" i="8"/>
  <c r="Y4335" i="8"/>
  <c r="Y4336" i="8"/>
  <c r="Y4337" i="8"/>
  <c r="Y4338" i="8"/>
  <c r="Y4339" i="8"/>
  <c r="Y4340" i="8"/>
  <c r="Y4341" i="8"/>
  <c r="Y4342" i="8"/>
  <c r="Y4343" i="8"/>
  <c r="Y4344" i="8"/>
  <c r="Y4345" i="8"/>
  <c r="Y4346" i="8"/>
  <c r="Y4347" i="8"/>
  <c r="Y4348" i="8"/>
  <c r="Y4349" i="8"/>
  <c r="Y4350" i="8"/>
  <c r="Y4351" i="8"/>
  <c r="Y4352" i="8"/>
  <c r="Y4353" i="8"/>
  <c r="Y4354" i="8"/>
  <c r="Y4355" i="8"/>
  <c r="Y4356" i="8"/>
  <c r="Y4357" i="8"/>
  <c r="Y4358" i="8"/>
  <c r="Y4359" i="8"/>
  <c r="Y4360" i="8"/>
  <c r="Y4361" i="8"/>
  <c r="Y4362" i="8"/>
  <c r="Y4363" i="8"/>
  <c r="Y4364" i="8"/>
  <c r="Y4365" i="8"/>
  <c r="Y4366" i="8"/>
  <c r="Y4367" i="8"/>
  <c r="Y4368" i="8"/>
  <c r="Y4369" i="8"/>
  <c r="Y4370" i="8"/>
  <c r="Y4371" i="8"/>
  <c r="Y4372" i="8"/>
  <c r="Y4373" i="8"/>
  <c r="Y4374" i="8"/>
  <c r="Y4375" i="8"/>
  <c r="Y4376" i="8"/>
  <c r="Y4377" i="8"/>
  <c r="Y4378" i="8"/>
  <c r="Y4379" i="8"/>
  <c r="Y4380" i="8"/>
  <c r="Y4381" i="8"/>
  <c r="Y4382" i="8"/>
  <c r="Y4383" i="8"/>
  <c r="Y4384" i="8"/>
  <c r="Y4385" i="8"/>
  <c r="Y4386" i="8"/>
  <c r="Y4387" i="8"/>
  <c r="Y4388" i="8"/>
  <c r="Y4389" i="8"/>
  <c r="Y4390" i="8"/>
  <c r="Y4391" i="8"/>
  <c r="Y4392" i="8"/>
  <c r="Y4393" i="8"/>
  <c r="Y4394" i="8"/>
  <c r="Y4395" i="8"/>
  <c r="Y4396" i="8"/>
  <c r="Y4397" i="8"/>
  <c r="Y4398" i="8"/>
  <c r="Y4399" i="8"/>
  <c r="Y4400" i="8"/>
  <c r="Y4401" i="8"/>
  <c r="Y4402" i="8"/>
  <c r="Y4403" i="8"/>
  <c r="Y4404" i="8"/>
  <c r="Y4405" i="8"/>
  <c r="Y4406" i="8"/>
  <c r="Y4407" i="8"/>
  <c r="Y4408" i="8"/>
  <c r="Y4409" i="8"/>
  <c r="Y4410" i="8"/>
  <c r="Y4411" i="8"/>
  <c r="Y4412" i="8"/>
  <c r="Y4413" i="8"/>
  <c r="Y4414" i="8"/>
  <c r="Y4415" i="8"/>
  <c r="Y4416" i="8"/>
  <c r="Y4417" i="8"/>
  <c r="Y4418" i="8"/>
  <c r="Y4419" i="8"/>
  <c r="Y4420" i="8"/>
  <c r="Y4421" i="8"/>
  <c r="Y4422" i="8"/>
  <c r="Y4423" i="8"/>
  <c r="Y4424" i="8"/>
  <c r="Y4425" i="8"/>
  <c r="Y4426" i="8"/>
  <c r="Y4427" i="8"/>
  <c r="Y4428" i="8"/>
  <c r="Y4429" i="8"/>
  <c r="Y4430" i="8"/>
  <c r="Y4431" i="8"/>
  <c r="Y4432" i="8"/>
  <c r="Y4433" i="8"/>
  <c r="Y4434" i="8"/>
  <c r="Y4435" i="8"/>
  <c r="Y4436" i="8"/>
  <c r="Y4437" i="8"/>
  <c r="Y4438" i="8"/>
  <c r="Y4439" i="8"/>
  <c r="Y4440" i="8"/>
  <c r="Y4441" i="8"/>
  <c r="Y4442" i="8"/>
  <c r="Y4443" i="8"/>
  <c r="Y4444" i="8"/>
  <c r="Y4445" i="8"/>
  <c r="Y4446" i="8"/>
  <c r="Y4447" i="8"/>
  <c r="Y4448" i="8"/>
  <c r="Y4449" i="8"/>
  <c r="Y4450" i="8"/>
  <c r="Y4451" i="8"/>
  <c r="Y4452" i="8"/>
  <c r="Y4453" i="8"/>
  <c r="Y4454" i="8"/>
  <c r="Y4455" i="8"/>
  <c r="Y4456" i="8"/>
  <c r="Y4457" i="8"/>
  <c r="Y4458" i="8"/>
  <c r="Y4459" i="8"/>
  <c r="Y4460" i="8"/>
  <c r="Y4461" i="8"/>
  <c r="Y4462" i="8"/>
  <c r="Y4463" i="8"/>
  <c r="Y4464" i="8"/>
  <c r="Y4465" i="8"/>
  <c r="Y4466" i="8"/>
  <c r="Y4467" i="8"/>
  <c r="Y4468" i="8"/>
  <c r="Y4469" i="8"/>
  <c r="Y4470" i="8"/>
  <c r="Y4471" i="8"/>
  <c r="Y4472" i="8"/>
  <c r="Y4473" i="8"/>
  <c r="Y4474" i="8"/>
  <c r="Y4475" i="8"/>
  <c r="Y4476" i="8"/>
  <c r="Y4477" i="8"/>
  <c r="Y4478" i="8"/>
  <c r="Y4479" i="8"/>
  <c r="Y4480" i="8"/>
  <c r="Y4481" i="8"/>
  <c r="Y4482" i="8"/>
  <c r="Y4483" i="8"/>
  <c r="Y4484" i="8"/>
  <c r="Y4485" i="8"/>
  <c r="Y4486" i="8"/>
  <c r="Y4487" i="8"/>
  <c r="Y4488" i="8"/>
  <c r="Y4489" i="8"/>
  <c r="Y4490" i="8"/>
  <c r="Y4491" i="8"/>
  <c r="Y4492" i="8"/>
  <c r="Y4493" i="8"/>
  <c r="Y4494" i="8"/>
  <c r="Y4495" i="8"/>
  <c r="Y4496" i="8"/>
  <c r="Y4497" i="8"/>
  <c r="Y4498" i="8"/>
  <c r="Y4499" i="8"/>
  <c r="Y4500" i="8"/>
  <c r="Y4501" i="8"/>
  <c r="Y4502" i="8"/>
  <c r="Y4503" i="8"/>
  <c r="Y4504" i="8"/>
  <c r="Y4505" i="8"/>
  <c r="Y4506" i="8"/>
  <c r="Y4507" i="8"/>
  <c r="Y4508" i="8"/>
  <c r="Y4509" i="8"/>
  <c r="Y4510" i="8"/>
  <c r="Y4511" i="8"/>
  <c r="Y4512" i="8"/>
  <c r="Y4513" i="8"/>
  <c r="Y4514" i="8"/>
  <c r="Y4515" i="8"/>
  <c r="Y4516" i="8"/>
  <c r="Y4517" i="8"/>
  <c r="Y4518" i="8"/>
  <c r="Y4519" i="8"/>
  <c r="Y4520" i="8"/>
  <c r="Y4521" i="8"/>
  <c r="Y4522" i="8"/>
  <c r="Y4523" i="8"/>
  <c r="Y4524" i="8"/>
  <c r="Y4525" i="8"/>
  <c r="Y4526" i="8"/>
  <c r="Y4527" i="8"/>
  <c r="Y4528" i="8"/>
  <c r="Y4529" i="8"/>
  <c r="Y4530" i="8"/>
  <c r="Y4531" i="8"/>
  <c r="Y4532" i="8"/>
  <c r="Y4533" i="8"/>
  <c r="Y4534" i="8"/>
  <c r="Y4535" i="8"/>
  <c r="Y4536" i="8"/>
  <c r="Y4537" i="8"/>
  <c r="Y4538" i="8"/>
  <c r="Y4539" i="8"/>
  <c r="Y4540" i="8"/>
  <c r="Y4541" i="8"/>
  <c r="Y4542" i="8"/>
  <c r="Y4543" i="8"/>
  <c r="Y4544" i="8"/>
  <c r="Y4545" i="8"/>
  <c r="Y4546" i="8"/>
  <c r="Y4547" i="8"/>
  <c r="Y4548" i="8"/>
  <c r="Y4549" i="8"/>
  <c r="Y4550" i="8"/>
  <c r="Y4551" i="8"/>
  <c r="Y4552" i="8"/>
  <c r="Y4553" i="8"/>
  <c r="Y4554" i="8"/>
  <c r="Y4555" i="8"/>
  <c r="Y4556" i="8"/>
  <c r="Y4557" i="8"/>
  <c r="Y4558" i="8"/>
  <c r="Y4559" i="8"/>
  <c r="Y4560" i="8"/>
  <c r="Y4561" i="8"/>
  <c r="Y4562" i="8"/>
  <c r="Y4563" i="8"/>
  <c r="Y4564" i="8"/>
  <c r="Y4565" i="8"/>
  <c r="Y4566" i="8"/>
  <c r="Y4567" i="8"/>
  <c r="Y4568" i="8"/>
  <c r="Y4569" i="8"/>
  <c r="Y4570" i="8"/>
  <c r="Y4571" i="8"/>
  <c r="Y4572" i="8"/>
  <c r="Y4573" i="8"/>
  <c r="Y4574" i="8"/>
  <c r="Y4575" i="8"/>
  <c r="Y4576" i="8"/>
  <c r="Y4577" i="8"/>
  <c r="Y4578" i="8"/>
  <c r="Y4579" i="8"/>
  <c r="Y4580" i="8"/>
  <c r="Y4581" i="8"/>
  <c r="Y4582" i="8"/>
  <c r="Y4583" i="8"/>
  <c r="Y4584" i="8"/>
  <c r="Y4585" i="8"/>
  <c r="Y4586" i="8"/>
  <c r="Y4587" i="8"/>
  <c r="Y4588" i="8"/>
  <c r="Y4589" i="8"/>
  <c r="Y4590" i="8"/>
  <c r="Y4591" i="8"/>
  <c r="Y4592" i="8"/>
  <c r="Y4593" i="8"/>
  <c r="Y4594" i="8"/>
  <c r="Y4595" i="8"/>
  <c r="Y4596" i="8"/>
  <c r="Y4597" i="8"/>
  <c r="Y4598" i="8"/>
  <c r="Y4599" i="8"/>
  <c r="Y4600" i="8"/>
  <c r="Y4601" i="8"/>
  <c r="Y4602" i="8"/>
  <c r="Y4603" i="8"/>
  <c r="Y4604" i="8"/>
  <c r="Y4605" i="8"/>
  <c r="Y4606" i="8"/>
  <c r="Y4607" i="8"/>
  <c r="Y4608" i="8"/>
  <c r="Y4609" i="8"/>
  <c r="Y4610" i="8"/>
  <c r="Y4611" i="8"/>
  <c r="Y4612" i="8"/>
  <c r="Y4613" i="8"/>
  <c r="Y4614" i="8"/>
  <c r="Y4615" i="8"/>
  <c r="Y4616" i="8"/>
  <c r="Y4617" i="8"/>
  <c r="Y4618" i="8"/>
  <c r="Y4619" i="8"/>
  <c r="Y4620" i="8"/>
  <c r="Y4621" i="8"/>
  <c r="Y4622" i="8"/>
  <c r="Y4623" i="8"/>
  <c r="Y4624" i="8"/>
  <c r="Y4625" i="8"/>
  <c r="Y4626" i="8"/>
  <c r="Y4627" i="8"/>
  <c r="Y4628" i="8"/>
  <c r="Y4629" i="8"/>
  <c r="Y4630" i="8"/>
  <c r="Y4631" i="8"/>
  <c r="Y4632" i="8"/>
  <c r="Y4633" i="8"/>
  <c r="Y4634" i="8"/>
  <c r="Y4635" i="8"/>
  <c r="Y4636" i="8"/>
  <c r="Y4637" i="8"/>
  <c r="Y4638" i="8"/>
  <c r="Y4639" i="8"/>
  <c r="Y4640" i="8"/>
  <c r="Y4641" i="8"/>
  <c r="Y4642" i="8"/>
  <c r="Y4643" i="8"/>
  <c r="Y4644" i="8"/>
  <c r="Y4645" i="8"/>
  <c r="Y4646" i="8"/>
  <c r="Y4647" i="8"/>
  <c r="Y4648" i="8"/>
  <c r="Y4649" i="8"/>
  <c r="Y4650" i="8"/>
  <c r="Y4651" i="8"/>
  <c r="Y4652" i="8"/>
  <c r="Y4653" i="8"/>
  <c r="Y4654" i="8"/>
  <c r="Y4655" i="8"/>
  <c r="Y4656" i="8"/>
  <c r="Y4657" i="8"/>
  <c r="Y4658" i="8"/>
  <c r="Y4659" i="8"/>
  <c r="Y4660" i="8"/>
  <c r="Y4661" i="8"/>
  <c r="Y4662" i="8"/>
  <c r="Y4663" i="8"/>
  <c r="Y4664" i="8"/>
  <c r="Y4665" i="8"/>
  <c r="Y4666" i="8"/>
  <c r="Y4667" i="8"/>
  <c r="Y4668" i="8"/>
  <c r="Y4669" i="8"/>
  <c r="Y4670" i="8"/>
  <c r="Y4671" i="8"/>
  <c r="Y4672" i="8"/>
  <c r="Y4673" i="8"/>
  <c r="Y4674" i="8"/>
  <c r="Y4675" i="8"/>
  <c r="Y4676" i="8"/>
  <c r="Y4677" i="8"/>
  <c r="Y4678" i="8"/>
  <c r="Y4679" i="8"/>
  <c r="Y4680" i="8"/>
  <c r="Y4681" i="8"/>
  <c r="Y4682" i="8"/>
  <c r="Y4683" i="8"/>
  <c r="Y4684" i="8"/>
  <c r="Y4685" i="8"/>
  <c r="Y4686" i="8"/>
  <c r="Y4687" i="8"/>
  <c r="Y4688" i="8"/>
  <c r="Y4689" i="8"/>
  <c r="Y4690" i="8"/>
  <c r="Y4691" i="8"/>
  <c r="Y4692" i="8"/>
  <c r="Y4693" i="8"/>
  <c r="Y4694" i="8"/>
  <c r="Y4695" i="8"/>
  <c r="Y4696" i="8"/>
  <c r="Y4697" i="8"/>
  <c r="Y4698" i="8"/>
  <c r="Y4699" i="8"/>
  <c r="Y4700" i="8"/>
  <c r="Y4701" i="8"/>
  <c r="Y4702" i="8"/>
  <c r="Y4703" i="8"/>
  <c r="Y4704" i="8"/>
  <c r="Y4705" i="8"/>
  <c r="Y4706" i="8"/>
  <c r="Y4707" i="8"/>
  <c r="Y4708" i="8"/>
  <c r="Y4709" i="8"/>
  <c r="Y4710" i="8"/>
  <c r="Y4711" i="8"/>
  <c r="Y4712" i="8"/>
  <c r="Y4713" i="8"/>
  <c r="Y4714" i="8"/>
  <c r="Y4715" i="8"/>
  <c r="Y4716" i="8"/>
  <c r="Y4717" i="8"/>
  <c r="Y4718" i="8"/>
  <c r="Y4719" i="8"/>
  <c r="Y4720" i="8"/>
  <c r="Y4721" i="8"/>
  <c r="Y4722" i="8"/>
  <c r="Y4723" i="8"/>
  <c r="Y4724" i="8"/>
  <c r="Y4725" i="8"/>
  <c r="Y4726" i="8"/>
  <c r="Y4727" i="8"/>
  <c r="Y4728" i="8"/>
  <c r="Y4729" i="8"/>
  <c r="Y4730" i="8"/>
  <c r="Y4731" i="8"/>
  <c r="Y4732" i="8"/>
  <c r="Y4733" i="8"/>
  <c r="Y4734" i="8"/>
  <c r="Y4735" i="8"/>
  <c r="Y4736" i="8"/>
  <c r="Y4737" i="8"/>
  <c r="Y4738" i="8"/>
  <c r="Y4739" i="8"/>
  <c r="Y4740" i="8"/>
  <c r="Y4741" i="8"/>
  <c r="Y4742" i="8"/>
  <c r="Y4743" i="8"/>
  <c r="Y4744" i="8"/>
  <c r="Y4745" i="8"/>
  <c r="Y4746" i="8"/>
  <c r="Y4747" i="8"/>
  <c r="Y4748" i="8"/>
  <c r="Y4749" i="8"/>
  <c r="Y4750" i="8"/>
  <c r="Y4751" i="8"/>
  <c r="Y4752" i="8"/>
  <c r="Y4753" i="8"/>
  <c r="Y4754" i="8"/>
  <c r="Y4755" i="8"/>
  <c r="Y4756" i="8"/>
  <c r="Y4757" i="8"/>
  <c r="Y4758" i="8"/>
  <c r="Y4759" i="8"/>
  <c r="Y4760" i="8"/>
  <c r="Y4761" i="8"/>
  <c r="Y4762" i="8"/>
  <c r="Y4763" i="8"/>
  <c r="Y4764" i="8"/>
  <c r="Y4765" i="8"/>
  <c r="Y4766" i="8"/>
  <c r="Y4767" i="8"/>
  <c r="Y4768" i="8"/>
  <c r="Y4769" i="8"/>
  <c r="Y4770" i="8"/>
  <c r="Y4771" i="8"/>
  <c r="Y4772" i="8"/>
  <c r="Y4773" i="8"/>
  <c r="Y4774" i="8"/>
  <c r="Y4775" i="8"/>
  <c r="Y4776" i="8"/>
  <c r="Y4777" i="8"/>
  <c r="Y4778" i="8"/>
  <c r="Y4779" i="8"/>
  <c r="Y4780" i="8"/>
  <c r="Y4781" i="8"/>
  <c r="Y4782" i="8"/>
  <c r="Y4783" i="8"/>
  <c r="Y4784" i="8"/>
  <c r="Y4785" i="8"/>
  <c r="Y4786" i="8"/>
  <c r="Y4787" i="8"/>
  <c r="Y4788" i="8"/>
  <c r="Y4789" i="8"/>
  <c r="Y4790" i="8"/>
  <c r="Y4791" i="8"/>
  <c r="Y4792" i="8"/>
  <c r="Y4793" i="8"/>
  <c r="Y4794" i="8"/>
  <c r="Y4795" i="8"/>
  <c r="Y4796" i="8"/>
  <c r="Y4797" i="8"/>
  <c r="Y4798" i="8"/>
  <c r="Y4799" i="8"/>
  <c r="Y4800" i="8"/>
  <c r="Y4801" i="8"/>
  <c r="Y4802" i="8"/>
  <c r="Y4803" i="8"/>
  <c r="Y4804" i="8"/>
  <c r="Y4805" i="8"/>
  <c r="Y4806" i="8"/>
  <c r="Y4807" i="8"/>
  <c r="Y4808" i="8"/>
  <c r="Y4809" i="8"/>
  <c r="Y4810" i="8"/>
  <c r="Y4811" i="8"/>
  <c r="Y4812" i="8"/>
  <c r="Y4813" i="8"/>
  <c r="Y4814" i="8"/>
  <c r="Y4815" i="8"/>
  <c r="Y4816" i="8"/>
  <c r="Y4817" i="8"/>
  <c r="Y4818" i="8"/>
  <c r="Y4819" i="8"/>
  <c r="Y4820" i="8"/>
  <c r="Y4821" i="8"/>
  <c r="Y4822" i="8"/>
  <c r="Y4823" i="8"/>
  <c r="Y4824" i="8"/>
  <c r="Y4825" i="8"/>
  <c r="Y4826" i="8"/>
  <c r="Y4827" i="8"/>
  <c r="Y4828" i="8"/>
  <c r="Y4829" i="8"/>
  <c r="Y4830" i="8"/>
  <c r="Y4831" i="8"/>
  <c r="Y4832" i="8"/>
  <c r="Y4833" i="8"/>
  <c r="Y4834" i="8"/>
  <c r="Y4835" i="8"/>
  <c r="Y4836" i="8"/>
  <c r="Y4837" i="8"/>
  <c r="Y4838" i="8"/>
  <c r="Y4839" i="8"/>
  <c r="Y4840" i="8"/>
  <c r="Y4841" i="8"/>
  <c r="Y4842" i="8"/>
  <c r="Y4843" i="8"/>
  <c r="Y4844" i="8"/>
  <c r="Y4845" i="8"/>
  <c r="Y4846" i="8"/>
  <c r="Y4847" i="8"/>
  <c r="Y4848" i="8"/>
  <c r="Y4849" i="8"/>
  <c r="Y4850" i="8"/>
  <c r="Y4851" i="8"/>
  <c r="Y4852" i="8"/>
  <c r="Y4853" i="8"/>
  <c r="Y4854" i="8"/>
  <c r="Y4855" i="8"/>
  <c r="Y4856" i="8"/>
  <c r="Y4857" i="8"/>
  <c r="Y4858" i="8"/>
  <c r="Y4859" i="8"/>
  <c r="Y4860" i="8"/>
  <c r="Y4861" i="8"/>
  <c r="Y4862" i="8"/>
  <c r="Y4863" i="8"/>
  <c r="Y4864" i="8"/>
  <c r="Y4865" i="8"/>
  <c r="Y4866" i="8"/>
  <c r="Y4867" i="8"/>
  <c r="Y4868" i="8"/>
  <c r="Y4869" i="8"/>
  <c r="Y4870" i="8"/>
  <c r="Y4871" i="8"/>
  <c r="Y4872" i="8"/>
  <c r="Y4873" i="8"/>
  <c r="Y4874" i="8"/>
  <c r="Y4875" i="8"/>
  <c r="Y4876" i="8"/>
  <c r="Y4877" i="8"/>
  <c r="Y4878" i="8"/>
  <c r="Y4879" i="8"/>
  <c r="Y4880" i="8"/>
  <c r="Y4881" i="8"/>
  <c r="Y4882" i="8"/>
  <c r="Y4883" i="8"/>
  <c r="Y4884" i="8"/>
  <c r="Y4885" i="8"/>
  <c r="Y4886" i="8"/>
  <c r="Y4887" i="8"/>
  <c r="Y4888" i="8"/>
  <c r="Y4889" i="8"/>
  <c r="Y4890" i="8"/>
  <c r="Y4891" i="8"/>
  <c r="Y4892" i="8"/>
  <c r="Y4893" i="8"/>
  <c r="Y4894" i="8"/>
  <c r="Y4895" i="8"/>
  <c r="Y4896" i="8"/>
  <c r="Y4897" i="8"/>
  <c r="Y4898" i="8"/>
  <c r="Y4899" i="8"/>
  <c r="Y4900" i="8"/>
  <c r="Y4901" i="8"/>
  <c r="Y4902" i="8"/>
  <c r="Y4903" i="8"/>
  <c r="Y4904" i="8"/>
  <c r="Y4905" i="8"/>
  <c r="Y4906" i="8"/>
  <c r="Y4907" i="8"/>
  <c r="Y4908" i="8"/>
  <c r="Y4909" i="8"/>
  <c r="Y4910" i="8"/>
  <c r="Y4911" i="8"/>
  <c r="Y4912" i="8"/>
  <c r="Y4913" i="8"/>
  <c r="Y4914" i="8"/>
  <c r="Y4915" i="8"/>
  <c r="Y4916" i="8"/>
  <c r="Y4917" i="8"/>
  <c r="Y4918" i="8"/>
  <c r="Y4919" i="8"/>
  <c r="Y4920" i="8"/>
  <c r="Y4921" i="8"/>
  <c r="Y4922" i="8"/>
  <c r="Y4923" i="8"/>
  <c r="Y4924" i="8"/>
  <c r="Y4925" i="8"/>
  <c r="Y4926" i="8"/>
  <c r="Y4927" i="8"/>
  <c r="Y4928" i="8"/>
  <c r="Y4929" i="8"/>
  <c r="Y4930" i="8"/>
  <c r="Y4931" i="8"/>
  <c r="Y4932" i="8"/>
  <c r="Y4933" i="8"/>
  <c r="Y4934" i="8"/>
  <c r="Y4935" i="8"/>
  <c r="Y4936" i="8"/>
  <c r="Y4937" i="8"/>
  <c r="Y4938" i="8"/>
  <c r="Y4939" i="8"/>
  <c r="Y4940" i="8"/>
  <c r="Y4941" i="8"/>
  <c r="Y4942" i="8"/>
  <c r="Y4943" i="8"/>
  <c r="Y4944" i="8"/>
  <c r="Y4945" i="8"/>
  <c r="Y4946" i="8"/>
  <c r="Y4947" i="8"/>
  <c r="Y4948" i="8"/>
  <c r="Y4949" i="8"/>
  <c r="Y4950" i="8"/>
  <c r="Y4951" i="8"/>
  <c r="Y4952" i="8"/>
  <c r="Y4953" i="8"/>
  <c r="Y4954" i="8"/>
  <c r="Y4955" i="8"/>
  <c r="Y4956" i="8"/>
  <c r="Y4957" i="8"/>
  <c r="Y4958" i="8"/>
  <c r="Y4959" i="8"/>
  <c r="Y4960" i="8"/>
  <c r="Y4961" i="8"/>
  <c r="Y4962" i="8"/>
  <c r="Y4963" i="8"/>
  <c r="Y4964" i="8"/>
  <c r="Y4965" i="8"/>
  <c r="Y4966" i="8"/>
  <c r="Y4967" i="8"/>
  <c r="Y4968" i="8"/>
  <c r="Y4969" i="8"/>
  <c r="Y4970" i="8"/>
  <c r="Y4971" i="8"/>
  <c r="Y4972" i="8"/>
  <c r="Y4973" i="8"/>
  <c r="Y4974" i="8"/>
  <c r="Y4975" i="8"/>
  <c r="Y4976" i="8"/>
  <c r="Y4977" i="8"/>
  <c r="Y4978" i="8"/>
  <c r="Y4979" i="8"/>
  <c r="Y4980" i="8"/>
  <c r="Y4981" i="8"/>
  <c r="Y4982" i="8"/>
  <c r="Y4983" i="8"/>
  <c r="Y4984" i="8"/>
  <c r="Y4985" i="8"/>
  <c r="Y4986" i="8"/>
  <c r="Y4987" i="8"/>
  <c r="Y4988" i="8"/>
  <c r="Y4989" i="8"/>
  <c r="Y4990" i="8"/>
  <c r="Y4991" i="8"/>
  <c r="Y4992" i="8"/>
  <c r="Y4993" i="8"/>
  <c r="Y4994" i="8"/>
  <c r="Y4995" i="8"/>
  <c r="Y4996" i="8"/>
  <c r="Y4997" i="8"/>
  <c r="Y4998" i="8"/>
  <c r="Y4999" i="8"/>
  <c r="Y5000" i="8"/>
  <c r="Y5001" i="8"/>
  <c r="Y5002" i="8"/>
  <c r="Y5003" i="8"/>
  <c r="Y5004" i="8"/>
  <c r="Y5005" i="8"/>
  <c r="Y5006" i="8"/>
  <c r="Y5007" i="8"/>
  <c r="Y5008" i="8"/>
  <c r="Y5009" i="8"/>
  <c r="Y5010" i="8"/>
  <c r="Y5011" i="8"/>
  <c r="Y5012" i="8"/>
  <c r="Y5013" i="8"/>
  <c r="Y5014" i="8"/>
  <c r="Y5015" i="8"/>
  <c r="Y5016" i="8"/>
  <c r="Y5017" i="8"/>
  <c r="Y5018" i="8"/>
  <c r="Y5019" i="8"/>
  <c r="Y5020" i="8"/>
  <c r="Y5021" i="8"/>
  <c r="Y5022" i="8"/>
  <c r="Y5023" i="8"/>
  <c r="Y5024" i="8"/>
  <c r="Y5025" i="8"/>
  <c r="Y5026" i="8"/>
  <c r="Y5027" i="8"/>
  <c r="Y5028" i="8"/>
  <c r="Y5029" i="8"/>
  <c r="Y5030" i="8"/>
  <c r="Y5031" i="8"/>
  <c r="Y5032" i="8"/>
  <c r="Y5033" i="8"/>
  <c r="Y5034" i="8"/>
  <c r="Y5035" i="8"/>
  <c r="Y5036" i="8"/>
  <c r="Y5037" i="8"/>
  <c r="Y5038" i="8"/>
  <c r="Y5039" i="8"/>
  <c r="Y5040" i="8"/>
  <c r="Y5041" i="8"/>
  <c r="Y5042" i="8"/>
  <c r="Y5043" i="8"/>
  <c r="Y5044" i="8"/>
  <c r="Y5045" i="8"/>
  <c r="Y5046" i="8"/>
  <c r="Y5047" i="8"/>
  <c r="Y5048" i="8"/>
  <c r="Y5049" i="8"/>
  <c r="Y5050" i="8"/>
  <c r="Y5051" i="8"/>
  <c r="Y5052" i="8"/>
  <c r="Y5053" i="8"/>
  <c r="Y5054" i="8"/>
  <c r="Y5055" i="8"/>
  <c r="Y5056" i="8"/>
  <c r="Y5057" i="8"/>
  <c r="Y5058" i="8"/>
  <c r="Y5059" i="8"/>
  <c r="Y5060" i="8"/>
  <c r="Y5061" i="8"/>
  <c r="Y5062" i="8"/>
  <c r="Y5063" i="8"/>
  <c r="Y5064" i="8"/>
  <c r="Y5065" i="8"/>
  <c r="Y5066" i="8"/>
  <c r="Y5067" i="8"/>
  <c r="Y5068" i="8"/>
  <c r="Y5069" i="8"/>
  <c r="Y5070" i="8"/>
  <c r="Y5071" i="8"/>
  <c r="Y5072" i="8"/>
  <c r="Y5073" i="8"/>
  <c r="Y5074" i="8"/>
  <c r="Y5075" i="8"/>
  <c r="Y5076" i="8"/>
  <c r="Y5077" i="8"/>
  <c r="Y5078" i="8"/>
  <c r="Y5079" i="8"/>
  <c r="Y5080" i="8"/>
  <c r="Y5081" i="8"/>
  <c r="Y5082" i="8"/>
  <c r="Y5083" i="8"/>
  <c r="Y5084" i="8"/>
  <c r="Y5085" i="8"/>
  <c r="Y5086" i="8"/>
  <c r="Y5087" i="8"/>
  <c r="Y5088" i="8"/>
  <c r="Y5089" i="8"/>
  <c r="Y5090" i="8"/>
  <c r="Y5091" i="8"/>
  <c r="Y5092" i="8"/>
  <c r="Y5093" i="8"/>
  <c r="Y5094" i="8"/>
  <c r="Y5095" i="8"/>
  <c r="Y5096" i="8"/>
  <c r="Y5097" i="8"/>
  <c r="Y5098" i="8"/>
  <c r="Y5099" i="8"/>
  <c r="Y5100" i="8"/>
  <c r="Y5101" i="8"/>
  <c r="Y5102" i="8"/>
  <c r="Y5103" i="8"/>
  <c r="Y5104" i="8"/>
  <c r="Y5105" i="8"/>
  <c r="Y5106" i="8"/>
  <c r="Y5107" i="8"/>
  <c r="Y5108" i="8"/>
  <c r="Y5109" i="8"/>
  <c r="Y5110" i="8"/>
  <c r="Y5111" i="8"/>
  <c r="Y5112" i="8"/>
  <c r="Y5113" i="8"/>
  <c r="Y5114" i="8"/>
  <c r="Y5115" i="8"/>
  <c r="Y5116" i="8"/>
  <c r="Y5117" i="8"/>
  <c r="Y5118" i="8"/>
  <c r="Y5119" i="8"/>
  <c r="Y5120" i="8"/>
  <c r="Y5121" i="8"/>
  <c r="Y5122" i="8"/>
  <c r="Y5123" i="8"/>
  <c r="Y5124" i="8"/>
  <c r="Y5125" i="8"/>
  <c r="Y5126" i="8"/>
  <c r="Y5127" i="8"/>
  <c r="Y5128" i="8"/>
  <c r="Y5129" i="8"/>
  <c r="Y5130" i="8"/>
  <c r="Y5131" i="8"/>
  <c r="Y5132" i="8"/>
  <c r="Y5133" i="8"/>
  <c r="Y5134" i="8"/>
  <c r="Y5135" i="8"/>
  <c r="Y5136" i="8"/>
  <c r="Y5137" i="8"/>
  <c r="Y5138" i="8"/>
  <c r="Y5139" i="8"/>
  <c r="Y5140" i="8"/>
  <c r="Y5141" i="8"/>
  <c r="Y5142" i="8"/>
  <c r="Y5143" i="8"/>
  <c r="Y5144" i="8"/>
  <c r="Y5145" i="8"/>
  <c r="Y5146" i="8"/>
  <c r="Y5147" i="8"/>
  <c r="Y5148" i="8"/>
  <c r="Y5149" i="8"/>
  <c r="Y5150" i="8"/>
  <c r="Y5151" i="8"/>
  <c r="Y5152" i="8"/>
  <c r="Y5153" i="8"/>
  <c r="Y5154" i="8"/>
  <c r="Y5155" i="8"/>
  <c r="Y5156" i="8"/>
  <c r="Y5157" i="8"/>
  <c r="Y5158" i="8"/>
  <c r="Y5159" i="8"/>
  <c r="Y5160" i="8"/>
  <c r="Y5161" i="8"/>
  <c r="Y5162" i="8"/>
  <c r="Y5163" i="8"/>
  <c r="Y5164" i="8"/>
  <c r="Y5165" i="8"/>
  <c r="Y5166" i="8"/>
  <c r="Y5167" i="8"/>
  <c r="Y5168" i="8"/>
  <c r="Y5169" i="8"/>
  <c r="Y5170" i="8"/>
  <c r="Y5171" i="8"/>
  <c r="Y5172" i="8"/>
  <c r="Y5173" i="8"/>
  <c r="Y5174" i="8"/>
  <c r="Y5175" i="8"/>
  <c r="Y5176" i="8"/>
  <c r="Y5177" i="8"/>
  <c r="Y5178" i="8"/>
  <c r="Y5179" i="8"/>
  <c r="Y5180" i="8"/>
  <c r="Y5181" i="8"/>
  <c r="Y5182" i="8"/>
  <c r="Y5183" i="8"/>
  <c r="Y5184" i="8"/>
  <c r="Y5185" i="8"/>
  <c r="Y5186" i="8"/>
  <c r="Y5187" i="8"/>
  <c r="Y5188" i="8"/>
  <c r="Y5189" i="8"/>
  <c r="Y5190" i="8"/>
  <c r="Y5191" i="8"/>
  <c r="Y5192" i="8"/>
  <c r="Y5193" i="8"/>
  <c r="Y5194" i="8"/>
  <c r="Y5195" i="8"/>
  <c r="Y5196" i="8"/>
  <c r="Y5197" i="8"/>
  <c r="Y5198" i="8"/>
  <c r="Y5199" i="8"/>
  <c r="Y5200" i="8"/>
  <c r="Y5201" i="8"/>
  <c r="Y5202" i="8"/>
  <c r="Y5203" i="8"/>
  <c r="Y5204" i="8"/>
  <c r="Y5205" i="8"/>
  <c r="Y5206" i="8"/>
  <c r="Y5207" i="8"/>
  <c r="Y5208" i="8"/>
  <c r="Y5209" i="8"/>
  <c r="Y5210" i="8"/>
  <c r="Y5211" i="8"/>
  <c r="Y5212" i="8"/>
  <c r="Y5213" i="8"/>
  <c r="Y5214" i="8"/>
  <c r="Y5215" i="8"/>
  <c r="Y5216" i="8"/>
  <c r="Y5217" i="8"/>
  <c r="Y5218" i="8"/>
  <c r="Y5219" i="8"/>
  <c r="Y5220" i="8"/>
  <c r="Y5221" i="8"/>
  <c r="Y5222" i="8"/>
  <c r="Y5223" i="8"/>
  <c r="Y5224" i="8"/>
  <c r="Y5225" i="8"/>
  <c r="Y5226" i="8"/>
  <c r="Y5227" i="8"/>
  <c r="Y5228" i="8"/>
  <c r="Y5229" i="8"/>
  <c r="Y5230" i="8"/>
  <c r="Y5231" i="8"/>
  <c r="Y5232" i="8"/>
  <c r="Y5233" i="8"/>
  <c r="Y5234" i="8"/>
  <c r="Y5235" i="8"/>
  <c r="Y5236" i="8"/>
  <c r="Y5237" i="8"/>
  <c r="Y5238" i="8"/>
  <c r="Y5239" i="8"/>
  <c r="Y5240" i="8"/>
  <c r="Y5241" i="8"/>
  <c r="Y5242" i="8"/>
  <c r="Y5243" i="8"/>
  <c r="Y5244" i="8"/>
  <c r="Y5245" i="8"/>
  <c r="Y5246" i="8"/>
  <c r="Y5247" i="8"/>
  <c r="Y5248" i="8"/>
  <c r="Y5249" i="8"/>
  <c r="Y5250" i="8"/>
  <c r="Y5251" i="8"/>
  <c r="Y5252" i="8"/>
  <c r="Y5253" i="8"/>
  <c r="Y5254" i="8"/>
  <c r="Y5255" i="8"/>
  <c r="Y5256" i="8"/>
  <c r="Y5257" i="8"/>
  <c r="Y5258" i="8"/>
  <c r="Y5259" i="8"/>
  <c r="Y5260" i="8"/>
  <c r="Y5261" i="8"/>
  <c r="Y5262" i="8"/>
  <c r="Y5263" i="8"/>
  <c r="Y5264" i="8"/>
  <c r="Y5265" i="8"/>
  <c r="Y5266" i="8"/>
  <c r="Y5267" i="8"/>
  <c r="Y5268" i="8"/>
  <c r="Y5269" i="8"/>
  <c r="Y5270" i="8"/>
  <c r="Y5271" i="8"/>
  <c r="Y5272" i="8"/>
  <c r="Y5273" i="8"/>
  <c r="Y5274" i="8"/>
  <c r="Y5275" i="8"/>
  <c r="Y5276" i="8"/>
  <c r="Y5277" i="8"/>
  <c r="Y5278" i="8"/>
  <c r="Y5279" i="8"/>
  <c r="Y5280" i="8"/>
  <c r="Y5281" i="8"/>
  <c r="Y5282" i="8"/>
  <c r="Y5283" i="8"/>
  <c r="Y5284" i="8"/>
  <c r="Y5285" i="8"/>
  <c r="Y5286" i="8"/>
  <c r="Y5287" i="8"/>
  <c r="Y5288" i="8"/>
  <c r="Y5289" i="8"/>
  <c r="Y5290" i="8"/>
  <c r="Y5291" i="8"/>
  <c r="Y5292" i="8"/>
  <c r="Y5293" i="8"/>
  <c r="Y5294" i="8"/>
  <c r="Y5295" i="8"/>
  <c r="Y5296" i="8"/>
  <c r="Y5297" i="8"/>
  <c r="Y5298" i="8"/>
  <c r="Y5299" i="8"/>
  <c r="Y5300" i="8"/>
  <c r="Y5301" i="8"/>
  <c r="Y5302" i="8"/>
  <c r="Y5303" i="8"/>
  <c r="Y5304" i="8"/>
  <c r="Y5305" i="8"/>
  <c r="Y5306" i="8"/>
  <c r="Y5307" i="8"/>
  <c r="Y5308" i="8"/>
  <c r="Y5309" i="8"/>
  <c r="Y5310" i="8"/>
  <c r="Y5311" i="8"/>
  <c r="Y5312" i="8"/>
  <c r="Y5313" i="8"/>
  <c r="Y5314" i="8"/>
  <c r="Y5315" i="8"/>
  <c r="Y5316" i="8"/>
  <c r="Y5317" i="8"/>
  <c r="Y5318" i="8"/>
  <c r="Y5319" i="8"/>
  <c r="Y5320" i="8"/>
  <c r="Y5321" i="8"/>
  <c r="Y5322" i="8"/>
  <c r="Y5323" i="8"/>
  <c r="Y5324" i="8"/>
  <c r="Y5325" i="8"/>
  <c r="Y5326" i="8"/>
  <c r="Y5327" i="8"/>
  <c r="Y5328" i="8"/>
  <c r="Y5329" i="8"/>
  <c r="Y5330" i="8"/>
  <c r="Y5331" i="8"/>
  <c r="Y5332" i="8"/>
  <c r="Y5333" i="8"/>
  <c r="Y5334" i="8"/>
  <c r="Y5335" i="8"/>
  <c r="Y5336" i="8"/>
  <c r="Y5337" i="8"/>
  <c r="Y5338" i="8"/>
  <c r="Y5339" i="8"/>
  <c r="Y5340" i="8"/>
  <c r="Y5341" i="8"/>
  <c r="Y5342" i="8"/>
  <c r="Y5343" i="8"/>
  <c r="Y5344" i="8"/>
  <c r="Y5345" i="8"/>
  <c r="Y5346" i="8"/>
  <c r="Y5347" i="8"/>
  <c r="Y5348" i="8"/>
  <c r="Y5349" i="8"/>
  <c r="Y5350" i="8"/>
  <c r="Y5351" i="8"/>
  <c r="Y5352" i="8"/>
  <c r="Y5353" i="8"/>
  <c r="Y5354" i="8"/>
  <c r="Y5355" i="8"/>
  <c r="Y5356" i="8"/>
  <c r="Y5357" i="8"/>
  <c r="Y5358" i="8"/>
  <c r="Y5359" i="8"/>
  <c r="Y5360" i="8"/>
  <c r="Y5361" i="8"/>
  <c r="Y5362" i="8"/>
  <c r="Y5363" i="8"/>
  <c r="Y5364" i="8"/>
  <c r="Y5365" i="8"/>
  <c r="Y5366" i="8"/>
  <c r="Y5367" i="8"/>
  <c r="Y5368" i="8"/>
  <c r="Y5369" i="8"/>
  <c r="Y5370" i="8"/>
  <c r="Y5371" i="8"/>
  <c r="Y5372" i="8"/>
  <c r="Y5373" i="8"/>
  <c r="Y5374" i="8"/>
  <c r="Y5375" i="8"/>
  <c r="Y5376" i="8"/>
  <c r="Y5377" i="8"/>
  <c r="Y5378" i="8"/>
  <c r="Y5379" i="8"/>
  <c r="Y5380" i="8"/>
  <c r="Y5381" i="8"/>
  <c r="Y5382" i="8"/>
  <c r="Y5383" i="8"/>
  <c r="Y5384" i="8"/>
  <c r="Y5385" i="8"/>
  <c r="Y5386" i="8"/>
  <c r="Y5387" i="8"/>
  <c r="Y5388" i="8"/>
  <c r="Y5389" i="8"/>
  <c r="Y5390" i="8"/>
  <c r="Y5391" i="8"/>
  <c r="Y5392" i="8"/>
  <c r="Y5393" i="8"/>
  <c r="Y5394" i="8"/>
  <c r="Y5395" i="8"/>
  <c r="Y5396" i="8"/>
  <c r="Y5397" i="8"/>
  <c r="Y5398" i="8"/>
  <c r="Y5399" i="8"/>
  <c r="Y5400" i="8"/>
  <c r="Y5401" i="8"/>
  <c r="Y5402" i="8"/>
  <c r="Y5403" i="8"/>
  <c r="Y5404" i="8"/>
  <c r="Y5405" i="8"/>
  <c r="Y5406" i="8"/>
  <c r="Y5407" i="8"/>
  <c r="Y5408" i="8"/>
  <c r="Y5409" i="8"/>
  <c r="Y5410" i="8"/>
  <c r="Y5411" i="8"/>
  <c r="Y5412" i="8"/>
  <c r="Y5413" i="8"/>
  <c r="Y5414" i="8"/>
  <c r="Y5415" i="8"/>
  <c r="Y5416" i="8"/>
  <c r="Y5417" i="8"/>
  <c r="Y5418" i="8"/>
  <c r="Y5419" i="8"/>
  <c r="Y5420" i="8"/>
  <c r="Y5421" i="8"/>
  <c r="Y5422" i="8"/>
  <c r="Y5423" i="8"/>
  <c r="Y5424" i="8"/>
  <c r="Y5425" i="8"/>
  <c r="Y5426" i="8"/>
  <c r="Y5427" i="8"/>
  <c r="Y5428" i="8"/>
  <c r="Y5429" i="8"/>
  <c r="Y5430" i="8"/>
  <c r="Y5431" i="8"/>
  <c r="Y5432" i="8"/>
  <c r="Y5433" i="8"/>
  <c r="Y5434" i="8"/>
  <c r="Y5435" i="8"/>
  <c r="Y5436" i="8"/>
  <c r="Y5437" i="8"/>
  <c r="Y5438" i="8"/>
  <c r="Y5439" i="8"/>
  <c r="Y5440" i="8"/>
  <c r="Y5441" i="8"/>
  <c r="Y5442" i="8"/>
  <c r="Y5443" i="8"/>
  <c r="Y5444" i="8"/>
  <c r="Y5445" i="8"/>
  <c r="Y5446" i="8"/>
  <c r="Y5447" i="8"/>
  <c r="Y5448" i="8"/>
  <c r="Y5449" i="8"/>
  <c r="Y5450" i="8"/>
  <c r="Y5451" i="8"/>
  <c r="Y5452" i="8"/>
  <c r="Y5453" i="8"/>
  <c r="Y5454" i="8"/>
  <c r="Y5455" i="8"/>
  <c r="Y5456" i="8"/>
  <c r="Y5457" i="8"/>
  <c r="Y5458" i="8"/>
  <c r="Y5459" i="8"/>
  <c r="Y5460" i="8"/>
  <c r="Y5461" i="8"/>
  <c r="Y5462" i="8"/>
  <c r="Y5463" i="8"/>
  <c r="Y5464" i="8"/>
  <c r="Y5465" i="8"/>
  <c r="Y5466" i="8"/>
  <c r="Y5467" i="8"/>
  <c r="Y5468" i="8"/>
  <c r="Y5469" i="8"/>
  <c r="Y5470" i="8"/>
  <c r="Y5471" i="8"/>
  <c r="Y5472" i="8"/>
  <c r="Y5473" i="8"/>
  <c r="Y5474" i="8"/>
  <c r="Y5475" i="8"/>
  <c r="Y5476" i="8"/>
  <c r="Y5477" i="8"/>
  <c r="Y5478" i="8"/>
  <c r="Y5479" i="8"/>
  <c r="Y5480" i="8"/>
  <c r="Y5481" i="8"/>
  <c r="Y5482" i="8"/>
  <c r="Y5483" i="8"/>
  <c r="Y5484" i="8"/>
  <c r="Y5485" i="8"/>
  <c r="Y5486" i="8"/>
  <c r="Y5487" i="8"/>
  <c r="Y5488" i="8"/>
  <c r="Y5489" i="8"/>
  <c r="Y5490" i="8"/>
  <c r="Y5491" i="8"/>
  <c r="Y5492" i="8"/>
  <c r="Y5493" i="8"/>
  <c r="Y5494" i="8"/>
  <c r="Y5495" i="8"/>
  <c r="Y5496" i="8"/>
  <c r="Y5497" i="8"/>
  <c r="Y5498" i="8"/>
  <c r="Y5499" i="8"/>
  <c r="Y5500" i="8"/>
  <c r="Y5501" i="8"/>
  <c r="Y5502" i="8"/>
  <c r="Y5503" i="8"/>
  <c r="Y5504" i="8"/>
  <c r="Y5505" i="8"/>
  <c r="Y5506" i="8"/>
  <c r="Y5507" i="8"/>
  <c r="Y5508" i="8"/>
  <c r="Y5509" i="8"/>
  <c r="Y5510" i="8"/>
  <c r="Y5511" i="8"/>
  <c r="Y5512" i="8"/>
  <c r="Y5513" i="8"/>
  <c r="Y5514" i="8"/>
  <c r="Y5515" i="8"/>
  <c r="Y5516" i="8"/>
  <c r="Y5517" i="8"/>
  <c r="Y5518" i="8"/>
  <c r="Y5519" i="8"/>
  <c r="Y5520" i="8"/>
  <c r="Y5521" i="8"/>
  <c r="Y5522" i="8"/>
  <c r="Y5523" i="8"/>
  <c r="Y5524" i="8"/>
  <c r="Y5525" i="8"/>
  <c r="Y5526" i="8"/>
  <c r="Y5527" i="8"/>
  <c r="Y5528" i="8"/>
  <c r="Y5529" i="8"/>
  <c r="Y5530" i="8"/>
  <c r="Y5531" i="8"/>
  <c r="Y5532" i="8"/>
  <c r="Y5533" i="8"/>
  <c r="Y5534" i="8"/>
  <c r="Y5535" i="8"/>
  <c r="Y5536" i="8"/>
  <c r="Y5537" i="8"/>
  <c r="Y5538" i="8"/>
  <c r="Y5539" i="8"/>
  <c r="Y5540" i="8"/>
  <c r="Y5541" i="8"/>
  <c r="Y5542" i="8"/>
  <c r="Y5543" i="8"/>
  <c r="Y5544" i="8"/>
  <c r="Y5545" i="8"/>
  <c r="Y5546" i="8"/>
  <c r="Y5547" i="8"/>
  <c r="Y5548" i="8"/>
  <c r="Y5549" i="8"/>
  <c r="Y5550" i="8"/>
  <c r="Y5551" i="8"/>
  <c r="Y5552" i="8"/>
  <c r="Y5553" i="8"/>
  <c r="Y5554" i="8"/>
  <c r="Y5555" i="8"/>
  <c r="Y5556" i="8"/>
  <c r="Y5557" i="8"/>
  <c r="Y5558" i="8"/>
  <c r="Y5559" i="8"/>
  <c r="Y5560" i="8"/>
  <c r="Y5561" i="8"/>
  <c r="Y5562" i="8"/>
  <c r="Y5563" i="8"/>
  <c r="Y5564" i="8"/>
  <c r="Y5565" i="8"/>
  <c r="Y5566" i="8"/>
  <c r="Y5567" i="8"/>
  <c r="Y5568" i="8"/>
  <c r="Y5569" i="8"/>
  <c r="Y5570" i="8"/>
  <c r="Y5571" i="8"/>
  <c r="Y5572" i="8"/>
  <c r="Y5573" i="8"/>
  <c r="Y5574" i="8"/>
  <c r="Y5575" i="8"/>
  <c r="Y5576" i="8"/>
  <c r="Y5577" i="8"/>
  <c r="Y5578" i="8"/>
  <c r="Y5579" i="8"/>
  <c r="Y5580" i="8"/>
  <c r="Y5581" i="8"/>
  <c r="Y5582" i="8"/>
  <c r="Y5583" i="8"/>
  <c r="Y5584" i="8"/>
  <c r="Y5585" i="8"/>
  <c r="Y5586" i="8"/>
  <c r="Y5587" i="8"/>
  <c r="Y5588" i="8"/>
  <c r="Y5589" i="8"/>
  <c r="Y5590" i="8"/>
  <c r="Y5591" i="8"/>
  <c r="Y5592" i="8"/>
  <c r="Y5593" i="8"/>
  <c r="Y5594" i="8"/>
  <c r="Y5595" i="8"/>
  <c r="Y5596" i="8"/>
  <c r="Y5597" i="8"/>
  <c r="Y5598" i="8"/>
  <c r="Y5599" i="8"/>
  <c r="Y5600" i="8"/>
  <c r="Y5601" i="8"/>
  <c r="Y5602" i="8"/>
  <c r="Y5603" i="8"/>
  <c r="Y5604" i="8"/>
  <c r="Y5605" i="8"/>
  <c r="Y5606" i="8"/>
  <c r="Y5607" i="8"/>
  <c r="Y5608" i="8"/>
  <c r="Y5609" i="8"/>
  <c r="Y5610" i="8"/>
  <c r="Y5611" i="8"/>
  <c r="Y5612" i="8"/>
  <c r="Y5613" i="8"/>
  <c r="Y5614" i="8"/>
  <c r="Y5615" i="8"/>
  <c r="Y5616" i="8"/>
  <c r="Y5617" i="8"/>
  <c r="Y5618" i="8"/>
  <c r="Y5619" i="8"/>
  <c r="Y5620" i="8"/>
  <c r="Y5621" i="8"/>
  <c r="Y5622" i="8"/>
  <c r="Y5623" i="8"/>
  <c r="Y5624" i="8"/>
  <c r="Y5625" i="8"/>
  <c r="Y5626" i="8"/>
  <c r="Y5627" i="8"/>
  <c r="Y5628" i="8"/>
  <c r="Y5629" i="8"/>
  <c r="Y5630" i="8"/>
  <c r="Y5631" i="8"/>
  <c r="Y5632" i="8"/>
  <c r="Y5633" i="8"/>
  <c r="Y5634" i="8"/>
  <c r="Y5635" i="8"/>
  <c r="Y5636" i="8"/>
  <c r="Y5637" i="8"/>
  <c r="Y5638" i="8"/>
  <c r="Y5639" i="8"/>
  <c r="Y5640" i="8"/>
  <c r="Y5641" i="8"/>
  <c r="Y5642" i="8"/>
  <c r="Y5643" i="8"/>
  <c r="Y5644" i="8"/>
  <c r="Y5645" i="8"/>
  <c r="Y5646" i="8"/>
  <c r="Y5647" i="8"/>
  <c r="Y5648" i="8"/>
  <c r="Y5649" i="8"/>
  <c r="Y5650" i="8"/>
  <c r="Y5651" i="8"/>
  <c r="Y5652" i="8"/>
  <c r="Y5653" i="8"/>
  <c r="Y5654" i="8"/>
  <c r="Y5655" i="8"/>
  <c r="Y5656" i="8"/>
  <c r="Y5657" i="8"/>
  <c r="Y5658" i="8"/>
  <c r="Y5659" i="8"/>
  <c r="Y5660" i="8"/>
  <c r="Y5661" i="8"/>
  <c r="Y5662" i="8"/>
  <c r="Y5663" i="8"/>
  <c r="Y5664" i="8"/>
  <c r="Y5665" i="8"/>
  <c r="Y5666" i="8"/>
  <c r="Y5667" i="8"/>
  <c r="Y5668" i="8"/>
  <c r="Y5669" i="8"/>
  <c r="Y5670" i="8"/>
  <c r="Y5671" i="8"/>
  <c r="Y5672" i="8"/>
  <c r="Y5673" i="8"/>
  <c r="Y5674" i="8"/>
  <c r="Y5675" i="8"/>
  <c r="Y5676" i="8"/>
  <c r="Y5677" i="8"/>
  <c r="Y5678" i="8"/>
  <c r="Y5679" i="8"/>
  <c r="Y5680" i="8"/>
  <c r="Y5681" i="8"/>
  <c r="Y5682" i="8"/>
  <c r="Y5683" i="8"/>
  <c r="Y5684" i="8"/>
  <c r="Y5685" i="8"/>
  <c r="Y5686" i="8"/>
  <c r="Y5687" i="8"/>
  <c r="Y5688" i="8"/>
  <c r="Y5689" i="8"/>
  <c r="Y5690" i="8"/>
  <c r="Y5691" i="8"/>
  <c r="Y5692" i="8"/>
  <c r="Y5693" i="8"/>
  <c r="Y5694" i="8"/>
  <c r="Y5695" i="8"/>
  <c r="Y5696" i="8"/>
  <c r="Y5697" i="8"/>
  <c r="Y5698" i="8"/>
  <c r="Y5699" i="8"/>
  <c r="Y5700" i="8"/>
  <c r="Y5701" i="8"/>
  <c r="Y5702" i="8"/>
  <c r="Y5703" i="8"/>
  <c r="Y5704" i="8"/>
  <c r="Y5705" i="8"/>
  <c r="Y5706" i="8"/>
  <c r="Y5707" i="8"/>
  <c r="Y5708" i="8"/>
  <c r="Y5709" i="8"/>
  <c r="Y5710" i="8"/>
  <c r="Y5711" i="8"/>
  <c r="Y5712" i="8"/>
  <c r="Y5713" i="8"/>
  <c r="Y5714" i="8"/>
  <c r="Y5715" i="8"/>
  <c r="Y5716" i="8"/>
  <c r="Y5717" i="8"/>
  <c r="Y5718" i="8"/>
  <c r="Y5719" i="8"/>
  <c r="Y5720" i="8"/>
  <c r="Y5721" i="8"/>
  <c r="Y5722" i="8"/>
  <c r="Y5723" i="8"/>
  <c r="Y5724" i="8"/>
  <c r="Y5725" i="8"/>
  <c r="Y5726" i="8"/>
  <c r="Y5727" i="8"/>
  <c r="Y5728" i="8"/>
  <c r="Y5729" i="8"/>
  <c r="Y5730" i="8"/>
  <c r="Y5731" i="8"/>
  <c r="Y5732" i="8"/>
  <c r="Y5733" i="8"/>
  <c r="Y5734" i="8"/>
  <c r="Y5735" i="8"/>
  <c r="Y5736" i="8"/>
  <c r="Y5737" i="8"/>
  <c r="Y5738" i="8"/>
  <c r="Y5739" i="8"/>
  <c r="Y5740" i="8"/>
  <c r="Y5741" i="8"/>
  <c r="Y5742" i="8"/>
  <c r="Y5743" i="8"/>
  <c r="Y5744" i="8"/>
  <c r="Y5745" i="8"/>
  <c r="Y5746" i="8"/>
  <c r="Y5747" i="8"/>
  <c r="Y5748" i="8"/>
  <c r="Y5749" i="8"/>
  <c r="Y5750" i="8"/>
  <c r="Y5751" i="8"/>
  <c r="Y5752" i="8"/>
  <c r="Y5753" i="8"/>
  <c r="Y5754" i="8"/>
  <c r="Y5755" i="8"/>
  <c r="Y5756" i="8"/>
  <c r="Y5757" i="8"/>
  <c r="Y5758" i="8"/>
  <c r="Y5759" i="8"/>
  <c r="Y5760" i="8"/>
  <c r="Y5761" i="8"/>
  <c r="Y5762" i="8"/>
  <c r="Y5763" i="8"/>
  <c r="Y5764" i="8"/>
  <c r="Y5765" i="8"/>
  <c r="Y5766" i="8"/>
  <c r="Y5767" i="8"/>
  <c r="Y5768" i="8"/>
  <c r="Y5769" i="8"/>
  <c r="Y5770" i="8"/>
  <c r="Y5771" i="8"/>
  <c r="Y5772" i="8"/>
  <c r="Y5773" i="8"/>
  <c r="Y5774" i="8"/>
  <c r="Y5775" i="8"/>
  <c r="Y5776" i="8"/>
  <c r="Y5777" i="8"/>
  <c r="Y5778" i="8"/>
  <c r="Y5779" i="8"/>
  <c r="Y5780" i="8"/>
  <c r="Y5781" i="8"/>
  <c r="Y5782" i="8"/>
  <c r="Y5783" i="8"/>
  <c r="Y5784" i="8"/>
  <c r="Y5785" i="8"/>
  <c r="Y5786" i="8"/>
  <c r="Y5787" i="8"/>
  <c r="Y5788" i="8"/>
  <c r="Y5789" i="8"/>
  <c r="Y5790" i="8"/>
  <c r="Y5791" i="8"/>
  <c r="Y5792" i="8"/>
  <c r="Y5793" i="8"/>
  <c r="Y5794" i="8"/>
  <c r="Y5795" i="8"/>
  <c r="Y5796" i="8"/>
  <c r="Y5797" i="8"/>
  <c r="Y5798" i="8"/>
  <c r="Y5799" i="8"/>
  <c r="Y5800" i="8"/>
  <c r="Y5801" i="8"/>
  <c r="Y5802" i="8"/>
  <c r="Y5803" i="8"/>
  <c r="Y5804" i="8"/>
  <c r="Y5805" i="8"/>
  <c r="Y5806" i="8"/>
  <c r="Y5807" i="8"/>
  <c r="Y5808" i="8"/>
  <c r="Y5809" i="8"/>
  <c r="Y5810" i="8"/>
  <c r="Y5811" i="8"/>
  <c r="Y5812" i="8"/>
  <c r="Y5813" i="8"/>
  <c r="Y5814" i="8"/>
  <c r="Y5815" i="8"/>
  <c r="Y5816" i="8"/>
  <c r="Y5817" i="8"/>
  <c r="Y5818" i="8"/>
  <c r="Y5819" i="8"/>
  <c r="Y5820" i="8"/>
  <c r="Y5821" i="8"/>
  <c r="Y5822" i="8"/>
  <c r="Y5823" i="8"/>
  <c r="Y5824" i="8"/>
  <c r="Y5825" i="8"/>
  <c r="Y5826" i="8"/>
  <c r="Y5827" i="8"/>
  <c r="Y5828" i="8"/>
  <c r="Y5829" i="8"/>
  <c r="Y5830" i="8"/>
  <c r="Y5831" i="8"/>
  <c r="Y5832" i="8"/>
  <c r="Y5833" i="8"/>
  <c r="Y5834" i="8"/>
  <c r="Y5835" i="8"/>
  <c r="Y5836" i="8"/>
  <c r="Y5837" i="8"/>
  <c r="Y5838" i="8"/>
  <c r="Y5839" i="8"/>
  <c r="Y5840" i="8"/>
  <c r="Y5841" i="8"/>
  <c r="Y5842" i="8"/>
  <c r="Y5843" i="8"/>
  <c r="Y5844" i="8"/>
  <c r="Y5845" i="8"/>
  <c r="Y5846" i="8"/>
  <c r="Y5847" i="8"/>
  <c r="Y5848" i="8"/>
  <c r="Y5849" i="8"/>
  <c r="Y5850" i="8"/>
  <c r="Y5851" i="8"/>
  <c r="Y5852" i="8"/>
  <c r="Y5853" i="8"/>
  <c r="Y5854" i="8"/>
  <c r="Y5855" i="8"/>
  <c r="Y5856" i="8"/>
  <c r="Y5857" i="8"/>
  <c r="Y5858" i="8"/>
  <c r="Y5859" i="8"/>
  <c r="Y5860" i="8"/>
  <c r="Y5861" i="8"/>
  <c r="Y5862" i="8"/>
  <c r="Y5863" i="8"/>
  <c r="Y5864" i="8"/>
  <c r="Y5865" i="8"/>
  <c r="Y5866" i="8"/>
  <c r="Y5867" i="8"/>
  <c r="Y5868" i="8"/>
  <c r="Y5869" i="8"/>
  <c r="Y5870" i="8"/>
  <c r="Y5871" i="8"/>
  <c r="Y5872" i="8"/>
  <c r="Y5873" i="8"/>
  <c r="Y5874" i="8"/>
  <c r="Y5875" i="8"/>
  <c r="Y5876" i="8"/>
  <c r="Y5877" i="8"/>
  <c r="Y5878" i="8"/>
  <c r="Y5879" i="8"/>
  <c r="Y5880" i="8"/>
  <c r="Y5881" i="8"/>
  <c r="Y5882" i="8"/>
  <c r="Y5883" i="8"/>
  <c r="Y5884" i="8"/>
  <c r="Y5885" i="8"/>
  <c r="Y5886" i="8"/>
  <c r="Y5887" i="8"/>
  <c r="Y5888" i="8"/>
  <c r="Y5889" i="8"/>
  <c r="Y5890" i="8"/>
  <c r="Y5891" i="8"/>
  <c r="Y5892" i="8"/>
  <c r="Y5893" i="8"/>
  <c r="Y5894" i="8"/>
  <c r="Y5895" i="8"/>
  <c r="Y5896" i="8"/>
  <c r="Y5897" i="8"/>
  <c r="Y5898" i="8"/>
  <c r="Y5899" i="8"/>
  <c r="Y5900" i="8"/>
  <c r="Y5901" i="8"/>
  <c r="Y5902" i="8"/>
  <c r="Y5903" i="8"/>
  <c r="Y5904" i="8"/>
  <c r="Y5905" i="8"/>
  <c r="Y5906" i="8"/>
  <c r="Y5907" i="8"/>
  <c r="Y5908" i="8"/>
  <c r="Y5909" i="8"/>
  <c r="Y5910" i="8"/>
  <c r="Y5911" i="8"/>
  <c r="Y5912" i="8"/>
  <c r="Y5913" i="8"/>
  <c r="Y5914" i="8"/>
  <c r="Y5915" i="8"/>
  <c r="Y5916" i="8"/>
  <c r="Y5917" i="8"/>
  <c r="Y5918" i="8"/>
  <c r="Y5919" i="8"/>
  <c r="Y5920" i="8"/>
  <c r="Y5921" i="8"/>
  <c r="Y5922" i="8"/>
  <c r="Y5923" i="8"/>
  <c r="Y5924" i="8"/>
  <c r="Y5925" i="8"/>
  <c r="Y5926" i="8"/>
  <c r="Y5927" i="8"/>
  <c r="Y5928" i="8"/>
  <c r="Y5929" i="8"/>
  <c r="Y5930" i="8"/>
  <c r="Y5931" i="8"/>
  <c r="Y5932" i="8"/>
  <c r="Y5933" i="8"/>
  <c r="Y5934" i="8"/>
  <c r="Y5935" i="8"/>
  <c r="Y5936" i="8"/>
  <c r="Y5937" i="8"/>
  <c r="Y5938" i="8"/>
  <c r="Y5939" i="8"/>
  <c r="Y5940" i="8"/>
  <c r="Y5941" i="8"/>
  <c r="Y5942" i="8"/>
  <c r="Y5943" i="8"/>
  <c r="Y5944" i="8"/>
  <c r="Y5945" i="8"/>
  <c r="Y5946" i="8"/>
  <c r="Y5947" i="8"/>
  <c r="Y5948" i="8"/>
  <c r="Y5949" i="8"/>
  <c r="Y5950" i="8"/>
  <c r="Y5951" i="8"/>
  <c r="Y5952" i="8"/>
  <c r="Y5953" i="8"/>
  <c r="Y5954" i="8"/>
  <c r="Y5955" i="8"/>
  <c r="Y5956" i="8"/>
  <c r="Y5957" i="8"/>
  <c r="Y5958" i="8"/>
  <c r="Y5959" i="8"/>
  <c r="Y5960" i="8"/>
  <c r="Y5961" i="8"/>
  <c r="Y5962" i="8"/>
  <c r="Y5963" i="8"/>
  <c r="Y5964" i="8"/>
  <c r="Y5965" i="8"/>
  <c r="Y5966" i="8"/>
  <c r="Y5967" i="8"/>
  <c r="Y5968" i="8"/>
  <c r="Y5969" i="8"/>
  <c r="Y5970" i="8"/>
  <c r="Y5971" i="8"/>
  <c r="Y5972" i="8"/>
  <c r="Y5973" i="8"/>
  <c r="Y5974" i="8"/>
  <c r="Y5975" i="8"/>
  <c r="Y5976" i="8"/>
  <c r="Y5977" i="8"/>
  <c r="Y5978" i="8"/>
  <c r="Y5979" i="8"/>
  <c r="Y5980" i="8"/>
  <c r="Y5981" i="8"/>
  <c r="Y5982" i="8"/>
  <c r="Y5983" i="8"/>
  <c r="Y5984" i="8"/>
  <c r="Y5985" i="8"/>
  <c r="Y5986" i="8"/>
  <c r="Y5987" i="8"/>
  <c r="Y5988" i="8"/>
  <c r="Y5989" i="8"/>
  <c r="Y5990" i="8"/>
  <c r="Y5991" i="8"/>
  <c r="Y5992" i="8"/>
  <c r="Y5993" i="8"/>
  <c r="Y5994" i="8"/>
  <c r="Y5995" i="8"/>
  <c r="Y5996" i="8"/>
  <c r="Y5997" i="8"/>
  <c r="Y5998" i="8"/>
  <c r="Y5999" i="8"/>
  <c r="Y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3425" i="8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B2" i="8"/>
  <c r="X3" i="8" l="1"/>
  <c r="Z3" i="8" s="1"/>
  <c r="X4" i="8"/>
  <c r="Z4" i="8" s="1"/>
  <c r="X5" i="8"/>
  <c r="Z5" i="8" s="1"/>
  <c r="X6" i="8"/>
  <c r="Z6" i="8" s="1"/>
  <c r="X7" i="8"/>
  <c r="Z7" i="8" s="1"/>
  <c r="X8" i="8"/>
  <c r="Z8" i="8" s="1"/>
  <c r="X9" i="8"/>
  <c r="Z9" i="8" s="1"/>
  <c r="X10" i="8"/>
  <c r="Z10" i="8" s="1"/>
  <c r="X11" i="8"/>
  <c r="Z11" i="8" s="1"/>
  <c r="X12" i="8"/>
  <c r="Z12" i="8" s="1"/>
  <c r="X13" i="8"/>
  <c r="Z13" i="8" s="1"/>
  <c r="X14" i="8"/>
  <c r="Z14" i="8" s="1"/>
  <c r="X15" i="8"/>
  <c r="Z15" i="8" s="1"/>
  <c r="X16" i="8"/>
  <c r="Z16" i="8" s="1"/>
  <c r="X17" i="8"/>
  <c r="Z17" i="8" s="1"/>
  <c r="X18" i="8"/>
  <c r="Z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Z26" i="8" s="1"/>
  <c r="X27" i="8"/>
  <c r="Z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Z33" i="8" s="1"/>
  <c r="X34" i="8"/>
  <c r="Z34" i="8" s="1"/>
  <c r="X35" i="8"/>
  <c r="Z35" i="8" s="1"/>
  <c r="X36" i="8"/>
  <c r="Z36" i="8" s="1"/>
  <c r="X37" i="8"/>
  <c r="Z37" i="8" s="1"/>
  <c r="X38" i="8"/>
  <c r="Z38" i="8" s="1"/>
  <c r="X39" i="8"/>
  <c r="Z39" i="8" s="1"/>
  <c r="X40" i="8"/>
  <c r="Z40" i="8" s="1"/>
  <c r="X41" i="8"/>
  <c r="Z41" i="8" s="1"/>
  <c r="X42" i="8"/>
  <c r="Z42" i="8" s="1"/>
  <c r="X43" i="8"/>
  <c r="Z43" i="8" s="1"/>
  <c r="X44" i="8"/>
  <c r="Z44" i="8" s="1"/>
  <c r="X45" i="8"/>
  <c r="Z45" i="8" s="1"/>
  <c r="X46" i="8"/>
  <c r="Z46" i="8" s="1"/>
  <c r="X47" i="8"/>
  <c r="Z47" i="8" s="1"/>
  <c r="X48" i="8"/>
  <c r="Z48" i="8" s="1"/>
  <c r="X49" i="8"/>
  <c r="Z49" i="8" s="1"/>
  <c r="X50" i="8"/>
  <c r="Z50" i="8" s="1"/>
  <c r="X51" i="8"/>
  <c r="Z51" i="8" s="1"/>
  <c r="X52" i="8"/>
  <c r="Z52" i="8" s="1"/>
  <c r="X53" i="8"/>
  <c r="Z53" i="8" s="1"/>
  <c r="X54" i="8"/>
  <c r="Z54" i="8" s="1"/>
  <c r="X55" i="8"/>
  <c r="Z55" i="8" s="1"/>
  <c r="X56" i="8"/>
  <c r="Z56" i="8" s="1"/>
  <c r="X57" i="8"/>
  <c r="Z57" i="8" s="1"/>
  <c r="X58" i="8"/>
  <c r="Z58" i="8" s="1"/>
  <c r="X59" i="8"/>
  <c r="Z59" i="8" s="1"/>
  <c r="X60" i="8"/>
  <c r="Z60" i="8" s="1"/>
  <c r="X61" i="8"/>
  <c r="Z61" i="8" s="1"/>
  <c r="X62" i="8"/>
  <c r="Z62" i="8" s="1"/>
  <c r="X63" i="8"/>
  <c r="Z63" i="8" s="1"/>
  <c r="X64" i="8"/>
  <c r="Z64" i="8" s="1"/>
  <c r="X65" i="8"/>
  <c r="Z65" i="8" s="1"/>
  <c r="X66" i="8"/>
  <c r="Z66" i="8" s="1"/>
  <c r="X67" i="8"/>
  <c r="Z67" i="8" s="1"/>
  <c r="X68" i="8"/>
  <c r="Z68" i="8" s="1"/>
  <c r="X69" i="8"/>
  <c r="Z69" i="8" s="1"/>
  <c r="X70" i="8"/>
  <c r="Z70" i="8" s="1"/>
  <c r="X71" i="8"/>
  <c r="Z71" i="8" s="1"/>
  <c r="X72" i="8"/>
  <c r="Z72" i="8" s="1"/>
  <c r="X73" i="8"/>
  <c r="Z73" i="8" s="1"/>
  <c r="X74" i="8"/>
  <c r="Z74" i="8" s="1"/>
  <c r="X75" i="8"/>
  <c r="Z75" i="8" s="1"/>
  <c r="X76" i="8"/>
  <c r="Z76" i="8" s="1"/>
  <c r="X77" i="8"/>
  <c r="Z77" i="8" s="1"/>
  <c r="X78" i="8"/>
  <c r="Z78" i="8" s="1"/>
  <c r="X79" i="8"/>
  <c r="Z79" i="8" s="1"/>
  <c r="X80" i="8"/>
  <c r="Z80" i="8" s="1"/>
  <c r="X81" i="8"/>
  <c r="Z81" i="8" s="1"/>
  <c r="X82" i="8"/>
  <c r="Z82" i="8" s="1"/>
  <c r="X83" i="8"/>
  <c r="Z83" i="8" s="1"/>
  <c r="X84" i="8"/>
  <c r="Z84" i="8" s="1"/>
  <c r="X85" i="8"/>
  <c r="Z85" i="8" s="1"/>
  <c r="X86" i="8"/>
  <c r="Z86" i="8" s="1"/>
  <c r="X87" i="8"/>
  <c r="Z87" i="8" s="1"/>
  <c r="X88" i="8"/>
  <c r="Z88" i="8" s="1"/>
  <c r="X89" i="8"/>
  <c r="Z89" i="8" s="1"/>
  <c r="X90" i="8"/>
  <c r="Z90" i="8" s="1"/>
  <c r="X91" i="8"/>
  <c r="Z91" i="8" s="1"/>
  <c r="X92" i="8"/>
  <c r="Z92" i="8" s="1"/>
  <c r="X93" i="8"/>
  <c r="Z93" i="8" s="1"/>
  <c r="X94" i="8"/>
  <c r="Z94" i="8" s="1"/>
  <c r="X95" i="8"/>
  <c r="Z95" i="8" s="1"/>
  <c r="X96" i="8"/>
  <c r="Z96" i="8" s="1"/>
  <c r="X97" i="8"/>
  <c r="Z97" i="8" s="1"/>
  <c r="X98" i="8"/>
  <c r="Z98" i="8" s="1"/>
  <c r="X99" i="8"/>
  <c r="Z99" i="8" s="1"/>
  <c r="X100" i="8"/>
  <c r="Z100" i="8" s="1"/>
  <c r="X101" i="8"/>
  <c r="Z101" i="8" s="1"/>
  <c r="X102" i="8"/>
  <c r="Z102" i="8" s="1"/>
  <c r="X103" i="8"/>
  <c r="Z103" i="8" s="1"/>
  <c r="X104" i="8"/>
  <c r="Z104" i="8" s="1"/>
  <c r="X105" i="8"/>
  <c r="Z105" i="8" s="1"/>
  <c r="X106" i="8"/>
  <c r="Z106" i="8" s="1"/>
  <c r="X107" i="8"/>
  <c r="Z107" i="8" s="1"/>
  <c r="X108" i="8"/>
  <c r="Z108" i="8" s="1"/>
  <c r="X109" i="8"/>
  <c r="Z109" i="8" s="1"/>
  <c r="X110" i="8"/>
  <c r="Z110" i="8" s="1"/>
  <c r="X111" i="8"/>
  <c r="Z111" i="8" s="1"/>
  <c r="X112" i="8"/>
  <c r="Z112" i="8" s="1"/>
  <c r="X113" i="8"/>
  <c r="Z113" i="8" s="1"/>
  <c r="X114" i="8"/>
  <c r="Z114" i="8" s="1"/>
  <c r="X115" i="8"/>
  <c r="Z115" i="8" s="1"/>
  <c r="X116" i="8"/>
  <c r="Z116" i="8" s="1"/>
  <c r="X117" i="8"/>
  <c r="Z117" i="8" s="1"/>
  <c r="X118" i="8"/>
  <c r="Z118" i="8" s="1"/>
  <c r="X119" i="8"/>
  <c r="Z119" i="8" s="1"/>
  <c r="X120" i="8"/>
  <c r="Z120" i="8" s="1"/>
  <c r="X121" i="8"/>
  <c r="Z121" i="8" s="1"/>
  <c r="X122" i="8"/>
  <c r="Z122" i="8" s="1"/>
  <c r="X123" i="8"/>
  <c r="Z123" i="8" s="1"/>
  <c r="X124" i="8"/>
  <c r="Z124" i="8" s="1"/>
  <c r="X125" i="8"/>
  <c r="Z125" i="8" s="1"/>
  <c r="X126" i="8"/>
  <c r="Z126" i="8" s="1"/>
  <c r="X127" i="8"/>
  <c r="Z127" i="8" s="1"/>
  <c r="X128" i="8"/>
  <c r="Z128" i="8" s="1"/>
  <c r="X129" i="8"/>
  <c r="Z129" i="8" s="1"/>
  <c r="X130" i="8"/>
  <c r="Z130" i="8" s="1"/>
  <c r="X131" i="8"/>
  <c r="Z131" i="8" s="1"/>
  <c r="X132" i="8"/>
  <c r="Z132" i="8" s="1"/>
  <c r="X133" i="8"/>
  <c r="Z133" i="8" s="1"/>
  <c r="X134" i="8"/>
  <c r="Z134" i="8" s="1"/>
  <c r="X135" i="8"/>
  <c r="Z135" i="8" s="1"/>
  <c r="X136" i="8"/>
  <c r="Z136" i="8" s="1"/>
  <c r="X137" i="8"/>
  <c r="Z137" i="8" s="1"/>
  <c r="X138" i="8"/>
  <c r="Z138" i="8" s="1"/>
  <c r="X139" i="8"/>
  <c r="Z139" i="8" s="1"/>
  <c r="X140" i="8"/>
  <c r="Z140" i="8" s="1"/>
  <c r="X141" i="8"/>
  <c r="Z141" i="8" s="1"/>
  <c r="X142" i="8"/>
  <c r="Z142" i="8" s="1"/>
  <c r="X143" i="8"/>
  <c r="Z143" i="8" s="1"/>
  <c r="X144" i="8"/>
  <c r="Z144" i="8" s="1"/>
  <c r="X145" i="8"/>
  <c r="Z145" i="8" s="1"/>
  <c r="X146" i="8"/>
  <c r="Z146" i="8" s="1"/>
  <c r="X147" i="8"/>
  <c r="Z147" i="8" s="1"/>
  <c r="X148" i="8"/>
  <c r="Z148" i="8" s="1"/>
  <c r="X149" i="8"/>
  <c r="Z149" i="8" s="1"/>
  <c r="X150" i="8"/>
  <c r="Z150" i="8" s="1"/>
  <c r="X151" i="8"/>
  <c r="Z151" i="8" s="1"/>
  <c r="X152" i="8"/>
  <c r="Z152" i="8" s="1"/>
  <c r="X153" i="8"/>
  <c r="Z153" i="8" s="1"/>
  <c r="X154" i="8"/>
  <c r="Z154" i="8" s="1"/>
  <c r="X155" i="8"/>
  <c r="Z155" i="8" s="1"/>
  <c r="X156" i="8"/>
  <c r="Z156" i="8" s="1"/>
  <c r="X157" i="8"/>
  <c r="Z157" i="8" s="1"/>
  <c r="X158" i="8"/>
  <c r="Z158" i="8" s="1"/>
  <c r="X159" i="8"/>
  <c r="Z159" i="8" s="1"/>
  <c r="X160" i="8"/>
  <c r="Z160" i="8" s="1"/>
  <c r="X161" i="8"/>
  <c r="Z161" i="8" s="1"/>
  <c r="X162" i="8"/>
  <c r="Z162" i="8" s="1"/>
  <c r="X163" i="8"/>
  <c r="Z163" i="8" s="1"/>
  <c r="X164" i="8"/>
  <c r="Z164" i="8" s="1"/>
  <c r="X165" i="8"/>
  <c r="Z165" i="8" s="1"/>
  <c r="X166" i="8"/>
  <c r="Z166" i="8" s="1"/>
  <c r="X167" i="8"/>
  <c r="Z167" i="8" s="1"/>
  <c r="X168" i="8"/>
  <c r="Z168" i="8" s="1"/>
  <c r="X169" i="8"/>
  <c r="Z169" i="8" s="1"/>
  <c r="X170" i="8"/>
  <c r="Z170" i="8" s="1"/>
  <c r="X171" i="8"/>
  <c r="Z171" i="8" s="1"/>
  <c r="X172" i="8"/>
  <c r="Z172" i="8" s="1"/>
  <c r="X173" i="8"/>
  <c r="Z173" i="8" s="1"/>
  <c r="X174" i="8"/>
  <c r="Z174" i="8" s="1"/>
  <c r="X175" i="8"/>
  <c r="Z175" i="8" s="1"/>
  <c r="X176" i="8"/>
  <c r="Z176" i="8" s="1"/>
  <c r="X177" i="8"/>
  <c r="Z177" i="8" s="1"/>
  <c r="X178" i="8"/>
  <c r="Z178" i="8" s="1"/>
  <c r="X179" i="8"/>
  <c r="Z179" i="8" s="1"/>
  <c r="X180" i="8"/>
  <c r="Z180" i="8" s="1"/>
  <c r="X181" i="8"/>
  <c r="Z181" i="8" s="1"/>
  <c r="X182" i="8"/>
  <c r="Z182" i="8" s="1"/>
  <c r="X183" i="8"/>
  <c r="Z183" i="8" s="1"/>
  <c r="X184" i="8"/>
  <c r="Z184" i="8" s="1"/>
  <c r="X185" i="8"/>
  <c r="Z185" i="8" s="1"/>
  <c r="X186" i="8"/>
  <c r="Z186" i="8" s="1"/>
  <c r="X187" i="8"/>
  <c r="Z187" i="8" s="1"/>
  <c r="X188" i="8"/>
  <c r="Z188" i="8" s="1"/>
  <c r="X189" i="8"/>
  <c r="Z189" i="8" s="1"/>
  <c r="X190" i="8"/>
  <c r="Z190" i="8" s="1"/>
  <c r="X191" i="8"/>
  <c r="Z191" i="8" s="1"/>
  <c r="X192" i="8"/>
  <c r="Z192" i="8" s="1"/>
  <c r="X193" i="8"/>
  <c r="Z193" i="8" s="1"/>
  <c r="X194" i="8"/>
  <c r="Z194" i="8" s="1"/>
  <c r="X195" i="8"/>
  <c r="Z195" i="8" s="1"/>
  <c r="X196" i="8"/>
  <c r="Z196" i="8" s="1"/>
  <c r="X197" i="8"/>
  <c r="Z197" i="8" s="1"/>
  <c r="X198" i="8"/>
  <c r="Z198" i="8" s="1"/>
  <c r="X199" i="8"/>
  <c r="Z199" i="8" s="1"/>
  <c r="X200" i="8"/>
  <c r="Z200" i="8" s="1"/>
  <c r="X201" i="8"/>
  <c r="Z201" i="8" s="1"/>
  <c r="X202" i="8"/>
  <c r="Z202" i="8" s="1"/>
  <c r="X203" i="8"/>
  <c r="Z203" i="8" s="1"/>
  <c r="X204" i="8"/>
  <c r="Z204" i="8" s="1"/>
  <c r="X205" i="8"/>
  <c r="Z205" i="8" s="1"/>
  <c r="X206" i="8"/>
  <c r="Z206" i="8" s="1"/>
  <c r="X207" i="8"/>
  <c r="Z207" i="8" s="1"/>
  <c r="X208" i="8"/>
  <c r="Z208" i="8" s="1"/>
  <c r="X209" i="8"/>
  <c r="Z209" i="8" s="1"/>
  <c r="X210" i="8"/>
  <c r="Z210" i="8" s="1"/>
  <c r="X211" i="8"/>
  <c r="Z211" i="8" s="1"/>
  <c r="X212" i="8"/>
  <c r="Z212" i="8" s="1"/>
  <c r="X213" i="8"/>
  <c r="Z213" i="8" s="1"/>
  <c r="X214" i="8"/>
  <c r="Z214" i="8" s="1"/>
  <c r="X215" i="8"/>
  <c r="Z215" i="8" s="1"/>
  <c r="X216" i="8"/>
  <c r="Z216" i="8" s="1"/>
  <c r="X217" i="8"/>
  <c r="Z217" i="8" s="1"/>
  <c r="X218" i="8"/>
  <c r="Z218" i="8" s="1"/>
  <c r="X219" i="8"/>
  <c r="Z219" i="8" s="1"/>
  <c r="X220" i="8"/>
  <c r="Z220" i="8" s="1"/>
  <c r="X221" i="8"/>
  <c r="Z221" i="8" s="1"/>
  <c r="X222" i="8"/>
  <c r="Z222" i="8" s="1"/>
  <c r="X223" i="8"/>
  <c r="Z223" i="8" s="1"/>
  <c r="X224" i="8"/>
  <c r="Z224" i="8" s="1"/>
  <c r="X225" i="8"/>
  <c r="Z225" i="8" s="1"/>
  <c r="X226" i="8"/>
  <c r="Z226" i="8" s="1"/>
  <c r="X227" i="8"/>
  <c r="Z227" i="8" s="1"/>
  <c r="X228" i="8"/>
  <c r="Z228" i="8" s="1"/>
  <c r="X229" i="8"/>
  <c r="Z229" i="8" s="1"/>
  <c r="X230" i="8"/>
  <c r="Z230" i="8" s="1"/>
  <c r="X231" i="8"/>
  <c r="Z231" i="8" s="1"/>
  <c r="X232" i="8"/>
  <c r="Z232" i="8" s="1"/>
  <c r="X233" i="8"/>
  <c r="Z233" i="8" s="1"/>
  <c r="X234" i="8"/>
  <c r="Z234" i="8" s="1"/>
  <c r="X235" i="8"/>
  <c r="Z235" i="8" s="1"/>
  <c r="X236" i="8"/>
  <c r="Z236" i="8" s="1"/>
  <c r="X237" i="8"/>
  <c r="Z237" i="8" s="1"/>
  <c r="X238" i="8"/>
  <c r="Z238" i="8" s="1"/>
  <c r="X239" i="8"/>
  <c r="Z239" i="8" s="1"/>
  <c r="X240" i="8"/>
  <c r="Z240" i="8" s="1"/>
  <c r="X241" i="8"/>
  <c r="Z241" i="8" s="1"/>
  <c r="X242" i="8"/>
  <c r="Z242" i="8" s="1"/>
  <c r="X243" i="8"/>
  <c r="Z243" i="8" s="1"/>
  <c r="X244" i="8"/>
  <c r="Z244" i="8" s="1"/>
  <c r="X245" i="8"/>
  <c r="Z245" i="8" s="1"/>
  <c r="X246" i="8"/>
  <c r="Z246" i="8" s="1"/>
  <c r="X247" i="8"/>
  <c r="Z247" i="8" s="1"/>
  <c r="X248" i="8"/>
  <c r="Z248" i="8" s="1"/>
  <c r="X249" i="8"/>
  <c r="Z249" i="8" s="1"/>
  <c r="X250" i="8"/>
  <c r="Z250" i="8" s="1"/>
  <c r="X251" i="8"/>
  <c r="Z251" i="8" s="1"/>
  <c r="X252" i="8"/>
  <c r="Z252" i="8" s="1"/>
  <c r="X253" i="8"/>
  <c r="Z253" i="8" s="1"/>
  <c r="X254" i="8"/>
  <c r="Z254" i="8" s="1"/>
  <c r="X255" i="8"/>
  <c r="Z255" i="8" s="1"/>
  <c r="X256" i="8"/>
  <c r="Z256" i="8" s="1"/>
  <c r="X257" i="8"/>
  <c r="Z257" i="8" s="1"/>
  <c r="X258" i="8"/>
  <c r="Z258" i="8" s="1"/>
  <c r="X259" i="8"/>
  <c r="Z259" i="8" s="1"/>
  <c r="X260" i="8"/>
  <c r="Z260" i="8" s="1"/>
  <c r="X261" i="8"/>
  <c r="Z261" i="8" s="1"/>
  <c r="X262" i="8"/>
  <c r="Z262" i="8" s="1"/>
  <c r="X263" i="8"/>
  <c r="Z263" i="8" s="1"/>
  <c r="X264" i="8"/>
  <c r="Z264" i="8" s="1"/>
  <c r="X265" i="8"/>
  <c r="Z265" i="8" s="1"/>
  <c r="X266" i="8"/>
  <c r="Z266" i="8" s="1"/>
  <c r="X267" i="8"/>
  <c r="Z267" i="8" s="1"/>
  <c r="X268" i="8"/>
  <c r="Z268" i="8" s="1"/>
  <c r="X269" i="8"/>
  <c r="Z269" i="8" s="1"/>
  <c r="X270" i="8"/>
  <c r="Z270" i="8" s="1"/>
  <c r="X271" i="8"/>
  <c r="Z271" i="8" s="1"/>
  <c r="X272" i="8"/>
  <c r="Z272" i="8" s="1"/>
  <c r="X273" i="8"/>
  <c r="Z273" i="8" s="1"/>
  <c r="X274" i="8"/>
  <c r="Z274" i="8" s="1"/>
  <c r="X275" i="8"/>
  <c r="Z275" i="8" s="1"/>
  <c r="X276" i="8"/>
  <c r="Z276" i="8" s="1"/>
  <c r="X277" i="8"/>
  <c r="Z277" i="8" s="1"/>
  <c r="X278" i="8"/>
  <c r="Z278" i="8" s="1"/>
  <c r="X279" i="8"/>
  <c r="Z279" i="8" s="1"/>
  <c r="X280" i="8"/>
  <c r="Z280" i="8" s="1"/>
  <c r="X281" i="8"/>
  <c r="Z281" i="8" s="1"/>
  <c r="X282" i="8"/>
  <c r="Z282" i="8" s="1"/>
  <c r="X283" i="8"/>
  <c r="Z283" i="8" s="1"/>
  <c r="X284" i="8"/>
  <c r="Z284" i="8" s="1"/>
  <c r="X285" i="8"/>
  <c r="Z285" i="8" s="1"/>
  <c r="X286" i="8"/>
  <c r="Z286" i="8" s="1"/>
  <c r="X287" i="8"/>
  <c r="Z287" i="8" s="1"/>
  <c r="X288" i="8"/>
  <c r="Z288" i="8" s="1"/>
  <c r="X289" i="8"/>
  <c r="Z289" i="8" s="1"/>
  <c r="X290" i="8"/>
  <c r="Z290" i="8" s="1"/>
  <c r="X291" i="8"/>
  <c r="Z291" i="8" s="1"/>
  <c r="X292" i="8"/>
  <c r="Z292" i="8" s="1"/>
  <c r="X293" i="8"/>
  <c r="Z293" i="8" s="1"/>
  <c r="X294" i="8"/>
  <c r="Z294" i="8" s="1"/>
  <c r="X295" i="8"/>
  <c r="Z295" i="8" s="1"/>
  <c r="X296" i="8"/>
  <c r="Z296" i="8" s="1"/>
  <c r="X297" i="8"/>
  <c r="Z297" i="8" s="1"/>
  <c r="X298" i="8"/>
  <c r="Z298" i="8" s="1"/>
  <c r="X299" i="8"/>
  <c r="Z299" i="8" s="1"/>
  <c r="X300" i="8"/>
  <c r="Z300" i="8" s="1"/>
  <c r="X301" i="8"/>
  <c r="Z301" i="8" s="1"/>
  <c r="X302" i="8"/>
  <c r="Z302" i="8" s="1"/>
  <c r="X303" i="8"/>
  <c r="Z303" i="8" s="1"/>
  <c r="X304" i="8"/>
  <c r="Z304" i="8" s="1"/>
  <c r="X305" i="8"/>
  <c r="Z305" i="8" s="1"/>
  <c r="X306" i="8"/>
  <c r="Z306" i="8" s="1"/>
  <c r="X307" i="8"/>
  <c r="Z307" i="8" s="1"/>
  <c r="X308" i="8"/>
  <c r="Z308" i="8" s="1"/>
  <c r="X309" i="8"/>
  <c r="Z309" i="8" s="1"/>
  <c r="X310" i="8"/>
  <c r="Z310" i="8" s="1"/>
  <c r="X311" i="8"/>
  <c r="Z311" i="8" s="1"/>
  <c r="X312" i="8"/>
  <c r="Z312" i="8" s="1"/>
  <c r="X313" i="8"/>
  <c r="Z313" i="8" s="1"/>
  <c r="X314" i="8"/>
  <c r="Z314" i="8" s="1"/>
  <c r="X315" i="8"/>
  <c r="Z315" i="8" s="1"/>
  <c r="X316" i="8"/>
  <c r="Z316" i="8" s="1"/>
  <c r="X317" i="8"/>
  <c r="Z317" i="8" s="1"/>
  <c r="X318" i="8"/>
  <c r="Z318" i="8" s="1"/>
  <c r="X319" i="8"/>
  <c r="Z319" i="8" s="1"/>
  <c r="X320" i="8"/>
  <c r="Z320" i="8" s="1"/>
  <c r="X321" i="8"/>
  <c r="Z321" i="8" s="1"/>
  <c r="X322" i="8"/>
  <c r="Z322" i="8" s="1"/>
  <c r="X323" i="8"/>
  <c r="Z323" i="8" s="1"/>
  <c r="X324" i="8"/>
  <c r="Z324" i="8" s="1"/>
  <c r="X325" i="8"/>
  <c r="Z325" i="8" s="1"/>
  <c r="X326" i="8"/>
  <c r="Z326" i="8" s="1"/>
  <c r="X327" i="8"/>
  <c r="Z327" i="8" s="1"/>
  <c r="X328" i="8"/>
  <c r="Z328" i="8" s="1"/>
  <c r="X329" i="8"/>
  <c r="Z329" i="8" s="1"/>
  <c r="X330" i="8"/>
  <c r="Z330" i="8" s="1"/>
  <c r="X331" i="8"/>
  <c r="Z331" i="8" s="1"/>
  <c r="X332" i="8"/>
  <c r="Z332" i="8" s="1"/>
  <c r="X333" i="8"/>
  <c r="Z333" i="8" s="1"/>
  <c r="X334" i="8"/>
  <c r="Z334" i="8" s="1"/>
  <c r="X335" i="8"/>
  <c r="Z335" i="8" s="1"/>
  <c r="X336" i="8"/>
  <c r="Z336" i="8" s="1"/>
  <c r="X337" i="8"/>
  <c r="Z337" i="8" s="1"/>
  <c r="X338" i="8"/>
  <c r="Z338" i="8" s="1"/>
  <c r="X339" i="8"/>
  <c r="Z339" i="8" s="1"/>
  <c r="X340" i="8"/>
  <c r="Z340" i="8" s="1"/>
  <c r="X341" i="8"/>
  <c r="Z341" i="8" s="1"/>
  <c r="X342" i="8"/>
  <c r="Z342" i="8" s="1"/>
  <c r="X343" i="8"/>
  <c r="Z343" i="8" s="1"/>
  <c r="X344" i="8"/>
  <c r="Z344" i="8" s="1"/>
  <c r="X345" i="8"/>
  <c r="Z345" i="8" s="1"/>
  <c r="X346" i="8"/>
  <c r="Z346" i="8" s="1"/>
  <c r="X347" i="8"/>
  <c r="Z347" i="8" s="1"/>
  <c r="X348" i="8"/>
  <c r="Z348" i="8" s="1"/>
  <c r="X349" i="8"/>
  <c r="Z349" i="8" s="1"/>
  <c r="X350" i="8"/>
  <c r="Z350" i="8" s="1"/>
  <c r="X351" i="8"/>
  <c r="Z351" i="8" s="1"/>
  <c r="X352" i="8"/>
  <c r="Z352" i="8" s="1"/>
  <c r="X353" i="8"/>
  <c r="Z353" i="8" s="1"/>
  <c r="X354" i="8"/>
  <c r="Z354" i="8" s="1"/>
  <c r="X355" i="8"/>
  <c r="Z355" i="8" s="1"/>
  <c r="X356" i="8"/>
  <c r="Z356" i="8" s="1"/>
  <c r="X357" i="8"/>
  <c r="Z357" i="8" s="1"/>
  <c r="X358" i="8"/>
  <c r="Z358" i="8" s="1"/>
  <c r="X359" i="8"/>
  <c r="Z359" i="8" s="1"/>
  <c r="X360" i="8"/>
  <c r="Z360" i="8" s="1"/>
  <c r="X361" i="8"/>
  <c r="Z361" i="8" s="1"/>
  <c r="X362" i="8"/>
  <c r="Z362" i="8" s="1"/>
  <c r="X363" i="8"/>
  <c r="Z363" i="8" s="1"/>
  <c r="X364" i="8"/>
  <c r="Z364" i="8" s="1"/>
  <c r="X365" i="8"/>
  <c r="Z365" i="8" s="1"/>
  <c r="X366" i="8"/>
  <c r="Z366" i="8" s="1"/>
  <c r="X367" i="8"/>
  <c r="Z367" i="8" s="1"/>
  <c r="X368" i="8"/>
  <c r="Z368" i="8" s="1"/>
  <c r="X369" i="8"/>
  <c r="Z369" i="8" s="1"/>
  <c r="X370" i="8"/>
  <c r="Z370" i="8" s="1"/>
  <c r="X371" i="8"/>
  <c r="Z371" i="8" s="1"/>
  <c r="X372" i="8"/>
  <c r="Z372" i="8" s="1"/>
  <c r="X373" i="8"/>
  <c r="Z373" i="8" s="1"/>
  <c r="X374" i="8"/>
  <c r="Z374" i="8" s="1"/>
  <c r="X375" i="8"/>
  <c r="Z375" i="8" s="1"/>
  <c r="X376" i="8"/>
  <c r="Z376" i="8" s="1"/>
  <c r="X377" i="8"/>
  <c r="Z377" i="8" s="1"/>
  <c r="X378" i="8"/>
  <c r="Z378" i="8" s="1"/>
  <c r="X379" i="8"/>
  <c r="Z379" i="8" s="1"/>
  <c r="X380" i="8"/>
  <c r="Z380" i="8" s="1"/>
  <c r="X381" i="8"/>
  <c r="Z381" i="8" s="1"/>
  <c r="X382" i="8"/>
  <c r="Z382" i="8" s="1"/>
  <c r="X383" i="8"/>
  <c r="Z383" i="8" s="1"/>
  <c r="X384" i="8"/>
  <c r="Z384" i="8" s="1"/>
  <c r="X385" i="8"/>
  <c r="Z385" i="8" s="1"/>
  <c r="X386" i="8"/>
  <c r="Z386" i="8" s="1"/>
  <c r="X387" i="8"/>
  <c r="Z387" i="8" s="1"/>
  <c r="X388" i="8"/>
  <c r="Z388" i="8" s="1"/>
  <c r="X389" i="8"/>
  <c r="Z389" i="8" s="1"/>
  <c r="X390" i="8"/>
  <c r="Z390" i="8" s="1"/>
  <c r="X391" i="8"/>
  <c r="Z391" i="8" s="1"/>
  <c r="X392" i="8"/>
  <c r="Z392" i="8" s="1"/>
  <c r="X393" i="8"/>
  <c r="Z393" i="8" s="1"/>
  <c r="X394" i="8"/>
  <c r="Z394" i="8" s="1"/>
  <c r="X395" i="8"/>
  <c r="Z395" i="8" s="1"/>
  <c r="X396" i="8"/>
  <c r="Z396" i="8" s="1"/>
  <c r="X397" i="8"/>
  <c r="Z397" i="8" s="1"/>
  <c r="X398" i="8"/>
  <c r="Z398" i="8" s="1"/>
  <c r="X399" i="8"/>
  <c r="Z399" i="8" s="1"/>
  <c r="X400" i="8"/>
  <c r="Z400" i="8" s="1"/>
  <c r="X401" i="8"/>
  <c r="Z401" i="8" s="1"/>
  <c r="X402" i="8"/>
  <c r="Z402" i="8" s="1"/>
  <c r="X403" i="8"/>
  <c r="Z403" i="8" s="1"/>
  <c r="X404" i="8"/>
  <c r="Z404" i="8" s="1"/>
  <c r="X405" i="8"/>
  <c r="Z405" i="8" s="1"/>
  <c r="X406" i="8"/>
  <c r="Z406" i="8" s="1"/>
  <c r="X407" i="8"/>
  <c r="Z407" i="8" s="1"/>
  <c r="X408" i="8"/>
  <c r="Z408" i="8" s="1"/>
  <c r="X409" i="8"/>
  <c r="Z409" i="8" s="1"/>
  <c r="X410" i="8"/>
  <c r="Z410" i="8" s="1"/>
  <c r="X411" i="8"/>
  <c r="Z411" i="8" s="1"/>
  <c r="X412" i="8"/>
  <c r="Z412" i="8" s="1"/>
  <c r="X413" i="8"/>
  <c r="Z413" i="8" s="1"/>
  <c r="X414" i="8"/>
  <c r="Z414" i="8" s="1"/>
  <c r="X415" i="8"/>
  <c r="Z415" i="8" s="1"/>
  <c r="X416" i="8"/>
  <c r="Z416" i="8" s="1"/>
  <c r="X417" i="8"/>
  <c r="Z417" i="8" s="1"/>
  <c r="X418" i="8"/>
  <c r="Z418" i="8" s="1"/>
  <c r="X419" i="8"/>
  <c r="Z419" i="8" s="1"/>
  <c r="X420" i="8"/>
  <c r="Z420" i="8" s="1"/>
  <c r="X421" i="8"/>
  <c r="Z421" i="8" s="1"/>
  <c r="X422" i="8"/>
  <c r="Z422" i="8" s="1"/>
  <c r="X423" i="8"/>
  <c r="Z423" i="8" s="1"/>
  <c r="X424" i="8"/>
  <c r="Z424" i="8" s="1"/>
  <c r="X425" i="8"/>
  <c r="Z425" i="8" s="1"/>
  <c r="X426" i="8"/>
  <c r="Z426" i="8" s="1"/>
  <c r="X427" i="8"/>
  <c r="Z427" i="8" s="1"/>
  <c r="X428" i="8"/>
  <c r="Z428" i="8" s="1"/>
  <c r="X429" i="8"/>
  <c r="Z429" i="8" s="1"/>
  <c r="X430" i="8"/>
  <c r="Z430" i="8" s="1"/>
  <c r="X431" i="8"/>
  <c r="Z431" i="8" s="1"/>
  <c r="X432" i="8"/>
  <c r="Z432" i="8" s="1"/>
  <c r="X433" i="8"/>
  <c r="Z433" i="8" s="1"/>
  <c r="X434" i="8"/>
  <c r="Z434" i="8" s="1"/>
  <c r="X435" i="8"/>
  <c r="Z435" i="8" s="1"/>
  <c r="X436" i="8"/>
  <c r="Z436" i="8" s="1"/>
  <c r="X437" i="8"/>
  <c r="Z437" i="8" s="1"/>
  <c r="X438" i="8"/>
  <c r="Z438" i="8" s="1"/>
  <c r="X439" i="8"/>
  <c r="Z439" i="8" s="1"/>
  <c r="X440" i="8"/>
  <c r="Z440" i="8" s="1"/>
  <c r="X441" i="8"/>
  <c r="Z441" i="8" s="1"/>
  <c r="X442" i="8"/>
  <c r="Z442" i="8" s="1"/>
  <c r="X443" i="8"/>
  <c r="Z443" i="8" s="1"/>
  <c r="X444" i="8"/>
  <c r="Z444" i="8" s="1"/>
  <c r="X445" i="8"/>
  <c r="Z445" i="8" s="1"/>
  <c r="X446" i="8"/>
  <c r="Z446" i="8" s="1"/>
  <c r="X447" i="8"/>
  <c r="Z447" i="8" s="1"/>
  <c r="X448" i="8"/>
  <c r="Z448" i="8" s="1"/>
  <c r="X449" i="8"/>
  <c r="Z449" i="8" s="1"/>
  <c r="X450" i="8"/>
  <c r="Z450" i="8" s="1"/>
  <c r="X451" i="8"/>
  <c r="Z451" i="8" s="1"/>
  <c r="X452" i="8"/>
  <c r="Z452" i="8" s="1"/>
  <c r="X453" i="8"/>
  <c r="Z453" i="8" s="1"/>
  <c r="X454" i="8"/>
  <c r="Z454" i="8" s="1"/>
  <c r="X455" i="8"/>
  <c r="Z455" i="8" s="1"/>
  <c r="X456" i="8"/>
  <c r="Z456" i="8" s="1"/>
  <c r="X457" i="8"/>
  <c r="Z457" i="8" s="1"/>
  <c r="X458" i="8"/>
  <c r="Z458" i="8" s="1"/>
  <c r="X459" i="8"/>
  <c r="Z459" i="8" s="1"/>
  <c r="X460" i="8"/>
  <c r="Z460" i="8" s="1"/>
  <c r="X461" i="8"/>
  <c r="Z461" i="8" s="1"/>
  <c r="X462" i="8"/>
  <c r="Z462" i="8" s="1"/>
  <c r="X463" i="8"/>
  <c r="Z463" i="8" s="1"/>
  <c r="X464" i="8"/>
  <c r="Z464" i="8" s="1"/>
  <c r="X465" i="8"/>
  <c r="Z465" i="8" s="1"/>
  <c r="X466" i="8"/>
  <c r="Z466" i="8" s="1"/>
  <c r="X467" i="8"/>
  <c r="Z467" i="8" s="1"/>
  <c r="X468" i="8"/>
  <c r="Z468" i="8" s="1"/>
  <c r="X469" i="8"/>
  <c r="Z469" i="8" s="1"/>
  <c r="X470" i="8"/>
  <c r="Z470" i="8" s="1"/>
  <c r="X471" i="8"/>
  <c r="Z471" i="8" s="1"/>
  <c r="X472" i="8"/>
  <c r="Z472" i="8" s="1"/>
  <c r="X473" i="8"/>
  <c r="Z473" i="8" s="1"/>
  <c r="X474" i="8"/>
  <c r="Z474" i="8" s="1"/>
  <c r="X475" i="8"/>
  <c r="Z475" i="8" s="1"/>
  <c r="X476" i="8"/>
  <c r="Z476" i="8" s="1"/>
  <c r="X477" i="8"/>
  <c r="Z477" i="8" s="1"/>
  <c r="X478" i="8"/>
  <c r="Z478" i="8" s="1"/>
  <c r="X479" i="8"/>
  <c r="Z479" i="8" s="1"/>
  <c r="X480" i="8"/>
  <c r="Z480" i="8" s="1"/>
  <c r="X481" i="8"/>
  <c r="Z481" i="8" s="1"/>
  <c r="X482" i="8"/>
  <c r="Z482" i="8" s="1"/>
  <c r="X483" i="8"/>
  <c r="Z483" i="8" s="1"/>
  <c r="X484" i="8"/>
  <c r="Z484" i="8" s="1"/>
  <c r="X485" i="8"/>
  <c r="Z485" i="8" s="1"/>
  <c r="X486" i="8"/>
  <c r="Z486" i="8" s="1"/>
  <c r="X487" i="8"/>
  <c r="Z487" i="8" s="1"/>
  <c r="X488" i="8"/>
  <c r="Z488" i="8" s="1"/>
  <c r="X489" i="8"/>
  <c r="Z489" i="8" s="1"/>
  <c r="X490" i="8"/>
  <c r="Z490" i="8" s="1"/>
  <c r="X491" i="8"/>
  <c r="Z491" i="8" s="1"/>
  <c r="X492" i="8"/>
  <c r="Z492" i="8" s="1"/>
  <c r="X493" i="8"/>
  <c r="Z493" i="8" s="1"/>
  <c r="X494" i="8"/>
  <c r="Z494" i="8" s="1"/>
  <c r="X495" i="8"/>
  <c r="Z495" i="8" s="1"/>
  <c r="X496" i="8"/>
  <c r="Z496" i="8" s="1"/>
  <c r="X497" i="8"/>
  <c r="Z497" i="8" s="1"/>
  <c r="X498" i="8"/>
  <c r="Z498" i="8" s="1"/>
  <c r="X499" i="8"/>
  <c r="Z499" i="8" s="1"/>
  <c r="X500" i="8"/>
  <c r="Z500" i="8" s="1"/>
  <c r="X501" i="8"/>
  <c r="Z501" i="8" s="1"/>
  <c r="X502" i="8"/>
  <c r="Z502" i="8" s="1"/>
  <c r="X503" i="8"/>
  <c r="Z503" i="8" s="1"/>
  <c r="X504" i="8"/>
  <c r="Z504" i="8" s="1"/>
  <c r="X505" i="8"/>
  <c r="Z505" i="8" s="1"/>
  <c r="X506" i="8"/>
  <c r="Z506" i="8" s="1"/>
  <c r="X507" i="8"/>
  <c r="Z507" i="8" s="1"/>
  <c r="X508" i="8"/>
  <c r="Z508" i="8" s="1"/>
  <c r="X509" i="8"/>
  <c r="Z509" i="8" s="1"/>
  <c r="X510" i="8"/>
  <c r="Z510" i="8" s="1"/>
  <c r="X511" i="8"/>
  <c r="Z511" i="8" s="1"/>
  <c r="X512" i="8"/>
  <c r="Z512" i="8" s="1"/>
  <c r="X513" i="8"/>
  <c r="Z513" i="8" s="1"/>
  <c r="X514" i="8"/>
  <c r="Z514" i="8" s="1"/>
  <c r="X515" i="8"/>
  <c r="Z515" i="8" s="1"/>
  <c r="X516" i="8"/>
  <c r="Z516" i="8" s="1"/>
  <c r="X517" i="8"/>
  <c r="Z517" i="8" s="1"/>
  <c r="X518" i="8"/>
  <c r="Z518" i="8" s="1"/>
  <c r="X519" i="8"/>
  <c r="Z519" i="8" s="1"/>
  <c r="X520" i="8"/>
  <c r="Z520" i="8" s="1"/>
  <c r="X521" i="8"/>
  <c r="Z521" i="8" s="1"/>
  <c r="X522" i="8"/>
  <c r="Z522" i="8" s="1"/>
  <c r="X523" i="8"/>
  <c r="Z523" i="8" s="1"/>
  <c r="X524" i="8"/>
  <c r="Z524" i="8" s="1"/>
  <c r="X525" i="8"/>
  <c r="Z525" i="8" s="1"/>
  <c r="X526" i="8"/>
  <c r="Z526" i="8" s="1"/>
  <c r="X527" i="8"/>
  <c r="Z527" i="8" s="1"/>
  <c r="X528" i="8"/>
  <c r="Z528" i="8" s="1"/>
  <c r="X529" i="8"/>
  <c r="Z529" i="8" s="1"/>
  <c r="X530" i="8"/>
  <c r="Z530" i="8" s="1"/>
  <c r="X531" i="8"/>
  <c r="Z531" i="8" s="1"/>
  <c r="X532" i="8"/>
  <c r="Z532" i="8" s="1"/>
  <c r="X533" i="8"/>
  <c r="Z533" i="8" s="1"/>
  <c r="X534" i="8"/>
  <c r="Z534" i="8" s="1"/>
  <c r="X535" i="8"/>
  <c r="Z535" i="8" s="1"/>
  <c r="X536" i="8"/>
  <c r="Z536" i="8" s="1"/>
  <c r="X537" i="8"/>
  <c r="Z537" i="8" s="1"/>
  <c r="X538" i="8"/>
  <c r="Z538" i="8" s="1"/>
  <c r="X539" i="8"/>
  <c r="Z539" i="8" s="1"/>
  <c r="X540" i="8"/>
  <c r="Z540" i="8" s="1"/>
  <c r="X541" i="8"/>
  <c r="Z541" i="8" s="1"/>
  <c r="X542" i="8"/>
  <c r="Z542" i="8" s="1"/>
  <c r="X543" i="8"/>
  <c r="Z543" i="8" s="1"/>
  <c r="X544" i="8"/>
  <c r="Z544" i="8" s="1"/>
  <c r="X545" i="8"/>
  <c r="Z545" i="8" s="1"/>
  <c r="X546" i="8"/>
  <c r="Z546" i="8" s="1"/>
  <c r="X547" i="8"/>
  <c r="Z547" i="8" s="1"/>
  <c r="X548" i="8"/>
  <c r="Z548" i="8" s="1"/>
  <c r="X549" i="8"/>
  <c r="Z549" i="8" s="1"/>
  <c r="X550" i="8"/>
  <c r="Z550" i="8" s="1"/>
  <c r="X551" i="8"/>
  <c r="Z551" i="8" s="1"/>
  <c r="X552" i="8"/>
  <c r="Z552" i="8" s="1"/>
  <c r="X553" i="8"/>
  <c r="Z553" i="8" s="1"/>
  <c r="X554" i="8"/>
  <c r="Z554" i="8" s="1"/>
  <c r="X555" i="8"/>
  <c r="Z555" i="8" s="1"/>
  <c r="X556" i="8"/>
  <c r="Z556" i="8" s="1"/>
  <c r="X557" i="8"/>
  <c r="Z557" i="8" s="1"/>
  <c r="X558" i="8"/>
  <c r="Z558" i="8" s="1"/>
  <c r="X559" i="8"/>
  <c r="Z559" i="8" s="1"/>
  <c r="X560" i="8"/>
  <c r="Z560" i="8" s="1"/>
  <c r="X561" i="8"/>
  <c r="Z561" i="8" s="1"/>
  <c r="X562" i="8"/>
  <c r="Z562" i="8" s="1"/>
  <c r="X563" i="8"/>
  <c r="Z563" i="8" s="1"/>
  <c r="X564" i="8"/>
  <c r="Z564" i="8" s="1"/>
  <c r="X565" i="8"/>
  <c r="Z565" i="8" s="1"/>
  <c r="X566" i="8"/>
  <c r="Z566" i="8" s="1"/>
  <c r="X567" i="8"/>
  <c r="Z567" i="8" s="1"/>
  <c r="X568" i="8"/>
  <c r="Z568" i="8" s="1"/>
  <c r="X569" i="8"/>
  <c r="Z569" i="8" s="1"/>
  <c r="X570" i="8"/>
  <c r="Z570" i="8" s="1"/>
  <c r="X571" i="8"/>
  <c r="Z571" i="8" s="1"/>
  <c r="X572" i="8"/>
  <c r="Z572" i="8" s="1"/>
  <c r="X573" i="8"/>
  <c r="Z573" i="8" s="1"/>
  <c r="X574" i="8"/>
  <c r="Z574" i="8" s="1"/>
  <c r="X575" i="8"/>
  <c r="Z575" i="8" s="1"/>
  <c r="X576" i="8"/>
  <c r="Z576" i="8" s="1"/>
  <c r="X577" i="8"/>
  <c r="Z577" i="8" s="1"/>
  <c r="X578" i="8"/>
  <c r="Z578" i="8" s="1"/>
  <c r="X579" i="8"/>
  <c r="Z579" i="8" s="1"/>
  <c r="X580" i="8"/>
  <c r="Z580" i="8" s="1"/>
  <c r="X581" i="8"/>
  <c r="Z581" i="8" s="1"/>
  <c r="X582" i="8"/>
  <c r="Z582" i="8" s="1"/>
  <c r="X583" i="8"/>
  <c r="Z583" i="8" s="1"/>
  <c r="X584" i="8"/>
  <c r="Z584" i="8" s="1"/>
  <c r="X585" i="8"/>
  <c r="Z585" i="8" s="1"/>
  <c r="X586" i="8"/>
  <c r="Z586" i="8" s="1"/>
  <c r="X587" i="8"/>
  <c r="Z587" i="8" s="1"/>
  <c r="X588" i="8"/>
  <c r="Z588" i="8" s="1"/>
  <c r="X589" i="8"/>
  <c r="Z589" i="8" s="1"/>
  <c r="X590" i="8"/>
  <c r="Z590" i="8" s="1"/>
  <c r="X591" i="8"/>
  <c r="Z591" i="8" s="1"/>
  <c r="X592" i="8"/>
  <c r="Z592" i="8" s="1"/>
  <c r="X593" i="8"/>
  <c r="Z593" i="8" s="1"/>
  <c r="X594" i="8"/>
  <c r="Z594" i="8" s="1"/>
  <c r="X595" i="8"/>
  <c r="Z595" i="8" s="1"/>
  <c r="X596" i="8"/>
  <c r="Z596" i="8" s="1"/>
  <c r="X597" i="8"/>
  <c r="Z597" i="8" s="1"/>
  <c r="X598" i="8"/>
  <c r="Z598" i="8" s="1"/>
  <c r="X599" i="8"/>
  <c r="Z599" i="8" s="1"/>
  <c r="X600" i="8"/>
  <c r="Z600" i="8" s="1"/>
  <c r="X601" i="8"/>
  <c r="Z601" i="8" s="1"/>
  <c r="X602" i="8"/>
  <c r="Z602" i="8" s="1"/>
  <c r="X603" i="8"/>
  <c r="Z603" i="8" s="1"/>
  <c r="X604" i="8"/>
  <c r="Z604" i="8" s="1"/>
  <c r="X605" i="8"/>
  <c r="Z605" i="8" s="1"/>
  <c r="X606" i="8"/>
  <c r="Z606" i="8" s="1"/>
  <c r="X607" i="8"/>
  <c r="Z607" i="8" s="1"/>
  <c r="X608" i="8"/>
  <c r="Z608" i="8" s="1"/>
  <c r="X609" i="8"/>
  <c r="Z609" i="8" s="1"/>
  <c r="X610" i="8"/>
  <c r="Z610" i="8" s="1"/>
  <c r="X611" i="8"/>
  <c r="Z611" i="8" s="1"/>
  <c r="X612" i="8"/>
  <c r="Z612" i="8" s="1"/>
  <c r="X613" i="8"/>
  <c r="Z613" i="8" s="1"/>
  <c r="X614" i="8"/>
  <c r="Z614" i="8" s="1"/>
  <c r="X615" i="8"/>
  <c r="Z615" i="8" s="1"/>
  <c r="X616" i="8"/>
  <c r="Z616" i="8" s="1"/>
  <c r="X617" i="8"/>
  <c r="Z617" i="8" s="1"/>
  <c r="X618" i="8"/>
  <c r="Z618" i="8" s="1"/>
  <c r="X619" i="8"/>
  <c r="Z619" i="8" s="1"/>
  <c r="X620" i="8"/>
  <c r="Z620" i="8" s="1"/>
  <c r="X621" i="8"/>
  <c r="Z621" i="8" s="1"/>
  <c r="X622" i="8"/>
  <c r="Z622" i="8" s="1"/>
  <c r="X623" i="8"/>
  <c r="Z623" i="8" s="1"/>
  <c r="X624" i="8"/>
  <c r="Z624" i="8" s="1"/>
  <c r="X625" i="8"/>
  <c r="Z625" i="8" s="1"/>
  <c r="X626" i="8"/>
  <c r="Z626" i="8" s="1"/>
  <c r="X627" i="8"/>
  <c r="Z627" i="8" s="1"/>
  <c r="X628" i="8"/>
  <c r="Z628" i="8" s="1"/>
  <c r="X629" i="8"/>
  <c r="Z629" i="8" s="1"/>
  <c r="X630" i="8"/>
  <c r="Z630" i="8" s="1"/>
  <c r="X631" i="8"/>
  <c r="Z631" i="8" s="1"/>
  <c r="X632" i="8"/>
  <c r="Z632" i="8" s="1"/>
  <c r="X633" i="8"/>
  <c r="Z633" i="8" s="1"/>
  <c r="X634" i="8"/>
  <c r="Z634" i="8" s="1"/>
  <c r="X635" i="8"/>
  <c r="Z635" i="8" s="1"/>
  <c r="X636" i="8"/>
  <c r="Z636" i="8" s="1"/>
  <c r="X637" i="8"/>
  <c r="Z637" i="8" s="1"/>
  <c r="X638" i="8"/>
  <c r="Z638" i="8" s="1"/>
  <c r="X639" i="8"/>
  <c r="Z639" i="8" s="1"/>
  <c r="X640" i="8"/>
  <c r="Z640" i="8" s="1"/>
  <c r="X641" i="8"/>
  <c r="Z641" i="8" s="1"/>
  <c r="X642" i="8"/>
  <c r="Z642" i="8" s="1"/>
  <c r="X643" i="8"/>
  <c r="Z643" i="8" s="1"/>
  <c r="X644" i="8"/>
  <c r="Z644" i="8" s="1"/>
  <c r="X645" i="8"/>
  <c r="Z645" i="8" s="1"/>
  <c r="X646" i="8"/>
  <c r="Z646" i="8" s="1"/>
  <c r="X647" i="8"/>
  <c r="Z647" i="8" s="1"/>
  <c r="X648" i="8"/>
  <c r="Z648" i="8" s="1"/>
  <c r="X649" i="8"/>
  <c r="Z649" i="8" s="1"/>
  <c r="X650" i="8"/>
  <c r="Z650" i="8" s="1"/>
  <c r="X651" i="8"/>
  <c r="Z651" i="8" s="1"/>
  <c r="X652" i="8"/>
  <c r="Z652" i="8" s="1"/>
  <c r="X653" i="8"/>
  <c r="Z653" i="8" s="1"/>
  <c r="X654" i="8"/>
  <c r="Z654" i="8" s="1"/>
  <c r="X655" i="8"/>
  <c r="Z655" i="8" s="1"/>
  <c r="X656" i="8"/>
  <c r="Z656" i="8" s="1"/>
  <c r="X657" i="8"/>
  <c r="Z657" i="8" s="1"/>
  <c r="X658" i="8"/>
  <c r="Z658" i="8" s="1"/>
  <c r="X659" i="8"/>
  <c r="Z659" i="8" s="1"/>
  <c r="X660" i="8"/>
  <c r="Z660" i="8" s="1"/>
  <c r="X661" i="8"/>
  <c r="Z661" i="8" s="1"/>
  <c r="X662" i="8"/>
  <c r="Z662" i="8" s="1"/>
  <c r="X663" i="8"/>
  <c r="Z663" i="8" s="1"/>
  <c r="X664" i="8"/>
  <c r="Z664" i="8" s="1"/>
  <c r="X665" i="8"/>
  <c r="Z665" i="8" s="1"/>
  <c r="X666" i="8"/>
  <c r="Z666" i="8" s="1"/>
  <c r="X667" i="8"/>
  <c r="Z667" i="8" s="1"/>
  <c r="X668" i="8"/>
  <c r="Z668" i="8" s="1"/>
  <c r="X669" i="8"/>
  <c r="Z669" i="8" s="1"/>
  <c r="X670" i="8"/>
  <c r="Z670" i="8" s="1"/>
  <c r="X671" i="8"/>
  <c r="Z671" i="8" s="1"/>
  <c r="X672" i="8"/>
  <c r="Z672" i="8" s="1"/>
  <c r="X673" i="8"/>
  <c r="Z673" i="8" s="1"/>
  <c r="X674" i="8"/>
  <c r="Z674" i="8" s="1"/>
  <c r="X675" i="8"/>
  <c r="Z675" i="8" s="1"/>
  <c r="X676" i="8"/>
  <c r="Z676" i="8" s="1"/>
  <c r="X677" i="8"/>
  <c r="Z677" i="8" s="1"/>
  <c r="X678" i="8"/>
  <c r="Z678" i="8" s="1"/>
  <c r="X679" i="8"/>
  <c r="Z679" i="8" s="1"/>
  <c r="X680" i="8"/>
  <c r="Z680" i="8" s="1"/>
  <c r="X681" i="8"/>
  <c r="Z681" i="8" s="1"/>
  <c r="X682" i="8"/>
  <c r="Z682" i="8" s="1"/>
  <c r="X683" i="8"/>
  <c r="Z683" i="8" s="1"/>
  <c r="X684" i="8"/>
  <c r="Z684" i="8" s="1"/>
  <c r="X685" i="8"/>
  <c r="Z685" i="8" s="1"/>
  <c r="X686" i="8"/>
  <c r="Z686" i="8" s="1"/>
  <c r="X687" i="8"/>
  <c r="Z687" i="8" s="1"/>
  <c r="X688" i="8"/>
  <c r="Z688" i="8" s="1"/>
  <c r="X689" i="8"/>
  <c r="Z689" i="8" s="1"/>
  <c r="X690" i="8"/>
  <c r="Z690" i="8" s="1"/>
  <c r="X691" i="8"/>
  <c r="Z691" i="8" s="1"/>
  <c r="X692" i="8"/>
  <c r="Z692" i="8" s="1"/>
  <c r="X693" i="8"/>
  <c r="Z693" i="8" s="1"/>
  <c r="X694" i="8"/>
  <c r="Z694" i="8" s="1"/>
  <c r="X695" i="8"/>
  <c r="Z695" i="8" s="1"/>
  <c r="X696" i="8"/>
  <c r="Z696" i="8" s="1"/>
  <c r="X697" i="8"/>
  <c r="Z697" i="8" s="1"/>
  <c r="X698" i="8"/>
  <c r="Z698" i="8" s="1"/>
  <c r="X699" i="8"/>
  <c r="Z699" i="8" s="1"/>
  <c r="X700" i="8"/>
  <c r="Z700" i="8" s="1"/>
  <c r="X701" i="8"/>
  <c r="Z701" i="8" s="1"/>
  <c r="X702" i="8"/>
  <c r="Z702" i="8" s="1"/>
  <c r="X703" i="8"/>
  <c r="Z703" i="8" s="1"/>
  <c r="X704" i="8"/>
  <c r="Z704" i="8" s="1"/>
  <c r="X705" i="8"/>
  <c r="Z705" i="8" s="1"/>
  <c r="X706" i="8"/>
  <c r="Z706" i="8" s="1"/>
  <c r="X707" i="8"/>
  <c r="Z707" i="8" s="1"/>
  <c r="X708" i="8"/>
  <c r="Z708" i="8" s="1"/>
  <c r="X709" i="8"/>
  <c r="Z709" i="8" s="1"/>
  <c r="X710" i="8"/>
  <c r="Z710" i="8" s="1"/>
  <c r="X711" i="8"/>
  <c r="Z711" i="8" s="1"/>
  <c r="X712" i="8"/>
  <c r="Z712" i="8" s="1"/>
  <c r="X713" i="8"/>
  <c r="Z713" i="8" s="1"/>
  <c r="X714" i="8"/>
  <c r="Z714" i="8" s="1"/>
  <c r="X715" i="8"/>
  <c r="Z715" i="8" s="1"/>
  <c r="X716" i="8"/>
  <c r="Z716" i="8" s="1"/>
  <c r="X717" i="8"/>
  <c r="Z717" i="8" s="1"/>
  <c r="X718" i="8"/>
  <c r="Z718" i="8" s="1"/>
  <c r="X719" i="8"/>
  <c r="Z719" i="8" s="1"/>
  <c r="X720" i="8"/>
  <c r="Z720" i="8" s="1"/>
  <c r="X721" i="8"/>
  <c r="Z721" i="8" s="1"/>
  <c r="X722" i="8"/>
  <c r="Z722" i="8" s="1"/>
  <c r="X723" i="8"/>
  <c r="Z723" i="8" s="1"/>
  <c r="X724" i="8"/>
  <c r="Z724" i="8" s="1"/>
  <c r="X725" i="8"/>
  <c r="Z725" i="8" s="1"/>
  <c r="X726" i="8"/>
  <c r="Z726" i="8" s="1"/>
  <c r="X727" i="8"/>
  <c r="Z727" i="8" s="1"/>
  <c r="X728" i="8"/>
  <c r="Z728" i="8" s="1"/>
  <c r="X729" i="8"/>
  <c r="Z729" i="8" s="1"/>
  <c r="X730" i="8"/>
  <c r="Z730" i="8" s="1"/>
  <c r="X731" i="8"/>
  <c r="Z731" i="8" s="1"/>
  <c r="X732" i="8"/>
  <c r="Z732" i="8" s="1"/>
  <c r="X733" i="8"/>
  <c r="Z733" i="8" s="1"/>
  <c r="X734" i="8"/>
  <c r="Z734" i="8" s="1"/>
  <c r="X735" i="8"/>
  <c r="Z735" i="8" s="1"/>
  <c r="X736" i="8"/>
  <c r="Z736" i="8" s="1"/>
  <c r="X737" i="8"/>
  <c r="Z737" i="8" s="1"/>
  <c r="X738" i="8"/>
  <c r="Z738" i="8" s="1"/>
  <c r="X739" i="8"/>
  <c r="Z739" i="8" s="1"/>
  <c r="X740" i="8"/>
  <c r="Z740" i="8" s="1"/>
  <c r="X741" i="8"/>
  <c r="Z741" i="8" s="1"/>
  <c r="X742" i="8"/>
  <c r="Z742" i="8" s="1"/>
  <c r="X743" i="8"/>
  <c r="Z743" i="8" s="1"/>
  <c r="X744" i="8"/>
  <c r="Z744" i="8" s="1"/>
  <c r="X745" i="8"/>
  <c r="Z745" i="8" s="1"/>
  <c r="X746" i="8"/>
  <c r="Z746" i="8" s="1"/>
  <c r="X747" i="8"/>
  <c r="Z747" i="8" s="1"/>
  <c r="X748" i="8"/>
  <c r="Z748" i="8" s="1"/>
  <c r="X749" i="8"/>
  <c r="Z749" i="8" s="1"/>
  <c r="X750" i="8"/>
  <c r="Z750" i="8" s="1"/>
  <c r="X751" i="8"/>
  <c r="Z751" i="8" s="1"/>
  <c r="X752" i="8"/>
  <c r="Z752" i="8" s="1"/>
  <c r="X753" i="8"/>
  <c r="Z753" i="8" s="1"/>
  <c r="X754" i="8"/>
  <c r="Z754" i="8" s="1"/>
  <c r="X755" i="8"/>
  <c r="Z755" i="8" s="1"/>
  <c r="X756" i="8"/>
  <c r="Z756" i="8" s="1"/>
  <c r="X757" i="8"/>
  <c r="Z757" i="8" s="1"/>
  <c r="X758" i="8"/>
  <c r="Z758" i="8" s="1"/>
  <c r="X759" i="8"/>
  <c r="Z759" i="8" s="1"/>
  <c r="X760" i="8"/>
  <c r="Z760" i="8" s="1"/>
  <c r="X761" i="8"/>
  <c r="Z761" i="8" s="1"/>
  <c r="X762" i="8"/>
  <c r="Z762" i="8" s="1"/>
  <c r="X763" i="8"/>
  <c r="Z763" i="8" s="1"/>
  <c r="X764" i="8"/>
  <c r="Z764" i="8" s="1"/>
  <c r="X765" i="8"/>
  <c r="Z765" i="8" s="1"/>
  <c r="X766" i="8"/>
  <c r="Z766" i="8" s="1"/>
  <c r="X767" i="8"/>
  <c r="Z767" i="8" s="1"/>
  <c r="X768" i="8"/>
  <c r="Z768" i="8" s="1"/>
  <c r="X769" i="8"/>
  <c r="Z769" i="8" s="1"/>
  <c r="X770" i="8"/>
  <c r="Z770" i="8" s="1"/>
  <c r="X771" i="8"/>
  <c r="Z771" i="8" s="1"/>
  <c r="X772" i="8"/>
  <c r="Z772" i="8" s="1"/>
  <c r="X773" i="8"/>
  <c r="Z773" i="8" s="1"/>
  <c r="X774" i="8"/>
  <c r="Z774" i="8" s="1"/>
  <c r="X775" i="8"/>
  <c r="Z775" i="8" s="1"/>
  <c r="X776" i="8"/>
  <c r="Z776" i="8" s="1"/>
  <c r="X777" i="8"/>
  <c r="Z777" i="8" s="1"/>
  <c r="X778" i="8"/>
  <c r="Z778" i="8" s="1"/>
  <c r="X779" i="8"/>
  <c r="Z779" i="8" s="1"/>
  <c r="X780" i="8"/>
  <c r="Z780" i="8" s="1"/>
  <c r="X781" i="8"/>
  <c r="Z781" i="8" s="1"/>
  <c r="X782" i="8"/>
  <c r="Z782" i="8" s="1"/>
  <c r="X783" i="8"/>
  <c r="Z783" i="8" s="1"/>
  <c r="X784" i="8"/>
  <c r="Z784" i="8" s="1"/>
  <c r="X785" i="8"/>
  <c r="Z785" i="8" s="1"/>
  <c r="X786" i="8"/>
  <c r="Z786" i="8" s="1"/>
  <c r="X787" i="8"/>
  <c r="Z787" i="8" s="1"/>
  <c r="X788" i="8"/>
  <c r="Z788" i="8" s="1"/>
  <c r="X789" i="8"/>
  <c r="Z789" i="8" s="1"/>
  <c r="X790" i="8"/>
  <c r="Z790" i="8" s="1"/>
  <c r="X791" i="8"/>
  <c r="Z791" i="8" s="1"/>
  <c r="X792" i="8"/>
  <c r="Z792" i="8" s="1"/>
  <c r="X793" i="8"/>
  <c r="Z793" i="8" s="1"/>
  <c r="X794" i="8"/>
  <c r="Z794" i="8" s="1"/>
  <c r="X795" i="8"/>
  <c r="Z795" i="8" s="1"/>
  <c r="X796" i="8"/>
  <c r="Z796" i="8" s="1"/>
  <c r="X797" i="8"/>
  <c r="Z797" i="8" s="1"/>
  <c r="X798" i="8"/>
  <c r="Z798" i="8" s="1"/>
  <c r="X799" i="8"/>
  <c r="Z799" i="8" s="1"/>
  <c r="X800" i="8"/>
  <c r="Z800" i="8" s="1"/>
  <c r="X801" i="8"/>
  <c r="Z801" i="8" s="1"/>
  <c r="X802" i="8"/>
  <c r="Z802" i="8" s="1"/>
  <c r="X803" i="8"/>
  <c r="Z803" i="8" s="1"/>
  <c r="X804" i="8"/>
  <c r="Z804" i="8" s="1"/>
  <c r="X805" i="8"/>
  <c r="Z805" i="8" s="1"/>
  <c r="X806" i="8"/>
  <c r="Z806" i="8" s="1"/>
  <c r="X807" i="8"/>
  <c r="Z807" i="8" s="1"/>
  <c r="X808" i="8"/>
  <c r="Z808" i="8" s="1"/>
  <c r="X809" i="8"/>
  <c r="Z809" i="8" s="1"/>
  <c r="X810" i="8"/>
  <c r="Z810" i="8" s="1"/>
  <c r="X811" i="8"/>
  <c r="Z811" i="8" s="1"/>
  <c r="X812" i="8"/>
  <c r="Z812" i="8" s="1"/>
  <c r="X813" i="8"/>
  <c r="Z813" i="8" s="1"/>
  <c r="X814" i="8"/>
  <c r="Z814" i="8" s="1"/>
  <c r="X815" i="8"/>
  <c r="Z815" i="8" s="1"/>
  <c r="X816" i="8"/>
  <c r="Z816" i="8" s="1"/>
  <c r="X817" i="8"/>
  <c r="Z817" i="8" s="1"/>
  <c r="X818" i="8"/>
  <c r="Z818" i="8" s="1"/>
  <c r="X819" i="8"/>
  <c r="Z819" i="8" s="1"/>
  <c r="X820" i="8"/>
  <c r="Z820" i="8" s="1"/>
  <c r="X821" i="8"/>
  <c r="Z821" i="8" s="1"/>
  <c r="X822" i="8"/>
  <c r="Z822" i="8" s="1"/>
  <c r="X823" i="8"/>
  <c r="Z823" i="8" s="1"/>
  <c r="X824" i="8"/>
  <c r="Z824" i="8" s="1"/>
  <c r="X825" i="8"/>
  <c r="Z825" i="8" s="1"/>
  <c r="X826" i="8"/>
  <c r="Z826" i="8" s="1"/>
  <c r="X827" i="8"/>
  <c r="Z827" i="8" s="1"/>
  <c r="X828" i="8"/>
  <c r="Z828" i="8" s="1"/>
  <c r="X829" i="8"/>
  <c r="Z829" i="8" s="1"/>
  <c r="X830" i="8"/>
  <c r="Z830" i="8" s="1"/>
  <c r="X831" i="8"/>
  <c r="Z831" i="8" s="1"/>
  <c r="X832" i="8"/>
  <c r="Z832" i="8" s="1"/>
  <c r="X833" i="8"/>
  <c r="Z833" i="8" s="1"/>
  <c r="X834" i="8"/>
  <c r="Z834" i="8" s="1"/>
  <c r="X835" i="8"/>
  <c r="Z835" i="8" s="1"/>
  <c r="X836" i="8"/>
  <c r="Z836" i="8" s="1"/>
  <c r="X837" i="8"/>
  <c r="Z837" i="8" s="1"/>
  <c r="X838" i="8"/>
  <c r="Z838" i="8" s="1"/>
  <c r="X839" i="8"/>
  <c r="Z839" i="8" s="1"/>
  <c r="X840" i="8"/>
  <c r="Z840" i="8" s="1"/>
  <c r="X841" i="8"/>
  <c r="Z841" i="8" s="1"/>
  <c r="X842" i="8"/>
  <c r="Z842" i="8" s="1"/>
  <c r="X843" i="8"/>
  <c r="Z843" i="8" s="1"/>
  <c r="X844" i="8"/>
  <c r="Z844" i="8" s="1"/>
  <c r="X845" i="8"/>
  <c r="Z845" i="8" s="1"/>
  <c r="X846" i="8"/>
  <c r="Z846" i="8" s="1"/>
  <c r="X847" i="8"/>
  <c r="Z847" i="8" s="1"/>
  <c r="X848" i="8"/>
  <c r="Z848" i="8" s="1"/>
  <c r="X849" i="8"/>
  <c r="Z849" i="8" s="1"/>
  <c r="X850" i="8"/>
  <c r="Z850" i="8" s="1"/>
  <c r="X851" i="8"/>
  <c r="Z851" i="8" s="1"/>
  <c r="X852" i="8"/>
  <c r="Z852" i="8" s="1"/>
  <c r="X853" i="8"/>
  <c r="Z853" i="8" s="1"/>
  <c r="X854" i="8"/>
  <c r="Z854" i="8" s="1"/>
  <c r="X855" i="8"/>
  <c r="Z855" i="8" s="1"/>
  <c r="X856" i="8"/>
  <c r="Z856" i="8" s="1"/>
  <c r="X857" i="8"/>
  <c r="Z857" i="8" s="1"/>
  <c r="X858" i="8"/>
  <c r="Z858" i="8" s="1"/>
  <c r="X859" i="8"/>
  <c r="Z859" i="8" s="1"/>
  <c r="X860" i="8"/>
  <c r="Z860" i="8" s="1"/>
  <c r="X861" i="8"/>
  <c r="Z861" i="8" s="1"/>
  <c r="X862" i="8"/>
  <c r="Z862" i="8" s="1"/>
  <c r="X863" i="8"/>
  <c r="Z863" i="8" s="1"/>
  <c r="X864" i="8"/>
  <c r="Z864" i="8" s="1"/>
  <c r="X865" i="8"/>
  <c r="Z865" i="8" s="1"/>
  <c r="X866" i="8"/>
  <c r="Z866" i="8" s="1"/>
  <c r="X867" i="8"/>
  <c r="Z867" i="8" s="1"/>
  <c r="X868" i="8"/>
  <c r="Z868" i="8" s="1"/>
  <c r="X869" i="8"/>
  <c r="Z869" i="8" s="1"/>
  <c r="X870" i="8"/>
  <c r="Z870" i="8" s="1"/>
  <c r="X871" i="8"/>
  <c r="Z871" i="8" s="1"/>
  <c r="X872" i="8"/>
  <c r="Z872" i="8" s="1"/>
  <c r="X873" i="8"/>
  <c r="Z873" i="8" s="1"/>
  <c r="X874" i="8"/>
  <c r="Z874" i="8" s="1"/>
  <c r="X875" i="8"/>
  <c r="Z875" i="8" s="1"/>
  <c r="X876" i="8"/>
  <c r="Z876" i="8" s="1"/>
  <c r="X877" i="8"/>
  <c r="Z877" i="8" s="1"/>
  <c r="X878" i="8"/>
  <c r="Z878" i="8" s="1"/>
  <c r="X879" i="8"/>
  <c r="Z879" i="8" s="1"/>
  <c r="X880" i="8"/>
  <c r="Z880" i="8" s="1"/>
  <c r="X881" i="8"/>
  <c r="Z881" i="8" s="1"/>
  <c r="X882" i="8"/>
  <c r="Z882" i="8" s="1"/>
  <c r="X883" i="8"/>
  <c r="Z883" i="8" s="1"/>
  <c r="X884" i="8"/>
  <c r="Z884" i="8" s="1"/>
  <c r="X885" i="8"/>
  <c r="Z885" i="8" s="1"/>
  <c r="X886" i="8"/>
  <c r="Z886" i="8" s="1"/>
  <c r="X887" i="8"/>
  <c r="Z887" i="8" s="1"/>
  <c r="X888" i="8"/>
  <c r="Z888" i="8" s="1"/>
  <c r="X889" i="8"/>
  <c r="Z889" i="8" s="1"/>
  <c r="X890" i="8"/>
  <c r="Z890" i="8" s="1"/>
  <c r="X891" i="8"/>
  <c r="Z891" i="8" s="1"/>
  <c r="X892" i="8"/>
  <c r="Z892" i="8" s="1"/>
  <c r="X893" i="8"/>
  <c r="Z893" i="8" s="1"/>
  <c r="X894" i="8"/>
  <c r="Z894" i="8" s="1"/>
  <c r="X895" i="8"/>
  <c r="Z895" i="8" s="1"/>
  <c r="X896" i="8"/>
  <c r="Z896" i="8" s="1"/>
  <c r="X897" i="8"/>
  <c r="Z897" i="8" s="1"/>
  <c r="X898" i="8"/>
  <c r="Z898" i="8" s="1"/>
  <c r="X899" i="8"/>
  <c r="Z899" i="8" s="1"/>
  <c r="X900" i="8"/>
  <c r="Z900" i="8" s="1"/>
  <c r="X901" i="8"/>
  <c r="Z901" i="8" s="1"/>
  <c r="X902" i="8"/>
  <c r="Z902" i="8" s="1"/>
  <c r="X903" i="8"/>
  <c r="Z903" i="8" s="1"/>
  <c r="X904" i="8"/>
  <c r="Z904" i="8" s="1"/>
  <c r="X905" i="8"/>
  <c r="Z905" i="8" s="1"/>
  <c r="X906" i="8"/>
  <c r="Z906" i="8" s="1"/>
  <c r="X907" i="8"/>
  <c r="Z907" i="8" s="1"/>
  <c r="X908" i="8"/>
  <c r="Z908" i="8" s="1"/>
  <c r="X909" i="8"/>
  <c r="Z909" i="8" s="1"/>
  <c r="X910" i="8"/>
  <c r="Z910" i="8" s="1"/>
  <c r="X911" i="8"/>
  <c r="Z911" i="8" s="1"/>
  <c r="X912" i="8"/>
  <c r="Z912" i="8" s="1"/>
  <c r="X913" i="8"/>
  <c r="Z913" i="8" s="1"/>
  <c r="X914" i="8"/>
  <c r="Z914" i="8" s="1"/>
  <c r="X915" i="8"/>
  <c r="Z915" i="8" s="1"/>
  <c r="X916" i="8"/>
  <c r="Z916" i="8" s="1"/>
  <c r="X917" i="8"/>
  <c r="Z917" i="8" s="1"/>
  <c r="X918" i="8"/>
  <c r="Z918" i="8" s="1"/>
  <c r="X919" i="8"/>
  <c r="Z919" i="8" s="1"/>
  <c r="X920" i="8"/>
  <c r="Z920" i="8" s="1"/>
  <c r="X921" i="8"/>
  <c r="Z921" i="8" s="1"/>
  <c r="X922" i="8"/>
  <c r="Z922" i="8" s="1"/>
  <c r="X923" i="8"/>
  <c r="Z923" i="8" s="1"/>
  <c r="X924" i="8"/>
  <c r="Z924" i="8" s="1"/>
  <c r="X925" i="8"/>
  <c r="Z925" i="8" s="1"/>
  <c r="X926" i="8"/>
  <c r="Z926" i="8" s="1"/>
  <c r="X927" i="8"/>
  <c r="Z927" i="8" s="1"/>
  <c r="X928" i="8"/>
  <c r="Z928" i="8" s="1"/>
  <c r="X929" i="8"/>
  <c r="Z929" i="8" s="1"/>
  <c r="X930" i="8"/>
  <c r="Z930" i="8" s="1"/>
  <c r="X931" i="8"/>
  <c r="Z931" i="8" s="1"/>
  <c r="X932" i="8"/>
  <c r="Z932" i="8" s="1"/>
  <c r="X933" i="8"/>
  <c r="Z933" i="8" s="1"/>
  <c r="X934" i="8"/>
  <c r="Z934" i="8" s="1"/>
  <c r="X935" i="8"/>
  <c r="Z935" i="8" s="1"/>
  <c r="X936" i="8"/>
  <c r="Z936" i="8" s="1"/>
  <c r="X937" i="8"/>
  <c r="Z937" i="8" s="1"/>
  <c r="X938" i="8"/>
  <c r="Z938" i="8" s="1"/>
  <c r="X939" i="8"/>
  <c r="Z939" i="8" s="1"/>
  <c r="X940" i="8"/>
  <c r="Z940" i="8" s="1"/>
  <c r="X941" i="8"/>
  <c r="Z941" i="8" s="1"/>
  <c r="X942" i="8"/>
  <c r="Z942" i="8" s="1"/>
  <c r="X943" i="8"/>
  <c r="Z943" i="8" s="1"/>
  <c r="X944" i="8"/>
  <c r="Z944" i="8" s="1"/>
  <c r="X945" i="8"/>
  <c r="Z945" i="8" s="1"/>
  <c r="X946" i="8"/>
  <c r="Z946" i="8" s="1"/>
  <c r="X947" i="8"/>
  <c r="Z947" i="8" s="1"/>
  <c r="X948" i="8"/>
  <c r="Z948" i="8" s="1"/>
  <c r="X949" i="8"/>
  <c r="Z949" i="8" s="1"/>
  <c r="X950" i="8"/>
  <c r="Z950" i="8" s="1"/>
  <c r="X951" i="8"/>
  <c r="Z951" i="8" s="1"/>
  <c r="X952" i="8"/>
  <c r="Z952" i="8" s="1"/>
  <c r="X953" i="8"/>
  <c r="Z953" i="8" s="1"/>
  <c r="X954" i="8"/>
  <c r="Z954" i="8" s="1"/>
  <c r="X955" i="8"/>
  <c r="Z955" i="8" s="1"/>
  <c r="X956" i="8"/>
  <c r="Z956" i="8" s="1"/>
  <c r="X957" i="8"/>
  <c r="Z957" i="8" s="1"/>
  <c r="X958" i="8"/>
  <c r="Z958" i="8" s="1"/>
  <c r="X959" i="8"/>
  <c r="Z959" i="8" s="1"/>
  <c r="X960" i="8"/>
  <c r="Z960" i="8" s="1"/>
  <c r="X961" i="8"/>
  <c r="Z961" i="8" s="1"/>
  <c r="X962" i="8"/>
  <c r="Z962" i="8" s="1"/>
  <c r="X963" i="8"/>
  <c r="Z963" i="8" s="1"/>
  <c r="X964" i="8"/>
  <c r="Z964" i="8" s="1"/>
  <c r="X965" i="8"/>
  <c r="Z965" i="8" s="1"/>
  <c r="X966" i="8"/>
  <c r="Z966" i="8" s="1"/>
  <c r="X967" i="8"/>
  <c r="Z967" i="8" s="1"/>
  <c r="X968" i="8"/>
  <c r="Z968" i="8" s="1"/>
  <c r="X969" i="8"/>
  <c r="Z969" i="8" s="1"/>
  <c r="X970" i="8"/>
  <c r="Z970" i="8" s="1"/>
  <c r="X971" i="8"/>
  <c r="Z971" i="8" s="1"/>
  <c r="X972" i="8"/>
  <c r="Z972" i="8" s="1"/>
  <c r="X973" i="8"/>
  <c r="Z973" i="8" s="1"/>
  <c r="X974" i="8"/>
  <c r="Z974" i="8" s="1"/>
  <c r="X975" i="8"/>
  <c r="Z975" i="8" s="1"/>
  <c r="X976" i="8"/>
  <c r="Z976" i="8" s="1"/>
  <c r="X977" i="8"/>
  <c r="Z977" i="8" s="1"/>
  <c r="X978" i="8"/>
  <c r="Z978" i="8" s="1"/>
  <c r="X979" i="8"/>
  <c r="Z979" i="8" s="1"/>
  <c r="X980" i="8"/>
  <c r="Z980" i="8" s="1"/>
  <c r="X981" i="8"/>
  <c r="Z981" i="8" s="1"/>
  <c r="X982" i="8"/>
  <c r="Z982" i="8" s="1"/>
  <c r="X983" i="8"/>
  <c r="Z983" i="8" s="1"/>
  <c r="X984" i="8"/>
  <c r="Z984" i="8" s="1"/>
  <c r="X985" i="8"/>
  <c r="Z985" i="8" s="1"/>
  <c r="X986" i="8"/>
  <c r="Z986" i="8" s="1"/>
  <c r="X987" i="8"/>
  <c r="Z987" i="8" s="1"/>
  <c r="X988" i="8"/>
  <c r="Z988" i="8" s="1"/>
  <c r="X989" i="8"/>
  <c r="Z989" i="8" s="1"/>
  <c r="X990" i="8"/>
  <c r="Z990" i="8" s="1"/>
  <c r="X991" i="8"/>
  <c r="Z991" i="8" s="1"/>
  <c r="X992" i="8"/>
  <c r="Z992" i="8" s="1"/>
  <c r="X993" i="8"/>
  <c r="Z993" i="8" s="1"/>
  <c r="X994" i="8"/>
  <c r="Z994" i="8" s="1"/>
  <c r="X995" i="8"/>
  <c r="Z995" i="8" s="1"/>
  <c r="X996" i="8"/>
  <c r="Z996" i="8" s="1"/>
  <c r="X997" i="8"/>
  <c r="Z997" i="8" s="1"/>
  <c r="X998" i="8"/>
  <c r="Z998" i="8" s="1"/>
  <c r="X999" i="8"/>
  <c r="Z999" i="8" s="1"/>
  <c r="X1000" i="8"/>
  <c r="Z1000" i="8" s="1"/>
  <c r="X1001" i="8"/>
  <c r="Z1001" i="8" s="1"/>
  <c r="X1002" i="8"/>
  <c r="Z1002" i="8" s="1"/>
  <c r="X1003" i="8"/>
  <c r="Z1003" i="8" s="1"/>
  <c r="X1004" i="8"/>
  <c r="Z1004" i="8" s="1"/>
  <c r="X1005" i="8"/>
  <c r="Z1005" i="8" s="1"/>
  <c r="X1006" i="8"/>
  <c r="Z1006" i="8" s="1"/>
  <c r="X1007" i="8"/>
  <c r="Z1007" i="8" s="1"/>
  <c r="X1008" i="8"/>
  <c r="Z1008" i="8" s="1"/>
  <c r="X1009" i="8"/>
  <c r="Z1009" i="8" s="1"/>
  <c r="X1010" i="8"/>
  <c r="Z1010" i="8" s="1"/>
  <c r="X1011" i="8"/>
  <c r="Z1011" i="8" s="1"/>
  <c r="X1012" i="8"/>
  <c r="Z1012" i="8" s="1"/>
  <c r="X1013" i="8"/>
  <c r="Z1013" i="8" s="1"/>
  <c r="X1014" i="8"/>
  <c r="Z1014" i="8" s="1"/>
  <c r="X1015" i="8"/>
  <c r="Z1015" i="8" s="1"/>
  <c r="X1016" i="8"/>
  <c r="Z1016" i="8" s="1"/>
  <c r="X1017" i="8"/>
  <c r="Z1017" i="8" s="1"/>
  <c r="X1018" i="8"/>
  <c r="Z1018" i="8" s="1"/>
  <c r="X1019" i="8"/>
  <c r="Z1019" i="8" s="1"/>
  <c r="X1020" i="8"/>
  <c r="Z1020" i="8" s="1"/>
  <c r="X1021" i="8"/>
  <c r="Z1021" i="8" s="1"/>
  <c r="X1022" i="8"/>
  <c r="Z1022" i="8" s="1"/>
  <c r="X1023" i="8"/>
  <c r="Z1023" i="8" s="1"/>
  <c r="X1024" i="8"/>
  <c r="Z1024" i="8" s="1"/>
  <c r="X1025" i="8"/>
  <c r="Z1025" i="8" s="1"/>
  <c r="X1026" i="8"/>
  <c r="Z1026" i="8" s="1"/>
  <c r="X1027" i="8"/>
  <c r="Z1027" i="8" s="1"/>
  <c r="X1028" i="8"/>
  <c r="Z1028" i="8" s="1"/>
  <c r="X1029" i="8"/>
  <c r="Z1029" i="8" s="1"/>
  <c r="X1030" i="8"/>
  <c r="Z1030" i="8" s="1"/>
  <c r="X1031" i="8"/>
  <c r="Z1031" i="8" s="1"/>
  <c r="X1032" i="8"/>
  <c r="Z1032" i="8" s="1"/>
  <c r="X1033" i="8"/>
  <c r="Z1033" i="8" s="1"/>
  <c r="X1034" i="8"/>
  <c r="Z1034" i="8" s="1"/>
  <c r="X1035" i="8"/>
  <c r="Z1035" i="8" s="1"/>
  <c r="X1036" i="8"/>
  <c r="Z1036" i="8" s="1"/>
  <c r="X1037" i="8"/>
  <c r="Z1037" i="8" s="1"/>
  <c r="X1038" i="8"/>
  <c r="Z1038" i="8" s="1"/>
  <c r="X1039" i="8"/>
  <c r="Z1039" i="8" s="1"/>
  <c r="X1040" i="8"/>
  <c r="Z1040" i="8" s="1"/>
  <c r="X1041" i="8"/>
  <c r="Z1041" i="8" s="1"/>
  <c r="X1042" i="8"/>
  <c r="Z1042" i="8" s="1"/>
  <c r="X1043" i="8"/>
  <c r="Z1043" i="8" s="1"/>
  <c r="X1044" i="8"/>
  <c r="Z1044" i="8" s="1"/>
  <c r="X1045" i="8"/>
  <c r="Z1045" i="8" s="1"/>
  <c r="X1046" i="8"/>
  <c r="Z1046" i="8" s="1"/>
  <c r="X1047" i="8"/>
  <c r="Z1047" i="8" s="1"/>
  <c r="X1048" i="8"/>
  <c r="Z1048" i="8" s="1"/>
  <c r="X1049" i="8"/>
  <c r="Z1049" i="8" s="1"/>
  <c r="X1050" i="8"/>
  <c r="Z1050" i="8" s="1"/>
  <c r="X1051" i="8"/>
  <c r="Z1051" i="8" s="1"/>
  <c r="X1052" i="8"/>
  <c r="Z1052" i="8" s="1"/>
  <c r="X1053" i="8"/>
  <c r="Z1053" i="8" s="1"/>
  <c r="X1054" i="8"/>
  <c r="Z1054" i="8" s="1"/>
  <c r="X1055" i="8"/>
  <c r="Z1055" i="8" s="1"/>
  <c r="X1056" i="8"/>
  <c r="Z1056" i="8" s="1"/>
  <c r="X1057" i="8"/>
  <c r="Z1057" i="8" s="1"/>
  <c r="X1058" i="8"/>
  <c r="Z1058" i="8" s="1"/>
  <c r="X1059" i="8"/>
  <c r="Z1059" i="8" s="1"/>
  <c r="X1060" i="8"/>
  <c r="Z1060" i="8" s="1"/>
  <c r="X1061" i="8"/>
  <c r="Z1061" i="8" s="1"/>
  <c r="X1062" i="8"/>
  <c r="Z1062" i="8" s="1"/>
  <c r="X1063" i="8"/>
  <c r="Z1063" i="8" s="1"/>
  <c r="X1064" i="8"/>
  <c r="Z1064" i="8" s="1"/>
  <c r="X1065" i="8"/>
  <c r="Z1065" i="8" s="1"/>
  <c r="X1066" i="8"/>
  <c r="Z1066" i="8" s="1"/>
  <c r="X1067" i="8"/>
  <c r="Z1067" i="8" s="1"/>
  <c r="X1068" i="8"/>
  <c r="Z1068" i="8" s="1"/>
  <c r="X1069" i="8"/>
  <c r="Z1069" i="8" s="1"/>
  <c r="X1070" i="8"/>
  <c r="Z1070" i="8" s="1"/>
  <c r="X1071" i="8"/>
  <c r="Z1071" i="8" s="1"/>
  <c r="X1072" i="8"/>
  <c r="Z1072" i="8" s="1"/>
  <c r="X1073" i="8"/>
  <c r="Z1073" i="8" s="1"/>
  <c r="X1074" i="8"/>
  <c r="Z1074" i="8" s="1"/>
  <c r="X1075" i="8"/>
  <c r="Z1075" i="8" s="1"/>
  <c r="X1076" i="8"/>
  <c r="Z1076" i="8" s="1"/>
  <c r="X1077" i="8"/>
  <c r="Z1077" i="8" s="1"/>
  <c r="X1078" i="8"/>
  <c r="Z1078" i="8" s="1"/>
  <c r="X1079" i="8"/>
  <c r="Z1079" i="8" s="1"/>
  <c r="X1080" i="8"/>
  <c r="Z1080" i="8" s="1"/>
  <c r="X1081" i="8"/>
  <c r="Z1081" i="8" s="1"/>
  <c r="X1082" i="8"/>
  <c r="Z1082" i="8" s="1"/>
  <c r="X1083" i="8"/>
  <c r="Z1083" i="8" s="1"/>
  <c r="X1084" i="8"/>
  <c r="Z1084" i="8" s="1"/>
  <c r="X1085" i="8"/>
  <c r="Z1085" i="8" s="1"/>
  <c r="X1086" i="8"/>
  <c r="Z1086" i="8" s="1"/>
  <c r="X1087" i="8"/>
  <c r="Z1087" i="8" s="1"/>
  <c r="X1088" i="8"/>
  <c r="Z1088" i="8" s="1"/>
  <c r="X1089" i="8"/>
  <c r="Z1089" i="8" s="1"/>
  <c r="X1090" i="8"/>
  <c r="Z1090" i="8" s="1"/>
  <c r="X1091" i="8"/>
  <c r="Z1091" i="8" s="1"/>
  <c r="X1092" i="8"/>
  <c r="Z1092" i="8" s="1"/>
  <c r="X1093" i="8"/>
  <c r="Z1093" i="8" s="1"/>
  <c r="X1094" i="8"/>
  <c r="Z1094" i="8" s="1"/>
  <c r="X1095" i="8"/>
  <c r="Z1095" i="8" s="1"/>
  <c r="X1096" i="8"/>
  <c r="Z1096" i="8" s="1"/>
  <c r="X1097" i="8"/>
  <c r="Z1097" i="8" s="1"/>
  <c r="X1098" i="8"/>
  <c r="Z1098" i="8" s="1"/>
  <c r="X1099" i="8"/>
  <c r="Z1099" i="8" s="1"/>
  <c r="X1100" i="8"/>
  <c r="Z1100" i="8" s="1"/>
  <c r="X1101" i="8"/>
  <c r="Z1101" i="8" s="1"/>
  <c r="X1102" i="8"/>
  <c r="Z1102" i="8" s="1"/>
  <c r="X1103" i="8"/>
  <c r="Z1103" i="8" s="1"/>
  <c r="X1104" i="8"/>
  <c r="Z1104" i="8" s="1"/>
  <c r="X1105" i="8"/>
  <c r="Z1105" i="8" s="1"/>
  <c r="X1106" i="8"/>
  <c r="Z1106" i="8" s="1"/>
  <c r="X1107" i="8"/>
  <c r="Z1107" i="8" s="1"/>
  <c r="X1108" i="8"/>
  <c r="Z1108" i="8" s="1"/>
  <c r="X1109" i="8"/>
  <c r="Z1109" i="8" s="1"/>
  <c r="X1110" i="8"/>
  <c r="Z1110" i="8" s="1"/>
  <c r="X1111" i="8"/>
  <c r="Z1111" i="8" s="1"/>
  <c r="X1112" i="8"/>
  <c r="Z1112" i="8" s="1"/>
  <c r="X1113" i="8"/>
  <c r="Z1113" i="8" s="1"/>
  <c r="X1114" i="8"/>
  <c r="Z1114" i="8" s="1"/>
  <c r="X1115" i="8"/>
  <c r="Z1115" i="8" s="1"/>
  <c r="X1116" i="8"/>
  <c r="Z1116" i="8" s="1"/>
  <c r="X1117" i="8"/>
  <c r="Z1117" i="8" s="1"/>
  <c r="X1118" i="8"/>
  <c r="Z1118" i="8" s="1"/>
  <c r="X1119" i="8"/>
  <c r="Z1119" i="8" s="1"/>
  <c r="X1120" i="8"/>
  <c r="Z1120" i="8" s="1"/>
  <c r="X1121" i="8"/>
  <c r="Z1121" i="8" s="1"/>
  <c r="X1122" i="8"/>
  <c r="Z1122" i="8" s="1"/>
  <c r="X1123" i="8"/>
  <c r="Z1123" i="8" s="1"/>
  <c r="X1124" i="8"/>
  <c r="Z1124" i="8" s="1"/>
  <c r="X1125" i="8"/>
  <c r="Z1125" i="8" s="1"/>
  <c r="X1126" i="8"/>
  <c r="Z1126" i="8" s="1"/>
  <c r="X1127" i="8"/>
  <c r="Z1127" i="8" s="1"/>
  <c r="X1128" i="8"/>
  <c r="Z1128" i="8" s="1"/>
  <c r="X1129" i="8"/>
  <c r="Z1129" i="8" s="1"/>
  <c r="X1130" i="8"/>
  <c r="Z1130" i="8" s="1"/>
  <c r="X1131" i="8"/>
  <c r="Z1131" i="8" s="1"/>
  <c r="X1132" i="8"/>
  <c r="Z1132" i="8" s="1"/>
  <c r="X1133" i="8"/>
  <c r="Z1133" i="8" s="1"/>
  <c r="X1134" i="8"/>
  <c r="Z1134" i="8" s="1"/>
  <c r="X1135" i="8"/>
  <c r="Z1135" i="8" s="1"/>
  <c r="X1136" i="8"/>
  <c r="Z1136" i="8" s="1"/>
  <c r="X1137" i="8"/>
  <c r="Z1137" i="8" s="1"/>
  <c r="X1138" i="8"/>
  <c r="Z1138" i="8" s="1"/>
  <c r="X1139" i="8"/>
  <c r="Z1139" i="8" s="1"/>
  <c r="X1140" i="8"/>
  <c r="Z1140" i="8" s="1"/>
  <c r="X1141" i="8"/>
  <c r="Z1141" i="8" s="1"/>
  <c r="X1142" i="8"/>
  <c r="Z1142" i="8" s="1"/>
  <c r="X1143" i="8"/>
  <c r="Z1143" i="8" s="1"/>
  <c r="X1144" i="8"/>
  <c r="Z1144" i="8" s="1"/>
  <c r="X1145" i="8"/>
  <c r="Z1145" i="8" s="1"/>
  <c r="X1146" i="8"/>
  <c r="Z1146" i="8" s="1"/>
  <c r="X1147" i="8"/>
  <c r="Z1147" i="8" s="1"/>
  <c r="X1148" i="8"/>
  <c r="Z1148" i="8" s="1"/>
  <c r="X1149" i="8"/>
  <c r="Z1149" i="8" s="1"/>
  <c r="X1150" i="8"/>
  <c r="Z1150" i="8" s="1"/>
  <c r="X1151" i="8"/>
  <c r="Z1151" i="8" s="1"/>
  <c r="X1152" i="8"/>
  <c r="Z1152" i="8" s="1"/>
  <c r="X1153" i="8"/>
  <c r="Z1153" i="8" s="1"/>
  <c r="X1154" i="8"/>
  <c r="Z1154" i="8" s="1"/>
  <c r="X1155" i="8"/>
  <c r="Z1155" i="8" s="1"/>
  <c r="X1156" i="8"/>
  <c r="Z1156" i="8" s="1"/>
  <c r="X1157" i="8"/>
  <c r="Z1157" i="8" s="1"/>
  <c r="X1158" i="8"/>
  <c r="Z1158" i="8" s="1"/>
  <c r="X1159" i="8"/>
  <c r="Z1159" i="8" s="1"/>
  <c r="X1160" i="8"/>
  <c r="Z1160" i="8" s="1"/>
  <c r="X1161" i="8"/>
  <c r="Z1161" i="8" s="1"/>
  <c r="X1162" i="8"/>
  <c r="Z1162" i="8" s="1"/>
  <c r="X1163" i="8"/>
  <c r="Z1163" i="8" s="1"/>
  <c r="X1164" i="8"/>
  <c r="Z1164" i="8" s="1"/>
  <c r="X1165" i="8"/>
  <c r="Z1165" i="8" s="1"/>
  <c r="X1166" i="8"/>
  <c r="Z1166" i="8" s="1"/>
  <c r="X1167" i="8"/>
  <c r="Z1167" i="8" s="1"/>
  <c r="X1168" i="8"/>
  <c r="Z1168" i="8" s="1"/>
  <c r="X1169" i="8"/>
  <c r="Z1169" i="8" s="1"/>
  <c r="X1170" i="8"/>
  <c r="Z1170" i="8" s="1"/>
  <c r="X1171" i="8"/>
  <c r="Z1171" i="8" s="1"/>
  <c r="X1172" i="8"/>
  <c r="Z1172" i="8" s="1"/>
  <c r="X1173" i="8"/>
  <c r="Z1173" i="8" s="1"/>
  <c r="X1174" i="8"/>
  <c r="Z1174" i="8" s="1"/>
  <c r="X1175" i="8"/>
  <c r="Z1175" i="8" s="1"/>
  <c r="X1176" i="8"/>
  <c r="Z1176" i="8" s="1"/>
  <c r="X1177" i="8"/>
  <c r="Z1177" i="8" s="1"/>
  <c r="X1178" i="8"/>
  <c r="Z1178" i="8" s="1"/>
  <c r="X1179" i="8"/>
  <c r="Z1179" i="8" s="1"/>
  <c r="X1180" i="8"/>
  <c r="Z1180" i="8" s="1"/>
  <c r="X1181" i="8"/>
  <c r="Z1181" i="8" s="1"/>
  <c r="X1182" i="8"/>
  <c r="Z1182" i="8" s="1"/>
  <c r="X1183" i="8"/>
  <c r="Z1183" i="8" s="1"/>
  <c r="X1184" i="8"/>
  <c r="Z1184" i="8" s="1"/>
  <c r="X1185" i="8"/>
  <c r="Z1185" i="8" s="1"/>
  <c r="X1186" i="8"/>
  <c r="Z1186" i="8" s="1"/>
  <c r="X1187" i="8"/>
  <c r="Z1187" i="8" s="1"/>
  <c r="X1188" i="8"/>
  <c r="Z1188" i="8" s="1"/>
  <c r="X1189" i="8"/>
  <c r="Z1189" i="8" s="1"/>
  <c r="X1190" i="8"/>
  <c r="Z1190" i="8" s="1"/>
  <c r="X1191" i="8"/>
  <c r="Z1191" i="8" s="1"/>
  <c r="X1192" i="8"/>
  <c r="Z1192" i="8" s="1"/>
  <c r="X1193" i="8"/>
  <c r="Z1193" i="8" s="1"/>
  <c r="X1194" i="8"/>
  <c r="Z1194" i="8" s="1"/>
  <c r="X1195" i="8"/>
  <c r="Z1195" i="8" s="1"/>
  <c r="X1196" i="8"/>
  <c r="Z1196" i="8" s="1"/>
  <c r="X1197" i="8"/>
  <c r="Z1197" i="8" s="1"/>
  <c r="X1198" i="8"/>
  <c r="Z1198" i="8" s="1"/>
  <c r="X1199" i="8"/>
  <c r="Z1199" i="8" s="1"/>
  <c r="X1200" i="8"/>
  <c r="Z1200" i="8" s="1"/>
  <c r="X1201" i="8"/>
  <c r="Z1201" i="8" s="1"/>
  <c r="X1202" i="8"/>
  <c r="Z1202" i="8" s="1"/>
  <c r="X1203" i="8"/>
  <c r="Z1203" i="8" s="1"/>
  <c r="X1204" i="8"/>
  <c r="Z1204" i="8" s="1"/>
  <c r="X1205" i="8"/>
  <c r="Z1205" i="8" s="1"/>
  <c r="X1206" i="8"/>
  <c r="Z1206" i="8" s="1"/>
  <c r="X1207" i="8"/>
  <c r="Z1207" i="8" s="1"/>
  <c r="X1208" i="8"/>
  <c r="Z1208" i="8" s="1"/>
  <c r="X1209" i="8"/>
  <c r="Z1209" i="8" s="1"/>
  <c r="X1210" i="8"/>
  <c r="Z1210" i="8" s="1"/>
  <c r="X1211" i="8"/>
  <c r="Z1211" i="8" s="1"/>
  <c r="X1212" i="8"/>
  <c r="Z1212" i="8" s="1"/>
  <c r="X1213" i="8"/>
  <c r="Z1213" i="8" s="1"/>
  <c r="X1214" i="8"/>
  <c r="Z1214" i="8" s="1"/>
  <c r="X1215" i="8"/>
  <c r="Z1215" i="8" s="1"/>
  <c r="X1216" i="8"/>
  <c r="Z1216" i="8" s="1"/>
  <c r="X1217" i="8"/>
  <c r="Z1217" i="8" s="1"/>
  <c r="X1218" i="8"/>
  <c r="Z1218" i="8" s="1"/>
  <c r="X1219" i="8"/>
  <c r="Z1219" i="8" s="1"/>
  <c r="X1220" i="8"/>
  <c r="Z1220" i="8" s="1"/>
  <c r="X1221" i="8"/>
  <c r="Z1221" i="8" s="1"/>
  <c r="X1222" i="8"/>
  <c r="Z1222" i="8" s="1"/>
  <c r="X1223" i="8"/>
  <c r="Z1223" i="8" s="1"/>
  <c r="X1224" i="8"/>
  <c r="Z1224" i="8" s="1"/>
  <c r="X1225" i="8"/>
  <c r="Z1225" i="8" s="1"/>
  <c r="X1226" i="8"/>
  <c r="Z1226" i="8" s="1"/>
  <c r="X1227" i="8"/>
  <c r="Z1227" i="8" s="1"/>
  <c r="X1228" i="8"/>
  <c r="Z1228" i="8" s="1"/>
  <c r="X1229" i="8"/>
  <c r="Z1229" i="8" s="1"/>
  <c r="X1230" i="8"/>
  <c r="Z1230" i="8" s="1"/>
  <c r="X1231" i="8"/>
  <c r="Z1231" i="8" s="1"/>
  <c r="X1232" i="8"/>
  <c r="Z1232" i="8" s="1"/>
  <c r="X1233" i="8"/>
  <c r="Z1233" i="8" s="1"/>
  <c r="X1234" i="8"/>
  <c r="Z1234" i="8" s="1"/>
  <c r="X1235" i="8"/>
  <c r="Z1235" i="8" s="1"/>
  <c r="X1236" i="8"/>
  <c r="Z1236" i="8" s="1"/>
  <c r="X1237" i="8"/>
  <c r="Z1237" i="8" s="1"/>
  <c r="X1238" i="8"/>
  <c r="Z1238" i="8" s="1"/>
  <c r="X1239" i="8"/>
  <c r="Z1239" i="8" s="1"/>
  <c r="X1240" i="8"/>
  <c r="Z1240" i="8" s="1"/>
  <c r="X1241" i="8"/>
  <c r="Z1241" i="8" s="1"/>
  <c r="X1242" i="8"/>
  <c r="Z1242" i="8" s="1"/>
  <c r="X1243" i="8"/>
  <c r="Z1243" i="8" s="1"/>
  <c r="X1244" i="8"/>
  <c r="Z1244" i="8" s="1"/>
  <c r="X1245" i="8"/>
  <c r="Z1245" i="8" s="1"/>
  <c r="X1246" i="8"/>
  <c r="Z1246" i="8" s="1"/>
  <c r="X1247" i="8"/>
  <c r="Z1247" i="8" s="1"/>
  <c r="X1248" i="8"/>
  <c r="Z1248" i="8" s="1"/>
  <c r="X1249" i="8"/>
  <c r="Z1249" i="8" s="1"/>
  <c r="X1250" i="8"/>
  <c r="Z1250" i="8" s="1"/>
  <c r="X1251" i="8"/>
  <c r="Z1251" i="8" s="1"/>
  <c r="X1252" i="8"/>
  <c r="Z1252" i="8" s="1"/>
  <c r="X1253" i="8"/>
  <c r="Z1253" i="8" s="1"/>
  <c r="X1254" i="8"/>
  <c r="Z1254" i="8" s="1"/>
  <c r="X1255" i="8"/>
  <c r="Z1255" i="8" s="1"/>
  <c r="X1256" i="8"/>
  <c r="Z1256" i="8" s="1"/>
  <c r="X1257" i="8"/>
  <c r="Z1257" i="8" s="1"/>
  <c r="X1258" i="8"/>
  <c r="Z1258" i="8" s="1"/>
  <c r="X1259" i="8"/>
  <c r="Z1259" i="8" s="1"/>
  <c r="X1260" i="8"/>
  <c r="Z1260" i="8" s="1"/>
  <c r="X1261" i="8"/>
  <c r="Z1261" i="8" s="1"/>
  <c r="X1262" i="8"/>
  <c r="Z1262" i="8" s="1"/>
  <c r="X1263" i="8"/>
  <c r="Z1263" i="8" s="1"/>
  <c r="X1264" i="8"/>
  <c r="Z1264" i="8" s="1"/>
  <c r="X1265" i="8"/>
  <c r="Z1265" i="8" s="1"/>
  <c r="X1266" i="8"/>
  <c r="Z1266" i="8" s="1"/>
  <c r="X1267" i="8"/>
  <c r="Z1267" i="8" s="1"/>
  <c r="X1268" i="8"/>
  <c r="Z1268" i="8" s="1"/>
  <c r="X1269" i="8"/>
  <c r="Z1269" i="8" s="1"/>
  <c r="X1270" i="8"/>
  <c r="Z1270" i="8" s="1"/>
  <c r="X1271" i="8"/>
  <c r="Z1271" i="8" s="1"/>
  <c r="X1272" i="8"/>
  <c r="Z1272" i="8" s="1"/>
  <c r="X1273" i="8"/>
  <c r="Z1273" i="8" s="1"/>
  <c r="X1274" i="8"/>
  <c r="Z1274" i="8" s="1"/>
  <c r="X1275" i="8"/>
  <c r="Z1275" i="8" s="1"/>
  <c r="X1276" i="8"/>
  <c r="Z1276" i="8" s="1"/>
  <c r="X1277" i="8"/>
  <c r="Z1277" i="8" s="1"/>
  <c r="X1278" i="8"/>
  <c r="Z1278" i="8" s="1"/>
  <c r="X1279" i="8"/>
  <c r="Z1279" i="8" s="1"/>
  <c r="X1280" i="8"/>
  <c r="Z1280" i="8" s="1"/>
  <c r="X1281" i="8"/>
  <c r="Z1281" i="8" s="1"/>
  <c r="X1282" i="8"/>
  <c r="Z1282" i="8" s="1"/>
  <c r="X1283" i="8"/>
  <c r="Z1283" i="8" s="1"/>
  <c r="X1284" i="8"/>
  <c r="Z1284" i="8" s="1"/>
  <c r="X1285" i="8"/>
  <c r="Z1285" i="8" s="1"/>
  <c r="X1286" i="8"/>
  <c r="Z1286" i="8" s="1"/>
  <c r="X1287" i="8"/>
  <c r="Z1287" i="8" s="1"/>
  <c r="X1288" i="8"/>
  <c r="Z1288" i="8" s="1"/>
  <c r="X1289" i="8"/>
  <c r="Z1289" i="8" s="1"/>
  <c r="X1290" i="8"/>
  <c r="Z1290" i="8" s="1"/>
  <c r="X1291" i="8"/>
  <c r="Z1291" i="8" s="1"/>
  <c r="X1292" i="8"/>
  <c r="Z1292" i="8" s="1"/>
  <c r="X1293" i="8"/>
  <c r="Z1293" i="8" s="1"/>
  <c r="X1294" i="8"/>
  <c r="Z1294" i="8" s="1"/>
  <c r="X1295" i="8"/>
  <c r="Z1295" i="8" s="1"/>
  <c r="X1296" i="8"/>
  <c r="Z1296" i="8" s="1"/>
  <c r="X1297" i="8"/>
  <c r="Z1297" i="8" s="1"/>
  <c r="X1298" i="8"/>
  <c r="Z1298" i="8" s="1"/>
  <c r="X1299" i="8"/>
  <c r="Z1299" i="8" s="1"/>
  <c r="X1300" i="8"/>
  <c r="Z1300" i="8" s="1"/>
  <c r="X1301" i="8"/>
  <c r="Z1301" i="8" s="1"/>
  <c r="X1302" i="8"/>
  <c r="Z1302" i="8" s="1"/>
  <c r="X1303" i="8"/>
  <c r="Z1303" i="8" s="1"/>
  <c r="X1304" i="8"/>
  <c r="Z1304" i="8" s="1"/>
  <c r="X1305" i="8"/>
  <c r="Z1305" i="8" s="1"/>
  <c r="X1306" i="8"/>
  <c r="Z1306" i="8" s="1"/>
  <c r="X1307" i="8"/>
  <c r="Z1307" i="8" s="1"/>
  <c r="X1308" i="8"/>
  <c r="Z1308" i="8" s="1"/>
  <c r="X1309" i="8"/>
  <c r="Z1309" i="8" s="1"/>
  <c r="X1310" i="8"/>
  <c r="Z1310" i="8" s="1"/>
  <c r="X1311" i="8"/>
  <c r="Z1311" i="8" s="1"/>
  <c r="X1312" i="8"/>
  <c r="Z1312" i="8" s="1"/>
  <c r="X1313" i="8"/>
  <c r="Z1313" i="8" s="1"/>
  <c r="X1314" i="8"/>
  <c r="Z1314" i="8" s="1"/>
  <c r="X1315" i="8"/>
  <c r="Z1315" i="8" s="1"/>
  <c r="X1316" i="8"/>
  <c r="Z1316" i="8" s="1"/>
  <c r="X1317" i="8"/>
  <c r="Z1317" i="8" s="1"/>
  <c r="X1318" i="8"/>
  <c r="Z1318" i="8" s="1"/>
  <c r="X1319" i="8"/>
  <c r="Z1319" i="8" s="1"/>
  <c r="X1320" i="8"/>
  <c r="Z1320" i="8" s="1"/>
  <c r="X1321" i="8"/>
  <c r="Z1321" i="8" s="1"/>
  <c r="X1322" i="8"/>
  <c r="Z1322" i="8" s="1"/>
  <c r="X1323" i="8"/>
  <c r="Z1323" i="8" s="1"/>
  <c r="X1324" i="8"/>
  <c r="Z1324" i="8" s="1"/>
  <c r="X1325" i="8"/>
  <c r="Z1325" i="8" s="1"/>
  <c r="X1326" i="8"/>
  <c r="Z1326" i="8" s="1"/>
  <c r="X1327" i="8"/>
  <c r="Z1327" i="8" s="1"/>
  <c r="X1328" i="8"/>
  <c r="Z1328" i="8" s="1"/>
  <c r="X1329" i="8"/>
  <c r="Z1329" i="8" s="1"/>
  <c r="X1330" i="8"/>
  <c r="Z1330" i="8" s="1"/>
  <c r="X1331" i="8"/>
  <c r="Z1331" i="8" s="1"/>
  <c r="X1332" i="8"/>
  <c r="Z1332" i="8" s="1"/>
  <c r="X1333" i="8"/>
  <c r="Z1333" i="8" s="1"/>
  <c r="X1334" i="8"/>
  <c r="Z1334" i="8" s="1"/>
  <c r="X1335" i="8"/>
  <c r="Z1335" i="8" s="1"/>
  <c r="X1336" i="8"/>
  <c r="Z1336" i="8" s="1"/>
  <c r="X1337" i="8"/>
  <c r="Z1337" i="8" s="1"/>
  <c r="X1338" i="8"/>
  <c r="Z1338" i="8" s="1"/>
  <c r="X1339" i="8"/>
  <c r="Z1339" i="8" s="1"/>
  <c r="X1340" i="8"/>
  <c r="Z1340" i="8" s="1"/>
  <c r="X1341" i="8"/>
  <c r="Z1341" i="8" s="1"/>
  <c r="X1342" i="8"/>
  <c r="Z1342" i="8" s="1"/>
  <c r="X1343" i="8"/>
  <c r="Z1343" i="8" s="1"/>
  <c r="X1344" i="8"/>
  <c r="Z1344" i="8" s="1"/>
  <c r="X1345" i="8"/>
  <c r="Z1345" i="8" s="1"/>
  <c r="X1346" i="8"/>
  <c r="Z1346" i="8" s="1"/>
  <c r="X1347" i="8"/>
  <c r="Z1347" i="8" s="1"/>
  <c r="X1348" i="8"/>
  <c r="Z1348" i="8" s="1"/>
  <c r="X1349" i="8"/>
  <c r="Z1349" i="8" s="1"/>
  <c r="X1350" i="8"/>
  <c r="Z1350" i="8" s="1"/>
  <c r="X1351" i="8"/>
  <c r="Z1351" i="8" s="1"/>
  <c r="X1352" i="8"/>
  <c r="Z1352" i="8" s="1"/>
  <c r="X1353" i="8"/>
  <c r="Z1353" i="8" s="1"/>
  <c r="X1354" i="8"/>
  <c r="Z1354" i="8" s="1"/>
  <c r="X1355" i="8"/>
  <c r="Z1355" i="8" s="1"/>
  <c r="X1356" i="8"/>
  <c r="Z1356" i="8" s="1"/>
  <c r="X1357" i="8"/>
  <c r="Z1357" i="8" s="1"/>
  <c r="X1358" i="8"/>
  <c r="Z1358" i="8" s="1"/>
  <c r="X1359" i="8"/>
  <c r="Z1359" i="8" s="1"/>
  <c r="X1360" i="8"/>
  <c r="Z1360" i="8" s="1"/>
  <c r="X1361" i="8"/>
  <c r="Z1361" i="8" s="1"/>
  <c r="X1362" i="8"/>
  <c r="Z1362" i="8" s="1"/>
  <c r="X1363" i="8"/>
  <c r="Z1363" i="8" s="1"/>
  <c r="X1364" i="8"/>
  <c r="Z1364" i="8" s="1"/>
  <c r="X1365" i="8"/>
  <c r="Z1365" i="8" s="1"/>
  <c r="X1366" i="8"/>
  <c r="Z1366" i="8" s="1"/>
  <c r="X1367" i="8"/>
  <c r="Z1367" i="8" s="1"/>
  <c r="X1368" i="8"/>
  <c r="Z1368" i="8" s="1"/>
  <c r="X1369" i="8"/>
  <c r="Z1369" i="8" s="1"/>
  <c r="X1370" i="8"/>
  <c r="Z1370" i="8" s="1"/>
  <c r="X1371" i="8"/>
  <c r="Z1371" i="8" s="1"/>
  <c r="X1372" i="8"/>
  <c r="Z1372" i="8" s="1"/>
  <c r="X1373" i="8"/>
  <c r="Z1373" i="8" s="1"/>
  <c r="X1374" i="8"/>
  <c r="Z1374" i="8" s="1"/>
  <c r="X1375" i="8"/>
  <c r="Z1375" i="8" s="1"/>
  <c r="X1376" i="8"/>
  <c r="Z1376" i="8" s="1"/>
  <c r="X1377" i="8"/>
  <c r="Z1377" i="8" s="1"/>
  <c r="X1378" i="8"/>
  <c r="Z1378" i="8" s="1"/>
  <c r="X1379" i="8"/>
  <c r="Z1379" i="8" s="1"/>
  <c r="X1380" i="8"/>
  <c r="Z1380" i="8" s="1"/>
  <c r="X1381" i="8"/>
  <c r="Z1381" i="8" s="1"/>
  <c r="X1382" i="8"/>
  <c r="Z1382" i="8" s="1"/>
  <c r="X1383" i="8"/>
  <c r="Z1383" i="8" s="1"/>
  <c r="X1384" i="8"/>
  <c r="Z1384" i="8" s="1"/>
  <c r="X1385" i="8"/>
  <c r="Z1385" i="8" s="1"/>
  <c r="X1386" i="8"/>
  <c r="Z1386" i="8" s="1"/>
  <c r="X1387" i="8"/>
  <c r="Z1387" i="8" s="1"/>
  <c r="X1388" i="8"/>
  <c r="Z1388" i="8" s="1"/>
  <c r="X1389" i="8"/>
  <c r="Z1389" i="8" s="1"/>
  <c r="X1390" i="8"/>
  <c r="Z1390" i="8" s="1"/>
  <c r="X1391" i="8"/>
  <c r="Z1391" i="8" s="1"/>
  <c r="X1392" i="8"/>
  <c r="Z1392" i="8" s="1"/>
  <c r="X1393" i="8"/>
  <c r="Z1393" i="8" s="1"/>
  <c r="X1394" i="8"/>
  <c r="Z1394" i="8" s="1"/>
  <c r="X1395" i="8"/>
  <c r="Z1395" i="8" s="1"/>
  <c r="X1396" i="8"/>
  <c r="Z1396" i="8" s="1"/>
  <c r="X1397" i="8"/>
  <c r="Z1397" i="8" s="1"/>
  <c r="X1398" i="8"/>
  <c r="Z1398" i="8" s="1"/>
  <c r="X1399" i="8"/>
  <c r="Z1399" i="8" s="1"/>
  <c r="X1400" i="8"/>
  <c r="Z1400" i="8" s="1"/>
  <c r="X1401" i="8"/>
  <c r="Z1401" i="8" s="1"/>
  <c r="X1402" i="8"/>
  <c r="Z1402" i="8" s="1"/>
  <c r="X1403" i="8"/>
  <c r="Z1403" i="8" s="1"/>
  <c r="X1404" i="8"/>
  <c r="Z1404" i="8" s="1"/>
  <c r="X1405" i="8"/>
  <c r="Z1405" i="8" s="1"/>
  <c r="X1406" i="8"/>
  <c r="Z1406" i="8" s="1"/>
  <c r="X1407" i="8"/>
  <c r="Z1407" i="8" s="1"/>
  <c r="X1408" i="8"/>
  <c r="Z1408" i="8" s="1"/>
  <c r="X1409" i="8"/>
  <c r="Z1409" i="8" s="1"/>
  <c r="X1410" i="8"/>
  <c r="Z1410" i="8" s="1"/>
  <c r="X1411" i="8"/>
  <c r="Z1411" i="8" s="1"/>
  <c r="X1412" i="8"/>
  <c r="Z1412" i="8" s="1"/>
  <c r="X1413" i="8"/>
  <c r="Z1413" i="8" s="1"/>
  <c r="X1414" i="8"/>
  <c r="Z1414" i="8" s="1"/>
  <c r="X1415" i="8"/>
  <c r="Z1415" i="8" s="1"/>
  <c r="X1416" i="8"/>
  <c r="Z1416" i="8" s="1"/>
  <c r="X1417" i="8"/>
  <c r="Z1417" i="8" s="1"/>
  <c r="X1418" i="8"/>
  <c r="Z1418" i="8" s="1"/>
  <c r="X1419" i="8"/>
  <c r="Z1419" i="8" s="1"/>
  <c r="X1420" i="8"/>
  <c r="Z1420" i="8" s="1"/>
  <c r="X1421" i="8"/>
  <c r="Z1421" i="8" s="1"/>
  <c r="X1422" i="8"/>
  <c r="Z1422" i="8" s="1"/>
  <c r="X1423" i="8"/>
  <c r="Z1423" i="8" s="1"/>
  <c r="X1424" i="8"/>
  <c r="Z1424" i="8" s="1"/>
  <c r="X1425" i="8"/>
  <c r="Z1425" i="8" s="1"/>
  <c r="X1426" i="8"/>
  <c r="Z1426" i="8" s="1"/>
  <c r="X1427" i="8"/>
  <c r="Z1427" i="8" s="1"/>
  <c r="X1428" i="8"/>
  <c r="Z1428" i="8" s="1"/>
  <c r="X1429" i="8"/>
  <c r="Z1429" i="8" s="1"/>
  <c r="X1430" i="8"/>
  <c r="Z1430" i="8" s="1"/>
  <c r="X1431" i="8"/>
  <c r="Z1431" i="8" s="1"/>
  <c r="X1432" i="8"/>
  <c r="Z1432" i="8" s="1"/>
  <c r="X1433" i="8"/>
  <c r="Z1433" i="8" s="1"/>
  <c r="X1434" i="8"/>
  <c r="Z1434" i="8" s="1"/>
  <c r="X1435" i="8"/>
  <c r="Z1435" i="8" s="1"/>
  <c r="X1436" i="8"/>
  <c r="Z1436" i="8" s="1"/>
  <c r="X1437" i="8"/>
  <c r="Z1437" i="8" s="1"/>
  <c r="X1438" i="8"/>
  <c r="Z1438" i="8" s="1"/>
  <c r="X1439" i="8"/>
  <c r="Z1439" i="8" s="1"/>
  <c r="X1440" i="8"/>
  <c r="Z1440" i="8" s="1"/>
  <c r="X1441" i="8"/>
  <c r="Z1441" i="8" s="1"/>
  <c r="X1442" i="8"/>
  <c r="Z1442" i="8" s="1"/>
  <c r="X1443" i="8"/>
  <c r="Z1443" i="8" s="1"/>
  <c r="X1444" i="8"/>
  <c r="Z1444" i="8" s="1"/>
  <c r="X1445" i="8"/>
  <c r="Z1445" i="8" s="1"/>
  <c r="X1446" i="8"/>
  <c r="Z1446" i="8" s="1"/>
  <c r="X1447" i="8"/>
  <c r="Z1447" i="8" s="1"/>
  <c r="X1448" i="8"/>
  <c r="Z1448" i="8" s="1"/>
  <c r="X1449" i="8"/>
  <c r="Z1449" i="8" s="1"/>
  <c r="X1450" i="8"/>
  <c r="Z1450" i="8" s="1"/>
  <c r="X1451" i="8"/>
  <c r="Z1451" i="8" s="1"/>
  <c r="X1452" i="8"/>
  <c r="Z1452" i="8" s="1"/>
  <c r="X1453" i="8"/>
  <c r="Z1453" i="8" s="1"/>
  <c r="X1454" i="8"/>
  <c r="Z1454" i="8" s="1"/>
  <c r="X1455" i="8"/>
  <c r="Z1455" i="8" s="1"/>
  <c r="X1456" i="8"/>
  <c r="Z1456" i="8" s="1"/>
  <c r="X1457" i="8"/>
  <c r="Z1457" i="8" s="1"/>
  <c r="X1458" i="8"/>
  <c r="Z1458" i="8" s="1"/>
  <c r="X1459" i="8"/>
  <c r="Z1459" i="8" s="1"/>
  <c r="X1460" i="8"/>
  <c r="Z1460" i="8" s="1"/>
  <c r="X1461" i="8"/>
  <c r="Z1461" i="8" s="1"/>
  <c r="X1462" i="8"/>
  <c r="Z1462" i="8" s="1"/>
  <c r="X1463" i="8"/>
  <c r="Z1463" i="8" s="1"/>
  <c r="X1464" i="8"/>
  <c r="Z1464" i="8" s="1"/>
  <c r="X1465" i="8"/>
  <c r="Z1465" i="8" s="1"/>
  <c r="X1466" i="8"/>
  <c r="Z1466" i="8" s="1"/>
  <c r="X1467" i="8"/>
  <c r="Z1467" i="8" s="1"/>
  <c r="X1468" i="8"/>
  <c r="Z1468" i="8" s="1"/>
  <c r="X1469" i="8"/>
  <c r="Z1469" i="8" s="1"/>
  <c r="X1470" i="8"/>
  <c r="Z1470" i="8" s="1"/>
  <c r="X1471" i="8"/>
  <c r="Z1471" i="8" s="1"/>
  <c r="X1472" i="8"/>
  <c r="Z1472" i="8" s="1"/>
  <c r="X1473" i="8"/>
  <c r="Z1473" i="8" s="1"/>
  <c r="X1474" i="8"/>
  <c r="Z1474" i="8" s="1"/>
  <c r="X1475" i="8"/>
  <c r="Z1475" i="8" s="1"/>
  <c r="X1476" i="8"/>
  <c r="Z1476" i="8" s="1"/>
  <c r="X1477" i="8"/>
  <c r="Z1477" i="8" s="1"/>
  <c r="X1478" i="8"/>
  <c r="Z1478" i="8" s="1"/>
  <c r="X1479" i="8"/>
  <c r="Z1479" i="8" s="1"/>
  <c r="X1480" i="8"/>
  <c r="Z1480" i="8" s="1"/>
  <c r="X1481" i="8"/>
  <c r="Z1481" i="8" s="1"/>
  <c r="X1482" i="8"/>
  <c r="Z1482" i="8" s="1"/>
  <c r="X1483" i="8"/>
  <c r="Z1483" i="8" s="1"/>
  <c r="X1484" i="8"/>
  <c r="Z1484" i="8" s="1"/>
  <c r="X1485" i="8"/>
  <c r="Z1485" i="8" s="1"/>
  <c r="X1486" i="8"/>
  <c r="Z1486" i="8" s="1"/>
  <c r="X1487" i="8"/>
  <c r="Z1487" i="8" s="1"/>
  <c r="X1488" i="8"/>
  <c r="Z1488" i="8" s="1"/>
  <c r="X1489" i="8"/>
  <c r="Z1489" i="8" s="1"/>
  <c r="X1490" i="8"/>
  <c r="Z1490" i="8" s="1"/>
  <c r="X1491" i="8"/>
  <c r="Z1491" i="8" s="1"/>
  <c r="X1492" i="8"/>
  <c r="Z1492" i="8" s="1"/>
  <c r="X1493" i="8"/>
  <c r="Z1493" i="8" s="1"/>
  <c r="X1494" i="8"/>
  <c r="Z1494" i="8" s="1"/>
  <c r="X1495" i="8"/>
  <c r="Z1495" i="8" s="1"/>
  <c r="X1496" i="8"/>
  <c r="Z1496" i="8" s="1"/>
  <c r="X1497" i="8"/>
  <c r="Z1497" i="8" s="1"/>
  <c r="X1498" i="8"/>
  <c r="Z1498" i="8" s="1"/>
  <c r="X1499" i="8"/>
  <c r="Z1499" i="8" s="1"/>
  <c r="X1500" i="8"/>
  <c r="Z1500" i="8" s="1"/>
  <c r="X1501" i="8"/>
  <c r="Z1501" i="8" s="1"/>
  <c r="X1502" i="8"/>
  <c r="Z1502" i="8" s="1"/>
  <c r="X1503" i="8"/>
  <c r="Z1503" i="8" s="1"/>
  <c r="X1504" i="8"/>
  <c r="Z1504" i="8" s="1"/>
  <c r="X1505" i="8"/>
  <c r="Z1505" i="8" s="1"/>
  <c r="X1506" i="8"/>
  <c r="Z1506" i="8" s="1"/>
  <c r="X1507" i="8"/>
  <c r="Z1507" i="8" s="1"/>
  <c r="X1508" i="8"/>
  <c r="Z1508" i="8" s="1"/>
  <c r="X1509" i="8"/>
  <c r="Z1509" i="8" s="1"/>
  <c r="X1510" i="8"/>
  <c r="Z1510" i="8" s="1"/>
  <c r="X1511" i="8"/>
  <c r="Z1511" i="8" s="1"/>
  <c r="X1512" i="8"/>
  <c r="Z1512" i="8" s="1"/>
  <c r="X1513" i="8"/>
  <c r="Z1513" i="8" s="1"/>
  <c r="X1514" i="8"/>
  <c r="Z1514" i="8" s="1"/>
  <c r="X1515" i="8"/>
  <c r="Z1515" i="8" s="1"/>
  <c r="X1516" i="8"/>
  <c r="Z1516" i="8" s="1"/>
  <c r="X1517" i="8"/>
  <c r="Z1517" i="8" s="1"/>
  <c r="X1518" i="8"/>
  <c r="Z1518" i="8" s="1"/>
  <c r="X1519" i="8"/>
  <c r="Z1519" i="8" s="1"/>
  <c r="X1520" i="8"/>
  <c r="Z1520" i="8" s="1"/>
  <c r="X1521" i="8"/>
  <c r="Z1521" i="8" s="1"/>
  <c r="X1522" i="8"/>
  <c r="Z1522" i="8" s="1"/>
  <c r="X1523" i="8"/>
  <c r="Z1523" i="8" s="1"/>
  <c r="X1524" i="8"/>
  <c r="Z1524" i="8" s="1"/>
  <c r="X1525" i="8"/>
  <c r="Z1525" i="8" s="1"/>
  <c r="X1526" i="8"/>
  <c r="Z1526" i="8" s="1"/>
  <c r="X1527" i="8"/>
  <c r="Z1527" i="8" s="1"/>
  <c r="X1528" i="8"/>
  <c r="Z1528" i="8" s="1"/>
  <c r="X1529" i="8"/>
  <c r="Z1529" i="8" s="1"/>
  <c r="X1530" i="8"/>
  <c r="Z1530" i="8" s="1"/>
  <c r="X1531" i="8"/>
  <c r="Z1531" i="8" s="1"/>
  <c r="X1532" i="8"/>
  <c r="Z1532" i="8" s="1"/>
  <c r="X1533" i="8"/>
  <c r="Z1533" i="8" s="1"/>
  <c r="X1534" i="8"/>
  <c r="Z1534" i="8" s="1"/>
  <c r="X1535" i="8"/>
  <c r="Z1535" i="8" s="1"/>
  <c r="X1536" i="8"/>
  <c r="Z1536" i="8" s="1"/>
  <c r="X1537" i="8"/>
  <c r="Z1537" i="8" s="1"/>
  <c r="X1538" i="8"/>
  <c r="Z1538" i="8" s="1"/>
  <c r="X1539" i="8"/>
  <c r="Z1539" i="8" s="1"/>
  <c r="X1540" i="8"/>
  <c r="Z1540" i="8" s="1"/>
  <c r="X1541" i="8"/>
  <c r="Z1541" i="8" s="1"/>
  <c r="X1542" i="8"/>
  <c r="Z1542" i="8" s="1"/>
  <c r="X1543" i="8"/>
  <c r="Z1543" i="8" s="1"/>
  <c r="X1544" i="8"/>
  <c r="Z1544" i="8" s="1"/>
  <c r="X1545" i="8"/>
  <c r="Z1545" i="8" s="1"/>
  <c r="X1546" i="8"/>
  <c r="Z1546" i="8" s="1"/>
  <c r="X1547" i="8"/>
  <c r="Z1547" i="8" s="1"/>
  <c r="X1548" i="8"/>
  <c r="Z1548" i="8" s="1"/>
  <c r="X1549" i="8"/>
  <c r="Z1549" i="8" s="1"/>
  <c r="X1550" i="8"/>
  <c r="Z1550" i="8" s="1"/>
  <c r="X1551" i="8"/>
  <c r="Z1551" i="8" s="1"/>
  <c r="X1552" i="8"/>
  <c r="Z1552" i="8" s="1"/>
  <c r="X1553" i="8"/>
  <c r="Z1553" i="8" s="1"/>
  <c r="X1554" i="8"/>
  <c r="Z1554" i="8" s="1"/>
  <c r="X1555" i="8"/>
  <c r="Z1555" i="8" s="1"/>
  <c r="X1556" i="8"/>
  <c r="Z1556" i="8" s="1"/>
  <c r="X1557" i="8"/>
  <c r="Z1557" i="8" s="1"/>
  <c r="X1558" i="8"/>
  <c r="Z1558" i="8" s="1"/>
  <c r="X1559" i="8"/>
  <c r="Z1559" i="8" s="1"/>
  <c r="X1560" i="8"/>
  <c r="Z1560" i="8" s="1"/>
  <c r="X1561" i="8"/>
  <c r="Z1561" i="8" s="1"/>
  <c r="X1562" i="8"/>
  <c r="Z1562" i="8" s="1"/>
  <c r="X1563" i="8"/>
  <c r="Z1563" i="8" s="1"/>
  <c r="X1564" i="8"/>
  <c r="Z1564" i="8" s="1"/>
  <c r="X1565" i="8"/>
  <c r="Z1565" i="8" s="1"/>
  <c r="X1566" i="8"/>
  <c r="Z1566" i="8" s="1"/>
  <c r="X1567" i="8"/>
  <c r="Z1567" i="8" s="1"/>
  <c r="X1568" i="8"/>
  <c r="Z1568" i="8" s="1"/>
  <c r="X1569" i="8"/>
  <c r="Z1569" i="8" s="1"/>
  <c r="X1570" i="8"/>
  <c r="Z1570" i="8" s="1"/>
  <c r="X1571" i="8"/>
  <c r="Z1571" i="8" s="1"/>
  <c r="X1572" i="8"/>
  <c r="Z1572" i="8" s="1"/>
  <c r="X1573" i="8"/>
  <c r="Z1573" i="8" s="1"/>
  <c r="X1574" i="8"/>
  <c r="Z1574" i="8" s="1"/>
  <c r="X1575" i="8"/>
  <c r="Z1575" i="8" s="1"/>
  <c r="X1576" i="8"/>
  <c r="Z1576" i="8" s="1"/>
  <c r="X1577" i="8"/>
  <c r="Z1577" i="8" s="1"/>
  <c r="X1578" i="8"/>
  <c r="Z1578" i="8" s="1"/>
  <c r="X1579" i="8"/>
  <c r="Z1579" i="8" s="1"/>
  <c r="X1580" i="8"/>
  <c r="Z1580" i="8" s="1"/>
  <c r="X1581" i="8"/>
  <c r="Z1581" i="8" s="1"/>
  <c r="X1582" i="8"/>
  <c r="Z1582" i="8" s="1"/>
  <c r="X1583" i="8"/>
  <c r="Z1583" i="8" s="1"/>
  <c r="X1584" i="8"/>
  <c r="Z1584" i="8" s="1"/>
  <c r="X1585" i="8"/>
  <c r="Z1585" i="8" s="1"/>
  <c r="X1586" i="8"/>
  <c r="Z1586" i="8" s="1"/>
  <c r="X1587" i="8"/>
  <c r="Z1587" i="8" s="1"/>
  <c r="X1588" i="8"/>
  <c r="Z1588" i="8" s="1"/>
  <c r="X1589" i="8"/>
  <c r="Z1589" i="8" s="1"/>
  <c r="X1590" i="8"/>
  <c r="Z1590" i="8" s="1"/>
  <c r="X1591" i="8"/>
  <c r="Z1591" i="8" s="1"/>
  <c r="X1592" i="8"/>
  <c r="Z1592" i="8" s="1"/>
  <c r="X1593" i="8"/>
  <c r="Z1593" i="8" s="1"/>
  <c r="X1594" i="8"/>
  <c r="Z1594" i="8" s="1"/>
  <c r="X1595" i="8"/>
  <c r="Z1595" i="8" s="1"/>
  <c r="X1596" i="8"/>
  <c r="Z1596" i="8" s="1"/>
  <c r="X1597" i="8"/>
  <c r="Z1597" i="8" s="1"/>
  <c r="X1598" i="8"/>
  <c r="Z1598" i="8" s="1"/>
  <c r="X1599" i="8"/>
  <c r="Z1599" i="8" s="1"/>
  <c r="X1600" i="8"/>
  <c r="Z1600" i="8" s="1"/>
  <c r="X1601" i="8"/>
  <c r="Z1601" i="8" s="1"/>
  <c r="X1602" i="8"/>
  <c r="Z1602" i="8" s="1"/>
  <c r="X1603" i="8"/>
  <c r="Z1603" i="8" s="1"/>
  <c r="X1604" i="8"/>
  <c r="Z1604" i="8" s="1"/>
  <c r="X1605" i="8"/>
  <c r="Z1605" i="8" s="1"/>
  <c r="X1606" i="8"/>
  <c r="Z1606" i="8" s="1"/>
  <c r="X1607" i="8"/>
  <c r="Z1607" i="8" s="1"/>
  <c r="X1608" i="8"/>
  <c r="Z1608" i="8" s="1"/>
  <c r="X1609" i="8"/>
  <c r="Z1609" i="8" s="1"/>
  <c r="X1610" i="8"/>
  <c r="Z1610" i="8" s="1"/>
  <c r="X1611" i="8"/>
  <c r="Z1611" i="8" s="1"/>
  <c r="X1612" i="8"/>
  <c r="Z1612" i="8" s="1"/>
  <c r="X1613" i="8"/>
  <c r="Z1613" i="8" s="1"/>
  <c r="X1614" i="8"/>
  <c r="Z1614" i="8" s="1"/>
  <c r="X1615" i="8"/>
  <c r="Z1615" i="8" s="1"/>
  <c r="X1616" i="8"/>
  <c r="Z1616" i="8" s="1"/>
  <c r="X1617" i="8"/>
  <c r="Z1617" i="8" s="1"/>
  <c r="X1618" i="8"/>
  <c r="Z1618" i="8" s="1"/>
  <c r="X1619" i="8"/>
  <c r="Z1619" i="8" s="1"/>
  <c r="X1620" i="8"/>
  <c r="Z1620" i="8" s="1"/>
  <c r="X1621" i="8"/>
  <c r="Z1621" i="8" s="1"/>
  <c r="X1622" i="8"/>
  <c r="Z1622" i="8" s="1"/>
  <c r="X1623" i="8"/>
  <c r="Z1623" i="8" s="1"/>
  <c r="X1624" i="8"/>
  <c r="Z1624" i="8" s="1"/>
  <c r="X1625" i="8"/>
  <c r="Z1625" i="8" s="1"/>
  <c r="X1626" i="8"/>
  <c r="Z1626" i="8" s="1"/>
  <c r="X1627" i="8"/>
  <c r="Z1627" i="8" s="1"/>
  <c r="X1628" i="8"/>
  <c r="Z1628" i="8" s="1"/>
  <c r="X1629" i="8"/>
  <c r="Z1629" i="8" s="1"/>
  <c r="X1630" i="8"/>
  <c r="Z1630" i="8" s="1"/>
  <c r="X1631" i="8"/>
  <c r="Z1631" i="8" s="1"/>
  <c r="X1632" i="8"/>
  <c r="Z1632" i="8" s="1"/>
  <c r="X1633" i="8"/>
  <c r="Z1633" i="8" s="1"/>
  <c r="X1634" i="8"/>
  <c r="Z1634" i="8" s="1"/>
  <c r="X1635" i="8"/>
  <c r="Z1635" i="8" s="1"/>
  <c r="X1636" i="8"/>
  <c r="Z1636" i="8" s="1"/>
  <c r="X1637" i="8"/>
  <c r="Z1637" i="8" s="1"/>
  <c r="X1638" i="8"/>
  <c r="Z1638" i="8" s="1"/>
  <c r="X1639" i="8"/>
  <c r="Z1639" i="8" s="1"/>
  <c r="X1640" i="8"/>
  <c r="Z1640" i="8" s="1"/>
  <c r="X1641" i="8"/>
  <c r="Z1641" i="8" s="1"/>
  <c r="X1642" i="8"/>
  <c r="Z1642" i="8" s="1"/>
  <c r="X1643" i="8"/>
  <c r="Z1643" i="8" s="1"/>
  <c r="X1644" i="8"/>
  <c r="Z1644" i="8" s="1"/>
  <c r="X1645" i="8"/>
  <c r="Z1645" i="8" s="1"/>
  <c r="X1646" i="8"/>
  <c r="Z1646" i="8" s="1"/>
  <c r="X1647" i="8"/>
  <c r="Z1647" i="8" s="1"/>
  <c r="X1648" i="8"/>
  <c r="Z1648" i="8" s="1"/>
  <c r="X1649" i="8"/>
  <c r="Z1649" i="8" s="1"/>
  <c r="X1650" i="8"/>
  <c r="Z1650" i="8" s="1"/>
  <c r="X1651" i="8"/>
  <c r="Z1651" i="8" s="1"/>
  <c r="X1652" i="8"/>
  <c r="Z1652" i="8" s="1"/>
  <c r="X1653" i="8"/>
  <c r="Z1653" i="8" s="1"/>
  <c r="X1654" i="8"/>
  <c r="Z1654" i="8" s="1"/>
  <c r="X1655" i="8"/>
  <c r="Z1655" i="8" s="1"/>
  <c r="X1656" i="8"/>
  <c r="Z1656" i="8" s="1"/>
  <c r="X1657" i="8"/>
  <c r="Z1657" i="8" s="1"/>
  <c r="X1658" i="8"/>
  <c r="Z1658" i="8" s="1"/>
  <c r="X1659" i="8"/>
  <c r="Z1659" i="8" s="1"/>
  <c r="X1660" i="8"/>
  <c r="Z1660" i="8" s="1"/>
  <c r="X1661" i="8"/>
  <c r="Z1661" i="8" s="1"/>
  <c r="X1662" i="8"/>
  <c r="Z1662" i="8" s="1"/>
  <c r="X1663" i="8"/>
  <c r="Z1663" i="8" s="1"/>
  <c r="X1664" i="8"/>
  <c r="Z1664" i="8" s="1"/>
  <c r="X1665" i="8"/>
  <c r="Z1665" i="8" s="1"/>
  <c r="X1666" i="8"/>
  <c r="Z1666" i="8" s="1"/>
  <c r="X1667" i="8"/>
  <c r="Z1667" i="8" s="1"/>
  <c r="X1668" i="8"/>
  <c r="Z1668" i="8" s="1"/>
  <c r="X1669" i="8"/>
  <c r="Z1669" i="8" s="1"/>
  <c r="X1670" i="8"/>
  <c r="Z1670" i="8" s="1"/>
  <c r="X1671" i="8"/>
  <c r="Z1671" i="8" s="1"/>
  <c r="X1672" i="8"/>
  <c r="Z1672" i="8" s="1"/>
  <c r="X1673" i="8"/>
  <c r="Z1673" i="8" s="1"/>
  <c r="X1674" i="8"/>
  <c r="Z1674" i="8" s="1"/>
  <c r="X1675" i="8"/>
  <c r="Z1675" i="8" s="1"/>
  <c r="X1676" i="8"/>
  <c r="Z1676" i="8" s="1"/>
  <c r="X1677" i="8"/>
  <c r="Z1677" i="8" s="1"/>
  <c r="X1678" i="8"/>
  <c r="Z1678" i="8" s="1"/>
  <c r="X1679" i="8"/>
  <c r="Z1679" i="8" s="1"/>
  <c r="X1680" i="8"/>
  <c r="Z1680" i="8" s="1"/>
  <c r="X1681" i="8"/>
  <c r="Z1681" i="8" s="1"/>
  <c r="X1682" i="8"/>
  <c r="Z1682" i="8" s="1"/>
  <c r="X1683" i="8"/>
  <c r="Z1683" i="8" s="1"/>
  <c r="X1684" i="8"/>
  <c r="Z1684" i="8" s="1"/>
  <c r="X1685" i="8"/>
  <c r="Z1685" i="8" s="1"/>
  <c r="X1686" i="8"/>
  <c r="Z1686" i="8" s="1"/>
  <c r="X1687" i="8"/>
  <c r="Z1687" i="8" s="1"/>
  <c r="X1688" i="8"/>
  <c r="Z1688" i="8" s="1"/>
  <c r="X1689" i="8"/>
  <c r="Z1689" i="8" s="1"/>
  <c r="X1690" i="8"/>
  <c r="Z1690" i="8" s="1"/>
  <c r="X1691" i="8"/>
  <c r="Z1691" i="8" s="1"/>
  <c r="X1692" i="8"/>
  <c r="Z1692" i="8" s="1"/>
  <c r="X1693" i="8"/>
  <c r="Z1693" i="8" s="1"/>
  <c r="X1694" i="8"/>
  <c r="Z1694" i="8" s="1"/>
  <c r="X1695" i="8"/>
  <c r="Z1695" i="8" s="1"/>
  <c r="X1696" i="8"/>
  <c r="Z1696" i="8" s="1"/>
  <c r="X1697" i="8"/>
  <c r="Z1697" i="8" s="1"/>
  <c r="X1698" i="8"/>
  <c r="Z1698" i="8" s="1"/>
  <c r="X1699" i="8"/>
  <c r="Z1699" i="8" s="1"/>
  <c r="X1700" i="8"/>
  <c r="Z1700" i="8" s="1"/>
  <c r="X1701" i="8"/>
  <c r="Z1701" i="8" s="1"/>
  <c r="X1702" i="8"/>
  <c r="Z1702" i="8" s="1"/>
  <c r="X1703" i="8"/>
  <c r="Z1703" i="8" s="1"/>
  <c r="X1704" i="8"/>
  <c r="Z1704" i="8" s="1"/>
  <c r="X1705" i="8"/>
  <c r="Z1705" i="8" s="1"/>
  <c r="X1706" i="8"/>
  <c r="Z1706" i="8" s="1"/>
  <c r="X1707" i="8"/>
  <c r="Z1707" i="8" s="1"/>
  <c r="X1708" i="8"/>
  <c r="Z1708" i="8" s="1"/>
  <c r="X1709" i="8"/>
  <c r="Z1709" i="8" s="1"/>
  <c r="X1710" i="8"/>
  <c r="Z1710" i="8" s="1"/>
  <c r="X1711" i="8"/>
  <c r="Z1711" i="8" s="1"/>
  <c r="X1712" i="8"/>
  <c r="Z1712" i="8" s="1"/>
  <c r="X1713" i="8"/>
  <c r="Z1713" i="8" s="1"/>
  <c r="X1714" i="8"/>
  <c r="Z1714" i="8" s="1"/>
  <c r="X1715" i="8"/>
  <c r="Z1715" i="8" s="1"/>
  <c r="X1716" i="8"/>
  <c r="Z1716" i="8" s="1"/>
  <c r="X1717" i="8"/>
  <c r="Z1717" i="8" s="1"/>
  <c r="X1718" i="8"/>
  <c r="Z1718" i="8" s="1"/>
  <c r="X1719" i="8"/>
  <c r="Z1719" i="8" s="1"/>
  <c r="X1720" i="8"/>
  <c r="Z1720" i="8" s="1"/>
  <c r="X1721" i="8"/>
  <c r="Z1721" i="8" s="1"/>
  <c r="X1722" i="8"/>
  <c r="Z1722" i="8" s="1"/>
  <c r="X1723" i="8"/>
  <c r="Z1723" i="8" s="1"/>
  <c r="X1724" i="8"/>
  <c r="Z1724" i="8" s="1"/>
  <c r="X1725" i="8"/>
  <c r="Z1725" i="8" s="1"/>
  <c r="X1726" i="8"/>
  <c r="Z1726" i="8" s="1"/>
  <c r="X1727" i="8"/>
  <c r="Z1727" i="8" s="1"/>
  <c r="X1728" i="8"/>
  <c r="Z1728" i="8" s="1"/>
  <c r="X1729" i="8"/>
  <c r="Z1729" i="8" s="1"/>
  <c r="X1730" i="8"/>
  <c r="Z1730" i="8" s="1"/>
  <c r="X1731" i="8"/>
  <c r="Z1731" i="8" s="1"/>
  <c r="X1732" i="8"/>
  <c r="Z1732" i="8" s="1"/>
  <c r="X1733" i="8"/>
  <c r="Z1733" i="8" s="1"/>
  <c r="X1734" i="8"/>
  <c r="Z1734" i="8" s="1"/>
  <c r="X1735" i="8"/>
  <c r="Z1735" i="8" s="1"/>
  <c r="X1736" i="8"/>
  <c r="Z1736" i="8" s="1"/>
  <c r="X1737" i="8"/>
  <c r="Z1737" i="8" s="1"/>
  <c r="X1738" i="8"/>
  <c r="Z1738" i="8" s="1"/>
  <c r="X1739" i="8"/>
  <c r="Z1739" i="8" s="1"/>
  <c r="X1740" i="8"/>
  <c r="Z1740" i="8" s="1"/>
  <c r="X1741" i="8"/>
  <c r="Z1741" i="8" s="1"/>
  <c r="X1742" i="8"/>
  <c r="Z1742" i="8" s="1"/>
  <c r="X1743" i="8"/>
  <c r="Z1743" i="8" s="1"/>
  <c r="X1744" i="8"/>
  <c r="Z1744" i="8" s="1"/>
  <c r="X1745" i="8"/>
  <c r="Z1745" i="8" s="1"/>
  <c r="X1746" i="8"/>
  <c r="Z1746" i="8" s="1"/>
  <c r="X1747" i="8"/>
  <c r="Z1747" i="8" s="1"/>
  <c r="X1748" i="8"/>
  <c r="Z1748" i="8" s="1"/>
  <c r="X1749" i="8"/>
  <c r="Z1749" i="8" s="1"/>
  <c r="X1750" i="8"/>
  <c r="Z1750" i="8" s="1"/>
  <c r="X1751" i="8"/>
  <c r="Z1751" i="8" s="1"/>
  <c r="X1752" i="8"/>
  <c r="Z1752" i="8" s="1"/>
  <c r="X1753" i="8"/>
  <c r="Z1753" i="8" s="1"/>
  <c r="X1754" i="8"/>
  <c r="Z1754" i="8" s="1"/>
  <c r="X1755" i="8"/>
  <c r="Z1755" i="8" s="1"/>
  <c r="X1756" i="8"/>
  <c r="Z1756" i="8" s="1"/>
  <c r="X1757" i="8"/>
  <c r="Z1757" i="8" s="1"/>
  <c r="X1758" i="8"/>
  <c r="Z1758" i="8" s="1"/>
  <c r="X1759" i="8"/>
  <c r="Z1759" i="8" s="1"/>
  <c r="X1760" i="8"/>
  <c r="Z1760" i="8" s="1"/>
  <c r="X1761" i="8"/>
  <c r="Z1761" i="8" s="1"/>
  <c r="X1762" i="8"/>
  <c r="Z1762" i="8" s="1"/>
  <c r="X1763" i="8"/>
  <c r="Z1763" i="8" s="1"/>
  <c r="X1764" i="8"/>
  <c r="Z1764" i="8" s="1"/>
  <c r="X1765" i="8"/>
  <c r="Z1765" i="8" s="1"/>
  <c r="X1766" i="8"/>
  <c r="Z1766" i="8" s="1"/>
  <c r="X1767" i="8"/>
  <c r="Z1767" i="8" s="1"/>
  <c r="X1768" i="8"/>
  <c r="Z1768" i="8" s="1"/>
  <c r="X1769" i="8"/>
  <c r="Z1769" i="8" s="1"/>
  <c r="X1770" i="8"/>
  <c r="Z1770" i="8" s="1"/>
  <c r="X1771" i="8"/>
  <c r="Z1771" i="8" s="1"/>
  <c r="X1772" i="8"/>
  <c r="Z1772" i="8" s="1"/>
  <c r="X1773" i="8"/>
  <c r="Z1773" i="8" s="1"/>
  <c r="X1774" i="8"/>
  <c r="Z1774" i="8" s="1"/>
  <c r="X1775" i="8"/>
  <c r="Z1775" i="8" s="1"/>
  <c r="X1776" i="8"/>
  <c r="Z1776" i="8" s="1"/>
  <c r="X1777" i="8"/>
  <c r="Z1777" i="8" s="1"/>
  <c r="X1778" i="8"/>
  <c r="Z1778" i="8" s="1"/>
  <c r="X1779" i="8"/>
  <c r="Z1779" i="8" s="1"/>
  <c r="X1780" i="8"/>
  <c r="Z1780" i="8" s="1"/>
  <c r="X1781" i="8"/>
  <c r="Z1781" i="8" s="1"/>
  <c r="X1782" i="8"/>
  <c r="Z1782" i="8" s="1"/>
  <c r="X1783" i="8"/>
  <c r="Z1783" i="8" s="1"/>
  <c r="X1784" i="8"/>
  <c r="Z1784" i="8" s="1"/>
  <c r="X1785" i="8"/>
  <c r="Z1785" i="8" s="1"/>
  <c r="X1786" i="8"/>
  <c r="Z1786" i="8" s="1"/>
  <c r="X1787" i="8"/>
  <c r="Z1787" i="8" s="1"/>
  <c r="X1788" i="8"/>
  <c r="Z1788" i="8" s="1"/>
  <c r="X1789" i="8"/>
  <c r="Z1789" i="8" s="1"/>
  <c r="X1790" i="8"/>
  <c r="Z1790" i="8" s="1"/>
  <c r="X1791" i="8"/>
  <c r="Z1791" i="8" s="1"/>
  <c r="X1792" i="8"/>
  <c r="Z1792" i="8" s="1"/>
  <c r="X1793" i="8"/>
  <c r="Z1793" i="8" s="1"/>
  <c r="X1794" i="8"/>
  <c r="Z1794" i="8" s="1"/>
  <c r="X1795" i="8"/>
  <c r="Z1795" i="8" s="1"/>
  <c r="X1796" i="8"/>
  <c r="Z1796" i="8" s="1"/>
  <c r="X1797" i="8"/>
  <c r="Z1797" i="8" s="1"/>
  <c r="X1798" i="8"/>
  <c r="Z1798" i="8" s="1"/>
  <c r="X1799" i="8"/>
  <c r="Z1799" i="8" s="1"/>
  <c r="X1800" i="8"/>
  <c r="Z1800" i="8" s="1"/>
  <c r="X1801" i="8"/>
  <c r="Z1801" i="8" s="1"/>
  <c r="X1802" i="8"/>
  <c r="Z1802" i="8" s="1"/>
  <c r="X1803" i="8"/>
  <c r="Z1803" i="8" s="1"/>
  <c r="X1804" i="8"/>
  <c r="Z1804" i="8" s="1"/>
  <c r="X1805" i="8"/>
  <c r="Z1805" i="8" s="1"/>
  <c r="X1806" i="8"/>
  <c r="Z1806" i="8" s="1"/>
  <c r="X1807" i="8"/>
  <c r="Z1807" i="8" s="1"/>
  <c r="X1808" i="8"/>
  <c r="Z1808" i="8" s="1"/>
  <c r="X1809" i="8"/>
  <c r="Z1809" i="8" s="1"/>
  <c r="X1810" i="8"/>
  <c r="Z1810" i="8" s="1"/>
  <c r="X1811" i="8"/>
  <c r="Z1811" i="8" s="1"/>
  <c r="X1812" i="8"/>
  <c r="Z1812" i="8" s="1"/>
  <c r="X1813" i="8"/>
  <c r="Z1813" i="8" s="1"/>
  <c r="X1814" i="8"/>
  <c r="Z1814" i="8" s="1"/>
  <c r="X1815" i="8"/>
  <c r="Z1815" i="8" s="1"/>
  <c r="X1816" i="8"/>
  <c r="Z1816" i="8" s="1"/>
  <c r="X1817" i="8"/>
  <c r="Z1817" i="8" s="1"/>
  <c r="X1818" i="8"/>
  <c r="Z1818" i="8" s="1"/>
  <c r="X1819" i="8"/>
  <c r="Z1819" i="8" s="1"/>
  <c r="X1820" i="8"/>
  <c r="Z1820" i="8" s="1"/>
  <c r="X1821" i="8"/>
  <c r="Z1821" i="8" s="1"/>
  <c r="X1822" i="8"/>
  <c r="Z1822" i="8" s="1"/>
  <c r="X1823" i="8"/>
  <c r="Z1823" i="8" s="1"/>
  <c r="X1824" i="8"/>
  <c r="Z1824" i="8" s="1"/>
  <c r="X1825" i="8"/>
  <c r="Z1825" i="8" s="1"/>
  <c r="X1826" i="8"/>
  <c r="Z1826" i="8" s="1"/>
  <c r="X1827" i="8"/>
  <c r="Z1827" i="8" s="1"/>
  <c r="X1828" i="8"/>
  <c r="Z1828" i="8" s="1"/>
  <c r="X1829" i="8"/>
  <c r="Z1829" i="8" s="1"/>
  <c r="X1830" i="8"/>
  <c r="Z1830" i="8" s="1"/>
  <c r="X1831" i="8"/>
  <c r="Z1831" i="8" s="1"/>
  <c r="X1832" i="8"/>
  <c r="Z1832" i="8" s="1"/>
  <c r="X1833" i="8"/>
  <c r="Z1833" i="8" s="1"/>
  <c r="X1834" i="8"/>
  <c r="Z1834" i="8" s="1"/>
  <c r="X1835" i="8"/>
  <c r="Z1835" i="8" s="1"/>
  <c r="X1836" i="8"/>
  <c r="Z1836" i="8" s="1"/>
  <c r="X1837" i="8"/>
  <c r="Z1837" i="8" s="1"/>
  <c r="X1838" i="8"/>
  <c r="Z1838" i="8" s="1"/>
  <c r="X1839" i="8"/>
  <c r="Z1839" i="8" s="1"/>
  <c r="X1840" i="8"/>
  <c r="Z1840" i="8" s="1"/>
  <c r="X1841" i="8"/>
  <c r="Z1841" i="8" s="1"/>
  <c r="X1842" i="8"/>
  <c r="Z1842" i="8" s="1"/>
  <c r="X1843" i="8"/>
  <c r="Z1843" i="8" s="1"/>
  <c r="X1844" i="8"/>
  <c r="Z1844" i="8" s="1"/>
  <c r="X1845" i="8"/>
  <c r="Z1845" i="8" s="1"/>
  <c r="X1846" i="8"/>
  <c r="Z1846" i="8" s="1"/>
  <c r="X1847" i="8"/>
  <c r="Z1847" i="8" s="1"/>
  <c r="X1848" i="8"/>
  <c r="Z1848" i="8" s="1"/>
  <c r="X1849" i="8"/>
  <c r="Z1849" i="8" s="1"/>
  <c r="X1850" i="8"/>
  <c r="Z1850" i="8" s="1"/>
  <c r="X1851" i="8"/>
  <c r="Z1851" i="8" s="1"/>
  <c r="X1852" i="8"/>
  <c r="Z1852" i="8" s="1"/>
  <c r="X1853" i="8"/>
  <c r="Z1853" i="8" s="1"/>
  <c r="X1854" i="8"/>
  <c r="Z1854" i="8" s="1"/>
  <c r="X1855" i="8"/>
  <c r="Z1855" i="8" s="1"/>
  <c r="X1856" i="8"/>
  <c r="Z1856" i="8" s="1"/>
  <c r="X1857" i="8"/>
  <c r="Z1857" i="8" s="1"/>
  <c r="X1858" i="8"/>
  <c r="Z1858" i="8" s="1"/>
  <c r="X1859" i="8"/>
  <c r="Z1859" i="8" s="1"/>
  <c r="X1860" i="8"/>
  <c r="Z1860" i="8" s="1"/>
  <c r="X1861" i="8"/>
  <c r="Z1861" i="8" s="1"/>
  <c r="X1862" i="8"/>
  <c r="Z1862" i="8" s="1"/>
  <c r="X1863" i="8"/>
  <c r="Z1863" i="8" s="1"/>
  <c r="X1864" i="8"/>
  <c r="Z1864" i="8" s="1"/>
  <c r="X1865" i="8"/>
  <c r="Z1865" i="8" s="1"/>
  <c r="X1866" i="8"/>
  <c r="Z1866" i="8" s="1"/>
  <c r="X1867" i="8"/>
  <c r="Z1867" i="8" s="1"/>
  <c r="X1868" i="8"/>
  <c r="Z1868" i="8" s="1"/>
  <c r="X1869" i="8"/>
  <c r="Z1869" i="8" s="1"/>
  <c r="X1870" i="8"/>
  <c r="Z1870" i="8" s="1"/>
  <c r="X1871" i="8"/>
  <c r="Z1871" i="8" s="1"/>
  <c r="X1872" i="8"/>
  <c r="Z1872" i="8" s="1"/>
  <c r="X1873" i="8"/>
  <c r="Z1873" i="8" s="1"/>
  <c r="X1874" i="8"/>
  <c r="Z1874" i="8" s="1"/>
  <c r="X1875" i="8"/>
  <c r="Z1875" i="8" s="1"/>
  <c r="X1876" i="8"/>
  <c r="Z1876" i="8" s="1"/>
  <c r="X1877" i="8"/>
  <c r="Z1877" i="8" s="1"/>
  <c r="X1878" i="8"/>
  <c r="Z1878" i="8" s="1"/>
  <c r="X1879" i="8"/>
  <c r="Z1879" i="8" s="1"/>
  <c r="X1880" i="8"/>
  <c r="Z1880" i="8" s="1"/>
  <c r="X1881" i="8"/>
  <c r="Z1881" i="8" s="1"/>
  <c r="X1882" i="8"/>
  <c r="Z1882" i="8" s="1"/>
  <c r="X1883" i="8"/>
  <c r="Z1883" i="8" s="1"/>
  <c r="X1884" i="8"/>
  <c r="Z1884" i="8" s="1"/>
  <c r="X1885" i="8"/>
  <c r="Z1885" i="8" s="1"/>
  <c r="X1886" i="8"/>
  <c r="Z1886" i="8" s="1"/>
  <c r="X1887" i="8"/>
  <c r="Z1887" i="8" s="1"/>
  <c r="X1888" i="8"/>
  <c r="Z1888" i="8" s="1"/>
  <c r="X1889" i="8"/>
  <c r="Z1889" i="8" s="1"/>
  <c r="X1890" i="8"/>
  <c r="Z1890" i="8" s="1"/>
  <c r="X1891" i="8"/>
  <c r="Z1891" i="8" s="1"/>
  <c r="X1892" i="8"/>
  <c r="Z1892" i="8" s="1"/>
  <c r="X1893" i="8"/>
  <c r="Z1893" i="8" s="1"/>
  <c r="X1894" i="8"/>
  <c r="Z1894" i="8" s="1"/>
  <c r="X1895" i="8"/>
  <c r="Z1895" i="8" s="1"/>
  <c r="X1896" i="8"/>
  <c r="Z1896" i="8" s="1"/>
  <c r="X1897" i="8"/>
  <c r="Z1897" i="8" s="1"/>
  <c r="X1898" i="8"/>
  <c r="Z1898" i="8" s="1"/>
  <c r="X1899" i="8"/>
  <c r="Z1899" i="8" s="1"/>
  <c r="X1900" i="8"/>
  <c r="Z1900" i="8" s="1"/>
  <c r="X1901" i="8"/>
  <c r="Z1901" i="8" s="1"/>
  <c r="X1902" i="8"/>
  <c r="Z1902" i="8" s="1"/>
  <c r="X1903" i="8"/>
  <c r="Z1903" i="8" s="1"/>
  <c r="X1904" i="8"/>
  <c r="Z1904" i="8" s="1"/>
  <c r="X1905" i="8"/>
  <c r="Z1905" i="8" s="1"/>
  <c r="X1906" i="8"/>
  <c r="Z1906" i="8" s="1"/>
  <c r="X1907" i="8"/>
  <c r="Z1907" i="8" s="1"/>
  <c r="X1908" i="8"/>
  <c r="Z1908" i="8" s="1"/>
  <c r="X1909" i="8"/>
  <c r="Z1909" i="8" s="1"/>
  <c r="X1910" i="8"/>
  <c r="Z1910" i="8" s="1"/>
  <c r="X1911" i="8"/>
  <c r="Z1911" i="8" s="1"/>
  <c r="X1912" i="8"/>
  <c r="Z1912" i="8" s="1"/>
  <c r="X1913" i="8"/>
  <c r="Z1913" i="8" s="1"/>
  <c r="X1914" i="8"/>
  <c r="Z1914" i="8" s="1"/>
  <c r="X1915" i="8"/>
  <c r="Z1915" i="8" s="1"/>
  <c r="X1916" i="8"/>
  <c r="Z1916" i="8" s="1"/>
  <c r="X1917" i="8"/>
  <c r="Z1917" i="8" s="1"/>
  <c r="X1918" i="8"/>
  <c r="Z1918" i="8" s="1"/>
  <c r="X1919" i="8"/>
  <c r="Z1919" i="8" s="1"/>
  <c r="X1920" i="8"/>
  <c r="Z1920" i="8" s="1"/>
  <c r="X1921" i="8"/>
  <c r="Z1921" i="8" s="1"/>
  <c r="X1922" i="8"/>
  <c r="Z1922" i="8" s="1"/>
  <c r="X1923" i="8"/>
  <c r="Z1923" i="8" s="1"/>
  <c r="X1924" i="8"/>
  <c r="Z1924" i="8" s="1"/>
  <c r="X1925" i="8"/>
  <c r="Z1925" i="8" s="1"/>
  <c r="X1926" i="8"/>
  <c r="Z1926" i="8" s="1"/>
  <c r="X1927" i="8"/>
  <c r="Z1927" i="8" s="1"/>
  <c r="X1928" i="8"/>
  <c r="Z1928" i="8" s="1"/>
  <c r="X1929" i="8"/>
  <c r="Z1929" i="8" s="1"/>
  <c r="X1930" i="8"/>
  <c r="Z1930" i="8" s="1"/>
  <c r="X1931" i="8"/>
  <c r="Z1931" i="8" s="1"/>
  <c r="X1932" i="8"/>
  <c r="Z1932" i="8" s="1"/>
  <c r="X1933" i="8"/>
  <c r="Z1933" i="8" s="1"/>
  <c r="X1934" i="8"/>
  <c r="Z1934" i="8" s="1"/>
  <c r="X1935" i="8"/>
  <c r="Z1935" i="8" s="1"/>
  <c r="X1936" i="8"/>
  <c r="Z1936" i="8" s="1"/>
  <c r="X1937" i="8"/>
  <c r="Z1937" i="8" s="1"/>
  <c r="X1938" i="8"/>
  <c r="Z1938" i="8" s="1"/>
  <c r="X1939" i="8"/>
  <c r="Z1939" i="8" s="1"/>
  <c r="X1940" i="8"/>
  <c r="Z1940" i="8" s="1"/>
  <c r="X1941" i="8"/>
  <c r="Z1941" i="8" s="1"/>
  <c r="X1942" i="8"/>
  <c r="Z1942" i="8" s="1"/>
  <c r="X1943" i="8"/>
  <c r="Z1943" i="8" s="1"/>
  <c r="X1944" i="8"/>
  <c r="Z1944" i="8" s="1"/>
  <c r="X1945" i="8"/>
  <c r="Z1945" i="8" s="1"/>
  <c r="X1946" i="8"/>
  <c r="Z1946" i="8" s="1"/>
  <c r="X1947" i="8"/>
  <c r="Z1947" i="8" s="1"/>
  <c r="X1948" i="8"/>
  <c r="Z1948" i="8" s="1"/>
  <c r="X1949" i="8"/>
  <c r="Z1949" i="8" s="1"/>
  <c r="X1950" i="8"/>
  <c r="Z1950" i="8" s="1"/>
  <c r="X1951" i="8"/>
  <c r="Z1951" i="8" s="1"/>
  <c r="X1952" i="8"/>
  <c r="Z1952" i="8" s="1"/>
  <c r="X1953" i="8"/>
  <c r="Z1953" i="8" s="1"/>
  <c r="X1954" i="8"/>
  <c r="Z1954" i="8" s="1"/>
  <c r="X1955" i="8"/>
  <c r="Z1955" i="8" s="1"/>
  <c r="X1956" i="8"/>
  <c r="Z1956" i="8" s="1"/>
  <c r="X1957" i="8"/>
  <c r="Z1957" i="8" s="1"/>
  <c r="X1958" i="8"/>
  <c r="Z1958" i="8" s="1"/>
  <c r="X1959" i="8"/>
  <c r="Z1959" i="8" s="1"/>
  <c r="X1960" i="8"/>
  <c r="Z1960" i="8" s="1"/>
  <c r="X1961" i="8"/>
  <c r="Z1961" i="8" s="1"/>
  <c r="X1962" i="8"/>
  <c r="Z1962" i="8" s="1"/>
  <c r="X1963" i="8"/>
  <c r="Z1963" i="8" s="1"/>
  <c r="X1964" i="8"/>
  <c r="Z1964" i="8" s="1"/>
  <c r="X1965" i="8"/>
  <c r="Z1965" i="8" s="1"/>
  <c r="X1966" i="8"/>
  <c r="Z1966" i="8" s="1"/>
  <c r="X1967" i="8"/>
  <c r="Z1967" i="8" s="1"/>
  <c r="X1968" i="8"/>
  <c r="Z1968" i="8" s="1"/>
  <c r="X1969" i="8"/>
  <c r="Z1969" i="8" s="1"/>
  <c r="X1970" i="8"/>
  <c r="Z1970" i="8" s="1"/>
  <c r="X1971" i="8"/>
  <c r="Z1971" i="8" s="1"/>
  <c r="X1972" i="8"/>
  <c r="Z1972" i="8" s="1"/>
  <c r="X1973" i="8"/>
  <c r="Z1973" i="8" s="1"/>
  <c r="X1974" i="8"/>
  <c r="Z1974" i="8" s="1"/>
  <c r="X1975" i="8"/>
  <c r="Z1975" i="8" s="1"/>
  <c r="X1976" i="8"/>
  <c r="Z1976" i="8" s="1"/>
  <c r="X1977" i="8"/>
  <c r="Z1977" i="8" s="1"/>
  <c r="X1978" i="8"/>
  <c r="Z1978" i="8" s="1"/>
  <c r="X1979" i="8"/>
  <c r="Z1979" i="8" s="1"/>
  <c r="X1980" i="8"/>
  <c r="Z1980" i="8" s="1"/>
  <c r="X1981" i="8"/>
  <c r="Z1981" i="8" s="1"/>
  <c r="X1982" i="8"/>
  <c r="Z1982" i="8" s="1"/>
  <c r="X1983" i="8"/>
  <c r="Z1983" i="8" s="1"/>
  <c r="X1984" i="8"/>
  <c r="Z1984" i="8" s="1"/>
  <c r="X1985" i="8"/>
  <c r="Z1985" i="8" s="1"/>
  <c r="X1986" i="8"/>
  <c r="Z1986" i="8" s="1"/>
  <c r="X1987" i="8"/>
  <c r="Z1987" i="8" s="1"/>
  <c r="X1988" i="8"/>
  <c r="Z1988" i="8" s="1"/>
  <c r="X1989" i="8"/>
  <c r="Z1989" i="8" s="1"/>
  <c r="X1990" i="8"/>
  <c r="Z1990" i="8" s="1"/>
  <c r="X1991" i="8"/>
  <c r="Z1991" i="8" s="1"/>
  <c r="X1992" i="8"/>
  <c r="Z1992" i="8" s="1"/>
  <c r="X1993" i="8"/>
  <c r="Z1993" i="8" s="1"/>
  <c r="X1994" i="8"/>
  <c r="Z1994" i="8" s="1"/>
  <c r="X1995" i="8"/>
  <c r="Z1995" i="8" s="1"/>
  <c r="X1996" i="8"/>
  <c r="Z1996" i="8" s="1"/>
  <c r="X1997" i="8"/>
  <c r="Z1997" i="8" s="1"/>
  <c r="X1998" i="8"/>
  <c r="Z1998" i="8" s="1"/>
  <c r="X1999" i="8"/>
  <c r="Z1999" i="8" s="1"/>
  <c r="X2000" i="8"/>
  <c r="Z2000" i="8" s="1"/>
  <c r="X2001" i="8"/>
  <c r="Z2001" i="8" s="1"/>
  <c r="X2002" i="8"/>
  <c r="Z2002" i="8" s="1"/>
  <c r="X2003" i="8"/>
  <c r="Z2003" i="8" s="1"/>
  <c r="X2004" i="8"/>
  <c r="Z2004" i="8" s="1"/>
  <c r="X2005" i="8"/>
  <c r="Z2005" i="8" s="1"/>
  <c r="X2006" i="8"/>
  <c r="Z2006" i="8" s="1"/>
  <c r="X2007" i="8"/>
  <c r="Z2007" i="8" s="1"/>
  <c r="X2008" i="8"/>
  <c r="Z2008" i="8" s="1"/>
  <c r="X2009" i="8"/>
  <c r="Z2009" i="8" s="1"/>
  <c r="X2010" i="8"/>
  <c r="Z2010" i="8" s="1"/>
  <c r="X2011" i="8"/>
  <c r="Z2011" i="8" s="1"/>
  <c r="X2012" i="8"/>
  <c r="Z2012" i="8" s="1"/>
  <c r="X2013" i="8"/>
  <c r="Z2013" i="8" s="1"/>
  <c r="X2014" i="8"/>
  <c r="Z2014" i="8" s="1"/>
  <c r="X2015" i="8"/>
  <c r="Z2015" i="8" s="1"/>
  <c r="X2016" i="8"/>
  <c r="Z2016" i="8" s="1"/>
  <c r="X2017" i="8"/>
  <c r="Z2017" i="8" s="1"/>
  <c r="X2018" i="8"/>
  <c r="Z2018" i="8" s="1"/>
  <c r="X2019" i="8"/>
  <c r="Z2019" i="8" s="1"/>
  <c r="X2020" i="8"/>
  <c r="Z2020" i="8" s="1"/>
  <c r="X2021" i="8"/>
  <c r="Z2021" i="8" s="1"/>
  <c r="X2022" i="8"/>
  <c r="Z2022" i="8" s="1"/>
  <c r="X2023" i="8"/>
  <c r="Z2023" i="8" s="1"/>
  <c r="X2024" i="8"/>
  <c r="Z2024" i="8" s="1"/>
  <c r="X2025" i="8"/>
  <c r="Z2025" i="8" s="1"/>
  <c r="X2026" i="8"/>
  <c r="Z2026" i="8" s="1"/>
  <c r="X2027" i="8"/>
  <c r="Z2027" i="8" s="1"/>
  <c r="X2028" i="8"/>
  <c r="Z2028" i="8" s="1"/>
  <c r="X2029" i="8"/>
  <c r="Z2029" i="8" s="1"/>
  <c r="X2030" i="8"/>
  <c r="Z2030" i="8" s="1"/>
  <c r="X2031" i="8"/>
  <c r="Z2031" i="8" s="1"/>
  <c r="X2032" i="8"/>
  <c r="Z2032" i="8" s="1"/>
  <c r="X2033" i="8"/>
  <c r="Z2033" i="8" s="1"/>
  <c r="X2034" i="8"/>
  <c r="Z2034" i="8" s="1"/>
  <c r="X2035" i="8"/>
  <c r="Z2035" i="8" s="1"/>
  <c r="X2036" i="8"/>
  <c r="Z2036" i="8" s="1"/>
  <c r="X2037" i="8"/>
  <c r="Z2037" i="8" s="1"/>
  <c r="X2038" i="8"/>
  <c r="Z2038" i="8" s="1"/>
  <c r="X2039" i="8"/>
  <c r="Z2039" i="8" s="1"/>
  <c r="X2040" i="8"/>
  <c r="Z2040" i="8" s="1"/>
  <c r="X2041" i="8"/>
  <c r="Z2041" i="8" s="1"/>
  <c r="X2042" i="8"/>
  <c r="Z2042" i="8" s="1"/>
  <c r="X2043" i="8"/>
  <c r="Z2043" i="8" s="1"/>
  <c r="X2044" i="8"/>
  <c r="Z2044" i="8" s="1"/>
  <c r="X2045" i="8"/>
  <c r="Z2045" i="8" s="1"/>
  <c r="X2046" i="8"/>
  <c r="Z2046" i="8" s="1"/>
  <c r="X2047" i="8"/>
  <c r="Z2047" i="8" s="1"/>
  <c r="X2048" i="8"/>
  <c r="Z2048" i="8" s="1"/>
  <c r="X2049" i="8"/>
  <c r="Z2049" i="8" s="1"/>
  <c r="X2050" i="8"/>
  <c r="Z2050" i="8" s="1"/>
  <c r="X2051" i="8"/>
  <c r="Z2051" i="8" s="1"/>
  <c r="X2052" i="8"/>
  <c r="Z2052" i="8" s="1"/>
  <c r="X2053" i="8"/>
  <c r="Z2053" i="8" s="1"/>
  <c r="X2054" i="8"/>
  <c r="Z2054" i="8" s="1"/>
  <c r="X2055" i="8"/>
  <c r="Z2055" i="8" s="1"/>
  <c r="X2056" i="8"/>
  <c r="Z2056" i="8" s="1"/>
  <c r="X2057" i="8"/>
  <c r="Z2057" i="8" s="1"/>
  <c r="X2058" i="8"/>
  <c r="Z2058" i="8" s="1"/>
  <c r="X2059" i="8"/>
  <c r="Z2059" i="8" s="1"/>
  <c r="X2060" i="8"/>
  <c r="Z2060" i="8" s="1"/>
  <c r="X2061" i="8"/>
  <c r="Z2061" i="8" s="1"/>
  <c r="X2062" i="8"/>
  <c r="Z2062" i="8" s="1"/>
  <c r="X2063" i="8"/>
  <c r="Z2063" i="8" s="1"/>
  <c r="X2064" i="8"/>
  <c r="Z2064" i="8" s="1"/>
  <c r="X2065" i="8"/>
  <c r="Z2065" i="8" s="1"/>
  <c r="X2066" i="8"/>
  <c r="Z2066" i="8" s="1"/>
  <c r="X2067" i="8"/>
  <c r="Z2067" i="8" s="1"/>
  <c r="X2068" i="8"/>
  <c r="Z2068" i="8" s="1"/>
  <c r="X2069" i="8"/>
  <c r="Z2069" i="8" s="1"/>
  <c r="X2070" i="8"/>
  <c r="Z2070" i="8" s="1"/>
  <c r="X2071" i="8"/>
  <c r="Z2071" i="8" s="1"/>
  <c r="X2072" i="8"/>
  <c r="Z2072" i="8" s="1"/>
  <c r="X2073" i="8"/>
  <c r="Z2073" i="8" s="1"/>
  <c r="X2074" i="8"/>
  <c r="Z2074" i="8" s="1"/>
  <c r="X2075" i="8"/>
  <c r="Z2075" i="8" s="1"/>
  <c r="X2076" i="8"/>
  <c r="Z2076" i="8" s="1"/>
  <c r="X2077" i="8"/>
  <c r="Z2077" i="8" s="1"/>
  <c r="X2078" i="8"/>
  <c r="Z2078" i="8" s="1"/>
  <c r="X2079" i="8"/>
  <c r="Z2079" i="8" s="1"/>
  <c r="X2080" i="8"/>
  <c r="Z2080" i="8" s="1"/>
  <c r="X2081" i="8"/>
  <c r="Z2081" i="8" s="1"/>
  <c r="X2082" i="8"/>
  <c r="Z2082" i="8" s="1"/>
  <c r="X2083" i="8"/>
  <c r="Z2083" i="8" s="1"/>
  <c r="X2084" i="8"/>
  <c r="Z2084" i="8" s="1"/>
  <c r="X2085" i="8"/>
  <c r="Z2085" i="8" s="1"/>
  <c r="X2086" i="8"/>
  <c r="Z2086" i="8" s="1"/>
  <c r="X2087" i="8"/>
  <c r="Z2087" i="8" s="1"/>
  <c r="X2088" i="8"/>
  <c r="Z2088" i="8" s="1"/>
  <c r="X2089" i="8"/>
  <c r="Z2089" i="8" s="1"/>
  <c r="X2090" i="8"/>
  <c r="Z2090" i="8" s="1"/>
  <c r="X2091" i="8"/>
  <c r="Z2091" i="8" s="1"/>
  <c r="X2092" i="8"/>
  <c r="Z2092" i="8" s="1"/>
  <c r="X2093" i="8"/>
  <c r="Z2093" i="8" s="1"/>
  <c r="X2094" i="8"/>
  <c r="Z2094" i="8" s="1"/>
  <c r="X2095" i="8"/>
  <c r="Z2095" i="8" s="1"/>
  <c r="X2096" i="8"/>
  <c r="Z2096" i="8" s="1"/>
  <c r="X2097" i="8"/>
  <c r="Z2097" i="8" s="1"/>
  <c r="X2098" i="8"/>
  <c r="Z2098" i="8" s="1"/>
  <c r="X2099" i="8"/>
  <c r="Z2099" i="8" s="1"/>
  <c r="X2100" i="8"/>
  <c r="Z2100" i="8" s="1"/>
  <c r="X2101" i="8"/>
  <c r="Z2101" i="8" s="1"/>
  <c r="X2102" i="8"/>
  <c r="Z2102" i="8" s="1"/>
  <c r="X2103" i="8"/>
  <c r="Z2103" i="8" s="1"/>
  <c r="X2104" i="8"/>
  <c r="Z2104" i="8" s="1"/>
  <c r="X2105" i="8"/>
  <c r="Z2105" i="8" s="1"/>
  <c r="X2106" i="8"/>
  <c r="Z2106" i="8" s="1"/>
  <c r="X2107" i="8"/>
  <c r="Z2107" i="8" s="1"/>
  <c r="X2108" i="8"/>
  <c r="Z2108" i="8" s="1"/>
  <c r="X2109" i="8"/>
  <c r="Z2109" i="8" s="1"/>
  <c r="X2110" i="8"/>
  <c r="Z2110" i="8" s="1"/>
  <c r="X2111" i="8"/>
  <c r="Z2111" i="8" s="1"/>
  <c r="X2112" i="8"/>
  <c r="Z2112" i="8" s="1"/>
  <c r="X2113" i="8"/>
  <c r="Z2113" i="8" s="1"/>
  <c r="X2114" i="8"/>
  <c r="Z2114" i="8" s="1"/>
  <c r="X2115" i="8"/>
  <c r="Z2115" i="8" s="1"/>
  <c r="X2116" i="8"/>
  <c r="Z2116" i="8" s="1"/>
  <c r="X2117" i="8"/>
  <c r="Z2117" i="8" s="1"/>
  <c r="X2118" i="8"/>
  <c r="Z2118" i="8" s="1"/>
  <c r="X2119" i="8"/>
  <c r="Z2119" i="8" s="1"/>
  <c r="X2120" i="8"/>
  <c r="Z2120" i="8" s="1"/>
  <c r="X2121" i="8"/>
  <c r="Z2121" i="8" s="1"/>
  <c r="X2122" i="8"/>
  <c r="Z2122" i="8" s="1"/>
  <c r="X2123" i="8"/>
  <c r="Z2123" i="8" s="1"/>
  <c r="X2124" i="8"/>
  <c r="Z2124" i="8" s="1"/>
  <c r="X2125" i="8"/>
  <c r="Z2125" i="8" s="1"/>
  <c r="X2126" i="8"/>
  <c r="Z2126" i="8" s="1"/>
  <c r="X2127" i="8"/>
  <c r="Z2127" i="8" s="1"/>
  <c r="X2128" i="8"/>
  <c r="Z2128" i="8" s="1"/>
  <c r="X2129" i="8"/>
  <c r="Z2129" i="8" s="1"/>
  <c r="X2130" i="8"/>
  <c r="Z2130" i="8" s="1"/>
  <c r="X2131" i="8"/>
  <c r="Z2131" i="8" s="1"/>
  <c r="X2132" i="8"/>
  <c r="Z2132" i="8" s="1"/>
  <c r="X2133" i="8"/>
  <c r="Z2133" i="8" s="1"/>
  <c r="X2134" i="8"/>
  <c r="Z2134" i="8" s="1"/>
  <c r="X2135" i="8"/>
  <c r="Z2135" i="8" s="1"/>
  <c r="X2136" i="8"/>
  <c r="Z2136" i="8" s="1"/>
  <c r="X2137" i="8"/>
  <c r="Z2137" i="8" s="1"/>
  <c r="X2138" i="8"/>
  <c r="Z2138" i="8" s="1"/>
  <c r="X2139" i="8"/>
  <c r="Z2139" i="8" s="1"/>
  <c r="X2140" i="8"/>
  <c r="Z2140" i="8" s="1"/>
  <c r="X2141" i="8"/>
  <c r="Z2141" i="8" s="1"/>
  <c r="X2142" i="8"/>
  <c r="Z2142" i="8" s="1"/>
  <c r="X2143" i="8"/>
  <c r="Z2143" i="8" s="1"/>
  <c r="X2144" i="8"/>
  <c r="Z2144" i="8" s="1"/>
  <c r="X2145" i="8"/>
  <c r="Z2145" i="8" s="1"/>
  <c r="X2146" i="8"/>
  <c r="Z2146" i="8" s="1"/>
  <c r="X2147" i="8"/>
  <c r="Z2147" i="8" s="1"/>
  <c r="X2148" i="8"/>
  <c r="Z2148" i="8" s="1"/>
  <c r="X2149" i="8"/>
  <c r="Z2149" i="8" s="1"/>
  <c r="X2150" i="8"/>
  <c r="Z2150" i="8" s="1"/>
  <c r="X2151" i="8"/>
  <c r="Z2151" i="8" s="1"/>
  <c r="X2152" i="8"/>
  <c r="Z2152" i="8" s="1"/>
  <c r="X2153" i="8"/>
  <c r="Z2153" i="8" s="1"/>
  <c r="X2154" i="8"/>
  <c r="Z2154" i="8" s="1"/>
  <c r="X2155" i="8"/>
  <c r="Z2155" i="8" s="1"/>
  <c r="X2156" i="8"/>
  <c r="Z2156" i="8" s="1"/>
  <c r="X2157" i="8"/>
  <c r="Z2157" i="8" s="1"/>
  <c r="X2158" i="8"/>
  <c r="Z2158" i="8" s="1"/>
  <c r="X2159" i="8"/>
  <c r="Z2159" i="8" s="1"/>
  <c r="X2160" i="8"/>
  <c r="Z2160" i="8" s="1"/>
  <c r="X2161" i="8"/>
  <c r="Z2161" i="8" s="1"/>
  <c r="X2162" i="8"/>
  <c r="Z2162" i="8" s="1"/>
  <c r="X2163" i="8"/>
  <c r="Z2163" i="8" s="1"/>
  <c r="X2164" i="8"/>
  <c r="Z2164" i="8" s="1"/>
  <c r="X2165" i="8"/>
  <c r="Z2165" i="8" s="1"/>
  <c r="X2166" i="8"/>
  <c r="Z2166" i="8" s="1"/>
  <c r="X2167" i="8"/>
  <c r="Z2167" i="8" s="1"/>
  <c r="X2168" i="8"/>
  <c r="Z2168" i="8" s="1"/>
  <c r="X2169" i="8"/>
  <c r="Z2169" i="8" s="1"/>
  <c r="X2170" i="8"/>
  <c r="Z2170" i="8" s="1"/>
  <c r="X2171" i="8"/>
  <c r="Z2171" i="8" s="1"/>
  <c r="X2172" i="8"/>
  <c r="Z2172" i="8" s="1"/>
  <c r="X2173" i="8"/>
  <c r="Z2173" i="8" s="1"/>
  <c r="X2174" i="8"/>
  <c r="Z2174" i="8" s="1"/>
  <c r="X2175" i="8"/>
  <c r="Z2175" i="8" s="1"/>
  <c r="X2176" i="8"/>
  <c r="Z2176" i="8" s="1"/>
  <c r="X2177" i="8"/>
  <c r="Z2177" i="8" s="1"/>
  <c r="X2178" i="8"/>
  <c r="Z2178" i="8" s="1"/>
  <c r="X2179" i="8"/>
  <c r="Z2179" i="8" s="1"/>
  <c r="X2180" i="8"/>
  <c r="Z2180" i="8" s="1"/>
  <c r="X2181" i="8"/>
  <c r="Z2181" i="8" s="1"/>
  <c r="X2182" i="8"/>
  <c r="Z2182" i="8" s="1"/>
  <c r="X2183" i="8"/>
  <c r="Z2183" i="8" s="1"/>
  <c r="X2184" i="8"/>
  <c r="Z2184" i="8" s="1"/>
  <c r="X2185" i="8"/>
  <c r="Z2185" i="8" s="1"/>
  <c r="X2186" i="8"/>
  <c r="Z2186" i="8" s="1"/>
  <c r="X2187" i="8"/>
  <c r="Z2187" i="8" s="1"/>
  <c r="X2188" i="8"/>
  <c r="Z2188" i="8" s="1"/>
  <c r="X2189" i="8"/>
  <c r="Z2189" i="8" s="1"/>
  <c r="X2190" i="8"/>
  <c r="Z2190" i="8" s="1"/>
  <c r="X2191" i="8"/>
  <c r="Z2191" i="8" s="1"/>
  <c r="X2192" i="8"/>
  <c r="Z2192" i="8" s="1"/>
  <c r="X2193" i="8"/>
  <c r="Z2193" i="8" s="1"/>
  <c r="X2194" i="8"/>
  <c r="Z2194" i="8" s="1"/>
  <c r="X2195" i="8"/>
  <c r="Z2195" i="8" s="1"/>
  <c r="X2196" i="8"/>
  <c r="Z2196" i="8" s="1"/>
  <c r="X2197" i="8"/>
  <c r="Z2197" i="8" s="1"/>
  <c r="X2198" i="8"/>
  <c r="Z2198" i="8" s="1"/>
  <c r="X2199" i="8"/>
  <c r="Z2199" i="8" s="1"/>
  <c r="X2200" i="8"/>
  <c r="Z2200" i="8" s="1"/>
  <c r="X2201" i="8"/>
  <c r="Z2201" i="8" s="1"/>
  <c r="X2202" i="8"/>
  <c r="Z2202" i="8" s="1"/>
  <c r="X2203" i="8"/>
  <c r="Z2203" i="8" s="1"/>
  <c r="X2204" i="8"/>
  <c r="Z2204" i="8" s="1"/>
  <c r="X2205" i="8"/>
  <c r="Z2205" i="8" s="1"/>
  <c r="X2206" i="8"/>
  <c r="Z2206" i="8" s="1"/>
  <c r="X2207" i="8"/>
  <c r="Z2207" i="8" s="1"/>
  <c r="X2208" i="8"/>
  <c r="Z2208" i="8" s="1"/>
  <c r="X2209" i="8"/>
  <c r="Z2209" i="8" s="1"/>
  <c r="X2210" i="8"/>
  <c r="Z2210" i="8" s="1"/>
  <c r="X2211" i="8"/>
  <c r="Z2211" i="8" s="1"/>
  <c r="X2212" i="8"/>
  <c r="Z2212" i="8" s="1"/>
  <c r="X2213" i="8"/>
  <c r="Z2213" i="8" s="1"/>
  <c r="X2214" i="8"/>
  <c r="Z2214" i="8" s="1"/>
  <c r="X2215" i="8"/>
  <c r="Z2215" i="8" s="1"/>
  <c r="X2216" i="8"/>
  <c r="Z2216" i="8" s="1"/>
  <c r="X2217" i="8"/>
  <c r="Z2217" i="8" s="1"/>
  <c r="X2218" i="8"/>
  <c r="Z2218" i="8" s="1"/>
  <c r="X2219" i="8"/>
  <c r="Z2219" i="8" s="1"/>
  <c r="X2220" i="8"/>
  <c r="Z2220" i="8" s="1"/>
  <c r="X2221" i="8"/>
  <c r="Z2221" i="8" s="1"/>
  <c r="X2222" i="8"/>
  <c r="Z2222" i="8" s="1"/>
  <c r="X2223" i="8"/>
  <c r="Z2223" i="8" s="1"/>
  <c r="X2224" i="8"/>
  <c r="Z2224" i="8" s="1"/>
  <c r="X2225" i="8"/>
  <c r="Z2225" i="8" s="1"/>
  <c r="X2226" i="8"/>
  <c r="Z2226" i="8" s="1"/>
  <c r="X2227" i="8"/>
  <c r="Z2227" i="8" s="1"/>
  <c r="X2228" i="8"/>
  <c r="Z2228" i="8" s="1"/>
  <c r="X2229" i="8"/>
  <c r="Z2229" i="8" s="1"/>
  <c r="X2230" i="8"/>
  <c r="Z2230" i="8" s="1"/>
  <c r="X2231" i="8"/>
  <c r="Z2231" i="8" s="1"/>
  <c r="X2232" i="8"/>
  <c r="Z2232" i="8" s="1"/>
  <c r="X2233" i="8"/>
  <c r="Z2233" i="8" s="1"/>
  <c r="X2234" i="8"/>
  <c r="Z2234" i="8" s="1"/>
  <c r="X2235" i="8"/>
  <c r="Z2235" i="8" s="1"/>
  <c r="X2236" i="8"/>
  <c r="Z2236" i="8" s="1"/>
  <c r="X2237" i="8"/>
  <c r="Z2237" i="8" s="1"/>
  <c r="X2238" i="8"/>
  <c r="Z2238" i="8" s="1"/>
  <c r="X2239" i="8"/>
  <c r="Z2239" i="8" s="1"/>
  <c r="X2240" i="8"/>
  <c r="Z2240" i="8" s="1"/>
  <c r="X2241" i="8"/>
  <c r="Z2241" i="8" s="1"/>
  <c r="X2242" i="8"/>
  <c r="Z2242" i="8" s="1"/>
  <c r="X2243" i="8"/>
  <c r="Z2243" i="8" s="1"/>
  <c r="X2244" i="8"/>
  <c r="Z2244" i="8" s="1"/>
  <c r="X2245" i="8"/>
  <c r="Z2245" i="8" s="1"/>
  <c r="X2246" i="8"/>
  <c r="Z2246" i="8" s="1"/>
  <c r="X2247" i="8"/>
  <c r="Z2247" i="8" s="1"/>
  <c r="X2248" i="8"/>
  <c r="Z2248" i="8" s="1"/>
  <c r="X2249" i="8"/>
  <c r="Z2249" i="8" s="1"/>
  <c r="X2250" i="8"/>
  <c r="Z2250" i="8" s="1"/>
  <c r="X2251" i="8"/>
  <c r="Z2251" i="8" s="1"/>
  <c r="X2252" i="8"/>
  <c r="Z2252" i="8" s="1"/>
  <c r="X2253" i="8"/>
  <c r="Z2253" i="8" s="1"/>
  <c r="X2254" i="8"/>
  <c r="Z2254" i="8" s="1"/>
  <c r="X2255" i="8"/>
  <c r="Z2255" i="8" s="1"/>
  <c r="X2256" i="8"/>
  <c r="Z2256" i="8" s="1"/>
  <c r="X2257" i="8"/>
  <c r="Z2257" i="8" s="1"/>
  <c r="X2258" i="8"/>
  <c r="Z2258" i="8" s="1"/>
  <c r="X2259" i="8"/>
  <c r="Z2259" i="8" s="1"/>
  <c r="X2260" i="8"/>
  <c r="Z2260" i="8" s="1"/>
  <c r="X2261" i="8"/>
  <c r="Z2261" i="8" s="1"/>
  <c r="X2262" i="8"/>
  <c r="Z2262" i="8" s="1"/>
  <c r="X2263" i="8"/>
  <c r="Z2263" i="8" s="1"/>
  <c r="X2264" i="8"/>
  <c r="Z2264" i="8" s="1"/>
  <c r="X2265" i="8"/>
  <c r="Z2265" i="8" s="1"/>
  <c r="X2266" i="8"/>
  <c r="Z2266" i="8" s="1"/>
  <c r="X2267" i="8"/>
  <c r="Z2267" i="8" s="1"/>
  <c r="X2268" i="8"/>
  <c r="Z2268" i="8" s="1"/>
  <c r="X2269" i="8"/>
  <c r="Z2269" i="8" s="1"/>
  <c r="X2270" i="8"/>
  <c r="Z2270" i="8" s="1"/>
  <c r="X2271" i="8"/>
  <c r="Z2271" i="8" s="1"/>
  <c r="X2272" i="8"/>
  <c r="Z2272" i="8" s="1"/>
  <c r="X2273" i="8"/>
  <c r="Z2273" i="8" s="1"/>
  <c r="X2274" i="8"/>
  <c r="Z2274" i="8" s="1"/>
  <c r="X2275" i="8"/>
  <c r="Z2275" i="8" s="1"/>
  <c r="X2276" i="8"/>
  <c r="Z2276" i="8" s="1"/>
  <c r="X2277" i="8"/>
  <c r="Z2277" i="8" s="1"/>
  <c r="X2278" i="8"/>
  <c r="Z2278" i="8" s="1"/>
  <c r="X2279" i="8"/>
  <c r="Z2279" i="8" s="1"/>
  <c r="X2280" i="8"/>
  <c r="Z2280" i="8" s="1"/>
  <c r="X2281" i="8"/>
  <c r="Z2281" i="8" s="1"/>
  <c r="X2282" i="8"/>
  <c r="Z2282" i="8" s="1"/>
  <c r="X2283" i="8"/>
  <c r="Z2283" i="8" s="1"/>
  <c r="X2284" i="8"/>
  <c r="Z2284" i="8" s="1"/>
  <c r="X2285" i="8"/>
  <c r="Z2285" i="8" s="1"/>
  <c r="X2286" i="8"/>
  <c r="Z2286" i="8" s="1"/>
  <c r="X2287" i="8"/>
  <c r="Z2287" i="8" s="1"/>
  <c r="X2288" i="8"/>
  <c r="Z2288" i="8" s="1"/>
  <c r="X2289" i="8"/>
  <c r="Z2289" i="8" s="1"/>
  <c r="X2290" i="8"/>
  <c r="Z2290" i="8" s="1"/>
  <c r="X2291" i="8"/>
  <c r="Z2291" i="8" s="1"/>
  <c r="X2292" i="8"/>
  <c r="Z2292" i="8" s="1"/>
  <c r="X2293" i="8"/>
  <c r="Z2293" i="8" s="1"/>
  <c r="X2294" i="8"/>
  <c r="Z2294" i="8" s="1"/>
  <c r="X2295" i="8"/>
  <c r="Z2295" i="8" s="1"/>
  <c r="X2296" i="8"/>
  <c r="Z2296" i="8" s="1"/>
  <c r="X2297" i="8"/>
  <c r="Z2297" i="8" s="1"/>
  <c r="X2298" i="8"/>
  <c r="Z2298" i="8" s="1"/>
  <c r="X2299" i="8"/>
  <c r="Z2299" i="8" s="1"/>
  <c r="X2300" i="8"/>
  <c r="Z2300" i="8" s="1"/>
  <c r="X2301" i="8"/>
  <c r="Z2301" i="8" s="1"/>
  <c r="X2302" i="8"/>
  <c r="Z2302" i="8" s="1"/>
  <c r="X2303" i="8"/>
  <c r="Z2303" i="8" s="1"/>
  <c r="X2304" i="8"/>
  <c r="Z2304" i="8" s="1"/>
  <c r="X2305" i="8"/>
  <c r="Z2305" i="8" s="1"/>
  <c r="X2306" i="8"/>
  <c r="Z2306" i="8" s="1"/>
  <c r="X2307" i="8"/>
  <c r="Z2307" i="8" s="1"/>
  <c r="X2308" i="8"/>
  <c r="Z2308" i="8" s="1"/>
  <c r="X2309" i="8"/>
  <c r="Z2309" i="8" s="1"/>
  <c r="X2310" i="8"/>
  <c r="Z2310" i="8" s="1"/>
  <c r="X2311" i="8"/>
  <c r="Z2311" i="8" s="1"/>
  <c r="X2312" i="8"/>
  <c r="Z2312" i="8" s="1"/>
  <c r="X2313" i="8"/>
  <c r="Z2313" i="8" s="1"/>
  <c r="X2314" i="8"/>
  <c r="Z2314" i="8" s="1"/>
  <c r="X2315" i="8"/>
  <c r="Z2315" i="8" s="1"/>
  <c r="X2316" i="8"/>
  <c r="Z2316" i="8" s="1"/>
  <c r="X2317" i="8"/>
  <c r="Z2317" i="8" s="1"/>
  <c r="X2318" i="8"/>
  <c r="Z2318" i="8" s="1"/>
  <c r="X2319" i="8"/>
  <c r="Z2319" i="8" s="1"/>
  <c r="X2320" i="8"/>
  <c r="Z2320" i="8" s="1"/>
  <c r="X2321" i="8"/>
  <c r="Z2321" i="8" s="1"/>
  <c r="X2322" i="8"/>
  <c r="Z2322" i="8" s="1"/>
  <c r="X2323" i="8"/>
  <c r="Z2323" i="8" s="1"/>
  <c r="X2324" i="8"/>
  <c r="Z2324" i="8" s="1"/>
  <c r="X2325" i="8"/>
  <c r="Z2325" i="8" s="1"/>
  <c r="X2326" i="8"/>
  <c r="Z2326" i="8" s="1"/>
  <c r="X2327" i="8"/>
  <c r="Z2327" i="8" s="1"/>
  <c r="X2328" i="8"/>
  <c r="Z2328" i="8" s="1"/>
  <c r="X2329" i="8"/>
  <c r="Z2329" i="8" s="1"/>
  <c r="X2330" i="8"/>
  <c r="Z2330" i="8" s="1"/>
  <c r="X2331" i="8"/>
  <c r="Z2331" i="8" s="1"/>
  <c r="X2332" i="8"/>
  <c r="Z2332" i="8" s="1"/>
  <c r="X2333" i="8"/>
  <c r="Z2333" i="8" s="1"/>
  <c r="X2334" i="8"/>
  <c r="Z2334" i="8" s="1"/>
  <c r="X2335" i="8"/>
  <c r="Z2335" i="8" s="1"/>
  <c r="X2336" i="8"/>
  <c r="Z2336" i="8" s="1"/>
  <c r="X2337" i="8"/>
  <c r="Z2337" i="8" s="1"/>
  <c r="X2338" i="8"/>
  <c r="Z2338" i="8" s="1"/>
  <c r="X2339" i="8"/>
  <c r="Z2339" i="8" s="1"/>
  <c r="X2340" i="8"/>
  <c r="Z2340" i="8" s="1"/>
  <c r="X2341" i="8"/>
  <c r="Z2341" i="8" s="1"/>
  <c r="X2342" i="8"/>
  <c r="Z2342" i="8" s="1"/>
  <c r="X2343" i="8"/>
  <c r="Z2343" i="8" s="1"/>
  <c r="X2344" i="8"/>
  <c r="Z2344" i="8" s="1"/>
  <c r="X2345" i="8"/>
  <c r="Z2345" i="8" s="1"/>
  <c r="X2346" i="8"/>
  <c r="Z2346" i="8" s="1"/>
  <c r="X2347" i="8"/>
  <c r="Z2347" i="8" s="1"/>
  <c r="X2348" i="8"/>
  <c r="Z2348" i="8" s="1"/>
  <c r="X2349" i="8"/>
  <c r="Z2349" i="8" s="1"/>
  <c r="X2350" i="8"/>
  <c r="Z2350" i="8" s="1"/>
  <c r="X2351" i="8"/>
  <c r="Z2351" i="8" s="1"/>
  <c r="X2352" i="8"/>
  <c r="Z2352" i="8" s="1"/>
  <c r="X2353" i="8"/>
  <c r="Z2353" i="8" s="1"/>
  <c r="X2354" i="8"/>
  <c r="Z2354" i="8" s="1"/>
  <c r="X2355" i="8"/>
  <c r="Z2355" i="8" s="1"/>
  <c r="X2356" i="8"/>
  <c r="Z2356" i="8" s="1"/>
  <c r="X2357" i="8"/>
  <c r="Z2357" i="8" s="1"/>
  <c r="X2358" i="8"/>
  <c r="Z2358" i="8" s="1"/>
  <c r="X2359" i="8"/>
  <c r="Z2359" i="8" s="1"/>
  <c r="X2360" i="8"/>
  <c r="Z2360" i="8" s="1"/>
  <c r="X2361" i="8"/>
  <c r="Z2361" i="8" s="1"/>
  <c r="X2362" i="8"/>
  <c r="Z2362" i="8" s="1"/>
  <c r="X2363" i="8"/>
  <c r="Z2363" i="8" s="1"/>
  <c r="X2364" i="8"/>
  <c r="Z2364" i="8" s="1"/>
  <c r="X2365" i="8"/>
  <c r="Z2365" i="8" s="1"/>
  <c r="X2366" i="8"/>
  <c r="Z2366" i="8" s="1"/>
  <c r="X2367" i="8"/>
  <c r="Z2367" i="8" s="1"/>
  <c r="X2368" i="8"/>
  <c r="Z2368" i="8" s="1"/>
  <c r="X2369" i="8"/>
  <c r="Z2369" i="8" s="1"/>
  <c r="X2370" i="8"/>
  <c r="Z2370" i="8" s="1"/>
  <c r="X2371" i="8"/>
  <c r="Z2371" i="8" s="1"/>
  <c r="X2372" i="8"/>
  <c r="Z2372" i="8" s="1"/>
  <c r="X2373" i="8"/>
  <c r="Z2373" i="8" s="1"/>
  <c r="X2374" i="8"/>
  <c r="Z2374" i="8" s="1"/>
  <c r="X2375" i="8"/>
  <c r="Z2375" i="8" s="1"/>
  <c r="X2376" i="8"/>
  <c r="Z2376" i="8" s="1"/>
  <c r="X2377" i="8"/>
  <c r="Z2377" i="8" s="1"/>
  <c r="X2378" i="8"/>
  <c r="Z2378" i="8" s="1"/>
  <c r="X2379" i="8"/>
  <c r="Z2379" i="8" s="1"/>
  <c r="X2380" i="8"/>
  <c r="Z2380" i="8" s="1"/>
  <c r="X2381" i="8"/>
  <c r="Z2381" i="8" s="1"/>
  <c r="X2382" i="8"/>
  <c r="Z2382" i="8" s="1"/>
  <c r="X2383" i="8"/>
  <c r="Z2383" i="8" s="1"/>
  <c r="X2384" i="8"/>
  <c r="Z2384" i="8" s="1"/>
  <c r="X2385" i="8"/>
  <c r="Z2385" i="8" s="1"/>
  <c r="X2386" i="8"/>
  <c r="Z2386" i="8" s="1"/>
  <c r="X2387" i="8"/>
  <c r="Z2387" i="8" s="1"/>
  <c r="X2388" i="8"/>
  <c r="Z2388" i="8" s="1"/>
  <c r="X2389" i="8"/>
  <c r="Z2389" i="8" s="1"/>
  <c r="X2390" i="8"/>
  <c r="Z2390" i="8" s="1"/>
  <c r="X2391" i="8"/>
  <c r="Z2391" i="8" s="1"/>
  <c r="X2392" i="8"/>
  <c r="Z2392" i="8" s="1"/>
  <c r="X2393" i="8"/>
  <c r="Z2393" i="8" s="1"/>
  <c r="X2394" i="8"/>
  <c r="Z2394" i="8" s="1"/>
  <c r="X2395" i="8"/>
  <c r="Z2395" i="8" s="1"/>
  <c r="X2396" i="8"/>
  <c r="Z2396" i="8" s="1"/>
  <c r="X2397" i="8"/>
  <c r="Z2397" i="8" s="1"/>
  <c r="X2398" i="8"/>
  <c r="Z2398" i="8" s="1"/>
  <c r="X2399" i="8"/>
  <c r="Z2399" i="8" s="1"/>
  <c r="X2400" i="8"/>
  <c r="Z2400" i="8" s="1"/>
  <c r="X2401" i="8"/>
  <c r="Z2401" i="8" s="1"/>
  <c r="X2402" i="8"/>
  <c r="Z2402" i="8" s="1"/>
  <c r="X2403" i="8"/>
  <c r="Z2403" i="8" s="1"/>
  <c r="X2404" i="8"/>
  <c r="Z2404" i="8" s="1"/>
  <c r="X2405" i="8"/>
  <c r="Z2405" i="8" s="1"/>
  <c r="X2406" i="8"/>
  <c r="Z2406" i="8" s="1"/>
  <c r="X2407" i="8"/>
  <c r="Z2407" i="8" s="1"/>
  <c r="X2408" i="8"/>
  <c r="Z2408" i="8" s="1"/>
  <c r="X2409" i="8"/>
  <c r="Z2409" i="8" s="1"/>
  <c r="X2410" i="8"/>
  <c r="Z2410" i="8" s="1"/>
  <c r="X2411" i="8"/>
  <c r="Z2411" i="8" s="1"/>
  <c r="X2412" i="8"/>
  <c r="Z2412" i="8" s="1"/>
  <c r="X2413" i="8"/>
  <c r="Z2413" i="8" s="1"/>
  <c r="X2414" i="8"/>
  <c r="Z2414" i="8" s="1"/>
  <c r="X2415" i="8"/>
  <c r="Z2415" i="8" s="1"/>
  <c r="X2416" i="8"/>
  <c r="Z2416" i="8" s="1"/>
  <c r="X2417" i="8"/>
  <c r="Z2417" i="8" s="1"/>
  <c r="X2418" i="8"/>
  <c r="Z2418" i="8" s="1"/>
  <c r="X2419" i="8"/>
  <c r="Z2419" i="8" s="1"/>
  <c r="X2420" i="8"/>
  <c r="Z2420" i="8" s="1"/>
  <c r="X2421" i="8"/>
  <c r="Z2421" i="8" s="1"/>
  <c r="X2422" i="8"/>
  <c r="Z2422" i="8" s="1"/>
  <c r="X2423" i="8"/>
  <c r="Z2423" i="8" s="1"/>
  <c r="X2424" i="8"/>
  <c r="Z2424" i="8" s="1"/>
  <c r="X2425" i="8"/>
  <c r="Z2425" i="8" s="1"/>
  <c r="X2426" i="8"/>
  <c r="Z2426" i="8" s="1"/>
  <c r="X2427" i="8"/>
  <c r="Z2427" i="8" s="1"/>
  <c r="X2428" i="8"/>
  <c r="Z2428" i="8" s="1"/>
  <c r="X2429" i="8"/>
  <c r="Z2429" i="8" s="1"/>
  <c r="X2430" i="8"/>
  <c r="Z2430" i="8" s="1"/>
  <c r="X2431" i="8"/>
  <c r="Z2431" i="8" s="1"/>
  <c r="X2432" i="8"/>
  <c r="Z2432" i="8" s="1"/>
  <c r="X2433" i="8"/>
  <c r="Z2433" i="8" s="1"/>
  <c r="X2434" i="8"/>
  <c r="Z2434" i="8" s="1"/>
  <c r="X2435" i="8"/>
  <c r="Z2435" i="8" s="1"/>
  <c r="X2436" i="8"/>
  <c r="Z2436" i="8" s="1"/>
  <c r="X2437" i="8"/>
  <c r="Z2437" i="8" s="1"/>
  <c r="X2438" i="8"/>
  <c r="Z2438" i="8" s="1"/>
  <c r="X2439" i="8"/>
  <c r="Z2439" i="8" s="1"/>
  <c r="X2440" i="8"/>
  <c r="Z2440" i="8" s="1"/>
  <c r="X2441" i="8"/>
  <c r="Z2441" i="8" s="1"/>
  <c r="X2442" i="8"/>
  <c r="Z2442" i="8" s="1"/>
  <c r="X2443" i="8"/>
  <c r="Z2443" i="8" s="1"/>
  <c r="X2444" i="8"/>
  <c r="Z2444" i="8" s="1"/>
  <c r="X2445" i="8"/>
  <c r="Z2445" i="8" s="1"/>
  <c r="X2446" i="8"/>
  <c r="Z2446" i="8" s="1"/>
  <c r="X2447" i="8"/>
  <c r="Z2447" i="8" s="1"/>
  <c r="X2448" i="8"/>
  <c r="Z2448" i="8" s="1"/>
  <c r="X2449" i="8"/>
  <c r="Z2449" i="8" s="1"/>
  <c r="X2450" i="8"/>
  <c r="Z2450" i="8" s="1"/>
  <c r="X2451" i="8"/>
  <c r="Z2451" i="8" s="1"/>
  <c r="X2452" i="8"/>
  <c r="Z2452" i="8" s="1"/>
  <c r="X2453" i="8"/>
  <c r="Z2453" i="8" s="1"/>
  <c r="X2454" i="8"/>
  <c r="Z2454" i="8" s="1"/>
  <c r="X2455" i="8"/>
  <c r="Z2455" i="8" s="1"/>
  <c r="X2456" i="8"/>
  <c r="Z2456" i="8" s="1"/>
  <c r="X2457" i="8"/>
  <c r="Z2457" i="8" s="1"/>
  <c r="X2458" i="8"/>
  <c r="Z2458" i="8" s="1"/>
  <c r="X2459" i="8"/>
  <c r="Z2459" i="8" s="1"/>
  <c r="X2460" i="8"/>
  <c r="Z2460" i="8" s="1"/>
  <c r="X2461" i="8"/>
  <c r="Z2461" i="8" s="1"/>
  <c r="X2462" i="8"/>
  <c r="Z2462" i="8" s="1"/>
  <c r="X2463" i="8"/>
  <c r="Z2463" i="8" s="1"/>
  <c r="X2464" i="8"/>
  <c r="Z2464" i="8" s="1"/>
  <c r="X2465" i="8"/>
  <c r="Z2465" i="8" s="1"/>
  <c r="X2466" i="8"/>
  <c r="Z2466" i="8" s="1"/>
  <c r="X2467" i="8"/>
  <c r="Z2467" i="8" s="1"/>
  <c r="X2468" i="8"/>
  <c r="Z2468" i="8" s="1"/>
  <c r="X2469" i="8"/>
  <c r="Z2469" i="8" s="1"/>
  <c r="X2470" i="8"/>
  <c r="Z2470" i="8" s="1"/>
  <c r="X2471" i="8"/>
  <c r="Z2471" i="8" s="1"/>
  <c r="X2472" i="8"/>
  <c r="Z2472" i="8" s="1"/>
  <c r="X2473" i="8"/>
  <c r="Z2473" i="8" s="1"/>
  <c r="X2474" i="8"/>
  <c r="Z2474" i="8" s="1"/>
  <c r="X2475" i="8"/>
  <c r="Z2475" i="8" s="1"/>
  <c r="X2476" i="8"/>
  <c r="Z2476" i="8" s="1"/>
  <c r="X2477" i="8"/>
  <c r="Z2477" i="8" s="1"/>
  <c r="X2478" i="8"/>
  <c r="Z2478" i="8" s="1"/>
  <c r="X2479" i="8"/>
  <c r="Z2479" i="8" s="1"/>
  <c r="X2480" i="8"/>
  <c r="Z2480" i="8" s="1"/>
  <c r="X2481" i="8"/>
  <c r="Z2481" i="8" s="1"/>
  <c r="X2482" i="8"/>
  <c r="Z2482" i="8" s="1"/>
  <c r="X2483" i="8"/>
  <c r="Z2483" i="8" s="1"/>
  <c r="X2484" i="8"/>
  <c r="Z2484" i="8" s="1"/>
  <c r="X2485" i="8"/>
  <c r="Z2485" i="8" s="1"/>
  <c r="X2486" i="8"/>
  <c r="Z2486" i="8" s="1"/>
  <c r="X2487" i="8"/>
  <c r="Z2487" i="8" s="1"/>
  <c r="X2488" i="8"/>
  <c r="Z2488" i="8" s="1"/>
  <c r="X2489" i="8"/>
  <c r="Z2489" i="8" s="1"/>
  <c r="X2490" i="8"/>
  <c r="Z2490" i="8" s="1"/>
  <c r="X2491" i="8"/>
  <c r="Z2491" i="8" s="1"/>
  <c r="X2492" i="8"/>
  <c r="Z2492" i="8" s="1"/>
  <c r="X2493" i="8"/>
  <c r="Z2493" i="8" s="1"/>
  <c r="X2494" i="8"/>
  <c r="Z2494" i="8" s="1"/>
  <c r="X2495" i="8"/>
  <c r="Z2495" i="8" s="1"/>
  <c r="X2496" i="8"/>
  <c r="Z2496" i="8" s="1"/>
  <c r="X2497" i="8"/>
  <c r="Z2497" i="8" s="1"/>
  <c r="X2498" i="8"/>
  <c r="Z2498" i="8" s="1"/>
  <c r="X2499" i="8"/>
  <c r="Z2499" i="8" s="1"/>
  <c r="X2500" i="8"/>
  <c r="Z2500" i="8" s="1"/>
  <c r="X2501" i="8"/>
  <c r="Z2501" i="8" s="1"/>
  <c r="X2502" i="8"/>
  <c r="Z2502" i="8" s="1"/>
  <c r="X2503" i="8"/>
  <c r="Z2503" i="8" s="1"/>
  <c r="X2504" i="8"/>
  <c r="Z2504" i="8" s="1"/>
  <c r="X2505" i="8"/>
  <c r="Z2505" i="8" s="1"/>
  <c r="X2506" i="8"/>
  <c r="Z2506" i="8" s="1"/>
  <c r="X2507" i="8"/>
  <c r="Z2507" i="8" s="1"/>
  <c r="X2508" i="8"/>
  <c r="Z2508" i="8" s="1"/>
  <c r="X2509" i="8"/>
  <c r="Z2509" i="8" s="1"/>
  <c r="X2510" i="8"/>
  <c r="Z2510" i="8" s="1"/>
  <c r="X2511" i="8"/>
  <c r="Z2511" i="8" s="1"/>
  <c r="X2512" i="8"/>
  <c r="Z2512" i="8" s="1"/>
  <c r="X2513" i="8"/>
  <c r="Z2513" i="8" s="1"/>
  <c r="X2514" i="8"/>
  <c r="Z2514" i="8" s="1"/>
  <c r="X2515" i="8"/>
  <c r="Z2515" i="8" s="1"/>
  <c r="X2516" i="8"/>
  <c r="Z2516" i="8" s="1"/>
  <c r="X2517" i="8"/>
  <c r="Z2517" i="8" s="1"/>
  <c r="X2518" i="8"/>
  <c r="Z2518" i="8" s="1"/>
  <c r="X2519" i="8"/>
  <c r="Z2519" i="8" s="1"/>
  <c r="X2520" i="8"/>
  <c r="Z2520" i="8" s="1"/>
  <c r="X2521" i="8"/>
  <c r="Z2521" i="8" s="1"/>
  <c r="X2522" i="8"/>
  <c r="Z2522" i="8" s="1"/>
  <c r="X2523" i="8"/>
  <c r="Z2523" i="8" s="1"/>
  <c r="X2524" i="8"/>
  <c r="Z2524" i="8" s="1"/>
  <c r="X2525" i="8"/>
  <c r="Z2525" i="8" s="1"/>
  <c r="X2526" i="8"/>
  <c r="Z2526" i="8" s="1"/>
  <c r="X2527" i="8"/>
  <c r="Z2527" i="8" s="1"/>
  <c r="X2528" i="8"/>
  <c r="Z2528" i="8" s="1"/>
  <c r="X2529" i="8"/>
  <c r="Z2529" i="8" s="1"/>
  <c r="X2530" i="8"/>
  <c r="Z2530" i="8" s="1"/>
  <c r="X2531" i="8"/>
  <c r="Z2531" i="8" s="1"/>
  <c r="X2532" i="8"/>
  <c r="Z2532" i="8" s="1"/>
  <c r="X2533" i="8"/>
  <c r="Z2533" i="8" s="1"/>
  <c r="X2534" i="8"/>
  <c r="Z2534" i="8" s="1"/>
  <c r="X2535" i="8"/>
  <c r="Z2535" i="8" s="1"/>
  <c r="X2536" i="8"/>
  <c r="Z2536" i="8" s="1"/>
  <c r="X2537" i="8"/>
  <c r="Z2537" i="8" s="1"/>
  <c r="X2538" i="8"/>
  <c r="Z2538" i="8" s="1"/>
  <c r="X2539" i="8"/>
  <c r="Z2539" i="8" s="1"/>
  <c r="X2540" i="8"/>
  <c r="Z2540" i="8" s="1"/>
  <c r="X2541" i="8"/>
  <c r="Z2541" i="8" s="1"/>
  <c r="X2542" i="8"/>
  <c r="Z2542" i="8" s="1"/>
  <c r="X2543" i="8"/>
  <c r="Z2543" i="8" s="1"/>
  <c r="X2544" i="8"/>
  <c r="Z2544" i="8" s="1"/>
  <c r="X2545" i="8"/>
  <c r="Z2545" i="8" s="1"/>
  <c r="X2546" i="8"/>
  <c r="Z2546" i="8" s="1"/>
  <c r="X2547" i="8"/>
  <c r="Z2547" i="8" s="1"/>
  <c r="X2548" i="8"/>
  <c r="Z2548" i="8" s="1"/>
  <c r="X2549" i="8"/>
  <c r="Z2549" i="8" s="1"/>
  <c r="X2550" i="8"/>
  <c r="Z2550" i="8" s="1"/>
  <c r="X2551" i="8"/>
  <c r="Z2551" i="8" s="1"/>
  <c r="X2552" i="8"/>
  <c r="Z2552" i="8" s="1"/>
  <c r="X2553" i="8"/>
  <c r="Z2553" i="8" s="1"/>
  <c r="X2554" i="8"/>
  <c r="Z2554" i="8" s="1"/>
  <c r="X2555" i="8"/>
  <c r="Z2555" i="8" s="1"/>
  <c r="X2556" i="8"/>
  <c r="Z2556" i="8" s="1"/>
  <c r="X2557" i="8"/>
  <c r="Z2557" i="8" s="1"/>
  <c r="X2558" i="8"/>
  <c r="Z2558" i="8" s="1"/>
  <c r="X2559" i="8"/>
  <c r="Z2559" i="8" s="1"/>
  <c r="X2560" i="8"/>
  <c r="Z2560" i="8" s="1"/>
  <c r="X2561" i="8"/>
  <c r="Z2561" i="8" s="1"/>
  <c r="X2562" i="8"/>
  <c r="Z2562" i="8" s="1"/>
  <c r="X2563" i="8"/>
  <c r="Z2563" i="8" s="1"/>
  <c r="X2564" i="8"/>
  <c r="Z2564" i="8" s="1"/>
  <c r="X2565" i="8"/>
  <c r="Z2565" i="8" s="1"/>
  <c r="X2566" i="8"/>
  <c r="Z2566" i="8" s="1"/>
  <c r="X2567" i="8"/>
  <c r="Z2567" i="8" s="1"/>
  <c r="X2568" i="8"/>
  <c r="Z2568" i="8" s="1"/>
  <c r="X2569" i="8"/>
  <c r="Z2569" i="8" s="1"/>
  <c r="X2570" i="8"/>
  <c r="Z2570" i="8" s="1"/>
  <c r="X2571" i="8"/>
  <c r="Z2571" i="8" s="1"/>
  <c r="X2572" i="8"/>
  <c r="Z2572" i="8" s="1"/>
  <c r="X2573" i="8"/>
  <c r="Z2573" i="8" s="1"/>
  <c r="X2574" i="8"/>
  <c r="Z2574" i="8" s="1"/>
  <c r="X2575" i="8"/>
  <c r="Z2575" i="8" s="1"/>
  <c r="X2576" i="8"/>
  <c r="Z2576" i="8" s="1"/>
  <c r="X2577" i="8"/>
  <c r="Z2577" i="8" s="1"/>
  <c r="X2578" i="8"/>
  <c r="Z2578" i="8" s="1"/>
  <c r="X2579" i="8"/>
  <c r="Z2579" i="8" s="1"/>
  <c r="X2580" i="8"/>
  <c r="Z2580" i="8" s="1"/>
  <c r="X2581" i="8"/>
  <c r="Z2581" i="8" s="1"/>
  <c r="X2582" i="8"/>
  <c r="Z2582" i="8" s="1"/>
  <c r="X2583" i="8"/>
  <c r="Z2583" i="8" s="1"/>
  <c r="X2584" i="8"/>
  <c r="Z2584" i="8" s="1"/>
  <c r="X2585" i="8"/>
  <c r="Z2585" i="8" s="1"/>
  <c r="X2586" i="8"/>
  <c r="Z2586" i="8" s="1"/>
  <c r="X2587" i="8"/>
  <c r="Z2587" i="8" s="1"/>
  <c r="X2588" i="8"/>
  <c r="Z2588" i="8" s="1"/>
  <c r="X2589" i="8"/>
  <c r="Z2589" i="8" s="1"/>
  <c r="X2590" i="8"/>
  <c r="Z2590" i="8" s="1"/>
  <c r="X2591" i="8"/>
  <c r="Z2591" i="8" s="1"/>
  <c r="X2592" i="8"/>
  <c r="Z2592" i="8" s="1"/>
  <c r="X2593" i="8"/>
  <c r="Z2593" i="8" s="1"/>
  <c r="X2594" i="8"/>
  <c r="Z2594" i="8" s="1"/>
  <c r="X2595" i="8"/>
  <c r="Z2595" i="8" s="1"/>
  <c r="X2596" i="8"/>
  <c r="Z2596" i="8" s="1"/>
  <c r="X2597" i="8"/>
  <c r="Z2597" i="8" s="1"/>
  <c r="X2598" i="8"/>
  <c r="Z2598" i="8" s="1"/>
  <c r="X2599" i="8"/>
  <c r="Z2599" i="8" s="1"/>
  <c r="X2600" i="8"/>
  <c r="Z2600" i="8" s="1"/>
  <c r="X2601" i="8"/>
  <c r="Z2601" i="8" s="1"/>
  <c r="X2602" i="8"/>
  <c r="Z2602" i="8" s="1"/>
  <c r="X2603" i="8"/>
  <c r="Z2603" i="8" s="1"/>
  <c r="X2604" i="8"/>
  <c r="Z2604" i="8" s="1"/>
  <c r="X2605" i="8"/>
  <c r="Z2605" i="8" s="1"/>
  <c r="X2606" i="8"/>
  <c r="Z2606" i="8" s="1"/>
  <c r="X2607" i="8"/>
  <c r="Z2607" i="8" s="1"/>
  <c r="X2608" i="8"/>
  <c r="Z2608" i="8" s="1"/>
  <c r="X2609" i="8"/>
  <c r="Z2609" i="8" s="1"/>
  <c r="X2610" i="8"/>
  <c r="Z2610" i="8" s="1"/>
  <c r="X2611" i="8"/>
  <c r="Z2611" i="8" s="1"/>
  <c r="X2612" i="8"/>
  <c r="Z2612" i="8" s="1"/>
  <c r="X2613" i="8"/>
  <c r="Z2613" i="8" s="1"/>
  <c r="X2614" i="8"/>
  <c r="Z2614" i="8" s="1"/>
  <c r="X2615" i="8"/>
  <c r="Z2615" i="8" s="1"/>
  <c r="X2616" i="8"/>
  <c r="Z2616" i="8" s="1"/>
  <c r="X2617" i="8"/>
  <c r="Z2617" i="8" s="1"/>
  <c r="X2618" i="8"/>
  <c r="Z2618" i="8" s="1"/>
  <c r="X2619" i="8"/>
  <c r="Z2619" i="8" s="1"/>
  <c r="X2620" i="8"/>
  <c r="Z2620" i="8" s="1"/>
  <c r="X2621" i="8"/>
  <c r="Z2621" i="8" s="1"/>
  <c r="X2622" i="8"/>
  <c r="Z2622" i="8" s="1"/>
  <c r="X2623" i="8"/>
  <c r="Z2623" i="8" s="1"/>
  <c r="X2624" i="8"/>
  <c r="Z2624" i="8" s="1"/>
  <c r="X2625" i="8"/>
  <c r="Z2625" i="8" s="1"/>
  <c r="X2626" i="8"/>
  <c r="Z2626" i="8" s="1"/>
  <c r="X2627" i="8"/>
  <c r="Z2627" i="8" s="1"/>
  <c r="X2628" i="8"/>
  <c r="Z2628" i="8" s="1"/>
  <c r="X2629" i="8"/>
  <c r="Z2629" i="8" s="1"/>
  <c r="X2630" i="8"/>
  <c r="Z2630" i="8" s="1"/>
  <c r="X2631" i="8"/>
  <c r="Z2631" i="8" s="1"/>
  <c r="X2632" i="8"/>
  <c r="Z2632" i="8" s="1"/>
  <c r="X2633" i="8"/>
  <c r="Z2633" i="8" s="1"/>
  <c r="X2634" i="8"/>
  <c r="Z2634" i="8" s="1"/>
  <c r="X2635" i="8"/>
  <c r="Z2635" i="8" s="1"/>
  <c r="X2636" i="8"/>
  <c r="Z2636" i="8" s="1"/>
  <c r="X2637" i="8"/>
  <c r="Z2637" i="8" s="1"/>
  <c r="X2638" i="8"/>
  <c r="Z2638" i="8" s="1"/>
  <c r="X2639" i="8"/>
  <c r="Z2639" i="8" s="1"/>
  <c r="X2640" i="8"/>
  <c r="Z2640" i="8" s="1"/>
  <c r="X2641" i="8"/>
  <c r="Z2641" i="8" s="1"/>
  <c r="X2642" i="8"/>
  <c r="Z2642" i="8" s="1"/>
  <c r="X2643" i="8"/>
  <c r="Z2643" i="8" s="1"/>
  <c r="X2644" i="8"/>
  <c r="Z2644" i="8" s="1"/>
  <c r="X2645" i="8"/>
  <c r="Z2645" i="8" s="1"/>
  <c r="X2646" i="8"/>
  <c r="Z2646" i="8" s="1"/>
  <c r="X2647" i="8"/>
  <c r="Z2647" i="8" s="1"/>
  <c r="X2648" i="8"/>
  <c r="Z2648" i="8" s="1"/>
  <c r="X2649" i="8"/>
  <c r="Z2649" i="8" s="1"/>
  <c r="X2650" i="8"/>
  <c r="Z2650" i="8" s="1"/>
  <c r="X2651" i="8"/>
  <c r="Z2651" i="8" s="1"/>
  <c r="X2652" i="8"/>
  <c r="Z2652" i="8" s="1"/>
  <c r="X2653" i="8"/>
  <c r="Z2653" i="8" s="1"/>
  <c r="X2654" i="8"/>
  <c r="Z2654" i="8" s="1"/>
  <c r="X2655" i="8"/>
  <c r="Z2655" i="8" s="1"/>
  <c r="X2656" i="8"/>
  <c r="Z2656" i="8" s="1"/>
  <c r="X2657" i="8"/>
  <c r="Z2657" i="8" s="1"/>
  <c r="X2658" i="8"/>
  <c r="Z2658" i="8" s="1"/>
  <c r="X2659" i="8"/>
  <c r="Z2659" i="8" s="1"/>
  <c r="X2660" i="8"/>
  <c r="Z2660" i="8" s="1"/>
  <c r="X2661" i="8"/>
  <c r="Z2661" i="8" s="1"/>
  <c r="X2662" i="8"/>
  <c r="Z2662" i="8" s="1"/>
  <c r="X2663" i="8"/>
  <c r="Z2663" i="8" s="1"/>
  <c r="X2664" i="8"/>
  <c r="Z2664" i="8" s="1"/>
  <c r="X2665" i="8"/>
  <c r="Z2665" i="8" s="1"/>
  <c r="X2666" i="8"/>
  <c r="Z2666" i="8" s="1"/>
  <c r="X2667" i="8"/>
  <c r="Z2667" i="8" s="1"/>
  <c r="X2668" i="8"/>
  <c r="Z2668" i="8" s="1"/>
  <c r="X2669" i="8"/>
  <c r="Z2669" i="8" s="1"/>
  <c r="X2670" i="8"/>
  <c r="Z2670" i="8" s="1"/>
  <c r="X2671" i="8"/>
  <c r="Z2671" i="8" s="1"/>
  <c r="X2672" i="8"/>
  <c r="Z2672" i="8" s="1"/>
  <c r="X2673" i="8"/>
  <c r="Z2673" i="8" s="1"/>
  <c r="X2674" i="8"/>
  <c r="Z2674" i="8" s="1"/>
  <c r="X2675" i="8"/>
  <c r="Z2675" i="8" s="1"/>
  <c r="X2676" i="8"/>
  <c r="Z2676" i="8" s="1"/>
  <c r="X2677" i="8"/>
  <c r="Z2677" i="8" s="1"/>
  <c r="X2678" i="8"/>
  <c r="Z2678" i="8" s="1"/>
  <c r="X2679" i="8"/>
  <c r="Z2679" i="8" s="1"/>
  <c r="X2680" i="8"/>
  <c r="Z2680" i="8" s="1"/>
  <c r="X2681" i="8"/>
  <c r="Z2681" i="8" s="1"/>
  <c r="X2682" i="8"/>
  <c r="Z2682" i="8" s="1"/>
  <c r="X2683" i="8"/>
  <c r="Z2683" i="8" s="1"/>
  <c r="X2684" i="8"/>
  <c r="Z2684" i="8" s="1"/>
  <c r="X2685" i="8"/>
  <c r="Z2685" i="8" s="1"/>
  <c r="X2686" i="8"/>
  <c r="Z2686" i="8" s="1"/>
  <c r="X2687" i="8"/>
  <c r="Z2687" i="8" s="1"/>
  <c r="X2688" i="8"/>
  <c r="Z2688" i="8" s="1"/>
  <c r="X2689" i="8"/>
  <c r="Z2689" i="8" s="1"/>
  <c r="X2690" i="8"/>
  <c r="Z2690" i="8" s="1"/>
  <c r="X2691" i="8"/>
  <c r="Z2691" i="8" s="1"/>
  <c r="X2692" i="8"/>
  <c r="Z2692" i="8" s="1"/>
  <c r="X2693" i="8"/>
  <c r="Z2693" i="8" s="1"/>
  <c r="X2694" i="8"/>
  <c r="Z2694" i="8" s="1"/>
  <c r="X2695" i="8"/>
  <c r="Z2695" i="8" s="1"/>
  <c r="X2696" i="8"/>
  <c r="Z2696" i="8" s="1"/>
  <c r="X2697" i="8"/>
  <c r="Z2697" i="8" s="1"/>
  <c r="X2698" i="8"/>
  <c r="Z2698" i="8" s="1"/>
  <c r="X2699" i="8"/>
  <c r="Z2699" i="8" s="1"/>
  <c r="X2700" i="8"/>
  <c r="Z2700" i="8" s="1"/>
  <c r="X2701" i="8"/>
  <c r="Z2701" i="8" s="1"/>
  <c r="X2702" i="8"/>
  <c r="Z2702" i="8" s="1"/>
  <c r="X2703" i="8"/>
  <c r="Z2703" i="8" s="1"/>
  <c r="X2704" i="8"/>
  <c r="Z2704" i="8" s="1"/>
  <c r="X2705" i="8"/>
  <c r="Z2705" i="8" s="1"/>
  <c r="X2706" i="8"/>
  <c r="Z2706" i="8" s="1"/>
  <c r="X2707" i="8"/>
  <c r="Z2707" i="8" s="1"/>
  <c r="X2708" i="8"/>
  <c r="Z2708" i="8" s="1"/>
  <c r="X2709" i="8"/>
  <c r="Z2709" i="8" s="1"/>
  <c r="X2710" i="8"/>
  <c r="Z2710" i="8" s="1"/>
  <c r="X2711" i="8"/>
  <c r="Z2711" i="8" s="1"/>
  <c r="X2712" i="8"/>
  <c r="Z2712" i="8" s="1"/>
  <c r="X2713" i="8"/>
  <c r="Z2713" i="8" s="1"/>
  <c r="X2714" i="8"/>
  <c r="Z2714" i="8" s="1"/>
  <c r="X2715" i="8"/>
  <c r="Z2715" i="8" s="1"/>
  <c r="X2716" i="8"/>
  <c r="Z2716" i="8" s="1"/>
  <c r="X2717" i="8"/>
  <c r="Z2717" i="8" s="1"/>
  <c r="X2718" i="8"/>
  <c r="Z2718" i="8" s="1"/>
  <c r="X2719" i="8"/>
  <c r="Z2719" i="8" s="1"/>
  <c r="X2720" i="8"/>
  <c r="Z2720" i="8" s="1"/>
  <c r="X2721" i="8"/>
  <c r="Z2721" i="8" s="1"/>
  <c r="X2722" i="8"/>
  <c r="Z2722" i="8" s="1"/>
  <c r="X2723" i="8"/>
  <c r="Z2723" i="8" s="1"/>
  <c r="X2724" i="8"/>
  <c r="Z2724" i="8" s="1"/>
  <c r="X2725" i="8"/>
  <c r="Z2725" i="8" s="1"/>
  <c r="X2726" i="8"/>
  <c r="Z2726" i="8" s="1"/>
  <c r="X2727" i="8"/>
  <c r="Z2727" i="8" s="1"/>
  <c r="X2728" i="8"/>
  <c r="Z2728" i="8" s="1"/>
  <c r="X2729" i="8"/>
  <c r="Z2729" i="8" s="1"/>
  <c r="X2730" i="8"/>
  <c r="Z2730" i="8" s="1"/>
  <c r="X2731" i="8"/>
  <c r="Z2731" i="8" s="1"/>
  <c r="X2732" i="8"/>
  <c r="Z2732" i="8" s="1"/>
  <c r="X2733" i="8"/>
  <c r="Z2733" i="8" s="1"/>
  <c r="X2734" i="8"/>
  <c r="Z2734" i="8" s="1"/>
  <c r="X2735" i="8"/>
  <c r="Z2735" i="8" s="1"/>
  <c r="X2736" i="8"/>
  <c r="Z2736" i="8" s="1"/>
  <c r="X2737" i="8"/>
  <c r="Z2737" i="8" s="1"/>
  <c r="X2738" i="8"/>
  <c r="Z2738" i="8" s="1"/>
  <c r="X2739" i="8"/>
  <c r="Z2739" i="8" s="1"/>
  <c r="X2740" i="8"/>
  <c r="Z2740" i="8" s="1"/>
  <c r="X2741" i="8"/>
  <c r="Z2741" i="8" s="1"/>
  <c r="X2742" i="8"/>
  <c r="Z2742" i="8" s="1"/>
  <c r="X2743" i="8"/>
  <c r="Z2743" i="8" s="1"/>
  <c r="X2744" i="8"/>
  <c r="Z2744" i="8" s="1"/>
  <c r="X2745" i="8"/>
  <c r="Z2745" i="8" s="1"/>
  <c r="X2746" i="8"/>
  <c r="Z2746" i="8" s="1"/>
  <c r="X2747" i="8"/>
  <c r="Z2747" i="8" s="1"/>
  <c r="X2748" i="8"/>
  <c r="Z2748" i="8" s="1"/>
  <c r="X2749" i="8"/>
  <c r="Z2749" i="8" s="1"/>
  <c r="X2750" i="8"/>
  <c r="Z2750" i="8" s="1"/>
  <c r="X2751" i="8"/>
  <c r="Z2751" i="8" s="1"/>
  <c r="X2752" i="8"/>
  <c r="Z2752" i="8" s="1"/>
  <c r="X2753" i="8"/>
  <c r="Z2753" i="8" s="1"/>
  <c r="X2754" i="8"/>
  <c r="Z2754" i="8" s="1"/>
  <c r="X2755" i="8"/>
  <c r="Z2755" i="8" s="1"/>
  <c r="X2756" i="8"/>
  <c r="Z2756" i="8" s="1"/>
  <c r="X2757" i="8"/>
  <c r="Z2757" i="8" s="1"/>
  <c r="X2758" i="8"/>
  <c r="Z2758" i="8" s="1"/>
  <c r="X2759" i="8"/>
  <c r="Z2759" i="8" s="1"/>
  <c r="X2760" i="8"/>
  <c r="Z2760" i="8" s="1"/>
  <c r="X2761" i="8"/>
  <c r="Z2761" i="8" s="1"/>
  <c r="X2762" i="8"/>
  <c r="Z2762" i="8" s="1"/>
  <c r="X2763" i="8"/>
  <c r="Z2763" i="8" s="1"/>
  <c r="X2764" i="8"/>
  <c r="Z2764" i="8" s="1"/>
  <c r="X2765" i="8"/>
  <c r="Z2765" i="8" s="1"/>
  <c r="X2766" i="8"/>
  <c r="Z2766" i="8" s="1"/>
  <c r="X2767" i="8"/>
  <c r="Z2767" i="8" s="1"/>
  <c r="X2768" i="8"/>
  <c r="Z2768" i="8" s="1"/>
  <c r="X2769" i="8"/>
  <c r="Z2769" i="8" s="1"/>
  <c r="X2770" i="8"/>
  <c r="Z2770" i="8" s="1"/>
  <c r="X2771" i="8"/>
  <c r="Z2771" i="8" s="1"/>
  <c r="X2772" i="8"/>
  <c r="Z2772" i="8" s="1"/>
  <c r="X2773" i="8"/>
  <c r="Z2773" i="8" s="1"/>
  <c r="X2774" i="8"/>
  <c r="Z2774" i="8" s="1"/>
  <c r="X2775" i="8"/>
  <c r="Z2775" i="8" s="1"/>
  <c r="X2776" i="8"/>
  <c r="Z2776" i="8" s="1"/>
  <c r="X2777" i="8"/>
  <c r="Z2777" i="8" s="1"/>
  <c r="X2778" i="8"/>
  <c r="Z2778" i="8" s="1"/>
  <c r="X2779" i="8"/>
  <c r="Z2779" i="8" s="1"/>
  <c r="X2780" i="8"/>
  <c r="Z2780" i="8" s="1"/>
  <c r="X2781" i="8"/>
  <c r="Z2781" i="8" s="1"/>
  <c r="X2782" i="8"/>
  <c r="Z2782" i="8" s="1"/>
  <c r="X2783" i="8"/>
  <c r="Z2783" i="8" s="1"/>
  <c r="X2784" i="8"/>
  <c r="Z2784" i="8" s="1"/>
  <c r="X2785" i="8"/>
  <c r="Z2785" i="8" s="1"/>
  <c r="X2786" i="8"/>
  <c r="Z2786" i="8" s="1"/>
  <c r="X2787" i="8"/>
  <c r="Z2787" i="8" s="1"/>
  <c r="X2788" i="8"/>
  <c r="Z2788" i="8" s="1"/>
  <c r="X2789" i="8"/>
  <c r="Z2789" i="8" s="1"/>
  <c r="X2790" i="8"/>
  <c r="Z2790" i="8" s="1"/>
  <c r="X2791" i="8"/>
  <c r="Z2791" i="8" s="1"/>
  <c r="X2792" i="8"/>
  <c r="Z2792" i="8" s="1"/>
  <c r="X2793" i="8"/>
  <c r="Z2793" i="8" s="1"/>
  <c r="X2794" i="8"/>
  <c r="Z2794" i="8" s="1"/>
  <c r="X2795" i="8"/>
  <c r="Z2795" i="8" s="1"/>
  <c r="X2796" i="8"/>
  <c r="Z2796" i="8" s="1"/>
  <c r="X2797" i="8"/>
  <c r="Z2797" i="8" s="1"/>
  <c r="X2798" i="8"/>
  <c r="Z2798" i="8" s="1"/>
  <c r="X2799" i="8"/>
  <c r="Z2799" i="8" s="1"/>
  <c r="X2800" i="8"/>
  <c r="Z2800" i="8" s="1"/>
  <c r="X2801" i="8"/>
  <c r="Z2801" i="8" s="1"/>
  <c r="X2802" i="8"/>
  <c r="Z2802" i="8" s="1"/>
  <c r="X2803" i="8"/>
  <c r="Z2803" i="8" s="1"/>
  <c r="X2804" i="8"/>
  <c r="Z2804" i="8" s="1"/>
  <c r="X2805" i="8"/>
  <c r="Z2805" i="8" s="1"/>
  <c r="X2806" i="8"/>
  <c r="Z2806" i="8" s="1"/>
  <c r="X2807" i="8"/>
  <c r="Z2807" i="8" s="1"/>
  <c r="X2808" i="8"/>
  <c r="Z2808" i="8" s="1"/>
  <c r="X2809" i="8"/>
  <c r="Z2809" i="8" s="1"/>
  <c r="X2810" i="8"/>
  <c r="Z2810" i="8" s="1"/>
  <c r="X2811" i="8"/>
  <c r="Z2811" i="8" s="1"/>
  <c r="X2812" i="8"/>
  <c r="Z2812" i="8" s="1"/>
  <c r="X2813" i="8"/>
  <c r="Z2813" i="8" s="1"/>
  <c r="X2814" i="8"/>
  <c r="Z2814" i="8" s="1"/>
  <c r="X2815" i="8"/>
  <c r="Z2815" i="8" s="1"/>
  <c r="X2816" i="8"/>
  <c r="Z2816" i="8" s="1"/>
  <c r="X2817" i="8"/>
  <c r="Z2817" i="8" s="1"/>
  <c r="X2818" i="8"/>
  <c r="Z2818" i="8" s="1"/>
  <c r="X2819" i="8"/>
  <c r="Z2819" i="8" s="1"/>
  <c r="X2820" i="8"/>
  <c r="Z2820" i="8" s="1"/>
  <c r="X2821" i="8"/>
  <c r="Z2821" i="8" s="1"/>
  <c r="X2822" i="8"/>
  <c r="Z2822" i="8" s="1"/>
  <c r="X2823" i="8"/>
  <c r="Z2823" i="8" s="1"/>
  <c r="X2824" i="8"/>
  <c r="Z2824" i="8" s="1"/>
  <c r="X2825" i="8"/>
  <c r="Z2825" i="8" s="1"/>
  <c r="X2826" i="8"/>
  <c r="Z2826" i="8" s="1"/>
  <c r="X2827" i="8"/>
  <c r="Z2827" i="8" s="1"/>
  <c r="X2828" i="8"/>
  <c r="Z2828" i="8" s="1"/>
  <c r="X2829" i="8"/>
  <c r="Z2829" i="8" s="1"/>
  <c r="X2830" i="8"/>
  <c r="Z2830" i="8" s="1"/>
  <c r="X2831" i="8"/>
  <c r="Z2831" i="8" s="1"/>
  <c r="X2832" i="8"/>
  <c r="Z2832" i="8" s="1"/>
  <c r="X2833" i="8"/>
  <c r="Z2833" i="8" s="1"/>
  <c r="X2834" i="8"/>
  <c r="Z2834" i="8" s="1"/>
  <c r="X2835" i="8"/>
  <c r="Z2835" i="8" s="1"/>
  <c r="X2836" i="8"/>
  <c r="Z2836" i="8" s="1"/>
  <c r="X2837" i="8"/>
  <c r="Z2837" i="8" s="1"/>
  <c r="X2838" i="8"/>
  <c r="Z2838" i="8" s="1"/>
  <c r="X2839" i="8"/>
  <c r="Z2839" i="8" s="1"/>
  <c r="X2840" i="8"/>
  <c r="Z2840" i="8" s="1"/>
  <c r="X2841" i="8"/>
  <c r="Z2841" i="8" s="1"/>
  <c r="X2842" i="8"/>
  <c r="Z2842" i="8" s="1"/>
  <c r="X2843" i="8"/>
  <c r="Z2843" i="8" s="1"/>
  <c r="X2844" i="8"/>
  <c r="Z2844" i="8" s="1"/>
  <c r="X2845" i="8"/>
  <c r="Z2845" i="8" s="1"/>
  <c r="X2846" i="8"/>
  <c r="Z2846" i="8" s="1"/>
  <c r="X2847" i="8"/>
  <c r="Z2847" i="8" s="1"/>
  <c r="X2848" i="8"/>
  <c r="Z2848" i="8" s="1"/>
  <c r="X2849" i="8"/>
  <c r="Z2849" i="8" s="1"/>
  <c r="X2850" i="8"/>
  <c r="Z2850" i="8" s="1"/>
  <c r="X2851" i="8"/>
  <c r="Z2851" i="8" s="1"/>
  <c r="X2852" i="8"/>
  <c r="Z2852" i="8" s="1"/>
  <c r="X2853" i="8"/>
  <c r="Z2853" i="8" s="1"/>
  <c r="X2854" i="8"/>
  <c r="Z2854" i="8" s="1"/>
  <c r="X2855" i="8"/>
  <c r="Z2855" i="8" s="1"/>
  <c r="X2856" i="8"/>
  <c r="Z2856" i="8" s="1"/>
  <c r="X2857" i="8"/>
  <c r="Z2857" i="8" s="1"/>
  <c r="X2858" i="8"/>
  <c r="Z2858" i="8" s="1"/>
  <c r="X2859" i="8"/>
  <c r="Z2859" i="8" s="1"/>
  <c r="X2860" i="8"/>
  <c r="Z2860" i="8" s="1"/>
  <c r="X2861" i="8"/>
  <c r="Z2861" i="8" s="1"/>
  <c r="X2862" i="8"/>
  <c r="Z2862" i="8" s="1"/>
  <c r="X2863" i="8"/>
  <c r="Z2863" i="8" s="1"/>
  <c r="X2864" i="8"/>
  <c r="Z2864" i="8" s="1"/>
  <c r="X2865" i="8"/>
  <c r="Z2865" i="8" s="1"/>
  <c r="X2866" i="8"/>
  <c r="Z2866" i="8" s="1"/>
  <c r="X2867" i="8"/>
  <c r="Z2867" i="8" s="1"/>
  <c r="X2868" i="8"/>
  <c r="Z2868" i="8" s="1"/>
  <c r="X2869" i="8"/>
  <c r="Z2869" i="8" s="1"/>
  <c r="X2870" i="8"/>
  <c r="Z2870" i="8" s="1"/>
  <c r="X2871" i="8"/>
  <c r="Z2871" i="8" s="1"/>
  <c r="X2872" i="8"/>
  <c r="Z2872" i="8" s="1"/>
  <c r="X2873" i="8"/>
  <c r="Z2873" i="8" s="1"/>
  <c r="X2874" i="8"/>
  <c r="Z2874" i="8" s="1"/>
  <c r="X2875" i="8"/>
  <c r="Z2875" i="8" s="1"/>
  <c r="X2876" i="8"/>
  <c r="Z2876" i="8" s="1"/>
  <c r="X2877" i="8"/>
  <c r="Z2877" i="8" s="1"/>
  <c r="X2878" i="8"/>
  <c r="Z2878" i="8" s="1"/>
  <c r="X2879" i="8"/>
  <c r="Z2879" i="8" s="1"/>
  <c r="X2880" i="8"/>
  <c r="Z2880" i="8" s="1"/>
  <c r="X2881" i="8"/>
  <c r="Z2881" i="8" s="1"/>
  <c r="X2882" i="8"/>
  <c r="Z2882" i="8" s="1"/>
  <c r="X2883" i="8"/>
  <c r="Z2883" i="8" s="1"/>
  <c r="X2884" i="8"/>
  <c r="Z2884" i="8" s="1"/>
  <c r="X2885" i="8"/>
  <c r="Z2885" i="8" s="1"/>
  <c r="X2886" i="8"/>
  <c r="Z2886" i="8" s="1"/>
  <c r="X2887" i="8"/>
  <c r="Z2887" i="8" s="1"/>
  <c r="X2888" i="8"/>
  <c r="Z2888" i="8" s="1"/>
  <c r="X2889" i="8"/>
  <c r="Z2889" i="8" s="1"/>
  <c r="X2890" i="8"/>
  <c r="Z2890" i="8" s="1"/>
  <c r="X2891" i="8"/>
  <c r="Z2891" i="8" s="1"/>
  <c r="X2892" i="8"/>
  <c r="Z2892" i="8" s="1"/>
  <c r="X2893" i="8"/>
  <c r="Z2893" i="8" s="1"/>
  <c r="X2894" i="8"/>
  <c r="Z2894" i="8" s="1"/>
  <c r="X2895" i="8"/>
  <c r="Z2895" i="8" s="1"/>
  <c r="X2896" i="8"/>
  <c r="Z2896" i="8" s="1"/>
  <c r="X2897" i="8"/>
  <c r="Z2897" i="8" s="1"/>
  <c r="X2898" i="8"/>
  <c r="Z2898" i="8" s="1"/>
  <c r="X2899" i="8"/>
  <c r="Z2899" i="8" s="1"/>
  <c r="X2900" i="8"/>
  <c r="Z2900" i="8" s="1"/>
  <c r="X2901" i="8"/>
  <c r="Z2901" i="8" s="1"/>
  <c r="X2902" i="8"/>
  <c r="Z2902" i="8" s="1"/>
  <c r="X2903" i="8"/>
  <c r="Z2903" i="8" s="1"/>
  <c r="X2904" i="8"/>
  <c r="Z2904" i="8" s="1"/>
  <c r="X2905" i="8"/>
  <c r="Z2905" i="8" s="1"/>
  <c r="X2906" i="8"/>
  <c r="Z2906" i="8" s="1"/>
  <c r="X2907" i="8"/>
  <c r="Z2907" i="8" s="1"/>
  <c r="X2908" i="8"/>
  <c r="Z2908" i="8" s="1"/>
  <c r="X2909" i="8"/>
  <c r="Z2909" i="8" s="1"/>
  <c r="X2910" i="8"/>
  <c r="Z2910" i="8" s="1"/>
  <c r="X2911" i="8"/>
  <c r="Z2911" i="8" s="1"/>
  <c r="X2912" i="8"/>
  <c r="Z2912" i="8" s="1"/>
  <c r="X2913" i="8"/>
  <c r="Z2913" i="8" s="1"/>
  <c r="X2914" i="8"/>
  <c r="Z2914" i="8" s="1"/>
  <c r="X2915" i="8"/>
  <c r="Z2915" i="8" s="1"/>
  <c r="X2916" i="8"/>
  <c r="Z2916" i="8" s="1"/>
  <c r="X2917" i="8"/>
  <c r="Z2917" i="8" s="1"/>
  <c r="X2918" i="8"/>
  <c r="Z2918" i="8" s="1"/>
  <c r="X2919" i="8"/>
  <c r="Z2919" i="8" s="1"/>
  <c r="X2920" i="8"/>
  <c r="Z2920" i="8" s="1"/>
  <c r="X2921" i="8"/>
  <c r="Z2921" i="8" s="1"/>
  <c r="X2922" i="8"/>
  <c r="Z2922" i="8" s="1"/>
  <c r="X2923" i="8"/>
  <c r="Z2923" i="8" s="1"/>
  <c r="X2924" i="8"/>
  <c r="Z2924" i="8" s="1"/>
  <c r="X2925" i="8"/>
  <c r="Z2925" i="8" s="1"/>
  <c r="X2926" i="8"/>
  <c r="Z2926" i="8" s="1"/>
  <c r="X2927" i="8"/>
  <c r="Z2927" i="8" s="1"/>
  <c r="X2928" i="8"/>
  <c r="Z2928" i="8" s="1"/>
  <c r="X2929" i="8"/>
  <c r="Z2929" i="8" s="1"/>
  <c r="X2930" i="8"/>
  <c r="Z2930" i="8" s="1"/>
  <c r="X2931" i="8"/>
  <c r="Z2931" i="8" s="1"/>
  <c r="X2932" i="8"/>
  <c r="Z2932" i="8" s="1"/>
  <c r="X2933" i="8"/>
  <c r="Z2933" i="8" s="1"/>
  <c r="X2934" i="8"/>
  <c r="Z2934" i="8" s="1"/>
  <c r="X2935" i="8"/>
  <c r="Z2935" i="8" s="1"/>
  <c r="X2936" i="8"/>
  <c r="Z2936" i="8" s="1"/>
  <c r="X2937" i="8"/>
  <c r="Z2937" i="8" s="1"/>
  <c r="X2938" i="8"/>
  <c r="Z2938" i="8" s="1"/>
  <c r="X2939" i="8"/>
  <c r="Z2939" i="8" s="1"/>
  <c r="X2940" i="8"/>
  <c r="Z2940" i="8" s="1"/>
  <c r="X2941" i="8"/>
  <c r="Z2941" i="8" s="1"/>
  <c r="X2942" i="8"/>
  <c r="Z2942" i="8" s="1"/>
  <c r="X2943" i="8"/>
  <c r="Z2943" i="8" s="1"/>
  <c r="X2944" i="8"/>
  <c r="Z2944" i="8" s="1"/>
  <c r="X2945" i="8"/>
  <c r="Z2945" i="8" s="1"/>
  <c r="X2946" i="8"/>
  <c r="Z2946" i="8" s="1"/>
  <c r="X2947" i="8"/>
  <c r="Z2947" i="8" s="1"/>
  <c r="X2948" i="8"/>
  <c r="Z2948" i="8" s="1"/>
  <c r="X2949" i="8"/>
  <c r="Z2949" i="8" s="1"/>
  <c r="X2950" i="8"/>
  <c r="Z2950" i="8" s="1"/>
  <c r="X2951" i="8"/>
  <c r="Z2951" i="8" s="1"/>
  <c r="X2952" i="8"/>
  <c r="Z2952" i="8" s="1"/>
  <c r="X2953" i="8"/>
  <c r="Z2953" i="8" s="1"/>
  <c r="X2954" i="8"/>
  <c r="Z2954" i="8" s="1"/>
  <c r="X2955" i="8"/>
  <c r="Z2955" i="8" s="1"/>
  <c r="X2956" i="8"/>
  <c r="Z2956" i="8" s="1"/>
  <c r="X2957" i="8"/>
  <c r="Z2957" i="8" s="1"/>
  <c r="X2958" i="8"/>
  <c r="Z2958" i="8" s="1"/>
  <c r="X2959" i="8"/>
  <c r="Z2959" i="8" s="1"/>
  <c r="X2960" i="8"/>
  <c r="Z2960" i="8" s="1"/>
  <c r="X2961" i="8"/>
  <c r="Z2961" i="8" s="1"/>
  <c r="X2962" i="8"/>
  <c r="Z2962" i="8" s="1"/>
  <c r="X2963" i="8"/>
  <c r="Z2963" i="8" s="1"/>
  <c r="X2964" i="8"/>
  <c r="Z2964" i="8" s="1"/>
  <c r="X2965" i="8"/>
  <c r="Z2965" i="8" s="1"/>
  <c r="X2966" i="8"/>
  <c r="Z2966" i="8" s="1"/>
  <c r="X2967" i="8"/>
  <c r="Z2967" i="8" s="1"/>
  <c r="X2968" i="8"/>
  <c r="Z2968" i="8" s="1"/>
  <c r="X2969" i="8"/>
  <c r="Z2969" i="8" s="1"/>
  <c r="X2970" i="8"/>
  <c r="Z2970" i="8" s="1"/>
  <c r="X2971" i="8"/>
  <c r="Z2971" i="8" s="1"/>
  <c r="X2972" i="8"/>
  <c r="Z2972" i="8" s="1"/>
  <c r="X2973" i="8"/>
  <c r="Z2973" i="8" s="1"/>
  <c r="X2974" i="8"/>
  <c r="Z2974" i="8" s="1"/>
  <c r="X2975" i="8"/>
  <c r="Z2975" i="8" s="1"/>
  <c r="X2976" i="8"/>
  <c r="Z2976" i="8" s="1"/>
  <c r="X2977" i="8"/>
  <c r="Z2977" i="8" s="1"/>
  <c r="X2978" i="8"/>
  <c r="Z2978" i="8" s="1"/>
  <c r="X2979" i="8"/>
  <c r="Z2979" i="8" s="1"/>
  <c r="X2980" i="8"/>
  <c r="Z2980" i="8" s="1"/>
  <c r="X2981" i="8"/>
  <c r="Z2981" i="8" s="1"/>
  <c r="X2982" i="8"/>
  <c r="Z2982" i="8" s="1"/>
  <c r="X2983" i="8"/>
  <c r="Z2983" i="8" s="1"/>
  <c r="X2984" i="8"/>
  <c r="Z2984" i="8" s="1"/>
  <c r="X2985" i="8"/>
  <c r="Z2985" i="8" s="1"/>
  <c r="X2986" i="8"/>
  <c r="Z2986" i="8" s="1"/>
  <c r="X2987" i="8"/>
  <c r="Z2987" i="8" s="1"/>
  <c r="X2988" i="8"/>
  <c r="Z2988" i="8" s="1"/>
  <c r="X2989" i="8"/>
  <c r="Z2989" i="8" s="1"/>
  <c r="X2990" i="8"/>
  <c r="Z2990" i="8" s="1"/>
  <c r="X2991" i="8"/>
  <c r="Z2991" i="8" s="1"/>
  <c r="X2992" i="8"/>
  <c r="Z2992" i="8" s="1"/>
  <c r="X2993" i="8"/>
  <c r="Z2993" i="8" s="1"/>
  <c r="X2994" i="8"/>
  <c r="Z2994" i="8" s="1"/>
  <c r="X2995" i="8"/>
  <c r="Z2995" i="8" s="1"/>
  <c r="X2996" i="8"/>
  <c r="Z2996" i="8" s="1"/>
  <c r="X2997" i="8"/>
  <c r="Z2997" i="8" s="1"/>
  <c r="X2998" i="8"/>
  <c r="Z2998" i="8" s="1"/>
  <c r="X2999" i="8"/>
  <c r="Z2999" i="8" s="1"/>
  <c r="X3000" i="8"/>
  <c r="Z3000" i="8" s="1"/>
  <c r="X3001" i="8"/>
  <c r="Z3001" i="8" s="1"/>
  <c r="X3002" i="8"/>
  <c r="Z3002" i="8" s="1"/>
  <c r="X3003" i="8"/>
  <c r="Z3003" i="8" s="1"/>
  <c r="X3004" i="8"/>
  <c r="Z3004" i="8" s="1"/>
  <c r="X3005" i="8"/>
  <c r="Z3005" i="8" s="1"/>
  <c r="X3006" i="8"/>
  <c r="Z3006" i="8" s="1"/>
  <c r="X3007" i="8"/>
  <c r="Z3007" i="8" s="1"/>
  <c r="X3008" i="8"/>
  <c r="Z3008" i="8" s="1"/>
  <c r="X3009" i="8"/>
  <c r="Z3009" i="8" s="1"/>
  <c r="X3010" i="8"/>
  <c r="Z3010" i="8" s="1"/>
  <c r="X3011" i="8"/>
  <c r="Z3011" i="8" s="1"/>
  <c r="X3012" i="8"/>
  <c r="Z3012" i="8" s="1"/>
  <c r="X3013" i="8"/>
  <c r="Z3013" i="8" s="1"/>
  <c r="X3014" i="8"/>
  <c r="Z3014" i="8" s="1"/>
  <c r="X3015" i="8"/>
  <c r="Z3015" i="8" s="1"/>
  <c r="X3016" i="8"/>
  <c r="Z3016" i="8" s="1"/>
  <c r="X3017" i="8"/>
  <c r="Z3017" i="8" s="1"/>
  <c r="X3018" i="8"/>
  <c r="Z3018" i="8" s="1"/>
  <c r="X3019" i="8"/>
  <c r="Z3019" i="8" s="1"/>
  <c r="X3020" i="8"/>
  <c r="Z3020" i="8" s="1"/>
  <c r="X3021" i="8"/>
  <c r="Z3021" i="8" s="1"/>
  <c r="X3022" i="8"/>
  <c r="Z3022" i="8" s="1"/>
  <c r="X3023" i="8"/>
  <c r="Z3023" i="8" s="1"/>
  <c r="X3024" i="8"/>
  <c r="Z3024" i="8" s="1"/>
  <c r="X3025" i="8"/>
  <c r="Z3025" i="8" s="1"/>
  <c r="X3026" i="8"/>
  <c r="Z3026" i="8" s="1"/>
  <c r="X3027" i="8"/>
  <c r="Z3027" i="8" s="1"/>
  <c r="X3028" i="8"/>
  <c r="Z3028" i="8" s="1"/>
  <c r="X3029" i="8"/>
  <c r="Z3029" i="8" s="1"/>
  <c r="X3030" i="8"/>
  <c r="Z3030" i="8" s="1"/>
  <c r="X3031" i="8"/>
  <c r="Z3031" i="8" s="1"/>
  <c r="X3032" i="8"/>
  <c r="Z3032" i="8" s="1"/>
  <c r="X3033" i="8"/>
  <c r="Z3033" i="8" s="1"/>
  <c r="X3034" i="8"/>
  <c r="Z3034" i="8" s="1"/>
  <c r="X3035" i="8"/>
  <c r="Z3035" i="8" s="1"/>
  <c r="X3036" i="8"/>
  <c r="Z3036" i="8" s="1"/>
  <c r="X3037" i="8"/>
  <c r="Z3037" i="8" s="1"/>
  <c r="X3038" i="8"/>
  <c r="Z3038" i="8" s="1"/>
  <c r="X3039" i="8"/>
  <c r="Z3039" i="8" s="1"/>
  <c r="X3040" i="8"/>
  <c r="Z3040" i="8" s="1"/>
  <c r="X3041" i="8"/>
  <c r="Z3041" i="8" s="1"/>
  <c r="X3042" i="8"/>
  <c r="Z3042" i="8" s="1"/>
  <c r="X3043" i="8"/>
  <c r="Z3043" i="8" s="1"/>
  <c r="X3044" i="8"/>
  <c r="Z3044" i="8" s="1"/>
  <c r="X3045" i="8"/>
  <c r="Z3045" i="8" s="1"/>
  <c r="X3046" i="8"/>
  <c r="Z3046" i="8" s="1"/>
  <c r="X3047" i="8"/>
  <c r="Z3047" i="8" s="1"/>
  <c r="X3048" i="8"/>
  <c r="Z3048" i="8" s="1"/>
  <c r="X3049" i="8"/>
  <c r="Z3049" i="8" s="1"/>
  <c r="X3050" i="8"/>
  <c r="Z3050" i="8" s="1"/>
  <c r="X3051" i="8"/>
  <c r="Z3051" i="8" s="1"/>
  <c r="X3052" i="8"/>
  <c r="Z3052" i="8" s="1"/>
  <c r="X3053" i="8"/>
  <c r="Z3053" i="8" s="1"/>
  <c r="X3054" i="8"/>
  <c r="Z3054" i="8" s="1"/>
  <c r="X3055" i="8"/>
  <c r="Z3055" i="8" s="1"/>
  <c r="X3056" i="8"/>
  <c r="Z3056" i="8" s="1"/>
  <c r="X3057" i="8"/>
  <c r="Z3057" i="8" s="1"/>
  <c r="X3058" i="8"/>
  <c r="Z3058" i="8" s="1"/>
  <c r="X3059" i="8"/>
  <c r="Z3059" i="8" s="1"/>
  <c r="X3060" i="8"/>
  <c r="Z3060" i="8" s="1"/>
  <c r="X3061" i="8"/>
  <c r="Z3061" i="8" s="1"/>
  <c r="X3062" i="8"/>
  <c r="Z3062" i="8" s="1"/>
  <c r="X3063" i="8"/>
  <c r="Z3063" i="8" s="1"/>
  <c r="X3064" i="8"/>
  <c r="Z3064" i="8" s="1"/>
  <c r="X3065" i="8"/>
  <c r="Z3065" i="8" s="1"/>
  <c r="X3066" i="8"/>
  <c r="Z3066" i="8" s="1"/>
  <c r="X3067" i="8"/>
  <c r="Z3067" i="8" s="1"/>
  <c r="X3068" i="8"/>
  <c r="Z3068" i="8" s="1"/>
  <c r="X3069" i="8"/>
  <c r="Z3069" i="8" s="1"/>
  <c r="X3070" i="8"/>
  <c r="Z3070" i="8" s="1"/>
  <c r="X3071" i="8"/>
  <c r="Z3071" i="8" s="1"/>
  <c r="X3072" i="8"/>
  <c r="Z3072" i="8" s="1"/>
  <c r="X3073" i="8"/>
  <c r="Z3073" i="8" s="1"/>
  <c r="X3074" i="8"/>
  <c r="Z3074" i="8" s="1"/>
  <c r="X3075" i="8"/>
  <c r="Z3075" i="8" s="1"/>
  <c r="X3076" i="8"/>
  <c r="Z3076" i="8" s="1"/>
  <c r="X3077" i="8"/>
  <c r="Z3077" i="8" s="1"/>
  <c r="X3078" i="8"/>
  <c r="Z3078" i="8" s="1"/>
  <c r="X3079" i="8"/>
  <c r="Z3079" i="8" s="1"/>
  <c r="X3080" i="8"/>
  <c r="Z3080" i="8" s="1"/>
  <c r="X3081" i="8"/>
  <c r="Z3081" i="8" s="1"/>
  <c r="X3082" i="8"/>
  <c r="Z3082" i="8" s="1"/>
  <c r="X3083" i="8"/>
  <c r="Z3083" i="8" s="1"/>
  <c r="X3084" i="8"/>
  <c r="Z3084" i="8" s="1"/>
  <c r="X3085" i="8"/>
  <c r="Z3085" i="8" s="1"/>
  <c r="X3086" i="8"/>
  <c r="Z3086" i="8" s="1"/>
  <c r="X3087" i="8"/>
  <c r="Z3087" i="8" s="1"/>
  <c r="X3088" i="8"/>
  <c r="Z3088" i="8" s="1"/>
  <c r="X3089" i="8"/>
  <c r="Z3089" i="8" s="1"/>
  <c r="X3090" i="8"/>
  <c r="Z3090" i="8" s="1"/>
  <c r="X3091" i="8"/>
  <c r="Z3091" i="8" s="1"/>
  <c r="X3092" i="8"/>
  <c r="Z3092" i="8" s="1"/>
  <c r="X3093" i="8"/>
  <c r="Z3093" i="8" s="1"/>
  <c r="X3094" i="8"/>
  <c r="Z3094" i="8" s="1"/>
  <c r="X3095" i="8"/>
  <c r="Z3095" i="8" s="1"/>
  <c r="X3096" i="8"/>
  <c r="Z3096" i="8" s="1"/>
  <c r="X3097" i="8"/>
  <c r="Z3097" i="8" s="1"/>
  <c r="X3098" i="8"/>
  <c r="Z3098" i="8" s="1"/>
  <c r="X3099" i="8"/>
  <c r="Z3099" i="8" s="1"/>
  <c r="X3100" i="8"/>
  <c r="Z3100" i="8" s="1"/>
  <c r="X3101" i="8"/>
  <c r="Z3101" i="8" s="1"/>
  <c r="X3102" i="8"/>
  <c r="Z3102" i="8" s="1"/>
  <c r="X3103" i="8"/>
  <c r="Z3103" i="8" s="1"/>
  <c r="X3104" i="8"/>
  <c r="Z3104" i="8" s="1"/>
  <c r="X3105" i="8"/>
  <c r="Z3105" i="8" s="1"/>
  <c r="X3106" i="8"/>
  <c r="Z3106" i="8" s="1"/>
  <c r="X3107" i="8"/>
  <c r="Z3107" i="8" s="1"/>
  <c r="X3108" i="8"/>
  <c r="Z3108" i="8" s="1"/>
  <c r="X3109" i="8"/>
  <c r="Z3109" i="8" s="1"/>
  <c r="X3110" i="8"/>
  <c r="Z3110" i="8" s="1"/>
  <c r="X3111" i="8"/>
  <c r="Z3111" i="8" s="1"/>
  <c r="X3112" i="8"/>
  <c r="Z3112" i="8" s="1"/>
  <c r="X3113" i="8"/>
  <c r="Z3113" i="8" s="1"/>
  <c r="X3114" i="8"/>
  <c r="Z3114" i="8" s="1"/>
  <c r="X3115" i="8"/>
  <c r="Z3115" i="8" s="1"/>
  <c r="X3116" i="8"/>
  <c r="Z3116" i="8" s="1"/>
  <c r="X3117" i="8"/>
  <c r="Z3117" i="8" s="1"/>
  <c r="X3118" i="8"/>
  <c r="Z3118" i="8" s="1"/>
  <c r="X3119" i="8"/>
  <c r="Z3119" i="8" s="1"/>
  <c r="X3120" i="8"/>
  <c r="Z3120" i="8" s="1"/>
  <c r="X3121" i="8"/>
  <c r="Z3121" i="8" s="1"/>
  <c r="X3122" i="8"/>
  <c r="Z3122" i="8" s="1"/>
  <c r="X3123" i="8"/>
  <c r="Z3123" i="8" s="1"/>
  <c r="X3124" i="8"/>
  <c r="Z3124" i="8" s="1"/>
  <c r="X3125" i="8"/>
  <c r="Z3125" i="8" s="1"/>
  <c r="X3126" i="8"/>
  <c r="Z3126" i="8" s="1"/>
  <c r="X3127" i="8"/>
  <c r="Z3127" i="8" s="1"/>
  <c r="X3128" i="8"/>
  <c r="Z3128" i="8" s="1"/>
  <c r="X3129" i="8"/>
  <c r="Z3129" i="8" s="1"/>
  <c r="X3130" i="8"/>
  <c r="Z3130" i="8" s="1"/>
  <c r="X3131" i="8"/>
  <c r="Z3131" i="8" s="1"/>
  <c r="X3132" i="8"/>
  <c r="Z3132" i="8" s="1"/>
  <c r="X3133" i="8"/>
  <c r="Z3133" i="8" s="1"/>
  <c r="X3134" i="8"/>
  <c r="Z3134" i="8" s="1"/>
  <c r="X3135" i="8"/>
  <c r="Z3135" i="8" s="1"/>
  <c r="X3136" i="8"/>
  <c r="Z3136" i="8" s="1"/>
  <c r="X3137" i="8"/>
  <c r="Z3137" i="8" s="1"/>
  <c r="X3138" i="8"/>
  <c r="Z3138" i="8" s="1"/>
  <c r="X3139" i="8"/>
  <c r="Z3139" i="8" s="1"/>
  <c r="X3140" i="8"/>
  <c r="Z3140" i="8" s="1"/>
  <c r="X3141" i="8"/>
  <c r="Z3141" i="8" s="1"/>
  <c r="X3142" i="8"/>
  <c r="Z3142" i="8" s="1"/>
  <c r="X3143" i="8"/>
  <c r="Z3143" i="8" s="1"/>
  <c r="X3144" i="8"/>
  <c r="Z3144" i="8" s="1"/>
  <c r="X3145" i="8"/>
  <c r="Z3145" i="8" s="1"/>
  <c r="X3146" i="8"/>
  <c r="Z3146" i="8" s="1"/>
  <c r="X3147" i="8"/>
  <c r="Z3147" i="8" s="1"/>
  <c r="X3148" i="8"/>
  <c r="Z3148" i="8" s="1"/>
  <c r="X3149" i="8"/>
  <c r="Z3149" i="8" s="1"/>
  <c r="X3150" i="8"/>
  <c r="Z3150" i="8" s="1"/>
  <c r="X3151" i="8"/>
  <c r="Z3151" i="8" s="1"/>
  <c r="X3152" i="8"/>
  <c r="Z3152" i="8" s="1"/>
  <c r="X3153" i="8"/>
  <c r="Z3153" i="8" s="1"/>
  <c r="X3154" i="8"/>
  <c r="Z3154" i="8" s="1"/>
  <c r="X3155" i="8"/>
  <c r="Z3155" i="8" s="1"/>
  <c r="X3156" i="8"/>
  <c r="Z3156" i="8" s="1"/>
  <c r="X3157" i="8"/>
  <c r="Z3157" i="8" s="1"/>
  <c r="X3158" i="8"/>
  <c r="Z3158" i="8" s="1"/>
  <c r="X3159" i="8"/>
  <c r="Z3159" i="8" s="1"/>
  <c r="X3160" i="8"/>
  <c r="Z3160" i="8" s="1"/>
  <c r="X3161" i="8"/>
  <c r="Z3161" i="8" s="1"/>
  <c r="X3162" i="8"/>
  <c r="Z3162" i="8" s="1"/>
  <c r="X3163" i="8"/>
  <c r="Z3163" i="8" s="1"/>
  <c r="X3164" i="8"/>
  <c r="Z3164" i="8" s="1"/>
  <c r="X3165" i="8"/>
  <c r="Z3165" i="8" s="1"/>
  <c r="X3166" i="8"/>
  <c r="Z3166" i="8" s="1"/>
  <c r="X3167" i="8"/>
  <c r="Z3167" i="8" s="1"/>
  <c r="X3168" i="8"/>
  <c r="Z3168" i="8" s="1"/>
  <c r="X3169" i="8"/>
  <c r="Z3169" i="8" s="1"/>
  <c r="X3170" i="8"/>
  <c r="Z3170" i="8" s="1"/>
  <c r="X3171" i="8"/>
  <c r="Z3171" i="8" s="1"/>
  <c r="X3172" i="8"/>
  <c r="Z3172" i="8" s="1"/>
  <c r="X3173" i="8"/>
  <c r="Z3173" i="8" s="1"/>
  <c r="X3174" i="8"/>
  <c r="Z3174" i="8" s="1"/>
  <c r="X3175" i="8"/>
  <c r="Z3175" i="8" s="1"/>
  <c r="X3176" i="8"/>
  <c r="Z3176" i="8" s="1"/>
  <c r="X3177" i="8"/>
  <c r="Z3177" i="8" s="1"/>
  <c r="X3178" i="8"/>
  <c r="Z3178" i="8" s="1"/>
  <c r="X3179" i="8"/>
  <c r="Z3179" i="8" s="1"/>
  <c r="X3180" i="8"/>
  <c r="Z3180" i="8" s="1"/>
  <c r="X3181" i="8"/>
  <c r="Z3181" i="8" s="1"/>
  <c r="X3182" i="8"/>
  <c r="Z3182" i="8" s="1"/>
  <c r="X3183" i="8"/>
  <c r="Z3183" i="8" s="1"/>
  <c r="X3184" i="8"/>
  <c r="Z3184" i="8" s="1"/>
  <c r="X3185" i="8"/>
  <c r="Z3185" i="8" s="1"/>
  <c r="X3186" i="8"/>
  <c r="Z3186" i="8" s="1"/>
  <c r="X3187" i="8"/>
  <c r="Z3187" i="8" s="1"/>
  <c r="X3188" i="8"/>
  <c r="Z3188" i="8" s="1"/>
  <c r="X3189" i="8"/>
  <c r="Z3189" i="8" s="1"/>
  <c r="X3190" i="8"/>
  <c r="Z3190" i="8" s="1"/>
  <c r="X3191" i="8"/>
  <c r="Z3191" i="8" s="1"/>
  <c r="X3192" i="8"/>
  <c r="Z3192" i="8" s="1"/>
  <c r="X3193" i="8"/>
  <c r="Z3193" i="8" s="1"/>
  <c r="X3194" i="8"/>
  <c r="Z3194" i="8" s="1"/>
  <c r="X3195" i="8"/>
  <c r="Z3195" i="8" s="1"/>
  <c r="X3196" i="8"/>
  <c r="Z3196" i="8" s="1"/>
  <c r="X3197" i="8"/>
  <c r="Z3197" i="8" s="1"/>
  <c r="X3198" i="8"/>
  <c r="Z3198" i="8" s="1"/>
  <c r="X3199" i="8"/>
  <c r="Z3199" i="8" s="1"/>
  <c r="X3200" i="8"/>
  <c r="Z3200" i="8" s="1"/>
  <c r="X3201" i="8"/>
  <c r="Z3201" i="8" s="1"/>
  <c r="X3202" i="8"/>
  <c r="Z3202" i="8" s="1"/>
  <c r="X3203" i="8"/>
  <c r="Z3203" i="8" s="1"/>
  <c r="X3204" i="8"/>
  <c r="Z3204" i="8" s="1"/>
  <c r="X3205" i="8"/>
  <c r="Z3205" i="8" s="1"/>
  <c r="X3206" i="8"/>
  <c r="Z3206" i="8" s="1"/>
  <c r="X3207" i="8"/>
  <c r="Z3207" i="8" s="1"/>
  <c r="X3208" i="8"/>
  <c r="Z3208" i="8" s="1"/>
  <c r="X3209" i="8"/>
  <c r="Z3209" i="8" s="1"/>
  <c r="X3210" i="8"/>
  <c r="Z3210" i="8" s="1"/>
  <c r="X3211" i="8"/>
  <c r="Z3211" i="8" s="1"/>
  <c r="X3212" i="8"/>
  <c r="Z3212" i="8" s="1"/>
  <c r="X3213" i="8"/>
  <c r="Z3213" i="8" s="1"/>
  <c r="X3214" i="8"/>
  <c r="Z3214" i="8" s="1"/>
  <c r="X3215" i="8"/>
  <c r="Z3215" i="8" s="1"/>
  <c r="X3216" i="8"/>
  <c r="Z3216" i="8" s="1"/>
  <c r="X3217" i="8"/>
  <c r="Z3217" i="8" s="1"/>
  <c r="X3218" i="8"/>
  <c r="Z3218" i="8" s="1"/>
  <c r="X3219" i="8"/>
  <c r="Z3219" i="8" s="1"/>
  <c r="X3220" i="8"/>
  <c r="Z3220" i="8" s="1"/>
  <c r="X3221" i="8"/>
  <c r="Z3221" i="8" s="1"/>
  <c r="X3222" i="8"/>
  <c r="Z3222" i="8" s="1"/>
  <c r="X3223" i="8"/>
  <c r="Z3223" i="8" s="1"/>
  <c r="X3224" i="8"/>
  <c r="Z3224" i="8" s="1"/>
  <c r="X3225" i="8"/>
  <c r="Z3225" i="8" s="1"/>
  <c r="X3226" i="8"/>
  <c r="Z3226" i="8" s="1"/>
  <c r="X3227" i="8"/>
  <c r="Z3227" i="8" s="1"/>
  <c r="X3228" i="8"/>
  <c r="Z3228" i="8" s="1"/>
  <c r="X3229" i="8"/>
  <c r="Z3229" i="8" s="1"/>
  <c r="X3230" i="8"/>
  <c r="Z3230" i="8" s="1"/>
  <c r="X3231" i="8"/>
  <c r="Z3231" i="8" s="1"/>
  <c r="X3232" i="8"/>
  <c r="Z3232" i="8" s="1"/>
  <c r="X3233" i="8"/>
  <c r="Z3233" i="8" s="1"/>
  <c r="X3234" i="8"/>
  <c r="Z3234" i="8" s="1"/>
  <c r="X3235" i="8"/>
  <c r="Z3235" i="8" s="1"/>
  <c r="X3236" i="8"/>
  <c r="Z3236" i="8" s="1"/>
  <c r="X3237" i="8"/>
  <c r="Z3237" i="8" s="1"/>
  <c r="X3238" i="8"/>
  <c r="Z3238" i="8" s="1"/>
  <c r="X3239" i="8"/>
  <c r="Z3239" i="8" s="1"/>
  <c r="X3240" i="8"/>
  <c r="Z3240" i="8" s="1"/>
  <c r="X3241" i="8"/>
  <c r="Z3241" i="8" s="1"/>
  <c r="X3242" i="8"/>
  <c r="Z3242" i="8" s="1"/>
  <c r="X3243" i="8"/>
  <c r="Z3243" i="8" s="1"/>
  <c r="X3244" i="8"/>
  <c r="Z3244" i="8" s="1"/>
  <c r="X3245" i="8"/>
  <c r="Z3245" i="8" s="1"/>
  <c r="X3246" i="8"/>
  <c r="Z3246" i="8" s="1"/>
  <c r="X3247" i="8"/>
  <c r="Z3247" i="8" s="1"/>
  <c r="X3248" i="8"/>
  <c r="Z3248" i="8" s="1"/>
  <c r="X3249" i="8"/>
  <c r="Z3249" i="8" s="1"/>
  <c r="X3250" i="8"/>
  <c r="Z3250" i="8" s="1"/>
  <c r="X3251" i="8"/>
  <c r="Z3251" i="8" s="1"/>
  <c r="X3252" i="8"/>
  <c r="Z3252" i="8" s="1"/>
  <c r="X3253" i="8"/>
  <c r="Z3253" i="8" s="1"/>
  <c r="X3254" i="8"/>
  <c r="Z3254" i="8" s="1"/>
  <c r="X3255" i="8"/>
  <c r="Z3255" i="8" s="1"/>
  <c r="X3256" i="8"/>
  <c r="Z3256" i="8" s="1"/>
  <c r="X3257" i="8"/>
  <c r="Z3257" i="8" s="1"/>
  <c r="X3258" i="8"/>
  <c r="Z3258" i="8" s="1"/>
  <c r="X3259" i="8"/>
  <c r="Z3259" i="8" s="1"/>
  <c r="X3260" i="8"/>
  <c r="Z3260" i="8" s="1"/>
  <c r="X3261" i="8"/>
  <c r="Z3261" i="8" s="1"/>
  <c r="X3262" i="8"/>
  <c r="Z3262" i="8" s="1"/>
  <c r="X3263" i="8"/>
  <c r="Z3263" i="8" s="1"/>
  <c r="X3264" i="8"/>
  <c r="Z3264" i="8" s="1"/>
  <c r="X3265" i="8"/>
  <c r="Z3265" i="8" s="1"/>
  <c r="X3266" i="8"/>
  <c r="Z3266" i="8" s="1"/>
  <c r="X3267" i="8"/>
  <c r="Z3267" i="8" s="1"/>
  <c r="X3268" i="8"/>
  <c r="Z3268" i="8" s="1"/>
  <c r="X3269" i="8"/>
  <c r="Z3269" i="8" s="1"/>
  <c r="X3270" i="8"/>
  <c r="Z3270" i="8" s="1"/>
  <c r="X3271" i="8"/>
  <c r="Z3271" i="8" s="1"/>
  <c r="X3272" i="8"/>
  <c r="Z3272" i="8" s="1"/>
  <c r="X3273" i="8"/>
  <c r="Z3273" i="8" s="1"/>
  <c r="X3274" i="8"/>
  <c r="Z3274" i="8" s="1"/>
  <c r="X3275" i="8"/>
  <c r="Z3275" i="8" s="1"/>
  <c r="X3276" i="8"/>
  <c r="Z3276" i="8" s="1"/>
  <c r="X3277" i="8"/>
  <c r="Z3277" i="8" s="1"/>
  <c r="X3278" i="8"/>
  <c r="Z3278" i="8" s="1"/>
  <c r="X3279" i="8"/>
  <c r="Z3279" i="8" s="1"/>
  <c r="X3280" i="8"/>
  <c r="Z3280" i="8" s="1"/>
  <c r="X3281" i="8"/>
  <c r="Z3281" i="8" s="1"/>
  <c r="X3282" i="8"/>
  <c r="Z3282" i="8" s="1"/>
  <c r="X3283" i="8"/>
  <c r="Z3283" i="8" s="1"/>
  <c r="X3284" i="8"/>
  <c r="Z3284" i="8" s="1"/>
  <c r="X3285" i="8"/>
  <c r="Z3285" i="8" s="1"/>
  <c r="X3286" i="8"/>
  <c r="Z3286" i="8" s="1"/>
  <c r="X3287" i="8"/>
  <c r="Z3287" i="8" s="1"/>
  <c r="X3288" i="8"/>
  <c r="Z3288" i="8" s="1"/>
  <c r="X3289" i="8"/>
  <c r="Z3289" i="8" s="1"/>
  <c r="X3290" i="8"/>
  <c r="Z3290" i="8" s="1"/>
  <c r="X3291" i="8"/>
  <c r="Z3291" i="8" s="1"/>
  <c r="X3292" i="8"/>
  <c r="Z3292" i="8" s="1"/>
  <c r="X3293" i="8"/>
  <c r="Z3293" i="8" s="1"/>
  <c r="X3294" i="8"/>
  <c r="Z3294" i="8" s="1"/>
  <c r="X3295" i="8"/>
  <c r="Z3295" i="8" s="1"/>
  <c r="X3296" i="8"/>
  <c r="Z3296" i="8" s="1"/>
  <c r="X3297" i="8"/>
  <c r="Z3297" i="8" s="1"/>
  <c r="X3298" i="8"/>
  <c r="Z3298" i="8" s="1"/>
  <c r="X3299" i="8"/>
  <c r="Z3299" i="8" s="1"/>
  <c r="X3300" i="8"/>
  <c r="Z3300" i="8" s="1"/>
  <c r="X3301" i="8"/>
  <c r="Z3301" i="8" s="1"/>
  <c r="X3302" i="8"/>
  <c r="Z3302" i="8" s="1"/>
  <c r="X3303" i="8"/>
  <c r="Z3303" i="8" s="1"/>
  <c r="X3304" i="8"/>
  <c r="Z3304" i="8" s="1"/>
  <c r="X3305" i="8"/>
  <c r="Z3305" i="8" s="1"/>
  <c r="X3306" i="8"/>
  <c r="Z3306" i="8" s="1"/>
  <c r="X3307" i="8"/>
  <c r="Z3307" i="8" s="1"/>
  <c r="X3308" i="8"/>
  <c r="Z3308" i="8" s="1"/>
  <c r="X3309" i="8"/>
  <c r="Z3309" i="8" s="1"/>
  <c r="X3310" i="8"/>
  <c r="Z3310" i="8" s="1"/>
  <c r="X3311" i="8"/>
  <c r="Z3311" i="8" s="1"/>
  <c r="X3312" i="8"/>
  <c r="Z3312" i="8" s="1"/>
  <c r="X3313" i="8"/>
  <c r="Z3313" i="8" s="1"/>
  <c r="X3314" i="8"/>
  <c r="Z3314" i="8" s="1"/>
  <c r="X3315" i="8"/>
  <c r="Z3315" i="8" s="1"/>
  <c r="X3316" i="8"/>
  <c r="Z3316" i="8" s="1"/>
  <c r="X3317" i="8"/>
  <c r="Z3317" i="8" s="1"/>
  <c r="X3318" i="8"/>
  <c r="Z3318" i="8" s="1"/>
  <c r="X3319" i="8"/>
  <c r="Z3319" i="8" s="1"/>
  <c r="X3320" i="8"/>
  <c r="Z3320" i="8" s="1"/>
  <c r="X3321" i="8"/>
  <c r="Z3321" i="8" s="1"/>
  <c r="X3322" i="8"/>
  <c r="Z3322" i="8" s="1"/>
  <c r="X3323" i="8"/>
  <c r="Z3323" i="8" s="1"/>
  <c r="X3324" i="8"/>
  <c r="Z3324" i="8" s="1"/>
  <c r="X3325" i="8"/>
  <c r="Z3325" i="8" s="1"/>
  <c r="X3326" i="8"/>
  <c r="Z3326" i="8" s="1"/>
  <c r="X3327" i="8"/>
  <c r="Z3327" i="8" s="1"/>
  <c r="X3328" i="8"/>
  <c r="Z3328" i="8" s="1"/>
  <c r="X3329" i="8"/>
  <c r="Z3329" i="8" s="1"/>
  <c r="X3330" i="8"/>
  <c r="Z3330" i="8" s="1"/>
  <c r="X3331" i="8"/>
  <c r="Z3331" i="8" s="1"/>
  <c r="X3332" i="8"/>
  <c r="Z3332" i="8" s="1"/>
  <c r="X3333" i="8"/>
  <c r="Z3333" i="8" s="1"/>
  <c r="X3334" i="8"/>
  <c r="Z3334" i="8" s="1"/>
  <c r="X3335" i="8"/>
  <c r="Z3335" i="8" s="1"/>
  <c r="X3336" i="8"/>
  <c r="Z3336" i="8" s="1"/>
  <c r="X3337" i="8"/>
  <c r="Z3337" i="8" s="1"/>
  <c r="X3338" i="8"/>
  <c r="Z3338" i="8" s="1"/>
  <c r="X3339" i="8"/>
  <c r="Z3339" i="8" s="1"/>
  <c r="X3340" i="8"/>
  <c r="Z3340" i="8" s="1"/>
  <c r="X3341" i="8"/>
  <c r="Z3341" i="8" s="1"/>
  <c r="X3342" i="8"/>
  <c r="Z3342" i="8" s="1"/>
  <c r="X3343" i="8"/>
  <c r="Z3343" i="8" s="1"/>
  <c r="X3344" i="8"/>
  <c r="Z3344" i="8" s="1"/>
  <c r="X3345" i="8"/>
  <c r="Z3345" i="8" s="1"/>
  <c r="X3346" i="8"/>
  <c r="Z3346" i="8" s="1"/>
  <c r="X3347" i="8"/>
  <c r="Z3347" i="8" s="1"/>
  <c r="X3348" i="8"/>
  <c r="Z3348" i="8" s="1"/>
  <c r="X3349" i="8"/>
  <c r="Z3349" i="8" s="1"/>
  <c r="X3350" i="8"/>
  <c r="Z3350" i="8" s="1"/>
  <c r="X3351" i="8"/>
  <c r="Z3351" i="8" s="1"/>
  <c r="X3352" i="8"/>
  <c r="Z3352" i="8" s="1"/>
  <c r="X3353" i="8"/>
  <c r="Z3353" i="8" s="1"/>
  <c r="X3354" i="8"/>
  <c r="Z3354" i="8" s="1"/>
  <c r="X3355" i="8"/>
  <c r="Z3355" i="8" s="1"/>
  <c r="X3356" i="8"/>
  <c r="Z3356" i="8" s="1"/>
  <c r="X3357" i="8"/>
  <c r="Z3357" i="8" s="1"/>
  <c r="X3358" i="8"/>
  <c r="Z3358" i="8" s="1"/>
  <c r="X3359" i="8"/>
  <c r="Z3359" i="8" s="1"/>
  <c r="X3360" i="8"/>
  <c r="Z3360" i="8" s="1"/>
  <c r="X3361" i="8"/>
  <c r="Z3361" i="8" s="1"/>
  <c r="X3362" i="8"/>
  <c r="Z3362" i="8" s="1"/>
  <c r="X3363" i="8"/>
  <c r="Z3363" i="8" s="1"/>
  <c r="X3364" i="8"/>
  <c r="Z3364" i="8" s="1"/>
  <c r="X3365" i="8"/>
  <c r="Z3365" i="8" s="1"/>
  <c r="X3366" i="8"/>
  <c r="Z3366" i="8" s="1"/>
  <c r="X3367" i="8"/>
  <c r="Z3367" i="8" s="1"/>
  <c r="X3368" i="8"/>
  <c r="Z3368" i="8" s="1"/>
  <c r="X3369" i="8"/>
  <c r="Z3369" i="8" s="1"/>
  <c r="X3370" i="8"/>
  <c r="Z3370" i="8" s="1"/>
  <c r="X3371" i="8"/>
  <c r="Z3371" i="8" s="1"/>
  <c r="X3372" i="8"/>
  <c r="Z3372" i="8" s="1"/>
  <c r="X3373" i="8"/>
  <c r="Z3373" i="8" s="1"/>
  <c r="X3374" i="8"/>
  <c r="Z3374" i="8" s="1"/>
  <c r="X3375" i="8"/>
  <c r="Z3375" i="8" s="1"/>
  <c r="X3376" i="8"/>
  <c r="Z3376" i="8" s="1"/>
  <c r="X3377" i="8"/>
  <c r="Z3377" i="8" s="1"/>
  <c r="X3378" i="8"/>
  <c r="Z3378" i="8" s="1"/>
  <c r="X3379" i="8"/>
  <c r="Z3379" i="8" s="1"/>
  <c r="X3380" i="8"/>
  <c r="Z3380" i="8" s="1"/>
  <c r="X3381" i="8"/>
  <c r="Z3381" i="8" s="1"/>
  <c r="X3382" i="8"/>
  <c r="Z3382" i="8" s="1"/>
  <c r="X3383" i="8"/>
  <c r="Z3383" i="8" s="1"/>
  <c r="X3384" i="8"/>
  <c r="Z3384" i="8" s="1"/>
  <c r="X3385" i="8"/>
  <c r="Z3385" i="8" s="1"/>
  <c r="X3386" i="8"/>
  <c r="Z3386" i="8" s="1"/>
  <c r="X3387" i="8"/>
  <c r="Z3387" i="8" s="1"/>
  <c r="X3388" i="8"/>
  <c r="Z3388" i="8" s="1"/>
  <c r="X3389" i="8"/>
  <c r="Z3389" i="8" s="1"/>
  <c r="X3390" i="8"/>
  <c r="Z3390" i="8" s="1"/>
  <c r="X3391" i="8"/>
  <c r="Z3391" i="8" s="1"/>
  <c r="X3392" i="8"/>
  <c r="Z3392" i="8" s="1"/>
  <c r="X3393" i="8"/>
  <c r="Z3393" i="8" s="1"/>
  <c r="X3394" i="8"/>
  <c r="Z3394" i="8" s="1"/>
  <c r="X3395" i="8"/>
  <c r="Z3395" i="8" s="1"/>
  <c r="X3396" i="8"/>
  <c r="Z3396" i="8" s="1"/>
  <c r="X3397" i="8"/>
  <c r="Z3397" i="8" s="1"/>
  <c r="X3398" i="8"/>
  <c r="Z3398" i="8" s="1"/>
  <c r="X3399" i="8"/>
  <c r="Z3399" i="8" s="1"/>
  <c r="X3400" i="8"/>
  <c r="Z3400" i="8" s="1"/>
  <c r="X3401" i="8"/>
  <c r="Z3401" i="8" s="1"/>
  <c r="X3402" i="8"/>
  <c r="Z3402" i="8" s="1"/>
  <c r="X3403" i="8"/>
  <c r="Z3403" i="8" s="1"/>
  <c r="X3404" i="8"/>
  <c r="Z3404" i="8" s="1"/>
  <c r="X3405" i="8"/>
  <c r="Z3405" i="8" s="1"/>
  <c r="X3406" i="8"/>
  <c r="Z3406" i="8" s="1"/>
  <c r="X3407" i="8"/>
  <c r="Z3407" i="8" s="1"/>
  <c r="X3408" i="8"/>
  <c r="Z3408" i="8" s="1"/>
  <c r="X3409" i="8"/>
  <c r="Z3409" i="8" s="1"/>
  <c r="X3410" i="8"/>
  <c r="Z3410" i="8" s="1"/>
  <c r="X3411" i="8"/>
  <c r="Z3411" i="8" s="1"/>
  <c r="X3412" i="8"/>
  <c r="Z3412" i="8" s="1"/>
  <c r="X3413" i="8"/>
  <c r="Z3413" i="8" s="1"/>
  <c r="X3414" i="8"/>
  <c r="Z3414" i="8" s="1"/>
  <c r="X3415" i="8"/>
  <c r="Z3415" i="8" s="1"/>
  <c r="X3416" i="8"/>
  <c r="Z3416" i="8" s="1"/>
  <c r="X3417" i="8"/>
  <c r="Z3417" i="8" s="1"/>
  <c r="X3418" i="8"/>
  <c r="Z3418" i="8" s="1"/>
  <c r="X3419" i="8"/>
  <c r="Z3419" i="8" s="1"/>
  <c r="X3420" i="8"/>
  <c r="Z3420" i="8" s="1"/>
  <c r="X3421" i="8"/>
  <c r="Z3421" i="8" s="1"/>
  <c r="X3422" i="8"/>
  <c r="Z3422" i="8" s="1"/>
  <c r="X3423" i="8"/>
  <c r="Z3423" i="8" s="1"/>
  <c r="X3424" i="8"/>
  <c r="Z3424" i="8" s="1"/>
  <c r="X3425" i="8"/>
  <c r="Z3425" i="8" s="1"/>
  <c r="X3426" i="8"/>
  <c r="Z3426" i="8" s="1"/>
  <c r="X3427" i="8"/>
  <c r="Z3427" i="8" s="1"/>
  <c r="X3428" i="8"/>
  <c r="Z3428" i="8" s="1"/>
  <c r="X3429" i="8"/>
  <c r="Z3429" i="8" s="1"/>
  <c r="X3430" i="8"/>
  <c r="Z3430" i="8" s="1"/>
  <c r="X3431" i="8"/>
  <c r="Z3431" i="8" s="1"/>
  <c r="X3432" i="8"/>
  <c r="Z3432" i="8" s="1"/>
  <c r="X3433" i="8"/>
  <c r="Z3433" i="8" s="1"/>
  <c r="X3434" i="8"/>
  <c r="Z3434" i="8" s="1"/>
  <c r="X3435" i="8"/>
  <c r="Z3435" i="8" s="1"/>
  <c r="X3436" i="8"/>
  <c r="Z3436" i="8" s="1"/>
  <c r="X3437" i="8"/>
  <c r="Z3437" i="8" s="1"/>
  <c r="X3438" i="8"/>
  <c r="Z3438" i="8" s="1"/>
  <c r="X3439" i="8"/>
  <c r="Z3439" i="8" s="1"/>
  <c r="X3440" i="8"/>
  <c r="Z3440" i="8" s="1"/>
  <c r="X3441" i="8"/>
  <c r="Z3441" i="8" s="1"/>
  <c r="X3442" i="8"/>
  <c r="Z3442" i="8" s="1"/>
  <c r="X3443" i="8"/>
  <c r="Z3443" i="8" s="1"/>
  <c r="X3444" i="8"/>
  <c r="Z3444" i="8" s="1"/>
  <c r="X3445" i="8"/>
  <c r="Z3445" i="8" s="1"/>
  <c r="X3446" i="8"/>
  <c r="Z3446" i="8" s="1"/>
  <c r="X3447" i="8"/>
  <c r="Z3447" i="8" s="1"/>
  <c r="X3448" i="8"/>
  <c r="Z3448" i="8" s="1"/>
  <c r="X3449" i="8"/>
  <c r="Z3449" i="8" s="1"/>
  <c r="X3450" i="8"/>
  <c r="Z3450" i="8" s="1"/>
  <c r="X3451" i="8"/>
  <c r="Z3451" i="8" s="1"/>
  <c r="X3452" i="8"/>
  <c r="Z3452" i="8" s="1"/>
  <c r="X3453" i="8"/>
  <c r="Z3453" i="8" s="1"/>
  <c r="X3454" i="8"/>
  <c r="Z3454" i="8" s="1"/>
  <c r="X3455" i="8"/>
  <c r="Z3455" i="8" s="1"/>
  <c r="X3456" i="8"/>
  <c r="Z3456" i="8" s="1"/>
  <c r="X3457" i="8"/>
  <c r="Z3457" i="8" s="1"/>
  <c r="X3458" i="8"/>
  <c r="Z3458" i="8" s="1"/>
  <c r="X3459" i="8"/>
  <c r="Z3459" i="8" s="1"/>
  <c r="X3460" i="8"/>
  <c r="Z3460" i="8" s="1"/>
  <c r="X3461" i="8"/>
  <c r="Z3461" i="8" s="1"/>
  <c r="X3462" i="8"/>
  <c r="Z3462" i="8" s="1"/>
  <c r="X3463" i="8"/>
  <c r="Z3463" i="8" s="1"/>
  <c r="X3464" i="8"/>
  <c r="Z3464" i="8" s="1"/>
  <c r="X3465" i="8"/>
  <c r="Z3465" i="8" s="1"/>
  <c r="X3466" i="8"/>
  <c r="Z3466" i="8" s="1"/>
  <c r="X3467" i="8"/>
  <c r="Z3467" i="8" s="1"/>
  <c r="X3468" i="8"/>
  <c r="Z3468" i="8" s="1"/>
  <c r="X3469" i="8"/>
  <c r="Z3469" i="8" s="1"/>
  <c r="X3470" i="8"/>
  <c r="Z3470" i="8" s="1"/>
  <c r="X3471" i="8"/>
  <c r="Z3471" i="8" s="1"/>
  <c r="X3472" i="8"/>
  <c r="Z3472" i="8" s="1"/>
  <c r="X3473" i="8"/>
  <c r="Z3473" i="8" s="1"/>
  <c r="X3474" i="8"/>
  <c r="Z3474" i="8" s="1"/>
  <c r="X3475" i="8"/>
  <c r="Z3475" i="8" s="1"/>
  <c r="X3476" i="8"/>
  <c r="Z3476" i="8" s="1"/>
  <c r="X3477" i="8"/>
  <c r="Z3477" i="8" s="1"/>
  <c r="X3478" i="8"/>
  <c r="Z3478" i="8" s="1"/>
  <c r="X3479" i="8"/>
  <c r="Z3479" i="8" s="1"/>
  <c r="X3480" i="8"/>
  <c r="Z3480" i="8" s="1"/>
  <c r="X3481" i="8"/>
  <c r="Z3481" i="8" s="1"/>
  <c r="X3482" i="8"/>
  <c r="Z3482" i="8" s="1"/>
  <c r="X3483" i="8"/>
  <c r="Z3483" i="8" s="1"/>
  <c r="X3484" i="8"/>
  <c r="Z3484" i="8" s="1"/>
  <c r="X3485" i="8"/>
  <c r="Z3485" i="8" s="1"/>
  <c r="X3486" i="8"/>
  <c r="Z3486" i="8" s="1"/>
  <c r="X3487" i="8"/>
  <c r="Z3487" i="8" s="1"/>
  <c r="X3488" i="8"/>
  <c r="Z3488" i="8" s="1"/>
  <c r="X3489" i="8"/>
  <c r="Z3489" i="8" s="1"/>
  <c r="X3490" i="8"/>
  <c r="Z3490" i="8" s="1"/>
  <c r="X3491" i="8"/>
  <c r="Z3491" i="8" s="1"/>
  <c r="X3492" i="8"/>
  <c r="Z3492" i="8" s="1"/>
  <c r="X3493" i="8"/>
  <c r="Z3493" i="8" s="1"/>
  <c r="X3494" i="8"/>
  <c r="Z3494" i="8" s="1"/>
  <c r="X3495" i="8"/>
  <c r="Z3495" i="8" s="1"/>
  <c r="X3496" i="8"/>
  <c r="Z3496" i="8" s="1"/>
  <c r="X3497" i="8"/>
  <c r="Z3497" i="8" s="1"/>
  <c r="X3498" i="8"/>
  <c r="Z3498" i="8" s="1"/>
  <c r="X3499" i="8"/>
  <c r="Z3499" i="8" s="1"/>
  <c r="X3500" i="8"/>
  <c r="Z3500" i="8" s="1"/>
  <c r="X3501" i="8"/>
  <c r="Z3501" i="8" s="1"/>
  <c r="X3502" i="8"/>
  <c r="Z3502" i="8" s="1"/>
  <c r="X3503" i="8"/>
  <c r="Z3503" i="8" s="1"/>
  <c r="X3504" i="8"/>
  <c r="Z3504" i="8" s="1"/>
  <c r="X3505" i="8"/>
  <c r="Z3505" i="8" s="1"/>
  <c r="X3506" i="8"/>
  <c r="Z3506" i="8" s="1"/>
  <c r="X3507" i="8"/>
  <c r="Z3507" i="8" s="1"/>
  <c r="X3508" i="8"/>
  <c r="Z3508" i="8" s="1"/>
  <c r="X3509" i="8"/>
  <c r="Z3509" i="8" s="1"/>
  <c r="X3510" i="8"/>
  <c r="Z3510" i="8" s="1"/>
  <c r="X3511" i="8"/>
  <c r="Z3511" i="8" s="1"/>
  <c r="X3512" i="8"/>
  <c r="Z3512" i="8" s="1"/>
  <c r="X3513" i="8"/>
  <c r="Z3513" i="8" s="1"/>
  <c r="X3514" i="8"/>
  <c r="Z3514" i="8" s="1"/>
  <c r="X3515" i="8"/>
  <c r="Z3515" i="8" s="1"/>
  <c r="X3516" i="8"/>
  <c r="Z3516" i="8" s="1"/>
  <c r="X3517" i="8"/>
  <c r="Z3517" i="8" s="1"/>
  <c r="X3518" i="8"/>
  <c r="Z3518" i="8" s="1"/>
  <c r="X3519" i="8"/>
  <c r="Z3519" i="8" s="1"/>
  <c r="X3520" i="8"/>
  <c r="Z3520" i="8" s="1"/>
  <c r="X3521" i="8"/>
  <c r="Z3521" i="8" s="1"/>
  <c r="X3522" i="8"/>
  <c r="Z3522" i="8" s="1"/>
  <c r="X3523" i="8"/>
  <c r="Z3523" i="8" s="1"/>
  <c r="X3524" i="8"/>
  <c r="Z3524" i="8" s="1"/>
  <c r="X3525" i="8"/>
  <c r="Z3525" i="8" s="1"/>
  <c r="X3526" i="8"/>
  <c r="Z3526" i="8" s="1"/>
  <c r="X3527" i="8"/>
  <c r="Z3527" i="8" s="1"/>
  <c r="X3528" i="8"/>
  <c r="Z3528" i="8" s="1"/>
  <c r="X3529" i="8"/>
  <c r="Z3529" i="8" s="1"/>
  <c r="X3530" i="8"/>
  <c r="Z3530" i="8" s="1"/>
  <c r="X3531" i="8"/>
  <c r="Z3531" i="8" s="1"/>
  <c r="X3532" i="8"/>
  <c r="Z3532" i="8" s="1"/>
  <c r="X3533" i="8"/>
  <c r="Z3533" i="8" s="1"/>
  <c r="X3534" i="8"/>
  <c r="Z3534" i="8" s="1"/>
  <c r="X3535" i="8"/>
  <c r="Z3535" i="8" s="1"/>
  <c r="X3536" i="8"/>
  <c r="Z3536" i="8" s="1"/>
  <c r="X3537" i="8"/>
  <c r="Z3537" i="8" s="1"/>
  <c r="X3538" i="8"/>
  <c r="Z3538" i="8" s="1"/>
  <c r="X3539" i="8"/>
  <c r="Z3539" i="8" s="1"/>
  <c r="X3540" i="8"/>
  <c r="Z3540" i="8" s="1"/>
  <c r="X3541" i="8"/>
  <c r="Z3541" i="8" s="1"/>
  <c r="X3542" i="8"/>
  <c r="Z3542" i="8" s="1"/>
  <c r="X3543" i="8"/>
  <c r="Z3543" i="8" s="1"/>
  <c r="X3544" i="8"/>
  <c r="Z3544" i="8" s="1"/>
  <c r="X3545" i="8"/>
  <c r="Z3545" i="8" s="1"/>
  <c r="X3546" i="8"/>
  <c r="Z3546" i="8" s="1"/>
  <c r="X3547" i="8"/>
  <c r="Z3547" i="8" s="1"/>
  <c r="X3548" i="8"/>
  <c r="Z3548" i="8" s="1"/>
  <c r="X3549" i="8"/>
  <c r="Z3549" i="8" s="1"/>
  <c r="X3550" i="8"/>
  <c r="Z3550" i="8" s="1"/>
  <c r="X3551" i="8"/>
  <c r="Z3551" i="8" s="1"/>
  <c r="X3552" i="8"/>
  <c r="Z3552" i="8" s="1"/>
  <c r="X3553" i="8"/>
  <c r="Z3553" i="8" s="1"/>
  <c r="X3554" i="8"/>
  <c r="Z3554" i="8" s="1"/>
  <c r="X3555" i="8"/>
  <c r="Z3555" i="8" s="1"/>
  <c r="X3556" i="8"/>
  <c r="Z3556" i="8" s="1"/>
  <c r="X3557" i="8"/>
  <c r="Z3557" i="8" s="1"/>
  <c r="X3558" i="8"/>
  <c r="Z3558" i="8" s="1"/>
  <c r="X3559" i="8"/>
  <c r="Z3559" i="8" s="1"/>
  <c r="X3560" i="8"/>
  <c r="Z3560" i="8" s="1"/>
  <c r="X3561" i="8"/>
  <c r="Z3561" i="8" s="1"/>
  <c r="X3562" i="8"/>
  <c r="Z3562" i="8" s="1"/>
  <c r="X3563" i="8"/>
  <c r="Z3563" i="8" s="1"/>
  <c r="X3564" i="8"/>
  <c r="Z3564" i="8" s="1"/>
  <c r="X3565" i="8"/>
  <c r="Z3565" i="8" s="1"/>
  <c r="X3566" i="8"/>
  <c r="Z3566" i="8" s="1"/>
  <c r="X3567" i="8"/>
  <c r="Z3567" i="8" s="1"/>
  <c r="X3568" i="8"/>
  <c r="Z3568" i="8" s="1"/>
  <c r="X3569" i="8"/>
  <c r="Z3569" i="8" s="1"/>
  <c r="X3570" i="8"/>
  <c r="Z3570" i="8" s="1"/>
  <c r="X3571" i="8"/>
  <c r="Z3571" i="8" s="1"/>
  <c r="X3572" i="8"/>
  <c r="Z3572" i="8" s="1"/>
  <c r="X3573" i="8"/>
  <c r="Z3573" i="8" s="1"/>
  <c r="X3574" i="8"/>
  <c r="Z3574" i="8" s="1"/>
  <c r="X3575" i="8"/>
  <c r="Z3575" i="8" s="1"/>
  <c r="X3576" i="8"/>
  <c r="Z3576" i="8" s="1"/>
  <c r="X3577" i="8"/>
  <c r="Z3577" i="8" s="1"/>
  <c r="X3578" i="8"/>
  <c r="Z3578" i="8" s="1"/>
  <c r="X3579" i="8"/>
  <c r="Z3579" i="8" s="1"/>
  <c r="X3580" i="8"/>
  <c r="Z3580" i="8" s="1"/>
  <c r="X3581" i="8"/>
  <c r="Z3581" i="8" s="1"/>
  <c r="X3582" i="8"/>
  <c r="Z3582" i="8" s="1"/>
  <c r="X3583" i="8"/>
  <c r="Z3583" i="8" s="1"/>
  <c r="X3584" i="8"/>
  <c r="Z3584" i="8" s="1"/>
  <c r="X3585" i="8"/>
  <c r="Z3585" i="8" s="1"/>
  <c r="X3586" i="8"/>
  <c r="Z3586" i="8" s="1"/>
  <c r="X3587" i="8"/>
  <c r="Z3587" i="8" s="1"/>
  <c r="X3588" i="8"/>
  <c r="Z3588" i="8" s="1"/>
  <c r="X3589" i="8"/>
  <c r="Z3589" i="8" s="1"/>
  <c r="X3590" i="8"/>
  <c r="Z3590" i="8" s="1"/>
  <c r="X3591" i="8"/>
  <c r="Z3591" i="8" s="1"/>
  <c r="X3592" i="8"/>
  <c r="Z3592" i="8" s="1"/>
  <c r="X3593" i="8"/>
  <c r="Z3593" i="8" s="1"/>
  <c r="X3594" i="8"/>
  <c r="Z3594" i="8" s="1"/>
  <c r="X3595" i="8"/>
  <c r="Z3595" i="8" s="1"/>
  <c r="X3596" i="8"/>
  <c r="Z3596" i="8" s="1"/>
  <c r="X3597" i="8"/>
  <c r="Z3597" i="8" s="1"/>
  <c r="X3598" i="8"/>
  <c r="Z3598" i="8" s="1"/>
  <c r="X3599" i="8"/>
  <c r="Z3599" i="8" s="1"/>
  <c r="X3600" i="8"/>
  <c r="Z3600" i="8" s="1"/>
  <c r="X3601" i="8"/>
  <c r="Z3601" i="8" s="1"/>
  <c r="X3602" i="8"/>
  <c r="Z3602" i="8" s="1"/>
  <c r="X3603" i="8"/>
  <c r="Z3603" i="8" s="1"/>
  <c r="X3604" i="8"/>
  <c r="Z3604" i="8" s="1"/>
  <c r="X3605" i="8"/>
  <c r="Z3605" i="8" s="1"/>
  <c r="X3606" i="8"/>
  <c r="Z3606" i="8" s="1"/>
  <c r="X3607" i="8"/>
  <c r="Z3607" i="8" s="1"/>
  <c r="X3608" i="8"/>
  <c r="Z3608" i="8" s="1"/>
  <c r="X3609" i="8"/>
  <c r="Z3609" i="8" s="1"/>
  <c r="X3610" i="8"/>
  <c r="Z3610" i="8" s="1"/>
  <c r="X3611" i="8"/>
  <c r="Z3611" i="8" s="1"/>
  <c r="X3612" i="8"/>
  <c r="Z3612" i="8" s="1"/>
  <c r="X3613" i="8"/>
  <c r="Z3613" i="8" s="1"/>
  <c r="X3614" i="8"/>
  <c r="Z3614" i="8" s="1"/>
  <c r="X3615" i="8"/>
  <c r="Z3615" i="8" s="1"/>
  <c r="X3616" i="8"/>
  <c r="Z3616" i="8" s="1"/>
  <c r="X3617" i="8"/>
  <c r="Z3617" i="8" s="1"/>
  <c r="X3618" i="8"/>
  <c r="Z3618" i="8" s="1"/>
  <c r="X3619" i="8"/>
  <c r="Z3619" i="8" s="1"/>
  <c r="X3620" i="8"/>
  <c r="Z3620" i="8" s="1"/>
  <c r="X3621" i="8"/>
  <c r="Z3621" i="8" s="1"/>
  <c r="X3622" i="8"/>
  <c r="Z3622" i="8" s="1"/>
  <c r="X3623" i="8"/>
  <c r="Z3623" i="8" s="1"/>
  <c r="X3624" i="8"/>
  <c r="Z3624" i="8" s="1"/>
  <c r="X3625" i="8"/>
  <c r="Z3625" i="8" s="1"/>
  <c r="X3626" i="8"/>
  <c r="Z3626" i="8" s="1"/>
  <c r="X3627" i="8"/>
  <c r="Z3627" i="8" s="1"/>
  <c r="X3628" i="8"/>
  <c r="Z3628" i="8" s="1"/>
  <c r="X3629" i="8"/>
  <c r="Z3629" i="8" s="1"/>
  <c r="X3630" i="8"/>
  <c r="Z3630" i="8" s="1"/>
  <c r="X3631" i="8"/>
  <c r="Z3631" i="8" s="1"/>
  <c r="X3632" i="8"/>
  <c r="Z3632" i="8" s="1"/>
  <c r="X3633" i="8"/>
  <c r="Z3633" i="8" s="1"/>
  <c r="X3634" i="8"/>
  <c r="Z3634" i="8" s="1"/>
  <c r="X3635" i="8"/>
  <c r="Z3635" i="8" s="1"/>
  <c r="X3636" i="8"/>
  <c r="Z3636" i="8" s="1"/>
  <c r="X3637" i="8"/>
  <c r="Z3637" i="8" s="1"/>
  <c r="X3638" i="8"/>
  <c r="Z3638" i="8" s="1"/>
  <c r="X3639" i="8"/>
  <c r="Z3639" i="8" s="1"/>
  <c r="X3640" i="8"/>
  <c r="Z3640" i="8" s="1"/>
  <c r="X3641" i="8"/>
  <c r="Z3641" i="8" s="1"/>
  <c r="X3642" i="8"/>
  <c r="Z3642" i="8" s="1"/>
  <c r="X3643" i="8"/>
  <c r="Z3643" i="8" s="1"/>
  <c r="X3644" i="8"/>
  <c r="Z3644" i="8" s="1"/>
  <c r="X3645" i="8"/>
  <c r="Z3645" i="8" s="1"/>
  <c r="X3646" i="8"/>
  <c r="Z3646" i="8" s="1"/>
  <c r="X3647" i="8"/>
  <c r="Z3647" i="8" s="1"/>
  <c r="X3648" i="8"/>
  <c r="Z3648" i="8" s="1"/>
  <c r="X3649" i="8"/>
  <c r="Z3649" i="8" s="1"/>
  <c r="X3650" i="8"/>
  <c r="Z3650" i="8" s="1"/>
  <c r="X3651" i="8"/>
  <c r="Z3651" i="8" s="1"/>
  <c r="X3652" i="8"/>
  <c r="Z3652" i="8" s="1"/>
  <c r="X3653" i="8"/>
  <c r="Z3653" i="8" s="1"/>
  <c r="X3654" i="8"/>
  <c r="Z3654" i="8" s="1"/>
  <c r="X3655" i="8"/>
  <c r="Z3655" i="8" s="1"/>
  <c r="X3656" i="8"/>
  <c r="Z3656" i="8" s="1"/>
  <c r="X3657" i="8"/>
  <c r="Z3657" i="8" s="1"/>
  <c r="X3658" i="8"/>
  <c r="Z3658" i="8" s="1"/>
  <c r="X3659" i="8"/>
  <c r="Z3659" i="8" s="1"/>
  <c r="X3660" i="8"/>
  <c r="Z3660" i="8" s="1"/>
  <c r="X3661" i="8"/>
  <c r="Z3661" i="8" s="1"/>
  <c r="X3662" i="8"/>
  <c r="Z3662" i="8" s="1"/>
  <c r="X3663" i="8"/>
  <c r="Z3663" i="8" s="1"/>
  <c r="X3664" i="8"/>
  <c r="Z3664" i="8" s="1"/>
  <c r="X3665" i="8"/>
  <c r="Z3665" i="8" s="1"/>
  <c r="X3666" i="8"/>
  <c r="Z3666" i="8" s="1"/>
  <c r="X3667" i="8"/>
  <c r="Z3667" i="8" s="1"/>
  <c r="X3668" i="8"/>
  <c r="Z3668" i="8" s="1"/>
  <c r="X3669" i="8"/>
  <c r="Z3669" i="8" s="1"/>
  <c r="X3670" i="8"/>
  <c r="Z3670" i="8" s="1"/>
  <c r="X3671" i="8"/>
  <c r="Z3671" i="8" s="1"/>
  <c r="X3672" i="8"/>
  <c r="Z3672" i="8" s="1"/>
  <c r="X3673" i="8"/>
  <c r="Z3673" i="8" s="1"/>
  <c r="X3674" i="8"/>
  <c r="Z3674" i="8" s="1"/>
  <c r="X3675" i="8"/>
  <c r="Z3675" i="8" s="1"/>
  <c r="X3676" i="8"/>
  <c r="Z3676" i="8" s="1"/>
  <c r="X3677" i="8"/>
  <c r="Z3677" i="8" s="1"/>
  <c r="X3678" i="8"/>
  <c r="Z3678" i="8" s="1"/>
  <c r="X3679" i="8"/>
  <c r="Z3679" i="8" s="1"/>
  <c r="X3680" i="8"/>
  <c r="Z3680" i="8" s="1"/>
  <c r="X3681" i="8"/>
  <c r="Z3681" i="8" s="1"/>
  <c r="X3682" i="8"/>
  <c r="Z3682" i="8" s="1"/>
  <c r="X3683" i="8"/>
  <c r="Z3683" i="8" s="1"/>
  <c r="X3684" i="8"/>
  <c r="Z3684" i="8" s="1"/>
  <c r="X3685" i="8"/>
  <c r="Z3685" i="8" s="1"/>
  <c r="X3686" i="8"/>
  <c r="Z3686" i="8" s="1"/>
  <c r="X3687" i="8"/>
  <c r="Z3687" i="8" s="1"/>
  <c r="X3688" i="8"/>
  <c r="Z3688" i="8" s="1"/>
  <c r="X3689" i="8"/>
  <c r="Z3689" i="8" s="1"/>
  <c r="X3690" i="8"/>
  <c r="Z3690" i="8" s="1"/>
  <c r="X3691" i="8"/>
  <c r="Z3691" i="8" s="1"/>
  <c r="X3692" i="8"/>
  <c r="Z3692" i="8" s="1"/>
  <c r="X3693" i="8"/>
  <c r="Z3693" i="8" s="1"/>
  <c r="X3694" i="8"/>
  <c r="Z3694" i="8" s="1"/>
  <c r="X3695" i="8"/>
  <c r="Z3695" i="8" s="1"/>
  <c r="X3696" i="8"/>
  <c r="Z3696" i="8" s="1"/>
  <c r="X3697" i="8"/>
  <c r="Z3697" i="8" s="1"/>
  <c r="X3698" i="8"/>
  <c r="Z3698" i="8" s="1"/>
  <c r="X3699" i="8"/>
  <c r="Z3699" i="8" s="1"/>
  <c r="X3700" i="8"/>
  <c r="Z3700" i="8" s="1"/>
  <c r="X3701" i="8"/>
  <c r="Z3701" i="8" s="1"/>
  <c r="X3702" i="8"/>
  <c r="Z3702" i="8" s="1"/>
  <c r="X3703" i="8"/>
  <c r="Z3703" i="8" s="1"/>
  <c r="X3704" i="8"/>
  <c r="Z3704" i="8" s="1"/>
  <c r="X3705" i="8"/>
  <c r="Z3705" i="8" s="1"/>
  <c r="X3706" i="8"/>
  <c r="Z3706" i="8" s="1"/>
  <c r="X3707" i="8"/>
  <c r="Z3707" i="8" s="1"/>
  <c r="X3708" i="8"/>
  <c r="Z3708" i="8" s="1"/>
  <c r="X3709" i="8"/>
  <c r="Z3709" i="8" s="1"/>
  <c r="X3710" i="8"/>
  <c r="Z3710" i="8" s="1"/>
  <c r="X3711" i="8"/>
  <c r="Z3711" i="8" s="1"/>
  <c r="X3712" i="8"/>
  <c r="Z3712" i="8" s="1"/>
  <c r="X3713" i="8"/>
  <c r="Z3713" i="8" s="1"/>
  <c r="X3714" i="8"/>
  <c r="Z3714" i="8" s="1"/>
  <c r="X3715" i="8"/>
  <c r="Z3715" i="8" s="1"/>
  <c r="X3716" i="8"/>
  <c r="Z3716" i="8" s="1"/>
  <c r="X3717" i="8"/>
  <c r="Z3717" i="8" s="1"/>
  <c r="X3718" i="8"/>
  <c r="Z3718" i="8" s="1"/>
  <c r="X3719" i="8"/>
  <c r="Z3719" i="8" s="1"/>
  <c r="X3720" i="8"/>
  <c r="Z3720" i="8" s="1"/>
  <c r="X3721" i="8"/>
  <c r="Z3721" i="8" s="1"/>
  <c r="X3722" i="8"/>
  <c r="Z3722" i="8" s="1"/>
  <c r="X3723" i="8"/>
  <c r="Z3723" i="8" s="1"/>
  <c r="X3724" i="8"/>
  <c r="Z3724" i="8" s="1"/>
  <c r="X3725" i="8"/>
  <c r="Z3725" i="8" s="1"/>
  <c r="X3726" i="8"/>
  <c r="Z3726" i="8" s="1"/>
  <c r="X3727" i="8"/>
  <c r="Z3727" i="8" s="1"/>
  <c r="X3728" i="8"/>
  <c r="Z3728" i="8" s="1"/>
  <c r="X3729" i="8"/>
  <c r="Z3729" i="8" s="1"/>
  <c r="X3730" i="8"/>
  <c r="Z3730" i="8" s="1"/>
  <c r="X3731" i="8"/>
  <c r="Z3731" i="8" s="1"/>
  <c r="X3732" i="8"/>
  <c r="Z3732" i="8" s="1"/>
  <c r="X3733" i="8"/>
  <c r="Z3733" i="8" s="1"/>
  <c r="X3734" i="8"/>
  <c r="Z3734" i="8" s="1"/>
  <c r="X3735" i="8"/>
  <c r="Z3735" i="8" s="1"/>
  <c r="X3736" i="8"/>
  <c r="Z3736" i="8" s="1"/>
  <c r="X3737" i="8"/>
  <c r="Z3737" i="8" s="1"/>
  <c r="X3738" i="8"/>
  <c r="Z3738" i="8" s="1"/>
  <c r="X3739" i="8"/>
  <c r="Z3739" i="8" s="1"/>
  <c r="X3740" i="8"/>
  <c r="Z3740" i="8" s="1"/>
  <c r="X3741" i="8"/>
  <c r="Z3741" i="8" s="1"/>
  <c r="X3742" i="8"/>
  <c r="Z3742" i="8" s="1"/>
  <c r="X3743" i="8"/>
  <c r="Z3743" i="8" s="1"/>
  <c r="X3744" i="8"/>
  <c r="Z3744" i="8" s="1"/>
  <c r="X3745" i="8"/>
  <c r="Z3745" i="8" s="1"/>
  <c r="X3746" i="8"/>
  <c r="Z3746" i="8" s="1"/>
  <c r="X3747" i="8"/>
  <c r="Z3747" i="8" s="1"/>
  <c r="X3748" i="8"/>
  <c r="Z3748" i="8" s="1"/>
  <c r="X3749" i="8"/>
  <c r="Z3749" i="8" s="1"/>
  <c r="X3750" i="8"/>
  <c r="Z3750" i="8" s="1"/>
  <c r="X3751" i="8"/>
  <c r="Z3751" i="8" s="1"/>
  <c r="X3752" i="8"/>
  <c r="Z3752" i="8" s="1"/>
  <c r="X3753" i="8"/>
  <c r="Z3753" i="8" s="1"/>
  <c r="X3754" i="8"/>
  <c r="Z3754" i="8" s="1"/>
  <c r="X3755" i="8"/>
  <c r="Z3755" i="8" s="1"/>
  <c r="X3756" i="8"/>
  <c r="Z3756" i="8" s="1"/>
  <c r="X3757" i="8"/>
  <c r="Z3757" i="8" s="1"/>
  <c r="X3758" i="8"/>
  <c r="Z3758" i="8" s="1"/>
  <c r="X3759" i="8"/>
  <c r="Z3759" i="8" s="1"/>
  <c r="X3760" i="8"/>
  <c r="Z3760" i="8" s="1"/>
  <c r="X3761" i="8"/>
  <c r="Z3761" i="8" s="1"/>
  <c r="X3762" i="8"/>
  <c r="Z3762" i="8" s="1"/>
  <c r="X3763" i="8"/>
  <c r="Z3763" i="8" s="1"/>
  <c r="X3764" i="8"/>
  <c r="Z3764" i="8" s="1"/>
  <c r="X3765" i="8"/>
  <c r="Z3765" i="8" s="1"/>
  <c r="X3766" i="8"/>
  <c r="Z3766" i="8" s="1"/>
  <c r="X3767" i="8"/>
  <c r="Z3767" i="8" s="1"/>
  <c r="X3768" i="8"/>
  <c r="Z3768" i="8" s="1"/>
  <c r="X3769" i="8"/>
  <c r="Z3769" i="8" s="1"/>
  <c r="X3770" i="8"/>
  <c r="Z3770" i="8" s="1"/>
  <c r="X3771" i="8"/>
  <c r="Z3771" i="8" s="1"/>
  <c r="X3772" i="8"/>
  <c r="Z3772" i="8" s="1"/>
  <c r="X3773" i="8"/>
  <c r="Z3773" i="8" s="1"/>
  <c r="X3774" i="8"/>
  <c r="Z3774" i="8" s="1"/>
  <c r="X3775" i="8"/>
  <c r="Z3775" i="8" s="1"/>
  <c r="X3776" i="8"/>
  <c r="Z3776" i="8" s="1"/>
  <c r="X3777" i="8"/>
  <c r="Z3777" i="8" s="1"/>
  <c r="X3778" i="8"/>
  <c r="Z3778" i="8" s="1"/>
  <c r="X3779" i="8"/>
  <c r="Z3779" i="8" s="1"/>
  <c r="X3780" i="8"/>
  <c r="Z3780" i="8" s="1"/>
  <c r="X3781" i="8"/>
  <c r="Z3781" i="8" s="1"/>
  <c r="X3782" i="8"/>
  <c r="Z3782" i="8" s="1"/>
  <c r="X3783" i="8"/>
  <c r="Z3783" i="8" s="1"/>
  <c r="X3784" i="8"/>
  <c r="Z3784" i="8" s="1"/>
  <c r="X3785" i="8"/>
  <c r="Z3785" i="8" s="1"/>
  <c r="X3786" i="8"/>
  <c r="Z3786" i="8" s="1"/>
  <c r="X3787" i="8"/>
  <c r="Z3787" i="8" s="1"/>
  <c r="X3788" i="8"/>
  <c r="Z3788" i="8" s="1"/>
  <c r="X3789" i="8"/>
  <c r="Z3789" i="8" s="1"/>
  <c r="X3790" i="8"/>
  <c r="Z3790" i="8" s="1"/>
  <c r="X3791" i="8"/>
  <c r="Z3791" i="8" s="1"/>
  <c r="X3792" i="8"/>
  <c r="Z3792" i="8" s="1"/>
  <c r="X3793" i="8"/>
  <c r="Z3793" i="8" s="1"/>
  <c r="X3794" i="8"/>
  <c r="Z3794" i="8" s="1"/>
  <c r="X3795" i="8"/>
  <c r="Z3795" i="8" s="1"/>
  <c r="X3796" i="8"/>
  <c r="Z3796" i="8" s="1"/>
  <c r="X3797" i="8"/>
  <c r="Z3797" i="8" s="1"/>
  <c r="X3798" i="8"/>
  <c r="Z3798" i="8" s="1"/>
  <c r="X3799" i="8"/>
  <c r="Z3799" i="8" s="1"/>
  <c r="X3800" i="8"/>
  <c r="Z3800" i="8" s="1"/>
  <c r="X3801" i="8"/>
  <c r="Z3801" i="8" s="1"/>
  <c r="X3802" i="8"/>
  <c r="Z3802" i="8" s="1"/>
  <c r="X3803" i="8"/>
  <c r="Z3803" i="8" s="1"/>
  <c r="X3804" i="8"/>
  <c r="Z3804" i="8" s="1"/>
  <c r="X3805" i="8"/>
  <c r="Z3805" i="8" s="1"/>
  <c r="X3806" i="8"/>
  <c r="Z3806" i="8" s="1"/>
  <c r="X3807" i="8"/>
  <c r="Z3807" i="8" s="1"/>
  <c r="X3808" i="8"/>
  <c r="Z3808" i="8" s="1"/>
  <c r="X3809" i="8"/>
  <c r="Z3809" i="8" s="1"/>
  <c r="X3810" i="8"/>
  <c r="Z3810" i="8" s="1"/>
  <c r="X3811" i="8"/>
  <c r="Z3811" i="8" s="1"/>
  <c r="X3812" i="8"/>
  <c r="Z3812" i="8" s="1"/>
  <c r="X3813" i="8"/>
  <c r="Z3813" i="8" s="1"/>
  <c r="X3814" i="8"/>
  <c r="Z3814" i="8" s="1"/>
  <c r="X3815" i="8"/>
  <c r="Z3815" i="8" s="1"/>
  <c r="X3816" i="8"/>
  <c r="Z3816" i="8" s="1"/>
  <c r="X3817" i="8"/>
  <c r="Z3817" i="8" s="1"/>
  <c r="X3818" i="8"/>
  <c r="Z3818" i="8" s="1"/>
  <c r="X3819" i="8"/>
  <c r="Z3819" i="8" s="1"/>
  <c r="X3820" i="8"/>
  <c r="Z3820" i="8" s="1"/>
  <c r="X3821" i="8"/>
  <c r="Z3821" i="8" s="1"/>
  <c r="X3822" i="8"/>
  <c r="Z3822" i="8" s="1"/>
  <c r="X3823" i="8"/>
  <c r="Z3823" i="8" s="1"/>
  <c r="X3824" i="8"/>
  <c r="Z3824" i="8" s="1"/>
  <c r="X3825" i="8"/>
  <c r="Z3825" i="8" s="1"/>
  <c r="X3826" i="8"/>
  <c r="Z3826" i="8" s="1"/>
  <c r="X3827" i="8"/>
  <c r="Z3827" i="8" s="1"/>
  <c r="X3828" i="8"/>
  <c r="Z3828" i="8" s="1"/>
  <c r="X3829" i="8"/>
  <c r="Z3829" i="8" s="1"/>
  <c r="X3830" i="8"/>
  <c r="Z3830" i="8" s="1"/>
  <c r="X3831" i="8"/>
  <c r="Z3831" i="8" s="1"/>
  <c r="X3832" i="8"/>
  <c r="Z3832" i="8" s="1"/>
  <c r="X3833" i="8"/>
  <c r="Z3833" i="8" s="1"/>
  <c r="X3834" i="8"/>
  <c r="Z3834" i="8" s="1"/>
  <c r="X3835" i="8"/>
  <c r="Z3835" i="8" s="1"/>
  <c r="X3836" i="8"/>
  <c r="Z3836" i="8" s="1"/>
  <c r="X3837" i="8"/>
  <c r="Z3837" i="8" s="1"/>
  <c r="X3838" i="8"/>
  <c r="Z3838" i="8" s="1"/>
  <c r="X3839" i="8"/>
  <c r="Z3839" i="8" s="1"/>
  <c r="X3840" i="8"/>
  <c r="Z3840" i="8" s="1"/>
  <c r="X3841" i="8"/>
  <c r="Z3841" i="8" s="1"/>
  <c r="X3842" i="8"/>
  <c r="Z3842" i="8" s="1"/>
  <c r="X3843" i="8"/>
  <c r="Z3843" i="8" s="1"/>
  <c r="X3844" i="8"/>
  <c r="Z3844" i="8" s="1"/>
  <c r="X3845" i="8"/>
  <c r="Z3845" i="8" s="1"/>
  <c r="X3846" i="8"/>
  <c r="Z3846" i="8" s="1"/>
  <c r="X3847" i="8"/>
  <c r="Z3847" i="8" s="1"/>
  <c r="X3848" i="8"/>
  <c r="Z3848" i="8" s="1"/>
  <c r="X3849" i="8"/>
  <c r="Z3849" i="8" s="1"/>
  <c r="X3850" i="8"/>
  <c r="Z3850" i="8" s="1"/>
  <c r="X3851" i="8"/>
  <c r="Z3851" i="8" s="1"/>
  <c r="X3852" i="8"/>
  <c r="Z3852" i="8" s="1"/>
  <c r="X3853" i="8"/>
  <c r="Z3853" i="8" s="1"/>
  <c r="X3854" i="8"/>
  <c r="Z3854" i="8" s="1"/>
  <c r="X3855" i="8"/>
  <c r="Z3855" i="8" s="1"/>
  <c r="X3856" i="8"/>
  <c r="Z3856" i="8" s="1"/>
  <c r="X3857" i="8"/>
  <c r="Z3857" i="8" s="1"/>
  <c r="X3858" i="8"/>
  <c r="Z3858" i="8" s="1"/>
  <c r="X3859" i="8"/>
  <c r="Z3859" i="8" s="1"/>
  <c r="X3860" i="8"/>
  <c r="Z3860" i="8" s="1"/>
  <c r="X3861" i="8"/>
  <c r="Z3861" i="8" s="1"/>
  <c r="X3862" i="8"/>
  <c r="Z3862" i="8" s="1"/>
  <c r="X3863" i="8"/>
  <c r="Z3863" i="8" s="1"/>
  <c r="X3864" i="8"/>
  <c r="Z3864" i="8" s="1"/>
  <c r="X3865" i="8"/>
  <c r="Z3865" i="8" s="1"/>
  <c r="X3866" i="8"/>
  <c r="Z3866" i="8" s="1"/>
  <c r="X3867" i="8"/>
  <c r="Z3867" i="8" s="1"/>
  <c r="X3868" i="8"/>
  <c r="Z3868" i="8" s="1"/>
  <c r="X3869" i="8"/>
  <c r="Z3869" i="8" s="1"/>
  <c r="X3870" i="8"/>
  <c r="Z3870" i="8" s="1"/>
  <c r="X3871" i="8"/>
  <c r="Z3871" i="8" s="1"/>
  <c r="X3872" i="8"/>
  <c r="Z3872" i="8" s="1"/>
  <c r="X3873" i="8"/>
  <c r="Z3873" i="8" s="1"/>
  <c r="X3874" i="8"/>
  <c r="Z3874" i="8" s="1"/>
  <c r="X3875" i="8"/>
  <c r="Z3875" i="8" s="1"/>
  <c r="X3876" i="8"/>
  <c r="Z3876" i="8" s="1"/>
  <c r="X3877" i="8"/>
  <c r="Z3877" i="8" s="1"/>
  <c r="X3878" i="8"/>
  <c r="Z3878" i="8" s="1"/>
  <c r="X3879" i="8"/>
  <c r="Z3879" i="8" s="1"/>
  <c r="X3880" i="8"/>
  <c r="Z3880" i="8" s="1"/>
  <c r="X3881" i="8"/>
  <c r="Z3881" i="8" s="1"/>
  <c r="X3882" i="8"/>
  <c r="Z3882" i="8" s="1"/>
  <c r="X3883" i="8"/>
  <c r="Z3883" i="8" s="1"/>
  <c r="X3884" i="8"/>
  <c r="Z3884" i="8" s="1"/>
  <c r="X3885" i="8"/>
  <c r="Z3885" i="8" s="1"/>
  <c r="X3886" i="8"/>
  <c r="Z3886" i="8" s="1"/>
  <c r="X3887" i="8"/>
  <c r="Z3887" i="8" s="1"/>
  <c r="X3888" i="8"/>
  <c r="Z3888" i="8" s="1"/>
  <c r="X3889" i="8"/>
  <c r="Z3889" i="8" s="1"/>
  <c r="X3890" i="8"/>
  <c r="Z3890" i="8" s="1"/>
  <c r="X3891" i="8"/>
  <c r="Z3891" i="8" s="1"/>
  <c r="X3892" i="8"/>
  <c r="Z3892" i="8" s="1"/>
  <c r="X3893" i="8"/>
  <c r="Z3893" i="8" s="1"/>
  <c r="X3894" i="8"/>
  <c r="Z3894" i="8" s="1"/>
  <c r="X3895" i="8"/>
  <c r="Z3895" i="8" s="1"/>
  <c r="X3896" i="8"/>
  <c r="Z3896" i="8" s="1"/>
  <c r="X3897" i="8"/>
  <c r="Z3897" i="8" s="1"/>
  <c r="X3898" i="8"/>
  <c r="Z3898" i="8" s="1"/>
  <c r="X3899" i="8"/>
  <c r="Z3899" i="8" s="1"/>
  <c r="X3900" i="8"/>
  <c r="Z3900" i="8" s="1"/>
  <c r="X3901" i="8"/>
  <c r="Z3901" i="8" s="1"/>
  <c r="X3902" i="8"/>
  <c r="Z3902" i="8" s="1"/>
  <c r="X3903" i="8"/>
  <c r="Z3903" i="8" s="1"/>
  <c r="X3904" i="8"/>
  <c r="Z3904" i="8" s="1"/>
  <c r="X3905" i="8"/>
  <c r="Z3905" i="8" s="1"/>
  <c r="X3906" i="8"/>
  <c r="Z3906" i="8" s="1"/>
  <c r="X3907" i="8"/>
  <c r="Z3907" i="8" s="1"/>
  <c r="X3908" i="8"/>
  <c r="Z3908" i="8" s="1"/>
  <c r="X3909" i="8"/>
  <c r="Z3909" i="8" s="1"/>
  <c r="X3910" i="8"/>
  <c r="Z3910" i="8" s="1"/>
  <c r="X3911" i="8"/>
  <c r="Z3911" i="8" s="1"/>
  <c r="X3912" i="8"/>
  <c r="Z3912" i="8" s="1"/>
  <c r="X3913" i="8"/>
  <c r="Z3913" i="8" s="1"/>
  <c r="X3914" i="8"/>
  <c r="Z3914" i="8" s="1"/>
  <c r="X3915" i="8"/>
  <c r="Z3915" i="8" s="1"/>
  <c r="X3916" i="8"/>
  <c r="Z3916" i="8" s="1"/>
  <c r="X3917" i="8"/>
  <c r="Z3917" i="8" s="1"/>
  <c r="X3918" i="8"/>
  <c r="Z3918" i="8" s="1"/>
  <c r="X3919" i="8"/>
  <c r="Z3919" i="8" s="1"/>
  <c r="X3920" i="8"/>
  <c r="Z3920" i="8" s="1"/>
  <c r="X3921" i="8"/>
  <c r="Z3921" i="8" s="1"/>
  <c r="X3922" i="8"/>
  <c r="Z3922" i="8" s="1"/>
  <c r="X3923" i="8"/>
  <c r="Z3923" i="8" s="1"/>
  <c r="X3924" i="8"/>
  <c r="Z3924" i="8" s="1"/>
  <c r="X3925" i="8"/>
  <c r="Z3925" i="8" s="1"/>
  <c r="X3926" i="8"/>
  <c r="Z3926" i="8" s="1"/>
  <c r="X3927" i="8"/>
  <c r="Z3927" i="8" s="1"/>
  <c r="X3928" i="8"/>
  <c r="Z3928" i="8" s="1"/>
  <c r="X3929" i="8"/>
  <c r="Z3929" i="8" s="1"/>
  <c r="X3930" i="8"/>
  <c r="Z3930" i="8" s="1"/>
  <c r="X3931" i="8"/>
  <c r="Z3931" i="8" s="1"/>
  <c r="X3932" i="8"/>
  <c r="Z3932" i="8" s="1"/>
  <c r="X3933" i="8"/>
  <c r="Z3933" i="8" s="1"/>
  <c r="X3934" i="8"/>
  <c r="Z3934" i="8" s="1"/>
  <c r="X3935" i="8"/>
  <c r="Z3935" i="8" s="1"/>
  <c r="X3936" i="8"/>
  <c r="Z3936" i="8" s="1"/>
  <c r="X3937" i="8"/>
  <c r="Z3937" i="8" s="1"/>
  <c r="X3938" i="8"/>
  <c r="Z3938" i="8" s="1"/>
  <c r="X3939" i="8"/>
  <c r="Z3939" i="8" s="1"/>
  <c r="X3940" i="8"/>
  <c r="Z3940" i="8" s="1"/>
  <c r="X3941" i="8"/>
  <c r="Z3941" i="8" s="1"/>
  <c r="X3942" i="8"/>
  <c r="Z3942" i="8" s="1"/>
  <c r="X3943" i="8"/>
  <c r="Z3943" i="8" s="1"/>
  <c r="X3944" i="8"/>
  <c r="Z3944" i="8" s="1"/>
  <c r="X3945" i="8"/>
  <c r="Z3945" i="8" s="1"/>
  <c r="X3946" i="8"/>
  <c r="Z3946" i="8" s="1"/>
  <c r="X3947" i="8"/>
  <c r="Z3947" i="8" s="1"/>
  <c r="X3948" i="8"/>
  <c r="Z3948" i="8" s="1"/>
  <c r="X3949" i="8"/>
  <c r="Z3949" i="8" s="1"/>
  <c r="X3950" i="8"/>
  <c r="Z3950" i="8" s="1"/>
  <c r="X3951" i="8"/>
  <c r="Z3951" i="8" s="1"/>
  <c r="X3952" i="8"/>
  <c r="Z3952" i="8" s="1"/>
  <c r="X3953" i="8"/>
  <c r="Z3953" i="8" s="1"/>
  <c r="X3954" i="8"/>
  <c r="Z3954" i="8" s="1"/>
  <c r="X3955" i="8"/>
  <c r="Z3955" i="8" s="1"/>
  <c r="X3956" i="8"/>
  <c r="Z3956" i="8" s="1"/>
  <c r="X3957" i="8"/>
  <c r="Z3957" i="8" s="1"/>
  <c r="X3958" i="8"/>
  <c r="Z3958" i="8" s="1"/>
  <c r="X3959" i="8"/>
  <c r="Z3959" i="8" s="1"/>
  <c r="X3960" i="8"/>
  <c r="Z3960" i="8" s="1"/>
  <c r="X3961" i="8"/>
  <c r="Z3961" i="8" s="1"/>
  <c r="X3962" i="8"/>
  <c r="Z3962" i="8" s="1"/>
  <c r="X3963" i="8"/>
  <c r="Z3963" i="8" s="1"/>
  <c r="X3964" i="8"/>
  <c r="Z3964" i="8" s="1"/>
  <c r="X3965" i="8"/>
  <c r="Z3965" i="8" s="1"/>
  <c r="X3966" i="8"/>
  <c r="Z3966" i="8" s="1"/>
  <c r="X3967" i="8"/>
  <c r="Z3967" i="8" s="1"/>
  <c r="X3968" i="8"/>
  <c r="Z3968" i="8" s="1"/>
  <c r="X3969" i="8"/>
  <c r="Z3969" i="8" s="1"/>
  <c r="X3970" i="8"/>
  <c r="Z3970" i="8" s="1"/>
  <c r="X3971" i="8"/>
  <c r="Z3971" i="8" s="1"/>
  <c r="X3972" i="8"/>
  <c r="Z3972" i="8" s="1"/>
  <c r="X3973" i="8"/>
  <c r="Z3973" i="8" s="1"/>
  <c r="X3974" i="8"/>
  <c r="Z3974" i="8" s="1"/>
  <c r="X3975" i="8"/>
  <c r="Z3975" i="8" s="1"/>
  <c r="X3976" i="8"/>
  <c r="Z3976" i="8" s="1"/>
  <c r="X3977" i="8"/>
  <c r="Z3977" i="8" s="1"/>
  <c r="X3978" i="8"/>
  <c r="Z3978" i="8" s="1"/>
  <c r="X3979" i="8"/>
  <c r="Z3979" i="8" s="1"/>
  <c r="X3980" i="8"/>
  <c r="Z3980" i="8" s="1"/>
  <c r="X3981" i="8"/>
  <c r="Z3981" i="8" s="1"/>
  <c r="X3982" i="8"/>
  <c r="Z3982" i="8" s="1"/>
  <c r="X3983" i="8"/>
  <c r="Z3983" i="8" s="1"/>
  <c r="X3984" i="8"/>
  <c r="Z3984" i="8" s="1"/>
  <c r="X3985" i="8"/>
  <c r="Z3985" i="8" s="1"/>
  <c r="X3986" i="8"/>
  <c r="Z3986" i="8" s="1"/>
  <c r="X3987" i="8"/>
  <c r="Z3987" i="8" s="1"/>
  <c r="X3988" i="8"/>
  <c r="Z3988" i="8" s="1"/>
  <c r="X3989" i="8"/>
  <c r="Z3989" i="8" s="1"/>
  <c r="X3990" i="8"/>
  <c r="Z3990" i="8" s="1"/>
  <c r="X3991" i="8"/>
  <c r="Z3991" i="8" s="1"/>
  <c r="X3992" i="8"/>
  <c r="Z3992" i="8" s="1"/>
  <c r="X3993" i="8"/>
  <c r="Z3993" i="8" s="1"/>
  <c r="X3994" i="8"/>
  <c r="Z3994" i="8" s="1"/>
  <c r="X3995" i="8"/>
  <c r="Z3995" i="8" s="1"/>
  <c r="X3996" i="8"/>
  <c r="Z3996" i="8" s="1"/>
  <c r="X3997" i="8"/>
  <c r="Z3997" i="8" s="1"/>
  <c r="X3998" i="8"/>
  <c r="Z3998" i="8" s="1"/>
  <c r="X3999" i="8"/>
  <c r="Z3999" i="8" s="1"/>
  <c r="X4000" i="8"/>
  <c r="Z4000" i="8" s="1"/>
  <c r="X4001" i="8"/>
  <c r="Z4001" i="8" s="1"/>
  <c r="X4002" i="8"/>
  <c r="Z4002" i="8" s="1"/>
  <c r="X4003" i="8"/>
  <c r="Z4003" i="8" s="1"/>
  <c r="X4004" i="8"/>
  <c r="Z4004" i="8" s="1"/>
  <c r="X4005" i="8"/>
  <c r="Z4005" i="8" s="1"/>
  <c r="X4006" i="8"/>
  <c r="Z4006" i="8" s="1"/>
  <c r="X4007" i="8"/>
  <c r="Z4007" i="8" s="1"/>
  <c r="X4008" i="8"/>
  <c r="Z4008" i="8" s="1"/>
  <c r="X4009" i="8"/>
  <c r="Z4009" i="8" s="1"/>
  <c r="X4010" i="8"/>
  <c r="Z4010" i="8" s="1"/>
  <c r="X4011" i="8"/>
  <c r="Z4011" i="8" s="1"/>
  <c r="X4012" i="8"/>
  <c r="Z4012" i="8" s="1"/>
  <c r="X4013" i="8"/>
  <c r="Z4013" i="8" s="1"/>
  <c r="X4014" i="8"/>
  <c r="Z4014" i="8" s="1"/>
  <c r="X4015" i="8"/>
  <c r="Z4015" i="8" s="1"/>
  <c r="X4016" i="8"/>
  <c r="Z4016" i="8" s="1"/>
  <c r="X4017" i="8"/>
  <c r="Z4017" i="8" s="1"/>
  <c r="X4018" i="8"/>
  <c r="Z4018" i="8" s="1"/>
  <c r="X4019" i="8"/>
  <c r="Z4019" i="8" s="1"/>
  <c r="X4020" i="8"/>
  <c r="Z4020" i="8" s="1"/>
  <c r="X4021" i="8"/>
  <c r="Z4021" i="8" s="1"/>
  <c r="X4022" i="8"/>
  <c r="Z4022" i="8" s="1"/>
  <c r="X4023" i="8"/>
  <c r="Z4023" i="8" s="1"/>
  <c r="X4024" i="8"/>
  <c r="Z4024" i="8" s="1"/>
  <c r="X4025" i="8"/>
  <c r="Z4025" i="8" s="1"/>
  <c r="X4026" i="8"/>
  <c r="Z4026" i="8" s="1"/>
  <c r="X4027" i="8"/>
  <c r="Z4027" i="8" s="1"/>
  <c r="X4028" i="8"/>
  <c r="Z4028" i="8" s="1"/>
  <c r="X4029" i="8"/>
  <c r="Z4029" i="8" s="1"/>
  <c r="X4030" i="8"/>
  <c r="Z4030" i="8" s="1"/>
  <c r="X4031" i="8"/>
  <c r="Z4031" i="8" s="1"/>
  <c r="X4032" i="8"/>
  <c r="Z4032" i="8" s="1"/>
  <c r="X4033" i="8"/>
  <c r="Z4033" i="8" s="1"/>
  <c r="X4034" i="8"/>
  <c r="Z4034" i="8" s="1"/>
  <c r="X4035" i="8"/>
  <c r="Z4035" i="8" s="1"/>
  <c r="X4036" i="8"/>
  <c r="Z4036" i="8" s="1"/>
  <c r="X4037" i="8"/>
  <c r="Z4037" i="8" s="1"/>
  <c r="X4038" i="8"/>
  <c r="Z4038" i="8" s="1"/>
  <c r="X4039" i="8"/>
  <c r="Z4039" i="8" s="1"/>
  <c r="X4040" i="8"/>
  <c r="Z4040" i="8" s="1"/>
  <c r="X4041" i="8"/>
  <c r="Z4041" i="8" s="1"/>
  <c r="X4042" i="8"/>
  <c r="Z4042" i="8" s="1"/>
  <c r="X4043" i="8"/>
  <c r="Z4043" i="8" s="1"/>
  <c r="X4044" i="8"/>
  <c r="Z4044" i="8" s="1"/>
  <c r="X4045" i="8"/>
  <c r="Z4045" i="8" s="1"/>
  <c r="X4046" i="8"/>
  <c r="Z4046" i="8" s="1"/>
  <c r="X4047" i="8"/>
  <c r="Z4047" i="8" s="1"/>
  <c r="X4048" i="8"/>
  <c r="Z4048" i="8" s="1"/>
  <c r="X4049" i="8"/>
  <c r="Z4049" i="8" s="1"/>
  <c r="X4050" i="8"/>
  <c r="Z4050" i="8" s="1"/>
  <c r="X4051" i="8"/>
  <c r="Z4051" i="8" s="1"/>
  <c r="X4052" i="8"/>
  <c r="Z4052" i="8" s="1"/>
  <c r="X4053" i="8"/>
  <c r="Z4053" i="8" s="1"/>
  <c r="X4054" i="8"/>
  <c r="Z4054" i="8" s="1"/>
  <c r="X4055" i="8"/>
  <c r="Z4055" i="8" s="1"/>
  <c r="X4056" i="8"/>
  <c r="Z4056" i="8" s="1"/>
  <c r="X4057" i="8"/>
  <c r="Z4057" i="8" s="1"/>
  <c r="X4058" i="8"/>
  <c r="Z4058" i="8" s="1"/>
  <c r="X4059" i="8"/>
  <c r="Z4059" i="8" s="1"/>
  <c r="X4060" i="8"/>
  <c r="Z4060" i="8" s="1"/>
  <c r="X4061" i="8"/>
  <c r="Z4061" i="8" s="1"/>
  <c r="X4062" i="8"/>
  <c r="Z4062" i="8" s="1"/>
  <c r="X4063" i="8"/>
  <c r="Z4063" i="8" s="1"/>
  <c r="X4064" i="8"/>
  <c r="Z4064" i="8" s="1"/>
  <c r="X4065" i="8"/>
  <c r="Z4065" i="8" s="1"/>
  <c r="X4066" i="8"/>
  <c r="Z4066" i="8" s="1"/>
  <c r="X4067" i="8"/>
  <c r="Z4067" i="8" s="1"/>
  <c r="X4068" i="8"/>
  <c r="Z4068" i="8" s="1"/>
  <c r="X4069" i="8"/>
  <c r="Z4069" i="8" s="1"/>
  <c r="X4070" i="8"/>
  <c r="Z4070" i="8" s="1"/>
  <c r="X4071" i="8"/>
  <c r="Z4071" i="8" s="1"/>
  <c r="X4072" i="8"/>
  <c r="Z4072" i="8" s="1"/>
  <c r="X4073" i="8"/>
  <c r="Z4073" i="8" s="1"/>
  <c r="X4074" i="8"/>
  <c r="Z4074" i="8" s="1"/>
  <c r="X4075" i="8"/>
  <c r="Z4075" i="8" s="1"/>
  <c r="X4076" i="8"/>
  <c r="Z4076" i="8" s="1"/>
  <c r="X4077" i="8"/>
  <c r="Z4077" i="8" s="1"/>
  <c r="X4078" i="8"/>
  <c r="Z4078" i="8" s="1"/>
  <c r="X4079" i="8"/>
  <c r="Z4079" i="8" s="1"/>
  <c r="X4080" i="8"/>
  <c r="Z4080" i="8" s="1"/>
  <c r="X4081" i="8"/>
  <c r="Z4081" i="8" s="1"/>
  <c r="X4082" i="8"/>
  <c r="Z4082" i="8" s="1"/>
  <c r="X4083" i="8"/>
  <c r="Z4083" i="8" s="1"/>
  <c r="X4084" i="8"/>
  <c r="Z4084" i="8" s="1"/>
  <c r="X4085" i="8"/>
  <c r="Z4085" i="8" s="1"/>
  <c r="X4086" i="8"/>
  <c r="Z4086" i="8" s="1"/>
  <c r="X4087" i="8"/>
  <c r="Z4087" i="8" s="1"/>
  <c r="X4088" i="8"/>
  <c r="Z4088" i="8" s="1"/>
  <c r="X4089" i="8"/>
  <c r="Z4089" i="8" s="1"/>
  <c r="X4090" i="8"/>
  <c r="Z4090" i="8" s="1"/>
  <c r="X4091" i="8"/>
  <c r="Z4091" i="8" s="1"/>
  <c r="X4092" i="8"/>
  <c r="Z4092" i="8" s="1"/>
  <c r="X4093" i="8"/>
  <c r="Z4093" i="8" s="1"/>
  <c r="X4094" i="8"/>
  <c r="Z4094" i="8" s="1"/>
  <c r="X4095" i="8"/>
  <c r="Z4095" i="8" s="1"/>
  <c r="X4096" i="8"/>
  <c r="Z4096" i="8" s="1"/>
  <c r="X4097" i="8"/>
  <c r="Z4097" i="8" s="1"/>
  <c r="X4098" i="8"/>
  <c r="Z4098" i="8" s="1"/>
  <c r="X4099" i="8"/>
  <c r="Z4099" i="8" s="1"/>
  <c r="X4100" i="8"/>
  <c r="Z4100" i="8" s="1"/>
  <c r="X4101" i="8"/>
  <c r="Z4101" i="8" s="1"/>
  <c r="X4102" i="8"/>
  <c r="Z4102" i="8" s="1"/>
  <c r="X4103" i="8"/>
  <c r="Z4103" i="8" s="1"/>
  <c r="X4104" i="8"/>
  <c r="Z4104" i="8" s="1"/>
  <c r="X4105" i="8"/>
  <c r="Z4105" i="8" s="1"/>
  <c r="X4106" i="8"/>
  <c r="Z4106" i="8" s="1"/>
  <c r="X4107" i="8"/>
  <c r="Z4107" i="8" s="1"/>
  <c r="X4108" i="8"/>
  <c r="Z4108" i="8" s="1"/>
  <c r="X4109" i="8"/>
  <c r="Z4109" i="8" s="1"/>
  <c r="X4110" i="8"/>
  <c r="Z4110" i="8" s="1"/>
  <c r="X4111" i="8"/>
  <c r="Z4111" i="8" s="1"/>
  <c r="X4112" i="8"/>
  <c r="Z4112" i="8" s="1"/>
  <c r="X4113" i="8"/>
  <c r="Z4113" i="8" s="1"/>
  <c r="X4114" i="8"/>
  <c r="Z4114" i="8" s="1"/>
  <c r="X4115" i="8"/>
  <c r="Z4115" i="8" s="1"/>
  <c r="X4116" i="8"/>
  <c r="Z4116" i="8" s="1"/>
  <c r="X4117" i="8"/>
  <c r="Z4117" i="8" s="1"/>
  <c r="X4118" i="8"/>
  <c r="Z4118" i="8" s="1"/>
  <c r="X4119" i="8"/>
  <c r="Z4119" i="8" s="1"/>
  <c r="X4120" i="8"/>
  <c r="Z4120" i="8" s="1"/>
  <c r="X4121" i="8"/>
  <c r="Z4121" i="8" s="1"/>
  <c r="X4122" i="8"/>
  <c r="Z4122" i="8" s="1"/>
  <c r="X4123" i="8"/>
  <c r="Z4123" i="8" s="1"/>
  <c r="X4124" i="8"/>
  <c r="Z4124" i="8" s="1"/>
  <c r="X4125" i="8"/>
  <c r="Z4125" i="8" s="1"/>
  <c r="X4126" i="8"/>
  <c r="Z4126" i="8" s="1"/>
  <c r="X4127" i="8"/>
  <c r="Z4127" i="8" s="1"/>
  <c r="X4128" i="8"/>
  <c r="Z4128" i="8" s="1"/>
  <c r="X4129" i="8"/>
  <c r="Z4129" i="8" s="1"/>
  <c r="X4130" i="8"/>
  <c r="Z4130" i="8" s="1"/>
  <c r="X4131" i="8"/>
  <c r="Z4131" i="8" s="1"/>
  <c r="X4132" i="8"/>
  <c r="Z4132" i="8" s="1"/>
  <c r="X4133" i="8"/>
  <c r="Z4133" i="8" s="1"/>
  <c r="X4134" i="8"/>
  <c r="Z4134" i="8" s="1"/>
  <c r="X4135" i="8"/>
  <c r="Z4135" i="8" s="1"/>
  <c r="X4136" i="8"/>
  <c r="Z4136" i="8" s="1"/>
  <c r="X4137" i="8"/>
  <c r="Z4137" i="8" s="1"/>
  <c r="X4138" i="8"/>
  <c r="Z4138" i="8" s="1"/>
  <c r="X4139" i="8"/>
  <c r="Z4139" i="8" s="1"/>
  <c r="X4140" i="8"/>
  <c r="Z4140" i="8" s="1"/>
  <c r="X4141" i="8"/>
  <c r="Z4141" i="8" s="1"/>
  <c r="X4142" i="8"/>
  <c r="Z4142" i="8" s="1"/>
  <c r="X4143" i="8"/>
  <c r="Z4143" i="8" s="1"/>
  <c r="X4144" i="8"/>
  <c r="Z4144" i="8" s="1"/>
  <c r="X4145" i="8"/>
  <c r="Z4145" i="8" s="1"/>
  <c r="X4146" i="8"/>
  <c r="Z4146" i="8" s="1"/>
  <c r="X4147" i="8"/>
  <c r="Z4147" i="8" s="1"/>
  <c r="X4148" i="8"/>
  <c r="Z4148" i="8" s="1"/>
  <c r="X4149" i="8"/>
  <c r="Z4149" i="8" s="1"/>
  <c r="X4150" i="8"/>
  <c r="Z4150" i="8" s="1"/>
  <c r="X4151" i="8"/>
  <c r="Z4151" i="8" s="1"/>
  <c r="X4152" i="8"/>
  <c r="Z4152" i="8" s="1"/>
  <c r="X4153" i="8"/>
  <c r="Z4153" i="8" s="1"/>
  <c r="X4154" i="8"/>
  <c r="Z4154" i="8" s="1"/>
  <c r="X4155" i="8"/>
  <c r="Z4155" i="8" s="1"/>
  <c r="X4156" i="8"/>
  <c r="Z4156" i="8" s="1"/>
  <c r="X4157" i="8"/>
  <c r="Z4157" i="8" s="1"/>
  <c r="X4158" i="8"/>
  <c r="Z4158" i="8" s="1"/>
  <c r="X4159" i="8"/>
  <c r="Z4159" i="8" s="1"/>
  <c r="X4160" i="8"/>
  <c r="Z4160" i="8" s="1"/>
  <c r="X4161" i="8"/>
  <c r="Z4161" i="8" s="1"/>
  <c r="X4162" i="8"/>
  <c r="Z4162" i="8" s="1"/>
  <c r="X4163" i="8"/>
  <c r="Z4163" i="8" s="1"/>
  <c r="X4164" i="8"/>
  <c r="Z4164" i="8" s="1"/>
  <c r="X4165" i="8"/>
  <c r="Z4165" i="8" s="1"/>
  <c r="X4166" i="8"/>
  <c r="Z4166" i="8" s="1"/>
  <c r="X4167" i="8"/>
  <c r="Z4167" i="8" s="1"/>
  <c r="X4168" i="8"/>
  <c r="Z4168" i="8" s="1"/>
  <c r="X4169" i="8"/>
  <c r="Z4169" i="8" s="1"/>
  <c r="X4170" i="8"/>
  <c r="Z4170" i="8" s="1"/>
  <c r="X4171" i="8"/>
  <c r="Z4171" i="8" s="1"/>
  <c r="X4172" i="8"/>
  <c r="Z4172" i="8" s="1"/>
  <c r="X4173" i="8"/>
  <c r="Z4173" i="8" s="1"/>
  <c r="X4174" i="8"/>
  <c r="Z4174" i="8" s="1"/>
  <c r="X4175" i="8"/>
  <c r="Z4175" i="8" s="1"/>
  <c r="X4176" i="8"/>
  <c r="Z4176" i="8" s="1"/>
  <c r="X4177" i="8"/>
  <c r="Z4177" i="8" s="1"/>
  <c r="X4178" i="8"/>
  <c r="Z4178" i="8" s="1"/>
  <c r="X4179" i="8"/>
  <c r="Z4179" i="8" s="1"/>
  <c r="X4180" i="8"/>
  <c r="Z4180" i="8" s="1"/>
  <c r="X4181" i="8"/>
  <c r="Z4181" i="8" s="1"/>
  <c r="X4182" i="8"/>
  <c r="Z4182" i="8" s="1"/>
  <c r="X4183" i="8"/>
  <c r="Z4183" i="8" s="1"/>
  <c r="X4184" i="8"/>
  <c r="Z4184" i="8" s="1"/>
  <c r="X4185" i="8"/>
  <c r="Z4185" i="8" s="1"/>
  <c r="X4186" i="8"/>
  <c r="Z4186" i="8" s="1"/>
  <c r="X4187" i="8"/>
  <c r="Z4187" i="8" s="1"/>
  <c r="X4188" i="8"/>
  <c r="Z4188" i="8" s="1"/>
  <c r="X4189" i="8"/>
  <c r="Z4189" i="8" s="1"/>
  <c r="X4190" i="8"/>
  <c r="Z4190" i="8" s="1"/>
  <c r="X4191" i="8"/>
  <c r="Z4191" i="8" s="1"/>
  <c r="X4192" i="8"/>
  <c r="Z4192" i="8" s="1"/>
  <c r="X4193" i="8"/>
  <c r="Z4193" i="8" s="1"/>
  <c r="X4194" i="8"/>
  <c r="Z4194" i="8" s="1"/>
  <c r="X4195" i="8"/>
  <c r="Z4195" i="8" s="1"/>
  <c r="X4196" i="8"/>
  <c r="Z4196" i="8" s="1"/>
  <c r="X4197" i="8"/>
  <c r="Z4197" i="8" s="1"/>
  <c r="X4198" i="8"/>
  <c r="Z4198" i="8" s="1"/>
  <c r="X4199" i="8"/>
  <c r="Z4199" i="8" s="1"/>
  <c r="X4200" i="8"/>
  <c r="Z4200" i="8" s="1"/>
  <c r="X4201" i="8"/>
  <c r="Z4201" i="8" s="1"/>
  <c r="X4202" i="8"/>
  <c r="Z4202" i="8" s="1"/>
  <c r="X4203" i="8"/>
  <c r="Z4203" i="8" s="1"/>
  <c r="X4204" i="8"/>
  <c r="Z4204" i="8" s="1"/>
  <c r="X4205" i="8"/>
  <c r="Z4205" i="8" s="1"/>
  <c r="X4206" i="8"/>
  <c r="Z4206" i="8" s="1"/>
  <c r="X4207" i="8"/>
  <c r="Z4207" i="8" s="1"/>
  <c r="X4208" i="8"/>
  <c r="Z4208" i="8" s="1"/>
  <c r="X4209" i="8"/>
  <c r="Z4209" i="8" s="1"/>
  <c r="X4210" i="8"/>
  <c r="Z4210" i="8" s="1"/>
  <c r="X4211" i="8"/>
  <c r="Z4211" i="8" s="1"/>
  <c r="X4212" i="8"/>
  <c r="Z4212" i="8" s="1"/>
  <c r="X4213" i="8"/>
  <c r="Z4213" i="8" s="1"/>
  <c r="X4214" i="8"/>
  <c r="Z4214" i="8" s="1"/>
  <c r="X4215" i="8"/>
  <c r="Z4215" i="8" s="1"/>
  <c r="X4216" i="8"/>
  <c r="Z4216" i="8" s="1"/>
  <c r="X4217" i="8"/>
  <c r="Z4217" i="8" s="1"/>
  <c r="X4218" i="8"/>
  <c r="Z4218" i="8" s="1"/>
  <c r="X4219" i="8"/>
  <c r="Z4219" i="8" s="1"/>
  <c r="X4220" i="8"/>
  <c r="Z4220" i="8" s="1"/>
  <c r="X4221" i="8"/>
  <c r="Z4221" i="8" s="1"/>
  <c r="X4222" i="8"/>
  <c r="Z4222" i="8" s="1"/>
  <c r="X4223" i="8"/>
  <c r="Z4223" i="8" s="1"/>
  <c r="X4224" i="8"/>
  <c r="Z4224" i="8" s="1"/>
  <c r="X4225" i="8"/>
  <c r="Z4225" i="8" s="1"/>
  <c r="X4226" i="8"/>
  <c r="Z4226" i="8" s="1"/>
  <c r="X4227" i="8"/>
  <c r="Z4227" i="8" s="1"/>
  <c r="X4228" i="8"/>
  <c r="Z4228" i="8" s="1"/>
  <c r="X4229" i="8"/>
  <c r="Z4229" i="8" s="1"/>
  <c r="X4230" i="8"/>
  <c r="Z4230" i="8" s="1"/>
  <c r="X4231" i="8"/>
  <c r="Z4231" i="8" s="1"/>
  <c r="X4232" i="8"/>
  <c r="Z4232" i="8" s="1"/>
  <c r="X4233" i="8"/>
  <c r="Z4233" i="8" s="1"/>
  <c r="X4234" i="8"/>
  <c r="Z4234" i="8" s="1"/>
  <c r="X4235" i="8"/>
  <c r="Z4235" i="8" s="1"/>
  <c r="X4236" i="8"/>
  <c r="Z4236" i="8" s="1"/>
  <c r="X4237" i="8"/>
  <c r="Z4237" i="8" s="1"/>
  <c r="X4238" i="8"/>
  <c r="Z4238" i="8" s="1"/>
  <c r="X4239" i="8"/>
  <c r="Z4239" i="8" s="1"/>
  <c r="X4240" i="8"/>
  <c r="Z4240" i="8" s="1"/>
  <c r="X4241" i="8"/>
  <c r="Z4241" i="8" s="1"/>
  <c r="X4242" i="8"/>
  <c r="Z4242" i="8" s="1"/>
  <c r="X4243" i="8"/>
  <c r="Z4243" i="8" s="1"/>
  <c r="X4244" i="8"/>
  <c r="Z4244" i="8" s="1"/>
  <c r="X4245" i="8"/>
  <c r="Z4245" i="8" s="1"/>
  <c r="X4246" i="8"/>
  <c r="Z4246" i="8" s="1"/>
  <c r="X4247" i="8"/>
  <c r="Z4247" i="8" s="1"/>
  <c r="X4248" i="8"/>
  <c r="Z4248" i="8" s="1"/>
  <c r="X4249" i="8"/>
  <c r="Z4249" i="8" s="1"/>
  <c r="X4250" i="8"/>
  <c r="Z4250" i="8" s="1"/>
  <c r="X4251" i="8"/>
  <c r="Z4251" i="8" s="1"/>
  <c r="X4252" i="8"/>
  <c r="Z4252" i="8" s="1"/>
  <c r="X4253" i="8"/>
  <c r="Z4253" i="8" s="1"/>
  <c r="X4254" i="8"/>
  <c r="Z4254" i="8" s="1"/>
  <c r="X4255" i="8"/>
  <c r="Z4255" i="8" s="1"/>
  <c r="X4256" i="8"/>
  <c r="Z4256" i="8" s="1"/>
  <c r="X4257" i="8"/>
  <c r="Z4257" i="8" s="1"/>
  <c r="X4258" i="8"/>
  <c r="Z4258" i="8" s="1"/>
  <c r="X4259" i="8"/>
  <c r="Z4259" i="8" s="1"/>
  <c r="X4260" i="8"/>
  <c r="Z4260" i="8" s="1"/>
  <c r="X4261" i="8"/>
  <c r="Z4261" i="8" s="1"/>
  <c r="X4262" i="8"/>
  <c r="Z4262" i="8" s="1"/>
  <c r="X4263" i="8"/>
  <c r="Z4263" i="8" s="1"/>
  <c r="X4264" i="8"/>
  <c r="Z4264" i="8" s="1"/>
  <c r="X4265" i="8"/>
  <c r="Z4265" i="8" s="1"/>
  <c r="X4266" i="8"/>
  <c r="Z4266" i="8" s="1"/>
  <c r="X4267" i="8"/>
  <c r="Z4267" i="8" s="1"/>
  <c r="X4268" i="8"/>
  <c r="Z4268" i="8" s="1"/>
  <c r="X4269" i="8"/>
  <c r="Z4269" i="8" s="1"/>
  <c r="X4270" i="8"/>
  <c r="Z4270" i="8" s="1"/>
  <c r="X4271" i="8"/>
  <c r="Z4271" i="8" s="1"/>
  <c r="X4272" i="8"/>
  <c r="Z4272" i="8" s="1"/>
  <c r="X4273" i="8"/>
  <c r="Z4273" i="8" s="1"/>
  <c r="X4274" i="8"/>
  <c r="Z4274" i="8" s="1"/>
  <c r="X4275" i="8"/>
  <c r="Z4275" i="8" s="1"/>
  <c r="X4276" i="8"/>
  <c r="Z4276" i="8" s="1"/>
  <c r="X4277" i="8"/>
  <c r="Z4277" i="8" s="1"/>
  <c r="X4278" i="8"/>
  <c r="Z4278" i="8" s="1"/>
  <c r="X4279" i="8"/>
  <c r="Z4279" i="8" s="1"/>
  <c r="X4280" i="8"/>
  <c r="Z4280" i="8" s="1"/>
  <c r="X4281" i="8"/>
  <c r="Z4281" i="8" s="1"/>
  <c r="X4282" i="8"/>
  <c r="Z4282" i="8" s="1"/>
  <c r="X4283" i="8"/>
  <c r="Z4283" i="8" s="1"/>
  <c r="X4284" i="8"/>
  <c r="Z4284" i="8" s="1"/>
  <c r="X4285" i="8"/>
  <c r="Z4285" i="8" s="1"/>
  <c r="X4286" i="8"/>
  <c r="Z4286" i="8" s="1"/>
  <c r="X4287" i="8"/>
  <c r="Z4287" i="8" s="1"/>
  <c r="X4288" i="8"/>
  <c r="Z4288" i="8" s="1"/>
  <c r="X4289" i="8"/>
  <c r="Z4289" i="8" s="1"/>
  <c r="X4290" i="8"/>
  <c r="Z4290" i="8" s="1"/>
  <c r="X4291" i="8"/>
  <c r="Z4291" i="8" s="1"/>
  <c r="X4292" i="8"/>
  <c r="Z4292" i="8" s="1"/>
  <c r="X4293" i="8"/>
  <c r="Z4293" i="8" s="1"/>
  <c r="X4294" i="8"/>
  <c r="Z4294" i="8" s="1"/>
  <c r="X4295" i="8"/>
  <c r="Z4295" i="8" s="1"/>
  <c r="X4296" i="8"/>
  <c r="Z4296" i="8" s="1"/>
  <c r="X4297" i="8"/>
  <c r="Z4297" i="8" s="1"/>
  <c r="X4298" i="8"/>
  <c r="Z4298" i="8" s="1"/>
  <c r="X4299" i="8"/>
  <c r="Z4299" i="8" s="1"/>
  <c r="X4300" i="8"/>
  <c r="Z4300" i="8" s="1"/>
  <c r="X4301" i="8"/>
  <c r="Z4301" i="8" s="1"/>
  <c r="X4302" i="8"/>
  <c r="Z4302" i="8" s="1"/>
  <c r="X4303" i="8"/>
  <c r="Z4303" i="8" s="1"/>
  <c r="X4304" i="8"/>
  <c r="Z4304" i="8" s="1"/>
  <c r="X4305" i="8"/>
  <c r="Z4305" i="8" s="1"/>
  <c r="X4306" i="8"/>
  <c r="Z4306" i="8" s="1"/>
  <c r="X4307" i="8"/>
  <c r="Z4307" i="8" s="1"/>
  <c r="X4308" i="8"/>
  <c r="Z4308" i="8" s="1"/>
  <c r="X4309" i="8"/>
  <c r="Z4309" i="8" s="1"/>
  <c r="X4310" i="8"/>
  <c r="Z4310" i="8" s="1"/>
  <c r="X4311" i="8"/>
  <c r="Z4311" i="8" s="1"/>
  <c r="X4312" i="8"/>
  <c r="Z4312" i="8" s="1"/>
  <c r="X4313" i="8"/>
  <c r="Z4313" i="8" s="1"/>
  <c r="X4314" i="8"/>
  <c r="Z4314" i="8" s="1"/>
  <c r="X4315" i="8"/>
  <c r="Z4315" i="8" s="1"/>
  <c r="X4316" i="8"/>
  <c r="Z4316" i="8" s="1"/>
  <c r="X4317" i="8"/>
  <c r="Z4317" i="8" s="1"/>
  <c r="X4318" i="8"/>
  <c r="Z4318" i="8" s="1"/>
  <c r="X4319" i="8"/>
  <c r="Z4319" i="8" s="1"/>
  <c r="X4320" i="8"/>
  <c r="Z4320" i="8" s="1"/>
  <c r="X4321" i="8"/>
  <c r="Z4321" i="8" s="1"/>
  <c r="X4322" i="8"/>
  <c r="Z4322" i="8" s="1"/>
  <c r="X4323" i="8"/>
  <c r="Z4323" i="8" s="1"/>
  <c r="X4324" i="8"/>
  <c r="Z4324" i="8" s="1"/>
  <c r="X4325" i="8"/>
  <c r="Z4325" i="8" s="1"/>
  <c r="X4326" i="8"/>
  <c r="Z4326" i="8" s="1"/>
  <c r="X4327" i="8"/>
  <c r="Z4327" i="8" s="1"/>
  <c r="X4328" i="8"/>
  <c r="Z4328" i="8" s="1"/>
  <c r="X4329" i="8"/>
  <c r="Z4329" i="8" s="1"/>
  <c r="X4330" i="8"/>
  <c r="Z4330" i="8" s="1"/>
  <c r="X4331" i="8"/>
  <c r="Z4331" i="8" s="1"/>
  <c r="X4332" i="8"/>
  <c r="Z4332" i="8" s="1"/>
  <c r="X4333" i="8"/>
  <c r="Z4333" i="8" s="1"/>
  <c r="X4334" i="8"/>
  <c r="Z4334" i="8" s="1"/>
  <c r="X4335" i="8"/>
  <c r="Z4335" i="8" s="1"/>
  <c r="X4336" i="8"/>
  <c r="Z4336" i="8" s="1"/>
  <c r="X4337" i="8"/>
  <c r="Z4337" i="8" s="1"/>
  <c r="X4338" i="8"/>
  <c r="Z4338" i="8" s="1"/>
  <c r="X4339" i="8"/>
  <c r="Z4339" i="8" s="1"/>
  <c r="X4340" i="8"/>
  <c r="Z4340" i="8" s="1"/>
  <c r="X4341" i="8"/>
  <c r="Z4341" i="8" s="1"/>
  <c r="X4342" i="8"/>
  <c r="Z4342" i="8" s="1"/>
  <c r="X4343" i="8"/>
  <c r="Z4343" i="8" s="1"/>
  <c r="X4344" i="8"/>
  <c r="Z4344" i="8" s="1"/>
  <c r="X4345" i="8"/>
  <c r="Z4345" i="8" s="1"/>
  <c r="X4346" i="8"/>
  <c r="Z4346" i="8" s="1"/>
  <c r="X4347" i="8"/>
  <c r="Z4347" i="8" s="1"/>
  <c r="X4348" i="8"/>
  <c r="Z4348" i="8" s="1"/>
  <c r="X4349" i="8"/>
  <c r="Z4349" i="8" s="1"/>
  <c r="X4350" i="8"/>
  <c r="Z4350" i="8" s="1"/>
  <c r="X4351" i="8"/>
  <c r="Z4351" i="8" s="1"/>
  <c r="X4352" i="8"/>
  <c r="Z4352" i="8" s="1"/>
  <c r="X4353" i="8"/>
  <c r="Z4353" i="8" s="1"/>
  <c r="X4354" i="8"/>
  <c r="Z4354" i="8" s="1"/>
  <c r="X4355" i="8"/>
  <c r="Z4355" i="8" s="1"/>
  <c r="X4356" i="8"/>
  <c r="Z4356" i="8" s="1"/>
  <c r="X4357" i="8"/>
  <c r="Z4357" i="8" s="1"/>
  <c r="X4358" i="8"/>
  <c r="Z4358" i="8" s="1"/>
  <c r="X4359" i="8"/>
  <c r="Z4359" i="8" s="1"/>
  <c r="X4360" i="8"/>
  <c r="Z4360" i="8" s="1"/>
  <c r="X4361" i="8"/>
  <c r="Z4361" i="8" s="1"/>
  <c r="X4362" i="8"/>
  <c r="Z4362" i="8" s="1"/>
  <c r="X4363" i="8"/>
  <c r="Z4363" i="8" s="1"/>
  <c r="X4364" i="8"/>
  <c r="Z4364" i="8" s="1"/>
  <c r="X4365" i="8"/>
  <c r="Z4365" i="8" s="1"/>
  <c r="X4366" i="8"/>
  <c r="Z4366" i="8" s="1"/>
  <c r="X4367" i="8"/>
  <c r="Z4367" i="8" s="1"/>
  <c r="X4368" i="8"/>
  <c r="Z4368" i="8" s="1"/>
  <c r="X4369" i="8"/>
  <c r="Z4369" i="8" s="1"/>
  <c r="X4370" i="8"/>
  <c r="Z4370" i="8" s="1"/>
  <c r="X4371" i="8"/>
  <c r="Z4371" i="8" s="1"/>
  <c r="X4372" i="8"/>
  <c r="Z4372" i="8" s="1"/>
  <c r="X4373" i="8"/>
  <c r="Z4373" i="8" s="1"/>
  <c r="X4374" i="8"/>
  <c r="Z4374" i="8" s="1"/>
  <c r="X4375" i="8"/>
  <c r="Z4375" i="8" s="1"/>
  <c r="X4376" i="8"/>
  <c r="Z4376" i="8" s="1"/>
  <c r="X4377" i="8"/>
  <c r="Z4377" i="8" s="1"/>
  <c r="X4378" i="8"/>
  <c r="Z4378" i="8" s="1"/>
  <c r="X4379" i="8"/>
  <c r="Z4379" i="8" s="1"/>
  <c r="X4380" i="8"/>
  <c r="Z4380" i="8" s="1"/>
  <c r="X4381" i="8"/>
  <c r="Z4381" i="8" s="1"/>
  <c r="X4382" i="8"/>
  <c r="Z4382" i="8" s="1"/>
  <c r="X4383" i="8"/>
  <c r="Z4383" i="8" s="1"/>
  <c r="X4384" i="8"/>
  <c r="Z4384" i="8" s="1"/>
  <c r="X4385" i="8"/>
  <c r="Z4385" i="8" s="1"/>
  <c r="X4386" i="8"/>
  <c r="Z4386" i="8" s="1"/>
  <c r="X4387" i="8"/>
  <c r="Z4387" i="8" s="1"/>
  <c r="X4388" i="8"/>
  <c r="Z4388" i="8" s="1"/>
  <c r="X4389" i="8"/>
  <c r="Z4389" i="8" s="1"/>
  <c r="X4390" i="8"/>
  <c r="Z4390" i="8" s="1"/>
  <c r="X4391" i="8"/>
  <c r="Z4391" i="8" s="1"/>
  <c r="X4392" i="8"/>
  <c r="Z4392" i="8" s="1"/>
  <c r="X4393" i="8"/>
  <c r="Z4393" i="8" s="1"/>
  <c r="X4394" i="8"/>
  <c r="Z4394" i="8" s="1"/>
  <c r="X4395" i="8"/>
  <c r="Z4395" i="8" s="1"/>
  <c r="X4396" i="8"/>
  <c r="Z4396" i="8" s="1"/>
  <c r="X4397" i="8"/>
  <c r="Z4397" i="8" s="1"/>
  <c r="X4398" i="8"/>
  <c r="Z4398" i="8" s="1"/>
  <c r="X4399" i="8"/>
  <c r="Z4399" i="8" s="1"/>
  <c r="X4400" i="8"/>
  <c r="Z4400" i="8" s="1"/>
  <c r="X4401" i="8"/>
  <c r="Z4401" i="8" s="1"/>
  <c r="X4402" i="8"/>
  <c r="Z4402" i="8" s="1"/>
  <c r="X4403" i="8"/>
  <c r="Z4403" i="8" s="1"/>
  <c r="X4404" i="8"/>
  <c r="Z4404" i="8" s="1"/>
  <c r="X4405" i="8"/>
  <c r="Z4405" i="8" s="1"/>
  <c r="X4406" i="8"/>
  <c r="Z4406" i="8" s="1"/>
  <c r="X4407" i="8"/>
  <c r="Z4407" i="8" s="1"/>
  <c r="X4408" i="8"/>
  <c r="Z4408" i="8" s="1"/>
  <c r="X4409" i="8"/>
  <c r="Z4409" i="8" s="1"/>
  <c r="X4410" i="8"/>
  <c r="Z4410" i="8" s="1"/>
  <c r="X4411" i="8"/>
  <c r="Z4411" i="8" s="1"/>
  <c r="X4412" i="8"/>
  <c r="Z4412" i="8" s="1"/>
  <c r="X4413" i="8"/>
  <c r="Z4413" i="8" s="1"/>
  <c r="X4414" i="8"/>
  <c r="Z4414" i="8" s="1"/>
  <c r="X4415" i="8"/>
  <c r="Z4415" i="8" s="1"/>
  <c r="X4416" i="8"/>
  <c r="Z4416" i="8" s="1"/>
  <c r="X4417" i="8"/>
  <c r="Z4417" i="8" s="1"/>
  <c r="X4418" i="8"/>
  <c r="Z4418" i="8" s="1"/>
  <c r="X4419" i="8"/>
  <c r="Z4419" i="8" s="1"/>
  <c r="X4420" i="8"/>
  <c r="Z4420" i="8" s="1"/>
  <c r="X4421" i="8"/>
  <c r="Z4421" i="8" s="1"/>
  <c r="X4422" i="8"/>
  <c r="Z4422" i="8" s="1"/>
  <c r="X4423" i="8"/>
  <c r="Z4423" i="8" s="1"/>
  <c r="X4424" i="8"/>
  <c r="Z4424" i="8" s="1"/>
  <c r="X4425" i="8"/>
  <c r="Z4425" i="8" s="1"/>
  <c r="X4426" i="8"/>
  <c r="Z4426" i="8" s="1"/>
  <c r="X4427" i="8"/>
  <c r="Z4427" i="8" s="1"/>
  <c r="X4428" i="8"/>
  <c r="Z4428" i="8" s="1"/>
  <c r="X4429" i="8"/>
  <c r="Z4429" i="8" s="1"/>
  <c r="X4430" i="8"/>
  <c r="Z4430" i="8" s="1"/>
  <c r="X4431" i="8"/>
  <c r="Z4431" i="8" s="1"/>
  <c r="X4432" i="8"/>
  <c r="Z4432" i="8" s="1"/>
  <c r="X4433" i="8"/>
  <c r="Z4433" i="8" s="1"/>
  <c r="X4434" i="8"/>
  <c r="Z4434" i="8" s="1"/>
  <c r="X4435" i="8"/>
  <c r="Z4435" i="8" s="1"/>
  <c r="X4436" i="8"/>
  <c r="Z4436" i="8" s="1"/>
  <c r="X4437" i="8"/>
  <c r="Z4437" i="8" s="1"/>
  <c r="X4438" i="8"/>
  <c r="Z4438" i="8" s="1"/>
  <c r="X4439" i="8"/>
  <c r="Z4439" i="8" s="1"/>
  <c r="X4440" i="8"/>
  <c r="Z4440" i="8" s="1"/>
  <c r="X4441" i="8"/>
  <c r="Z4441" i="8" s="1"/>
  <c r="X4442" i="8"/>
  <c r="Z4442" i="8" s="1"/>
  <c r="X4443" i="8"/>
  <c r="Z4443" i="8" s="1"/>
  <c r="X4444" i="8"/>
  <c r="Z4444" i="8" s="1"/>
  <c r="X4445" i="8"/>
  <c r="Z4445" i="8" s="1"/>
  <c r="X4446" i="8"/>
  <c r="Z4446" i="8" s="1"/>
  <c r="X4447" i="8"/>
  <c r="Z4447" i="8" s="1"/>
  <c r="X4448" i="8"/>
  <c r="Z4448" i="8" s="1"/>
  <c r="X4449" i="8"/>
  <c r="Z4449" i="8" s="1"/>
  <c r="X4450" i="8"/>
  <c r="Z4450" i="8" s="1"/>
  <c r="X4451" i="8"/>
  <c r="Z4451" i="8" s="1"/>
  <c r="X4452" i="8"/>
  <c r="Z4452" i="8" s="1"/>
  <c r="X4453" i="8"/>
  <c r="Z4453" i="8" s="1"/>
  <c r="X4454" i="8"/>
  <c r="Z4454" i="8" s="1"/>
  <c r="X4455" i="8"/>
  <c r="Z4455" i="8" s="1"/>
  <c r="X4456" i="8"/>
  <c r="Z4456" i="8" s="1"/>
  <c r="X4457" i="8"/>
  <c r="Z4457" i="8" s="1"/>
  <c r="X4458" i="8"/>
  <c r="Z4458" i="8" s="1"/>
  <c r="X4459" i="8"/>
  <c r="Z4459" i="8" s="1"/>
  <c r="X4460" i="8"/>
  <c r="Z4460" i="8" s="1"/>
  <c r="X4461" i="8"/>
  <c r="Z4461" i="8" s="1"/>
  <c r="X4462" i="8"/>
  <c r="Z4462" i="8" s="1"/>
  <c r="X4463" i="8"/>
  <c r="Z4463" i="8" s="1"/>
  <c r="X4464" i="8"/>
  <c r="Z4464" i="8" s="1"/>
  <c r="X4465" i="8"/>
  <c r="Z4465" i="8" s="1"/>
  <c r="X4466" i="8"/>
  <c r="Z4466" i="8" s="1"/>
  <c r="X4467" i="8"/>
  <c r="Z4467" i="8" s="1"/>
  <c r="X4468" i="8"/>
  <c r="Z4468" i="8" s="1"/>
  <c r="X4469" i="8"/>
  <c r="Z4469" i="8" s="1"/>
  <c r="X4470" i="8"/>
  <c r="Z4470" i="8" s="1"/>
  <c r="X4471" i="8"/>
  <c r="Z4471" i="8" s="1"/>
  <c r="X4472" i="8"/>
  <c r="Z4472" i="8" s="1"/>
  <c r="X4473" i="8"/>
  <c r="Z4473" i="8" s="1"/>
  <c r="X4474" i="8"/>
  <c r="Z4474" i="8" s="1"/>
  <c r="X4475" i="8"/>
  <c r="Z4475" i="8" s="1"/>
  <c r="X4476" i="8"/>
  <c r="Z4476" i="8" s="1"/>
  <c r="X4477" i="8"/>
  <c r="Z4477" i="8" s="1"/>
  <c r="X4478" i="8"/>
  <c r="Z4478" i="8" s="1"/>
  <c r="X4479" i="8"/>
  <c r="Z4479" i="8" s="1"/>
  <c r="X4480" i="8"/>
  <c r="Z4480" i="8" s="1"/>
  <c r="X4481" i="8"/>
  <c r="Z4481" i="8" s="1"/>
  <c r="X4482" i="8"/>
  <c r="Z4482" i="8" s="1"/>
  <c r="X4483" i="8"/>
  <c r="Z4483" i="8" s="1"/>
  <c r="X4484" i="8"/>
  <c r="Z4484" i="8" s="1"/>
  <c r="X4485" i="8"/>
  <c r="Z4485" i="8" s="1"/>
  <c r="X4486" i="8"/>
  <c r="Z4486" i="8" s="1"/>
  <c r="X4487" i="8"/>
  <c r="Z4487" i="8" s="1"/>
  <c r="X4488" i="8"/>
  <c r="Z4488" i="8" s="1"/>
  <c r="X4489" i="8"/>
  <c r="Z4489" i="8" s="1"/>
  <c r="X4490" i="8"/>
  <c r="Z4490" i="8" s="1"/>
  <c r="X4491" i="8"/>
  <c r="Z4491" i="8" s="1"/>
  <c r="X4492" i="8"/>
  <c r="Z4492" i="8" s="1"/>
  <c r="X4493" i="8"/>
  <c r="Z4493" i="8" s="1"/>
  <c r="X4494" i="8"/>
  <c r="Z4494" i="8" s="1"/>
  <c r="X4495" i="8"/>
  <c r="Z4495" i="8" s="1"/>
  <c r="X4496" i="8"/>
  <c r="Z4496" i="8" s="1"/>
  <c r="X4497" i="8"/>
  <c r="Z4497" i="8" s="1"/>
  <c r="X4498" i="8"/>
  <c r="Z4498" i="8" s="1"/>
  <c r="X4499" i="8"/>
  <c r="Z4499" i="8" s="1"/>
  <c r="X4500" i="8"/>
  <c r="Z4500" i="8" s="1"/>
  <c r="X4501" i="8"/>
  <c r="Z4501" i="8" s="1"/>
  <c r="X4502" i="8"/>
  <c r="Z4502" i="8" s="1"/>
  <c r="X4503" i="8"/>
  <c r="Z4503" i="8" s="1"/>
  <c r="X4504" i="8"/>
  <c r="Z4504" i="8" s="1"/>
  <c r="X4505" i="8"/>
  <c r="Z4505" i="8" s="1"/>
  <c r="X4506" i="8"/>
  <c r="Z4506" i="8" s="1"/>
  <c r="X4507" i="8"/>
  <c r="Z4507" i="8" s="1"/>
  <c r="X4508" i="8"/>
  <c r="Z4508" i="8" s="1"/>
  <c r="X4509" i="8"/>
  <c r="Z4509" i="8" s="1"/>
  <c r="X4510" i="8"/>
  <c r="Z4510" i="8" s="1"/>
  <c r="X4511" i="8"/>
  <c r="Z4511" i="8" s="1"/>
  <c r="X4512" i="8"/>
  <c r="Z4512" i="8" s="1"/>
  <c r="X4513" i="8"/>
  <c r="Z4513" i="8" s="1"/>
  <c r="X4514" i="8"/>
  <c r="Z4514" i="8" s="1"/>
  <c r="X4515" i="8"/>
  <c r="Z4515" i="8" s="1"/>
  <c r="X4516" i="8"/>
  <c r="Z4516" i="8" s="1"/>
  <c r="X4517" i="8"/>
  <c r="Z4517" i="8" s="1"/>
  <c r="X4518" i="8"/>
  <c r="Z4518" i="8" s="1"/>
  <c r="X4519" i="8"/>
  <c r="Z4519" i="8" s="1"/>
  <c r="X4520" i="8"/>
  <c r="Z4520" i="8" s="1"/>
  <c r="X4521" i="8"/>
  <c r="Z4521" i="8" s="1"/>
  <c r="X4522" i="8"/>
  <c r="Z4522" i="8" s="1"/>
  <c r="X4523" i="8"/>
  <c r="Z4523" i="8" s="1"/>
  <c r="X4524" i="8"/>
  <c r="Z4524" i="8" s="1"/>
  <c r="X4525" i="8"/>
  <c r="Z4525" i="8" s="1"/>
  <c r="X4526" i="8"/>
  <c r="Z4526" i="8" s="1"/>
  <c r="X4527" i="8"/>
  <c r="Z4527" i="8" s="1"/>
  <c r="X4528" i="8"/>
  <c r="Z4528" i="8" s="1"/>
  <c r="X4529" i="8"/>
  <c r="Z4529" i="8" s="1"/>
  <c r="X4530" i="8"/>
  <c r="Z4530" i="8" s="1"/>
  <c r="X4531" i="8"/>
  <c r="Z4531" i="8" s="1"/>
  <c r="X4532" i="8"/>
  <c r="Z4532" i="8" s="1"/>
  <c r="X4533" i="8"/>
  <c r="Z4533" i="8" s="1"/>
  <c r="X4534" i="8"/>
  <c r="Z4534" i="8" s="1"/>
  <c r="X4535" i="8"/>
  <c r="Z4535" i="8" s="1"/>
  <c r="X4536" i="8"/>
  <c r="Z4536" i="8" s="1"/>
  <c r="X4537" i="8"/>
  <c r="Z4537" i="8" s="1"/>
  <c r="X4538" i="8"/>
  <c r="Z4538" i="8" s="1"/>
  <c r="X4539" i="8"/>
  <c r="Z4539" i="8" s="1"/>
  <c r="X4540" i="8"/>
  <c r="Z4540" i="8" s="1"/>
  <c r="X4541" i="8"/>
  <c r="Z4541" i="8" s="1"/>
  <c r="X4542" i="8"/>
  <c r="Z4542" i="8" s="1"/>
  <c r="X4543" i="8"/>
  <c r="Z4543" i="8" s="1"/>
  <c r="X4544" i="8"/>
  <c r="Z4544" i="8" s="1"/>
  <c r="X4545" i="8"/>
  <c r="Z4545" i="8" s="1"/>
  <c r="X4546" i="8"/>
  <c r="Z4546" i="8" s="1"/>
  <c r="X4547" i="8"/>
  <c r="Z4547" i="8" s="1"/>
  <c r="X4548" i="8"/>
  <c r="Z4548" i="8" s="1"/>
  <c r="X4549" i="8"/>
  <c r="Z4549" i="8" s="1"/>
  <c r="X4550" i="8"/>
  <c r="Z4550" i="8" s="1"/>
  <c r="X4551" i="8"/>
  <c r="Z4551" i="8" s="1"/>
  <c r="X4552" i="8"/>
  <c r="Z4552" i="8" s="1"/>
  <c r="X4553" i="8"/>
  <c r="Z4553" i="8" s="1"/>
  <c r="X4554" i="8"/>
  <c r="Z4554" i="8" s="1"/>
  <c r="X4555" i="8"/>
  <c r="Z4555" i="8" s="1"/>
  <c r="X4556" i="8"/>
  <c r="Z4556" i="8" s="1"/>
  <c r="X4557" i="8"/>
  <c r="Z4557" i="8" s="1"/>
  <c r="X4558" i="8"/>
  <c r="Z4558" i="8" s="1"/>
  <c r="X4559" i="8"/>
  <c r="Z4559" i="8" s="1"/>
  <c r="X4560" i="8"/>
  <c r="Z4560" i="8" s="1"/>
  <c r="X4561" i="8"/>
  <c r="Z4561" i="8" s="1"/>
  <c r="X4562" i="8"/>
  <c r="Z4562" i="8" s="1"/>
  <c r="X4563" i="8"/>
  <c r="Z4563" i="8" s="1"/>
  <c r="X4564" i="8"/>
  <c r="Z4564" i="8" s="1"/>
  <c r="X4565" i="8"/>
  <c r="Z4565" i="8" s="1"/>
  <c r="X4566" i="8"/>
  <c r="Z4566" i="8" s="1"/>
  <c r="X4567" i="8"/>
  <c r="Z4567" i="8" s="1"/>
  <c r="X4568" i="8"/>
  <c r="Z4568" i="8" s="1"/>
  <c r="X4569" i="8"/>
  <c r="Z4569" i="8" s="1"/>
  <c r="X4570" i="8"/>
  <c r="Z4570" i="8" s="1"/>
  <c r="X4571" i="8"/>
  <c r="Z4571" i="8" s="1"/>
  <c r="X4572" i="8"/>
  <c r="Z4572" i="8" s="1"/>
  <c r="X4573" i="8"/>
  <c r="Z4573" i="8" s="1"/>
  <c r="X4574" i="8"/>
  <c r="Z4574" i="8" s="1"/>
  <c r="X4575" i="8"/>
  <c r="Z4575" i="8" s="1"/>
  <c r="X4576" i="8"/>
  <c r="Z4576" i="8" s="1"/>
  <c r="X4577" i="8"/>
  <c r="Z4577" i="8" s="1"/>
  <c r="X4578" i="8"/>
  <c r="Z4578" i="8" s="1"/>
  <c r="X4579" i="8"/>
  <c r="Z4579" i="8" s="1"/>
  <c r="X4580" i="8"/>
  <c r="Z4580" i="8" s="1"/>
  <c r="X4581" i="8"/>
  <c r="Z4581" i="8" s="1"/>
  <c r="X4582" i="8"/>
  <c r="Z4582" i="8" s="1"/>
  <c r="X4583" i="8"/>
  <c r="Z4583" i="8" s="1"/>
  <c r="X4584" i="8"/>
  <c r="Z4584" i="8" s="1"/>
  <c r="X4585" i="8"/>
  <c r="Z4585" i="8" s="1"/>
  <c r="X4586" i="8"/>
  <c r="Z4586" i="8" s="1"/>
  <c r="X4587" i="8"/>
  <c r="Z4587" i="8" s="1"/>
  <c r="X4588" i="8"/>
  <c r="Z4588" i="8" s="1"/>
  <c r="X4589" i="8"/>
  <c r="Z4589" i="8" s="1"/>
  <c r="X4590" i="8"/>
  <c r="Z4590" i="8" s="1"/>
  <c r="X4591" i="8"/>
  <c r="Z4591" i="8" s="1"/>
  <c r="X4592" i="8"/>
  <c r="Z4592" i="8" s="1"/>
  <c r="X4593" i="8"/>
  <c r="Z4593" i="8" s="1"/>
  <c r="X4594" i="8"/>
  <c r="Z4594" i="8" s="1"/>
  <c r="X4595" i="8"/>
  <c r="Z4595" i="8" s="1"/>
  <c r="X4596" i="8"/>
  <c r="Z4596" i="8" s="1"/>
  <c r="X4597" i="8"/>
  <c r="Z4597" i="8" s="1"/>
  <c r="X4598" i="8"/>
  <c r="Z4598" i="8" s="1"/>
  <c r="X4599" i="8"/>
  <c r="Z4599" i="8" s="1"/>
  <c r="X4600" i="8"/>
  <c r="Z4600" i="8" s="1"/>
  <c r="X4601" i="8"/>
  <c r="Z4601" i="8" s="1"/>
  <c r="X4602" i="8"/>
  <c r="Z4602" i="8" s="1"/>
  <c r="X4603" i="8"/>
  <c r="Z4603" i="8" s="1"/>
  <c r="X4604" i="8"/>
  <c r="Z4604" i="8" s="1"/>
  <c r="X4605" i="8"/>
  <c r="Z4605" i="8" s="1"/>
  <c r="X4606" i="8"/>
  <c r="Z4606" i="8" s="1"/>
  <c r="X4607" i="8"/>
  <c r="Z4607" i="8" s="1"/>
  <c r="X4608" i="8"/>
  <c r="Z4608" i="8" s="1"/>
  <c r="X4609" i="8"/>
  <c r="Z4609" i="8" s="1"/>
  <c r="X4610" i="8"/>
  <c r="Z4610" i="8" s="1"/>
  <c r="X4611" i="8"/>
  <c r="Z4611" i="8" s="1"/>
  <c r="X4612" i="8"/>
  <c r="Z4612" i="8" s="1"/>
  <c r="X4613" i="8"/>
  <c r="Z4613" i="8" s="1"/>
  <c r="X4614" i="8"/>
  <c r="Z4614" i="8" s="1"/>
  <c r="X4615" i="8"/>
  <c r="Z4615" i="8" s="1"/>
  <c r="X4616" i="8"/>
  <c r="Z4616" i="8" s="1"/>
  <c r="X4617" i="8"/>
  <c r="Z4617" i="8" s="1"/>
  <c r="X4618" i="8"/>
  <c r="Z4618" i="8" s="1"/>
  <c r="X4619" i="8"/>
  <c r="Z4619" i="8" s="1"/>
  <c r="X4620" i="8"/>
  <c r="Z4620" i="8" s="1"/>
  <c r="X4621" i="8"/>
  <c r="Z4621" i="8" s="1"/>
  <c r="X4622" i="8"/>
  <c r="Z4622" i="8" s="1"/>
  <c r="X4623" i="8"/>
  <c r="Z4623" i="8" s="1"/>
  <c r="X4624" i="8"/>
  <c r="Z4624" i="8" s="1"/>
  <c r="X4625" i="8"/>
  <c r="Z4625" i="8" s="1"/>
  <c r="X4626" i="8"/>
  <c r="Z4626" i="8" s="1"/>
  <c r="X4627" i="8"/>
  <c r="Z4627" i="8" s="1"/>
  <c r="X4628" i="8"/>
  <c r="Z4628" i="8" s="1"/>
  <c r="X4629" i="8"/>
  <c r="Z4629" i="8" s="1"/>
  <c r="X4630" i="8"/>
  <c r="Z4630" i="8" s="1"/>
  <c r="X4631" i="8"/>
  <c r="Z4631" i="8" s="1"/>
  <c r="X4632" i="8"/>
  <c r="Z4632" i="8" s="1"/>
  <c r="X4633" i="8"/>
  <c r="Z4633" i="8" s="1"/>
  <c r="X4634" i="8"/>
  <c r="Z4634" i="8" s="1"/>
  <c r="X4635" i="8"/>
  <c r="Z4635" i="8" s="1"/>
  <c r="X4636" i="8"/>
  <c r="Z4636" i="8" s="1"/>
  <c r="X4637" i="8"/>
  <c r="Z4637" i="8" s="1"/>
  <c r="X4638" i="8"/>
  <c r="Z4638" i="8" s="1"/>
  <c r="X4639" i="8"/>
  <c r="Z4639" i="8" s="1"/>
  <c r="X4640" i="8"/>
  <c r="Z4640" i="8" s="1"/>
  <c r="X4641" i="8"/>
  <c r="Z4641" i="8" s="1"/>
  <c r="X4642" i="8"/>
  <c r="Z4642" i="8" s="1"/>
  <c r="X4643" i="8"/>
  <c r="Z4643" i="8" s="1"/>
  <c r="X4644" i="8"/>
  <c r="Z4644" i="8" s="1"/>
  <c r="X4645" i="8"/>
  <c r="Z4645" i="8" s="1"/>
  <c r="X4646" i="8"/>
  <c r="Z4646" i="8" s="1"/>
  <c r="X4647" i="8"/>
  <c r="Z4647" i="8" s="1"/>
  <c r="X4648" i="8"/>
  <c r="Z4648" i="8" s="1"/>
  <c r="X4649" i="8"/>
  <c r="Z4649" i="8" s="1"/>
  <c r="X4650" i="8"/>
  <c r="Z4650" i="8" s="1"/>
  <c r="X4651" i="8"/>
  <c r="Z4651" i="8" s="1"/>
  <c r="X4652" i="8"/>
  <c r="Z4652" i="8" s="1"/>
  <c r="X4653" i="8"/>
  <c r="Z4653" i="8" s="1"/>
  <c r="X4654" i="8"/>
  <c r="Z4654" i="8" s="1"/>
  <c r="X4655" i="8"/>
  <c r="Z4655" i="8" s="1"/>
  <c r="X4656" i="8"/>
  <c r="Z4656" i="8" s="1"/>
  <c r="X4657" i="8"/>
  <c r="Z4657" i="8" s="1"/>
  <c r="X4658" i="8"/>
  <c r="Z4658" i="8" s="1"/>
  <c r="X4659" i="8"/>
  <c r="Z4659" i="8" s="1"/>
  <c r="X4660" i="8"/>
  <c r="Z4660" i="8" s="1"/>
  <c r="X4661" i="8"/>
  <c r="Z4661" i="8" s="1"/>
  <c r="X4662" i="8"/>
  <c r="Z4662" i="8" s="1"/>
  <c r="X4663" i="8"/>
  <c r="Z4663" i="8" s="1"/>
  <c r="X4664" i="8"/>
  <c r="Z4664" i="8" s="1"/>
  <c r="X4665" i="8"/>
  <c r="Z4665" i="8" s="1"/>
  <c r="X4666" i="8"/>
  <c r="Z4666" i="8" s="1"/>
  <c r="X4667" i="8"/>
  <c r="Z4667" i="8" s="1"/>
  <c r="X4668" i="8"/>
  <c r="Z4668" i="8" s="1"/>
  <c r="X4669" i="8"/>
  <c r="Z4669" i="8" s="1"/>
  <c r="X4670" i="8"/>
  <c r="Z4670" i="8" s="1"/>
  <c r="X4671" i="8"/>
  <c r="Z4671" i="8" s="1"/>
  <c r="X4672" i="8"/>
  <c r="Z4672" i="8" s="1"/>
  <c r="X4673" i="8"/>
  <c r="Z4673" i="8" s="1"/>
  <c r="X4674" i="8"/>
  <c r="Z4674" i="8" s="1"/>
  <c r="X4675" i="8"/>
  <c r="Z4675" i="8" s="1"/>
  <c r="X4676" i="8"/>
  <c r="Z4676" i="8" s="1"/>
  <c r="X4677" i="8"/>
  <c r="Z4677" i="8" s="1"/>
  <c r="X4678" i="8"/>
  <c r="Z4678" i="8" s="1"/>
  <c r="X4679" i="8"/>
  <c r="Z4679" i="8" s="1"/>
  <c r="X4680" i="8"/>
  <c r="Z4680" i="8" s="1"/>
  <c r="X4681" i="8"/>
  <c r="Z4681" i="8" s="1"/>
  <c r="X4682" i="8"/>
  <c r="Z4682" i="8" s="1"/>
  <c r="X4683" i="8"/>
  <c r="Z4683" i="8" s="1"/>
  <c r="X4684" i="8"/>
  <c r="Z4684" i="8" s="1"/>
  <c r="X4685" i="8"/>
  <c r="Z4685" i="8" s="1"/>
  <c r="X4686" i="8"/>
  <c r="Z4686" i="8" s="1"/>
  <c r="X4687" i="8"/>
  <c r="Z4687" i="8" s="1"/>
  <c r="X4688" i="8"/>
  <c r="Z4688" i="8" s="1"/>
  <c r="X4689" i="8"/>
  <c r="Z4689" i="8" s="1"/>
  <c r="X4690" i="8"/>
  <c r="Z4690" i="8" s="1"/>
  <c r="X4691" i="8"/>
  <c r="Z4691" i="8" s="1"/>
  <c r="X4692" i="8"/>
  <c r="Z4692" i="8" s="1"/>
  <c r="X4693" i="8"/>
  <c r="Z4693" i="8" s="1"/>
  <c r="X4694" i="8"/>
  <c r="Z4694" i="8" s="1"/>
  <c r="X4695" i="8"/>
  <c r="Z4695" i="8" s="1"/>
  <c r="X4696" i="8"/>
  <c r="Z4696" i="8" s="1"/>
  <c r="X4697" i="8"/>
  <c r="Z4697" i="8" s="1"/>
  <c r="X4698" i="8"/>
  <c r="Z4698" i="8" s="1"/>
  <c r="X4699" i="8"/>
  <c r="Z4699" i="8" s="1"/>
  <c r="X4700" i="8"/>
  <c r="Z4700" i="8" s="1"/>
  <c r="X4701" i="8"/>
  <c r="Z4701" i="8" s="1"/>
  <c r="X4702" i="8"/>
  <c r="Z4702" i="8" s="1"/>
  <c r="X4703" i="8"/>
  <c r="Z4703" i="8" s="1"/>
  <c r="X4704" i="8"/>
  <c r="Z4704" i="8" s="1"/>
  <c r="X4705" i="8"/>
  <c r="Z4705" i="8" s="1"/>
  <c r="X4706" i="8"/>
  <c r="Z4706" i="8" s="1"/>
  <c r="X4707" i="8"/>
  <c r="Z4707" i="8" s="1"/>
  <c r="X4708" i="8"/>
  <c r="Z4708" i="8" s="1"/>
  <c r="X4709" i="8"/>
  <c r="Z4709" i="8" s="1"/>
  <c r="X4710" i="8"/>
  <c r="Z4710" i="8" s="1"/>
  <c r="X4711" i="8"/>
  <c r="Z4711" i="8" s="1"/>
  <c r="X4712" i="8"/>
  <c r="Z4712" i="8" s="1"/>
  <c r="X4713" i="8"/>
  <c r="Z4713" i="8" s="1"/>
  <c r="X4714" i="8"/>
  <c r="Z4714" i="8" s="1"/>
  <c r="X4715" i="8"/>
  <c r="Z4715" i="8" s="1"/>
  <c r="X4716" i="8"/>
  <c r="Z4716" i="8" s="1"/>
  <c r="X4717" i="8"/>
  <c r="Z4717" i="8" s="1"/>
  <c r="X4718" i="8"/>
  <c r="Z4718" i="8" s="1"/>
  <c r="X4719" i="8"/>
  <c r="Z4719" i="8" s="1"/>
  <c r="X4720" i="8"/>
  <c r="Z4720" i="8" s="1"/>
  <c r="X4721" i="8"/>
  <c r="Z4721" i="8" s="1"/>
  <c r="X4722" i="8"/>
  <c r="Z4722" i="8" s="1"/>
  <c r="X4723" i="8"/>
  <c r="Z4723" i="8" s="1"/>
  <c r="X4724" i="8"/>
  <c r="Z4724" i="8" s="1"/>
  <c r="X4725" i="8"/>
  <c r="Z4725" i="8" s="1"/>
  <c r="X4726" i="8"/>
  <c r="Z4726" i="8" s="1"/>
  <c r="X4727" i="8"/>
  <c r="Z4727" i="8" s="1"/>
  <c r="X4728" i="8"/>
  <c r="Z4728" i="8" s="1"/>
  <c r="X4729" i="8"/>
  <c r="Z4729" i="8" s="1"/>
  <c r="X4730" i="8"/>
  <c r="Z4730" i="8" s="1"/>
  <c r="X4731" i="8"/>
  <c r="Z4731" i="8" s="1"/>
  <c r="X4732" i="8"/>
  <c r="Z4732" i="8" s="1"/>
  <c r="X4733" i="8"/>
  <c r="Z4733" i="8" s="1"/>
  <c r="X4734" i="8"/>
  <c r="Z4734" i="8" s="1"/>
  <c r="X4735" i="8"/>
  <c r="Z4735" i="8" s="1"/>
  <c r="X4736" i="8"/>
  <c r="Z4736" i="8" s="1"/>
  <c r="X4737" i="8"/>
  <c r="Z4737" i="8" s="1"/>
  <c r="X4738" i="8"/>
  <c r="Z4738" i="8" s="1"/>
  <c r="X4739" i="8"/>
  <c r="Z4739" i="8" s="1"/>
  <c r="X4740" i="8"/>
  <c r="Z4740" i="8" s="1"/>
  <c r="X4741" i="8"/>
  <c r="Z4741" i="8" s="1"/>
  <c r="X4742" i="8"/>
  <c r="Z4742" i="8" s="1"/>
  <c r="X4743" i="8"/>
  <c r="Z4743" i="8" s="1"/>
  <c r="X4744" i="8"/>
  <c r="Z4744" i="8" s="1"/>
  <c r="X4745" i="8"/>
  <c r="Z4745" i="8" s="1"/>
  <c r="X4746" i="8"/>
  <c r="Z4746" i="8" s="1"/>
  <c r="X4747" i="8"/>
  <c r="Z4747" i="8" s="1"/>
  <c r="X4748" i="8"/>
  <c r="Z4748" i="8" s="1"/>
  <c r="X4749" i="8"/>
  <c r="Z4749" i="8" s="1"/>
  <c r="X4750" i="8"/>
  <c r="Z4750" i="8" s="1"/>
  <c r="X4751" i="8"/>
  <c r="Z4751" i="8" s="1"/>
  <c r="X4752" i="8"/>
  <c r="Z4752" i="8" s="1"/>
  <c r="X4753" i="8"/>
  <c r="Z4753" i="8" s="1"/>
  <c r="X4754" i="8"/>
  <c r="Z4754" i="8" s="1"/>
  <c r="X4755" i="8"/>
  <c r="Z4755" i="8" s="1"/>
  <c r="X4756" i="8"/>
  <c r="Z4756" i="8" s="1"/>
  <c r="X4757" i="8"/>
  <c r="Z4757" i="8" s="1"/>
  <c r="X4758" i="8"/>
  <c r="Z4758" i="8" s="1"/>
  <c r="X4759" i="8"/>
  <c r="Z4759" i="8" s="1"/>
  <c r="X4760" i="8"/>
  <c r="Z4760" i="8" s="1"/>
  <c r="X4761" i="8"/>
  <c r="Z4761" i="8" s="1"/>
  <c r="X4762" i="8"/>
  <c r="Z4762" i="8" s="1"/>
  <c r="X4763" i="8"/>
  <c r="Z4763" i="8" s="1"/>
  <c r="X4764" i="8"/>
  <c r="Z4764" i="8" s="1"/>
  <c r="X4765" i="8"/>
  <c r="Z4765" i="8" s="1"/>
  <c r="X4766" i="8"/>
  <c r="Z4766" i="8" s="1"/>
  <c r="X4767" i="8"/>
  <c r="Z4767" i="8" s="1"/>
  <c r="X4768" i="8"/>
  <c r="Z4768" i="8" s="1"/>
  <c r="X4769" i="8"/>
  <c r="Z4769" i="8" s="1"/>
  <c r="X4770" i="8"/>
  <c r="Z4770" i="8" s="1"/>
  <c r="X4771" i="8"/>
  <c r="Z4771" i="8" s="1"/>
  <c r="X4772" i="8"/>
  <c r="Z4772" i="8" s="1"/>
  <c r="X4773" i="8"/>
  <c r="Z4773" i="8" s="1"/>
  <c r="X4774" i="8"/>
  <c r="Z4774" i="8" s="1"/>
  <c r="X4775" i="8"/>
  <c r="Z4775" i="8" s="1"/>
  <c r="X4776" i="8"/>
  <c r="Z4776" i="8" s="1"/>
  <c r="X4777" i="8"/>
  <c r="Z4777" i="8" s="1"/>
  <c r="X4778" i="8"/>
  <c r="Z4778" i="8" s="1"/>
  <c r="X4779" i="8"/>
  <c r="Z4779" i="8" s="1"/>
  <c r="X4780" i="8"/>
  <c r="Z4780" i="8" s="1"/>
  <c r="X4781" i="8"/>
  <c r="Z4781" i="8" s="1"/>
  <c r="X4782" i="8"/>
  <c r="Z4782" i="8" s="1"/>
  <c r="X4783" i="8"/>
  <c r="Z4783" i="8" s="1"/>
  <c r="X4784" i="8"/>
  <c r="Z4784" i="8" s="1"/>
  <c r="X4785" i="8"/>
  <c r="Z4785" i="8" s="1"/>
  <c r="X4786" i="8"/>
  <c r="Z4786" i="8" s="1"/>
  <c r="X4787" i="8"/>
  <c r="Z4787" i="8" s="1"/>
  <c r="X4788" i="8"/>
  <c r="Z4788" i="8" s="1"/>
  <c r="X4789" i="8"/>
  <c r="Z4789" i="8" s="1"/>
  <c r="X4790" i="8"/>
  <c r="Z4790" i="8" s="1"/>
  <c r="X4791" i="8"/>
  <c r="Z4791" i="8" s="1"/>
  <c r="X4792" i="8"/>
  <c r="Z4792" i="8" s="1"/>
  <c r="X4793" i="8"/>
  <c r="Z4793" i="8" s="1"/>
  <c r="X4794" i="8"/>
  <c r="Z4794" i="8" s="1"/>
  <c r="X4795" i="8"/>
  <c r="Z4795" i="8" s="1"/>
  <c r="X4796" i="8"/>
  <c r="Z4796" i="8" s="1"/>
  <c r="X4797" i="8"/>
  <c r="Z4797" i="8" s="1"/>
  <c r="X4798" i="8"/>
  <c r="Z4798" i="8" s="1"/>
  <c r="X4799" i="8"/>
  <c r="Z4799" i="8" s="1"/>
  <c r="X4800" i="8"/>
  <c r="Z4800" i="8" s="1"/>
  <c r="X4801" i="8"/>
  <c r="Z4801" i="8" s="1"/>
  <c r="X4802" i="8"/>
  <c r="Z4802" i="8" s="1"/>
  <c r="X4803" i="8"/>
  <c r="Z4803" i="8" s="1"/>
  <c r="X4804" i="8"/>
  <c r="Z4804" i="8" s="1"/>
  <c r="X4805" i="8"/>
  <c r="Z4805" i="8" s="1"/>
  <c r="X4806" i="8"/>
  <c r="Z4806" i="8" s="1"/>
  <c r="X4807" i="8"/>
  <c r="Z4807" i="8" s="1"/>
  <c r="X4808" i="8"/>
  <c r="Z4808" i="8" s="1"/>
  <c r="X4809" i="8"/>
  <c r="Z4809" i="8" s="1"/>
  <c r="X4810" i="8"/>
  <c r="Z4810" i="8" s="1"/>
  <c r="X4811" i="8"/>
  <c r="Z4811" i="8" s="1"/>
  <c r="X4812" i="8"/>
  <c r="Z4812" i="8" s="1"/>
  <c r="X4813" i="8"/>
  <c r="Z4813" i="8" s="1"/>
  <c r="X4814" i="8"/>
  <c r="Z4814" i="8" s="1"/>
  <c r="X4815" i="8"/>
  <c r="Z4815" i="8" s="1"/>
  <c r="X4816" i="8"/>
  <c r="Z4816" i="8" s="1"/>
  <c r="X4817" i="8"/>
  <c r="Z4817" i="8" s="1"/>
  <c r="X4818" i="8"/>
  <c r="Z4818" i="8" s="1"/>
  <c r="X4819" i="8"/>
  <c r="Z4819" i="8" s="1"/>
  <c r="X4820" i="8"/>
  <c r="Z4820" i="8" s="1"/>
  <c r="X4821" i="8"/>
  <c r="Z4821" i="8" s="1"/>
  <c r="X4822" i="8"/>
  <c r="Z4822" i="8" s="1"/>
  <c r="X4823" i="8"/>
  <c r="Z4823" i="8" s="1"/>
  <c r="X4824" i="8"/>
  <c r="Z4824" i="8" s="1"/>
  <c r="X4825" i="8"/>
  <c r="Z4825" i="8" s="1"/>
  <c r="X4826" i="8"/>
  <c r="Z4826" i="8" s="1"/>
  <c r="X4827" i="8"/>
  <c r="Z4827" i="8" s="1"/>
  <c r="X4828" i="8"/>
  <c r="Z4828" i="8" s="1"/>
  <c r="X4829" i="8"/>
  <c r="Z4829" i="8" s="1"/>
  <c r="X4830" i="8"/>
  <c r="Z4830" i="8" s="1"/>
  <c r="X4831" i="8"/>
  <c r="Z4831" i="8" s="1"/>
  <c r="X4832" i="8"/>
  <c r="Z4832" i="8" s="1"/>
  <c r="X4833" i="8"/>
  <c r="Z4833" i="8" s="1"/>
  <c r="X4834" i="8"/>
  <c r="Z4834" i="8" s="1"/>
  <c r="X4835" i="8"/>
  <c r="Z4835" i="8" s="1"/>
  <c r="X4836" i="8"/>
  <c r="Z4836" i="8" s="1"/>
  <c r="X4837" i="8"/>
  <c r="Z4837" i="8" s="1"/>
  <c r="X4838" i="8"/>
  <c r="Z4838" i="8" s="1"/>
  <c r="X4839" i="8"/>
  <c r="Z4839" i="8" s="1"/>
  <c r="X4840" i="8"/>
  <c r="Z4840" i="8" s="1"/>
  <c r="X4841" i="8"/>
  <c r="Z4841" i="8" s="1"/>
  <c r="X4842" i="8"/>
  <c r="Z4842" i="8" s="1"/>
  <c r="X4843" i="8"/>
  <c r="Z4843" i="8" s="1"/>
  <c r="X4844" i="8"/>
  <c r="Z4844" i="8" s="1"/>
  <c r="X4845" i="8"/>
  <c r="Z4845" i="8" s="1"/>
  <c r="X4846" i="8"/>
  <c r="Z4846" i="8" s="1"/>
  <c r="X4847" i="8"/>
  <c r="Z4847" i="8" s="1"/>
  <c r="X4848" i="8"/>
  <c r="Z4848" i="8" s="1"/>
  <c r="X4849" i="8"/>
  <c r="Z4849" i="8" s="1"/>
  <c r="X4850" i="8"/>
  <c r="Z4850" i="8" s="1"/>
  <c r="X4851" i="8"/>
  <c r="Z4851" i="8" s="1"/>
  <c r="X4852" i="8"/>
  <c r="Z4852" i="8" s="1"/>
  <c r="X4853" i="8"/>
  <c r="Z4853" i="8" s="1"/>
  <c r="X4854" i="8"/>
  <c r="Z4854" i="8" s="1"/>
  <c r="X4855" i="8"/>
  <c r="Z4855" i="8" s="1"/>
  <c r="X4856" i="8"/>
  <c r="Z4856" i="8" s="1"/>
  <c r="X4857" i="8"/>
  <c r="Z4857" i="8" s="1"/>
  <c r="X4858" i="8"/>
  <c r="Z4858" i="8" s="1"/>
  <c r="X4859" i="8"/>
  <c r="Z4859" i="8" s="1"/>
  <c r="X4860" i="8"/>
  <c r="Z4860" i="8" s="1"/>
  <c r="X4861" i="8"/>
  <c r="Z4861" i="8" s="1"/>
  <c r="X4862" i="8"/>
  <c r="Z4862" i="8" s="1"/>
  <c r="X4863" i="8"/>
  <c r="Z4863" i="8" s="1"/>
  <c r="X4864" i="8"/>
  <c r="Z4864" i="8" s="1"/>
  <c r="X4865" i="8"/>
  <c r="Z4865" i="8" s="1"/>
  <c r="X4866" i="8"/>
  <c r="Z4866" i="8" s="1"/>
  <c r="X4867" i="8"/>
  <c r="Z4867" i="8" s="1"/>
  <c r="X4868" i="8"/>
  <c r="Z4868" i="8" s="1"/>
  <c r="X4869" i="8"/>
  <c r="Z4869" i="8" s="1"/>
  <c r="X4870" i="8"/>
  <c r="Z4870" i="8" s="1"/>
  <c r="X4871" i="8"/>
  <c r="Z4871" i="8" s="1"/>
  <c r="X4872" i="8"/>
  <c r="Z4872" i="8" s="1"/>
  <c r="X4873" i="8"/>
  <c r="Z4873" i="8" s="1"/>
  <c r="X4874" i="8"/>
  <c r="Z4874" i="8" s="1"/>
  <c r="X4875" i="8"/>
  <c r="Z4875" i="8" s="1"/>
  <c r="X4876" i="8"/>
  <c r="Z4876" i="8" s="1"/>
  <c r="X4877" i="8"/>
  <c r="Z4877" i="8" s="1"/>
  <c r="X4878" i="8"/>
  <c r="Z4878" i="8" s="1"/>
  <c r="X4879" i="8"/>
  <c r="Z4879" i="8" s="1"/>
  <c r="X4880" i="8"/>
  <c r="Z4880" i="8" s="1"/>
  <c r="X4881" i="8"/>
  <c r="Z4881" i="8" s="1"/>
  <c r="X4882" i="8"/>
  <c r="Z4882" i="8" s="1"/>
  <c r="X4883" i="8"/>
  <c r="Z4883" i="8" s="1"/>
  <c r="X4884" i="8"/>
  <c r="Z4884" i="8" s="1"/>
  <c r="X4885" i="8"/>
  <c r="Z4885" i="8" s="1"/>
  <c r="X4886" i="8"/>
  <c r="Z4886" i="8" s="1"/>
  <c r="X4887" i="8"/>
  <c r="Z4887" i="8" s="1"/>
  <c r="X4888" i="8"/>
  <c r="Z4888" i="8" s="1"/>
  <c r="X4889" i="8"/>
  <c r="Z4889" i="8" s="1"/>
  <c r="X4890" i="8"/>
  <c r="Z4890" i="8" s="1"/>
  <c r="X4891" i="8"/>
  <c r="Z4891" i="8" s="1"/>
  <c r="X4892" i="8"/>
  <c r="Z4892" i="8" s="1"/>
  <c r="X4893" i="8"/>
  <c r="Z4893" i="8" s="1"/>
  <c r="X4894" i="8"/>
  <c r="Z4894" i="8" s="1"/>
  <c r="X4895" i="8"/>
  <c r="Z4895" i="8" s="1"/>
  <c r="X4896" i="8"/>
  <c r="Z4896" i="8" s="1"/>
  <c r="X4897" i="8"/>
  <c r="Z4897" i="8" s="1"/>
  <c r="X4898" i="8"/>
  <c r="Z4898" i="8" s="1"/>
  <c r="X4899" i="8"/>
  <c r="Z4899" i="8" s="1"/>
  <c r="X4900" i="8"/>
  <c r="Z4900" i="8" s="1"/>
  <c r="X4901" i="8"/>
  <c r="Z4901" i="8" s="1"/>
  <c r="X4902" i="8"/>
  <c r="Z4902" i="8" s="1"/>
  <c r="X4903" i="8"/>
  <c r="Z4903" i="8" s="1"/>
  <c r="X4904" i="8"/>
  <c r="Z4904" i="8" s="1"/>
  <c r="X4905" i="8"/>
  <c r="Z4905" i="8" s="1"/>
  <c r="X4906" i="8"/>
  <c r="Z4906" i="8" s="1"/>
  <c r="X4907" i="8"/>
  <c r="Z4907" i="8" s="1"/>
  <c r="X4908" i="8"/>
  <c r="Z4908" i="8" s="1"/>
  <c r="X4909" i="8"/>
  <c r="Z4909" i="8" s="1"/>
  <c r="X4910" i="8"/>
  <c r="Z4910" i="8" s="1"/>
  <c r="X4911" i="8"/>
  <c r="Z4911" i="8" s="1"/>
  <c r="X4912" i="8"/>
  <c r="Z4912" i="8" s="1"/>
  <c r="X4913" i="8"/>
  <c r="Z4913" i="8" s="1"/>
  <c r="X4914" i="8"/>
  <c r="Z4914" i="8" s="1"/>
  <c r="X4915" i="8"/>
  <c r="Z4915" i="8" s="1"/>
  <c r="X4916" i="8"/>
  <c r="Z4916" i="8" s="1"/>
  <c r="X4917" i="8"/>
  <c r="Z4917" i="8" s="1"/>
  <c r="X4918" i="8"/>
  <c r="Z4918" i="8" s="1"/>
  <c r="X4919" i="8"/>
  <c r="Z4919" i="8" s="1"/>
  <c r="X4920" i="8"/>
  <c r="Z4920" i="8" s="1"/>
  <c r="X4921" i="8"/>
  <c r="Z4921" i="8" s="1"/>
  <c r="X4922" i="8"/>
  <c r="Z4922" i="8" s="1"/>
  <c r="X4923" i="8"/>
  <c r="Z4923" i="8" s="1"/>
  <c r="X4924" i="8"/>
  <c r="Z4924" i="8" s="1"/>
  <c r="X4925" i="8"/>
  <c r="Z4925" i="8" s="1"/>
  <c r="X4926" i="8"/>
  <c r="Z4926" i="8" s="1"/>
  <c r="X4927" i="8"/>
  <c r="Z4927" i="8" s="1"/>
  <c r="X4928" i="8"/>
  <c r="Z4928" i="8" s="1"/>
  <c r="X4929" i="8"/>
  <c r="Z4929" i="8" s="1"/>
  <c r="X4930" i="8"/>
  <c r="Z4930" i="8" s="1"/>
  <c r="X4931" i="8"/>
  <c r="Z4931" i="8" s="1"/>
  <c r="X4932" i="8"/>
  <c r="Z4932" i="8" s="1"/>
  <c r="X4933" i="8"/>
  <c r="Z4933" i="8" s="1"/>
  <c r="X4934" i="8"/>
  <c r="Z4934" i="8" s="1"/>
  <c r="X4935" i="8"/>
  <c r="Z4935" i="8" s="1"/>
  <c r="X4936" i="8"/>
  <c r="Z4936" i="8" s="1"/>
  <c r="X4937" i="8"/>
  <c r="Z4937" i="8" s="1"/>
  <c r="X4938" i="8"/>
  <c r="Z4938" i="8" s="1"/>
  <c r="X4939" i="8"/>
  <c r="Z4939" i="8" s="1"/>
  <c r="X4940" i="8"/>
  <c r="Z4940" i="8" s="1"/>
  <c r="X4941" i="8"/>
  <c r="Z4941" i="8" s="1"/>
  <c r="X4942" i="8"/>
  <c r="Z4942" i="8" s="1"/>
  <c r="X4943" i="8"/>
  <c r="Z4943" i="8" s="1"/>
  <c r="X4944" i="8"/>
  <c r="Z4944" i="8" s="1"/>
  <c r="X4945" i="8"/>
  <c r="Z4945" i="8" s="1"/>
  <c r="X4946" i="8"/>
  <c r="Z4946" i="8" s="1"/>
  <c r="X4947" i="8"/>
  <c r="Z4947" i="8" s="1"/>
  <c r="X4948" i="8"/>
  <c r="Z4948" i="8" s="1"/>
  <c r="X4949" i="8"/>
  <c r="Z4949" i="8" s="1"/>
  <c r="X4950" i="8"/>
  <c r="Z4950" i="8" s="1"/>
  <c r="X4951" i="8"/>
  <c r="Z4951" i="8" s="1"/>
  <c r="X4952" i="8"/>
  <c r="Z4952" i="8" s="1"/>
  <c r="X4953" i="8"/>
  <c r="Z4953" i="8" s="1"/>
  <c r="X4954" i="8"/>
  <c r="Z4954" i="8" s="1"/>
  <c r="X4955" i="8"/>
  <c r="Z4955" i="8" s="1"/>
  <c r="X4956" i="8"/>
  <c r="Z4956" i="8" s="1"/>
  <c r="X4957" i="8"/>
  <c r="Z4957" i="8" s="1"/>
  <c r="X4958" i="8"/>
  <c r="Z4958" i="8" s="1"/>
  <c r="X4959" i="8"/>
  <c r="Z4959" i="8" s="1"/>
  <c r="X4960" i="8"/>
  <c r="Z4960" i="8" s="1"/>
  <c r="X4961" i="8"/>
  <c r="Z4961" i="8" s="1"/>
  <c r="X4962" i="8"/>
  <c r="Z4962" i="8" s="1"/>
  <c r="X4963" i="8"/>
  <c r="Z4963" i="8" s="1"/>
  <c r="X4964" i="8"/>
  <c r="Z4964" i="8" s="1"/>
  <c r="X4965" i="8"/>
  <c r="Z4965" i="8" s="1"/>
  <c r="X4966" i="8"/>
  <c r="Z4966" i="8" s="1"/>
  <c r="X4967" i="8"/>
  <c r="Z4967" i="8" s="1"/>
  <c r="X4968" i="8"/>
  <c r="Z4968" i="8" s="1"/>
  <c r="X4969" i="8"/>
  <c r="Z4969" i="8" s="1"/>
  <c r="X4970" i="8"/>
  <c r="Z4970" i="8" s="1"/>
  <c r="X4971" i="8"/>
  <c r="Z4971" i="8" s="1"/>
  <c r="X4972" i="8"/>
  <c r="Z4972" i="8" s="1"/>
  <c r="X4973" i="8"/>
  <c r="Z4973" i="8" s="1"/>
  <c r="X4974" i="8"/>
  <c r="Z4974" i="8" s="1"/>
  <c r="X4975" i="8"/>
  <c r="Z4975" i="8" s="1"/>
  <c r="X4976" i="8"/>
  <c r="Z4976" i="8" s="1"/>
  <c r="X4977" i="8"/>
  <c r="Z4977" i="8" s="1"/>
  <c r="X4978" i="8"/>
  <c r="Z4978" i="8" s="1"/>
  <c r="X4979" i="8"/>
  <c r="Z4979" i="8" s="1"/>
  <c r="X4980" i="8"/>
  <c r="Z4980" i="8" s="1"/>
  <c r="X4981" i="8"/>
  <c r="Z4981" i="8" s="1"/>
  <c r="X4982" i="8"/>
  <c r="Z4982" i="8" s="1"/>
  <c r="X4983" i="8"/>
  <c r="Z4983" i="8" s="1"/>
  <c r="X4984" i="8"/>
  <c r="Z4984" i="8" s="1"/>
  <c r="X4985" i="8"/>
  <c r="Z4985" i="8" s="1"/>
  <c r="X4986" i="8"/>
  <c r="Z4986" i="8" s="1"/>
  <c r="X4987" i="8"/>
  <c r="Z4987" i="8" s="1"/>
  <c r="X4988" i="8"/>
  <c r="Z4988" i="8" s="1"/>
  <c r="X4989" i="8"/>
  <c r="Z4989" i="8" s="1"/>
  <c r="X4990" i="8"/>
  <c r="Z4990" i="8" s="1"/>
  <c r="X4991" i="8"/>
  <c r="Z4991" i="8" s="1"/>
  <c r="X4992" i="8"/>
  <c r="Z4992" i="8" s="1"/>
  <c r="X4993" i="8"/>
  <c r="Z4993" i="8" s="1"/>
  <c r="X4994" i="8"/>
  <c r="Z4994" i="8" s="1"/>
  <c r="X4995" i="8"/>
  <c r="Z4995" i="8" s="1"/>
  <c r="X4996" i="8"/>
  <c r="Z4996" i="8" s="1"/>
  <c r="X4997" i="8"/>
  <c r="Z4997" i="8" s="1"/>
  <c r="X4998" i="8"/>
  <c r="Z4998" i="8" s="1"/>
  <c r="X4999" i="8"/>
  <c r="Z4999" i="8" s="1"/>
  <c r="X5000" i="8"/>
  <c r="Z5000" i="8" s="1"/>
  <c r="X5001" i="8"/>
  <c r="Z5001" i="8" s="1"/>
  <c r="X5002" i="8"/>
  <c r="Z5002" i="8" s="1"/>
  <c r="X5003" i="8"/>
  <c r="Z5003" i="8" s="1"/>
  <c r="X5004" i="8"/>
  <c r="Z5004" i="8" s="1"/>
  <c r="X5005" i="8"/>
  <c r="Z5005" i="8" s="1"/>
  <c r="X5006" i="8"/>
  <c r="Z5006" i="8" s="1"/>
  <c r="X5007" i="8"/>
  <c r="Z5007" i="8" s="1"/>
  <c r="X5008" i="8"/>
  <c r="Z5008" i="8" s="1"/>
  <c r="X5009" i="8"/>
  <c r="Z5009" i="8" s="1"/>
  <c r="X5010" i="8"/>
  <c r="Z5010" i="8" s="1"/>
  <c r="X5011" i="8"/>
  <c r="Z5011" i="8" s="1"/>
  <c r="X5012" i="8"/>
  <c r="Z5012" i="8" s="1"/>
  <c r="X5013" i="8"/>
  <c r="Z5013" i="8" s="1"/>
  <c r="X5014" i="8"/>
  <c r="Z5014" i="8" s="1"/>
  <c r="X5015" i="8"/>
  <c r="Z5015" i="8" s="1"/>
  <c r="X5016" i="8"/>
  <c r="Z5016" i="8" s="1"/>
  <c r="X5017" i="8"/>
  <c r="Z5017" i="8" s="1"/>
  <c r="X5018" i="8"/>
  <c r="Z5018" i="8" s="1"/>
  <c r="X5019" i="8"/>
  <c r="Z5019" i="8" s="1"/>
  <c r="X5020" i="8"/>
  <c r="Z5020" i="8" s="1"/>
  <c r="X5021" i="8"/>
  <c r="Z5021" i="8" s="1"/>
  <c r="X5022" i="8"/>
  <c r="Z5022" i="8" s="1"/>
  <c r="X5023" i="8"/>
  <c r="Z5023" i="8" s="1"/>
  <c r="X5024" i="8"/>
  <c r="Z5024" i="8" s="1"/>
  <c r="X5025" i="8"/>
  <c r="Z5025" i="8" s="1"/>
  <c r="X5026" i="8"/>
  <c r="Z5026" i="8" s="1"/>
  <c r="X5027" i="8"/>
  <c r="Z5027" i="8" s="1"/>
  <c r="X5028" i="8"/>
  <c r="Z5028" i="8" s="1"/>
  <c r="X5029" i="8"/>
  <c r="Z5029" i="8" s="1"/>
  <c r="X5030" i="8"/>
  <c r="Z5030" i="8" s="1"/>
  <c r="X5031" i="8"/>
  <c r="Z5031" i="8" s="1"/>
  <c r="X5032" i="8"/>
  <c r="Z5032" i="8" s="1"/>
  <c r="X5033" i="8"/>
  <c r="Z5033" i="8" s="1"/>
  <c r="X5034" i="8"/>
  <c r="Z5034" i="8" s="1"/>
  <c r="X5035" i="8"/>
  <c r="Z5035" i="8" s="1"/>
  <c r="X5036" i="8"/>
  <c r="Z5036" i="8" s="1"/>
  <c r="X5037" i="8"/>
  <c r="Z5037" i="8" s="1"/>
  <c r="X5038" i="8"/>
  <c r="Z5038" i="8" s="1"/>
  <c r="X5039" i="8"/>
  <c r="Z5039" i="8" s="1"/>
  <c r="X5040" i="8"/>
  <c r="Z5040" i="8" s="1"/>
  <c r="X5041" i="8"/>
  <c r="Z5041" i="8" s="1"/>
  <c r="X5042" i="8"/>
  <c r="Z5042" i="8" s="1"/>
  <c r="X5043" i="8"/>
  <c r="Z5043" i="8" s="1"/>
  <c r="X5044" i="8"/>
  <c r="Z5044" i="8" s="1"/>
  <c r="X5045" i="8"/>
  <c r="Z5045" i="8" s="1"/>
  <c r="X5046" i="8"/>
  <c r="Z5046" i="8" s="1"/>
  <c r="X5047" i="8"/>
  <c r="Z5047" i="8" s="1"/>
  <c r="X5048" i="8"/>
  <c r="Z5048" i="8" s="1"/>
  <c r="X5049" i="8"/>
  <c r="Z5049" i="8" s="1"/>
  <c r="X5050" i="8"/>
  <c r="Z5050" i="8" s="1"/>
  <c r="X5051" i="8"/>
  <c r="Z5051" i="8" s="1"/>
  <c r="X5052" i="8"/>
  <c r="Z5052" i="8" s="1"/>
  <c r="X5053" i="8"/>
  <c r="Z5053" i="8" s="1"/>
  <c r="X5054" i="8"/>
  <c r="Z5054" i="8" s="1"/>
  <c r="X5055" i="8"/>
  <c r="Z5055" i="8" s="1"/>
  <c r="X5056" i="8"/>
  <c r="Z5056" i="8" s="1"/>
  <c r="X5057" i="8"/>
  <c r="Z5057" i="8" s="1"/>
  <c r="X5058" i="8"/>
  <c r="Z5058" i="8" s="1"/>
  <c r="X5059" i="8"/>
  <c r="Z5059" i="8" s="1"/>
  <c r="X5060" i="8"/>
  <c r="Z5060" i="8" s="1"/>
  <c r="X5061" i="8"/>
  <c r="Z5061" i="8" s="1"/>
  <c r="X5062" i="8"/>
  <c r="Z5062" i="8" s="1"/>
  <c r="X5063" i="8"/>
  <c r="Z5063" i="8" s="1"/>
  <c r="X5064" i="8"/>
  <c r="Z5064" i="8" s="1"/>
  <c r="X5065" i="8"/>
  <c r="Z5065" i="8" s="1"/>
  <c r="X5066" i="8"/>
  <c r="Z5066" i="8" s="1"/>
  <c r="X5067" i="8"/>
  <c r="Z5067" i="8" s="1"/>
  <c r="X5068" i="8"/>
  <c r="Z5068" i="8" s="1"/>
  <c r="X5069" i="8"/>
  <c r="Z5069" i="8" s="1"/>
  <c r="X5070" i="8"/>
  <c r="Z5070" i="8" s="1"/>
  <c r="X5071" i="8"/>
  <c r="Z5071" i="8" s="1"/>
  <c r="X5072" i="8"/>
  <c r="Z5072" i="8" s="1"/>
  <c r="X5073" i="8"/>
  <c r="Z5073" i="8" s="1"/>
  <c r="X5074" i="8"/>
  <c r="Z5074" i="8" s="1"/>
  <c r="X5075" i="8"/>
  <c r="Z5075" i="8" s="1"/>
  <c r="X5076" i="8"/>
  <c r="Z5076" i="8" s="1"/>
  <c r="X5077" i="8"/>
  <c r="Z5077" i="8" s="1"/>
  <c r="X5078" i="8"/>
  <c r="Z5078" i="8" s="1"/>
  <c r="X5079" i="8"/>
  <c r="Z5079" i="8" s="1"/>
  <c r="X5080" i="8"/>
  <c r="Z5080" i="8" s="1"/>
  <c r="X5081" i="8"/>
  <c r="Z5081" i="8" s="1"/>
  <c r="X5082" i="8"/>
  <c r="Z5082" i="8" s="1"/>
  <c r="X5083" i="8"/>
  <c r="Z5083" i="8" s="1"/>
  <c r="X5084" i="8"/>
  <c r="Z5084" i="8" s="1"/>
  <c r="X5085" i="8"/>
  <c r="Z5085" i="8" s="1"/>
  <c r="X5086" i="8"/>
  <c r="Z5086" i="8" s="1"/>
  <c r="X5087" i="8"/>
  <c r="Z5087" i="8" s="1"/>
  <c r="X5088" i="8"/>
  <c r="Z5088" i="8" s="1"/>
  <c r="X5089" i="8"/>
  <c r="Z5089" i="8" s="1"/>
  <c r="X5090" i="8"/>
  <c r="Z5090" i="8" s="1"/>
  <c r="X5091" i="8"/>
  <c r="Z5091" i="8" s="1"/>
  <c r="X5092" i="8"/>
  <c r="Z5092" i="8" s="1"/>
  <c r="X5093" i="8"/>
  <c r="Z5093" i="8" s="1"/>
  <c r="X5094" i="8"/>
  <c r="Z5094" i="8" s="1"/>
  <c r="X5095" i="8"/>
  <c r="Z5095" i="8" s="1"/>
  <c r="X5096" i="8"/>
  <c r="Z5096" i="8" s="1"/>
  <c r="X5097" i="8"/>
  <c r="Z5097" i="8" s="1"/>
  <c r="X5098" i="8"/>
  <c r="Z5098" i="8" s="1"/>
  <c r="X5099" i="8"/>
  <c r="Z5099" i="8" s="1"/>
  <c r="X5100" i="8"/>
  <c r="Z5100" i="8" s="1"/>
  <c r="X5101" i="8"/>
  <c r="Z5101" i="8" s="1"/>
  <c r="X5102" i="8"/>
  <c r="Z5102" i="8" s="1"/>
  <c r="X5103" i="8"/>
  <c r="Z5103" i="8" s="1"/>
  <c r="X5104" i="8"/>
  <c r="Z5104" i="8" s="1"/>
  <c r="X5105" i="8"/>
  <c r="Z5105" i="8" s="1"/>
  <c r="X5106" i="8"/>
  <c r="Z5106" i="8" s="1"/>
  <c r="X5107" i="8"/>
  <c r="Z5107" i="8" s="1"/>
  <c r="X5108" i="8"/>
  <c r="Z5108" i="8" s="1"/>
  <c r="X5109" i="8"/>
  <c r="Z5109" i="8" s="1"/>
  <c r="X5110" i="8"/>
  <c r="Z5110" i="8" s="1"/>
  <c r="X5111" i="8"/>
  <c r="Z5111" i="8" s="1"/>
  <c r="X5112" i="8"/>
  <c r="Z5112" i="8" s="1"/>
  <c r="X5113" i="8"/>
  <c r="Z5113" i="8" s="1"/>
  <c r="X5114" i="8"/>
  <c r="Z5114" i="8" s="1"/>
  <c r="X5115" i="8"/>
  <c r="Z5115" i="8" s="1"/>
  <c r="X5116" i="8"/>
  <c r="Z5116" i="8" s="1"/>
  <c r="X5117" i="8"/>
  <c r="Z5117" i="8" s="1"/>
  <c r="X5118" i="8"/>
  <c r="Z5118" i="8" s="1"/>
  <c r="X5119" i="8"/>
  <c r="Z5119" i="8" s="1"/>
  <c r="X5120" i="8"/>
  <c r="Z5120" i="8" s="1"/>
  <c r="X5121" i="8"/>
  <c r="Z5121" i="8" s="1"/>
  <c r="X5122" i="8"/>
  <c r="Z5122" i="8" s="1"/>
  <c r="X5123" i="8"/>
  <c r="Z5123" i="8" s="1"/>
  <c r="X5124" i="8"/>
  <c r="Z5124" i="8" s="1"/>
  <c r="X5125" i="8"/>
  <c r="Z5125" i="8" s="1"/>
  <c r="X5126" i="8"/>
  <c r="Z5126" i="8" s="1"/>
  <c r="X5127" i="8"/>
  <c r="Z5127" i="8" s="1"/>
  <c r="X5128" i="8"/>
  <c r="Z5128" i="8" s="1"/>
  <c r="X5129" i="8"/>
  <c r="Z5129" i="8" s="1"/>
  <c r="X5130" i="8"/>
  <c r="Z5130" i="8" s="1"/>
  <c r="X5131" i="8"/>
  <c r="Z5131" i="8" s="1"/>
  <c r="X5132" i="8"/>
  <c r="Z5132" i="8" s="1"/>
  <c r="X5133" i="8"/>
  <c r="Z5133" i="8" s="1"/>
  <c r="X5134" i="8"/>
  <c r="Z5134" i="8" s="1"/>
  <c r="X5135" i="8"/>
  <c r="Z5135" i="8" s="1"/>
  <c r="X5136" i="8"/>
  <c r="Z5136" i="8" s="1"/>
  <c r="X5137" i="8"/>
  <c r="Z5137" i="8" s="1"/>
  <c r="X5138" i="8"/>
  <c r="Z5138" i="8" s="1"/>
  <c r="X5139" i="8"/>
  <c r="Z5139" i="8" s="1"/>
  <c r="X5140" i="8"/>
  <c r="Z5140" i="8" s="1"/>
  <c r="X5141" i="8"/>
  <c r="Z5141" i="8" s="1"/>
  <c r="X5142" i="8"/>
  <c r="Z5142" i="8" s="1"/>
  <c r="X5143" i="8"/>
  <c r="Z5143" i="8" s="1"/>
  <c r="X5144" i="8"/>
  <c r="Z5144" i="8" s="1"/>
  <c r="X5145" i="8"/>
  <c r="Z5145" i="8" s="1"/>
  <c r="X5146" i="8"/>
  <c r="Z5146" i="8" s="1"/>
  <c r="X5147" i="8"/>
  <c r="Z5147" i="8" s="1"/>
  <c r="X5148" i="8"/>
  <c r="Z5148" i="8" s="1"/>
  <c r="X5149" i="8"/>
  <c r="Z5149" i="8" s="1"/>
  <c r="X5150" i="8"/>
  <c r="Z5150" i="8" s="1"/>
  <c r="X5151" i="8"/>
  <c r="Z5151" i="8" s="1"/>
  <c r="X5152" i="8"/>
  <c r="Z5152" i="8" s="1"/>
  <c r="X5153" i="8"/>
  <c r="Z5153" i="8" s="1"/>
  <c r="X5154" i="8"/>
  <c r="Z5154" i="8" s="1"/>
  <c r="X5155" i="8"/>
  <c r="Z5155" i="8" s="1"/>
  <c r="X5156" i="8"/>
  <c r="Z5156" i="8" s="1"/>
  <c r="X5157" i="8"/>
  <c r="Z5157" i="8" s="1"/>
  <c r="X5158" i="8"/>
  <c r="Z5158" i="8" s="1"/>
  <c r="X5159" i="8"/>
  <c r="Z5159" i="8" s="1"/>
  <c r="X5160" i="8"/>
  <c r="Z5160" i="8" s="1"/>
  <c r="X5161" i="8"/>
  <c r="Z5161" i="8" s="1"/>
  <c r="X5162" i="8"/>
  <c r="Z5162" i="8" s="1"/>
  <c r="X5163" i="8"/>
  <c r="Z5163" i="8" s="1"/>
  <c r="X5164" i="8"/>
  <c r="Z5164" i="8" s="1"/>
  <c r="X5165" i="8"/>
  <c r="Z5165" i="8" s="1"/>
  <c r="X5166" i="8"/>
  <c r="Z5166" i="8" s="1"/>
  <c r="X5167" i="8"/>
  <c r="Z5167" i="8" s="1"/>
  <c r="X5168" i="8"/>
  <c r="Z5168" i="8" s="1"/>
  <c r="X5169" i="8"/>
  <c r="Z5169" i="8" s="1"/>
  <c r="X5170" i="8"/>
  <c r="Z5170" i="8" s="1"/>
  <c r="X5171" i="8"/>
  <c r="Z5171" i="8" s="1"/>
  <c r="X5172" i="8"/>
  <c r="Z5172" i="8" s="1"/>
  <c r="X5173" i="8"/>
  <c r="Z5173" i="8" s="1"/>
  <c r="X5174" i="8"/>
  <c r="Z5174" i="8" s="1"/>
  <c r="X5175" i="8"/>
  <c r="Z5175" i="8" s="1"/>
  <c r="X5176" i="8"/>
  <c r="Z5176" i="8" s="1"/>
  <c r="X5177" i="8"/>
  <c r="Z5177" i="8" s="1"/>
  <c r="X5178" i="8"/>
  <c r="Z5178" i="8" s="1"/>
  <c r="X5179" i="8"/>
  <c r="Z5179" i="8" s="1"/>
  <c r="X5180" i="8"/>
  <c r="Z5180" i="8" s="1"/>
  <c r="X5181" i="8"/>
  <c r="Z5181" i="8" s="1"/>
  <c r="X5182" i="8"/>
  <c r="Z5182" i="8" s="1"/>
  <c r="X5183" i="8"/>
  <c r="Z5183" i="8" s="1"/>
  <c r="X5184" i="8"/>
  <c r="Z5184" i="8" s="1"/>
  <c r="X5185" i="8"/>
  <c r="Z5185" i="8" s="1"/>
  <c r="X5186" i="8"/>
  <c r="Z5186" i="8" s="1"/>
  <c r="X5187" i="8"/>
  <c r="Z5187" i="8" s="1"/>
  <c r="X5188" i="8"/>
  <c r="Z5188" i="8" s="1"/>
  <c r="X5189" i="8"/>
  <c r="Z5189" i="8" s="1"/>
  <c r="X5190" i="8"/>
  <c r="Z5190" i="8" s="1"/>
  <c r="X5191" i="8"/>
  <c r="Z5191" i="8" s="1"/>
  <c r="X5192" i="8"/>
  <c r="Z5192" i="8" s="1"/>
  <c r="X5193" i="8"/>
  <c r="Z5193" i="8" s="1"/>
  <c r="X5194" i="8"/>
  <c r="Z5194" i="8" s="1"/>
  <c r="X5195" i="8"/>
  <c r="Z5195" i="8" s="1"/>
  <c r="X5196" i="8"/>
  <c r="Z5196" i="8" s="1"/>
  <c r="X5197" i="8"/>
  <c r="Z5197" i="8" s="1"/>
  <c r="X5198" i="8"/>
  <c r="Z5198" i="8" s="1"/>
  <c r="X5199" i="8"/>
  <c r="Z5199" i="8" s="1"/>
  <c r="X5200" i="8"/>
  <c r="Z5200" i="8" s="1"/>
  <c r="X5201" i="8"/>
  <c r="Z5201" i="8" s="1"/>
  <c r="X5202" i="8"/>
  <c r="Z5202" i="8" s="1"/>
  <c r="X5203" i="8"/>
  <c r="Z5203" i="8" s="1"/>
  <c r="X5204" i="8"/>
  <c r="Z5204" i="8" s="1"/>
  <c r="X5205" i="8"/>
  <c r="Z5205" i="8" s="1"/>
  <c r="X5206" i="8"/>
  <c r="Z5206" i="8" s="1"/>
  <c r="X5207" i="8"/>
  <c r="Z5207" i="8" s="1"/>
  <c r="X5208" i="8"/>
  <c r="Z5208" i="8" s="1"/>
  <c r="X5209" i="8"/>
  <c r="Z5209" i="8" s="1"/>
  <c r="X5210" i="8"/>
  <c r="Z5210" i="8" s="1"/>
  <c r="X5211" i="8"/>
  <c r="Z5211" i="8" s="1"/>
  <c r="X5212" i="8"/>
  <c r="Z5212" i="8" s="1"/>
  <c r="X5213" i="8"/>
  <c r="Z5213" i="8" s="1"/>
  <c r="X5214" i="8"/>
  <c r="Z5214" i="8" s="1"/>
  <c r="X5215" i="8"/>
  <c r="Z5215" i="8" s="1"/>
  <c r="X5216" i="8"/>
  <c r="Z5216" i="8" s="1"/>
  <c r="X5217" i="8"/>
  <c r="Z5217" i="8" s="1"/>
  <c r="X5218" i="8"/>
  <c r="Z5218" i="8" s="1"/>
  <c r="X5219" i="8"/>
  <c r="Z5219" i="8" s="1"/>
  <c r="X5220" i="8"/>
  <c r="Z5220" i="8" s="1"/>
  <c r="X5221" i="8"/>
  <c r="Z5221" i="8" s="1"/>
  <c r="X5222" i="8"/>
  <c r="Z5222" i="8" s="1"/>
  <c r="X5223" i="8"/>
  <c r="Z5223" i="8" s="1"/>
  <c r="X5224" i="8"/>
  <c r="Z5224" i="8" s="1"/>
  <c r="X5225" i="8"/>
  <c r="Z5225" i="8" s="1"/>
  <c r="X5226" i="8"/>
  <c r="Z5226" i="8" s="1"/>
  <c r="X5227" i="8"/>
  <c r="Z5227" i="8" s="1"/>
  <c r="X5228" i="8"/>
  <c r="Z5228" i="8" s="1"/>
  <c r="X5229" i="8"/>
  <c r="Z5229" i="8" s="1"/>
  <c r="X5230" i="8"/>
  <c r="Z5230" i="8" s="1"/>
  <c r="X5231" i="8"/>
  <c r="Z5231" i="8" s="1"/>
  <c r="X5232" i="8"/>
  <c r="Z5232" i="8" s="1"/>
  <c r="X5233" i="8"/>
  <c r="Z5233" i="8" s="1"/>
  <c r="X5234" i="8"/>
  <c r="Z5234" i="8" s="1"/>
  <c r="X5235" i="8"/>
  <c r="Z5235" i="8" s="1"/>
  <c r="X5236" i="8"/>
  <c r="Z5236" i="8" s="1"/>
  <c r="X5237" i="8"/>
  <c r="Z5237" i="8" s="1"/>
  <c r="X5238" i="8"/>
  <c r="Z5238" i="8" s="1"/>
  <c r="X5239" i="8"/>
  <c r="Z5239" i="8" s="1"/>
  <c r="X5240" i="8"/>
  <c r="Z5240" i="8" s="1"/>
  <c r="X5241" i="8"/>
  <c r="Z5241" i="8" s="1"/>
  <c r="X5242" i="8"/>
  <c r="Z5242" i="8" s="1"/>
  <c r="X5243" i="8"/>
  <c r="Z5243" i="8" s="1"/>
  <c r="X5244" i="8"/>
  <c r="Z5244" i="8" s="1"/>
  <c r="X5245" i="8"/>
  <c r="Z5245" i="8" s="1"/>
  <c r="X5246" i="8"/>
  <c r="Z5246" i="8" s="1"/>
  <c r="X5247" i="8"/>
  <c r="Z5247" i="8" s="1"/>
  <c r="X5248" i="8"/>
  <c r="Z5248" i="8" s="1"/>
  <c r="X5249" i="8"/>
  <c r="Z5249" i="8" s="1"/>
  <c r="X5250" i="8"/>
  <c r="Z5250" i="8" s="1"/>
  <c r="X5251" i="8"/>
  <c r="Z5251" i="8" s="1"/>
  <c r="X5252" i="8"/>
  <c r="Z5252" i="8" s="1"/>
  <c r="X5253" i="8"/>
  <c r="Z5253" i="8" s="1"/>
  <c r="X5254" i="8"/>
  <c r="Z5254" i="8" s="1"/>
  <c r="X5255" i="8"/>
  <c r="Z5255" i="8" s="1"/>
  <c r="X5256" i="8"/>
  <c r="Z5256" i="8" s="1"/>
  <c r="X5257" i="8"/>
  <c r="Z5257" i="8" s="1"/>
  <c r="X5258" i="8"/>
  <c r="Z5258" i="8" s="1"/>
  <c r="X5259" i="8"/>
  <c r="Z5259" i="8" s="1"/>
  <c r="X5260" i="8"/>
  <c r="Z5260" i="8" s="1"/>
  <c r="X5261" i="8"/>
  <c r="Z5261" i="8" s="1"/>
  <c r="X5262" i="8"/>
  <c r="Z5262" i="8" s="1"/>
  <c r="X5263" i="8"/>
  <c r="Z5263" i="8" s="1"/>
  <c r="X5264" i="8"/>
  <c r="Z5264" i="8" s="1"/>
  <c r="X5265" i="8"/>
  <c r="Z5265" i="8" s="1"/>
  <c r="X5266" i="8"/>
  <c r="Z5266" i="8" s="1"/>
  <c r="X5267" i="8"/>
  <c r="Z5267" i="8" s="1"/>
  <c r="X5268" i="8"/>
  <c r="Z5268" i="8" s="1"/>
  <c r="X5269" i="8"/>
  <c r="Z5269" i="8" s="1"/>
  <c r="X5270" i="8"/>
  <c r="Z5270" i="8" s="1"/>
  <c r="X5271" i="8"/>
  <c r="Z5271" i="8" s="1"/>
  <c r="X5272" i="8"/>
  <c r="Z5272" i="8" s="1"/>
  <c r="X5273" i="8"/>
  <c r="Z5273" i="8" s="1"/>
  <c r="X5274" i="8"/>
  <c r="Z5274" i="8" s="1"/>
  <c r="X5275" i="8"/>
  <c r="Z5275" i="8" s="1"/>
  <c r="X5276" i="8"/>
  <c r="Z5276" i="8" s="1"/>
  <c r="X5277" i="8"/>
  <c r="Z5277" i="8" s="1"/>
  <c r="X5278" i="8"/>
  <c r="Z5278" i="8" s="1"/>
  <c r="X5279" i="8"/>
  <c r="Z5279" i="8" s="1"/>
  <c r="X5280" i="8"/>
  <c r="Z5280" i="8" s="1"/>
  <c r="X5281" i="8"/>
  <c r="Z5281" i="8" s="1"/>
  <c r="X5282" i="8"/>
  <c r="Z5282" i="8" s="1"/>
  <c r="X5283" i="8"/>
  <c r="Z5283" i="8" s="1"/>
  <c r="X5284" i="8"/>
  <c r="Z5284" i="8" s="1"/>
  <c r="X5285" i="8"/>
  <c r="Z5285" i="8" s="1"/>
  <c r="X5286" i="8"/>
  <c r="Z5286" i="8" s="1"/>
  <c r="X5287" i="8"/>
  <c r="Z5287" i="8" s="1"/>
  <c r="X5288" i="8"/>
  <c r="Z5288" i="8" s="1"/>
  <c r="X5289" i="8"/>
  <c r="Z5289" i="8" s="1"/>
  <c r="X5290" i="8"/>
  <c r="Z5290" i="8" s="1"/>
  <c r="X5291" i="8"/>
  <c r="Z5291" i="8" s="1"/>
  <c r="X5292" i="8"/>
  <c r="Z5292" i="8" s="1"/>
  <c r="X5293" i="8"/>
  <c r="Z5293" i="8" s="1"/>
  <c r="X5294" i="8"/>
  <c r="Z5294" i="8" s="1"/>
  <c r="X5295" i="8"/>
  <c r="Z5295" i="8" s="1"/>
  <c r="X5296" i="8"/>
  <c r="Z5296" i="8" s="1"/>
  <c r="X5297" i="8"/>
  <c r="Z5297" i="8" s="1"/>
  <c r="X5298" i="8"/>
  <c r="Z5298" i="8" s="1"/>
  <c r="X5299" i="8"/>
  <c r="Z5299" i="8" s="1"/>
  <c r="X5300" i="8"/>
  <c r="Z5300" i="8" s="1"/>
  <c r="X5301" i="8"/>
  <c r="Z5301" i="8" s="1"/>
  <c r="X5302" i="8"/>
  <c r="Z5302" i="8" s="1"/>
  <c r="X5303" i="8"/>
  <c r="Z5303" i="8" s="1"/>
  <c r="X5304" i="8"/>
  <c r="Z5304" i="8" s="1"/>
  <c r="X5305" i="8"/>
  <c r="Z5305" i="8" s="1"/>
  <c r="X5306" i="8"/>
  <c r="Z5306" i="8" s="1"/>
  <c r="X5307" i="8"/>
  <c r="Z5307" i="8" s="1"/>
  <c r="X5308" i="8"/>
  <c r="Z5308" i="8" s="1"/>
  <c r="X5309" i="8"/>
  <c r="Z5309" i="8" s="1"/>
  <c r="X5310" i="8"/>
  <c r="Z5310" i="8" s="1"/>
  <c r="X5311" i="8"/>
  <c r="Z5311" i="8" s="1"/>
  <c r="X5312" i="8"/>
  <c r="Z5312" i="8" s="1"/>
  <c r="X5313" i="8"/>
  <c r="Z5313" i="8" s="1"/>
  <c r="X5314" i="8"/>
  <c r="Z5314" i="8" s="1"/>
  <c r="X5315" i="8"/>
  <c r="Z5315" i="8" s="1"/>
  <c r="X5316" i="8"/>
  <c r="Z5316" i="8" s="1"/>
  <c r="X5317" i="8"/>
  <c r="Z5317" i="8" s="1"/>
  <c r="X5318" i="8"/>
  <c r="Z5318" i="8" s="1"/>
  <c r="X5319" i="8"/>
  <c r="Z5319" i="8" s="1"/>
  <c r="X5320" i="8"/>
  <c r="Z5320" i="8" s="1"/>
  <c r="X5321" i="8"/>
  <c r="Z5321" i="8" s="1"/>
  <c r="X5322" i="8"/>
  <c r="Z5322" i="8" s="1"/>
  <c r="X5323" i="8"/>
  <c r="Z5323" i="8" s="1"/>
  <c r="X5324" i="8"/>
  <c r="Z5324" i="8" s="1"/>
  <c r="X5325" i="8"/>
  <c r="Z5325" i="8" s="1"/>
  <c r="X5326" i="8"/>
  <c r="Z5326" i="8" s="1"/>
  <c r="X5327" i="8"/>
  <c r="Z5327" i="8" s="1"/>
  <c r="X5328" i="8"/>
  <c r="Z5328" i="8" s="1"/>
  <c r="X5329" i="8"/>
  <c r="Z5329" i="8" s="1"/>
  <c r="X5330" i="8"/>
  <c r="Z5330" i="8" s="1"/>
  <c r="X5331" i="8"/>
  <c r="Z5331" i="8" s="1"/>
  <c r="X5332" i="8"/>
  <c r="Z5332" i="8" s="1"/>
  <c r="X5333" i="8"/>
  <c r="Z5333" i="8" s="1"/>
  <c r="X5334" i="8"/>
  <c r="Z5334" i="8" s="1"/>
  <c r="X5335" i="8"/>
  <c r="Z5335" i="8" s="1"/>
  <c r="X5336" i="8"/>
  <c r="Z5336" i="8" s="1"/>
  <c r="X5337" i="8"/>
  <c r="Z5337" i="8" s="1"/>
  <c r="X5338" i="8"/>
  <c r="Z5338" i="8" s="1"/>
  <c r="X5339" i="8"/>
  <c r="Z5339" i="8" s="1"/>
  <c r="X5340" i="8"/>
  <c r="Z5340" i="8" s="1"/>
  <c r="X5341" i="8"/>
  <c r="Z5341" i="8" s="1"/>
  <c r="X5342" i="8"/>
  <c r="Z5342" i="8" s="1"/>
  <c r="X5343" i="8"/>
  <c r="Z5343" i="8" s="1"/>
  <c r="X5344" i="8"/>
  <c r="Z5344" i="8" s="1"/>
  <c r="X5345" i="8"/>
  <c r="Z5345" i="8" s="1"/>
  <c r="X5346" i="8"/>
  <c r="Z5346" i="8" s="1"/>
  <c r="X5347" i="8"/>
  <c r="Z5347" i="8" s="1"/>
  <c r="X5348" i="8"/>
  <c r="Z5348" i="8" s="1"/>
  <c r="X5349" i="8"/>
  <c r="Z5349" i="8" s="1"/>
  <c r="X5350" i="8"/>
  <c r="Z5350" i="8" s="1"/>
  <c r="X5351" i="8"/>
  <c r="Z5351" i="8" s="1"/>
  <c r="X5352" i="8"/>
  <c r="Z5352" i="8" s="1"/>
  <c r="X5353" i="8"/>
  <c r="Z5353" i="8" s="1"/>
  <c r="X5354" i="8"/>
  <c r="Z5354" i="8" s="1"/>
  <c r="X5355" i="8"/>
  <c r="Z5355" i="8" s="1"/>
  <c r="X5356" i="8"/>
  <c r="Z5356" i="8" s="1"/>
  <c r="X5357" i="8"/>
  <c r="Z5357" i="8" s="1"/>
  <c r="X5358" i="8"/>
  <c r="Z5358" i="8" s="1"/>
  <c r="X5359" i="8"/>
  <c r="Z5359" i="8" s="1"/>
  <c r="X5360" i="8"/>
  <c r="Z5360" i="8" s="1"/>
  <c r="X5361" i="8"/>
  <c r="Z5361" i="8" s="1"/>
  <c r="X5362" i="8"/>
  <c r="Z5362" i="8" s="1"/>
  <c r="X5363" i="8"/>
  <c r="Z5363" i="8" s="1"/>
  <c r="X5364" i="8"/>
  <c r="Z5364" i="8" s="1"/>
  <c r="X5365" i="8"/>
  <c r="Z5365" i="8" s="1"/>
  <c r="X5366" i="8"/>
  <c r="Z5366" i="8" s="1"/>
  <c r="X5367" i="8"/>
  <c r="Z5367" i="8" s="1"/>
  <c r="X5368" i="8"/>
  <c r="Z5368" i="8" s="1"/>
  <c r="X5369" i="8"/>
  <c r="Z5369" i="8" s="1"/>
  <c r="X5370" i="8"/>
  <c r="Z5370" i="8" s="1"/>
  <c r="X5371" i="8"/>
  <c r="Z5371" i="8" s="1"/>
  <c r="X5372" i="8"/>
  <c r="Z5372" i="8" s="1"/>
  <c r="X5373" i="8"/>
  <c r="Z5373" i="8" s="1"/>
  <c r="X5374" i="8"/>
  <c r="Z5374" i="8" s="1"/>
  <c r="X5375" i="8"/>
  <c r="Z5375" i="8" s="1"/>
  <c r="X5376" i="8"/>
  <c r="Z5376" i="8" s="1"/>
  <c r="X5377" i="8"/>
  <c r="Z5377" i="8" s="1"/>
  <c r="X5378" i="8"/>
  <c r="Z5378" i="8" s="1"/>
  <c r="X5379" i="8"/>
  <c r="Z5379" i="8" s="1"/>
  <c r="X5380" i="8"/>
  <c r="Z5380" i="8" s="1"/>
  <c r="X5381" i="8"/>
  <c r="Z5381" i="8" s="1"/>
  <c r="X5382" i="8"/>
  <c r="Z5382" i="8" s="1"/>
  <c r="X5383" i="8"/>
  <c r="Z5383" i="8" s="1"/>
  <c r="X5384" i="8"/>
  <c r="Z5384" i="8" s="1"/>
  <c r="X5385" i="8"/>
  <c r="Z5385" i="8" s="1"/>
  <c r="X5386" i="8"/>
  <c r="Z5386" i="8" s="1"/>
  <c r="X5387" i="8"/>
  <c r="Z5387" i="8" s="1"/>
  <c r="X5388" i="8"/>
  <c r="Z5388" i="8" s="1"/>
  <c r="X5389" i="8"/>
  <c r="Z5389" i="8" s="1"/>
  <c r="X5390" i="8"/>
  <c r="Z5390" i="8" s="1"/>
  <c r="X5391" i="8"/>
  <c r="Z5391" i="8" s="1"/>
  <c r="X5392" i="8"/>
  <c r="Z5392" i="8" s="1"/>
  <c r="X5393" i="8"/>
  <c r="Z5393" i="8" s="1"/>
  <c r="X5394" i="8"/>
  <c r="Z5394" i="8" s="1"/>
  <c r="X5395" i="8"/>
  <c r="Z5395" i="8" s="1"/>
  <c r="X5396" i="8"/>
  <c r="Z5396" i="8" s="1"/>
  <c r="X5397" i="8"/>
  <c r="Z5397" i="8" s="1"/>
  <c r="X5398" i="8"/>
  <c r="Z5398" i="8" s="1"/>
  <c r="X5399" i="8"/>
  <c r="Z5399" i="8" s="1"/>
  <c r="X5400" i="8"/>
  <c r="Z5400" i="8" s="1"/>
  <c r="X5401" i="8"/>
  <c r="Z5401" i="8" s="1"/>
  <c r="X5402" i="8"/>
  <c r="Z5402" i="8" s="1"/>
  <c r="X5403" i="8"/>
  <c r="Z5403" i="8" s="1"/>
  <c r="X5404" i="8"/>
  <c r="Z5404" i="8" s="1"/>
  <c r="X5405" i="8"/>
  <c r="Z5405" i="8" s="1"/>
  <c r="X5406" i="8"/>
  <c r="Z5406" i="8" s="1"/>
  <c r="X5407" i="8"/>
  <c r="Z5407" i="8" s="1"/>
  <c r="X5408" i="8"/>
  <c r="Z5408" i="8" s="1"/>
  <c r="X5409" i="8"/>
  <c r="Z5409" i="8" s="1"/>
  <c r="X5410" i="8"/>
  <c r="Z5410" i="8" s="1"/>
  <c r="X5411" i="8"/>
  <c r="Z5411" i="8" s="1"/>
  <c r="X5412" i="8"/>
  <c r="Z5412" i="8" s="1"/>
  <c r="X5413" i="8"/>
  <c r="Z5413" i="8" s="1"/>
  <c r="X5414" i="8"/>
  <c r="Z5414" i="8" s="1"/>
  <c r="X5415" i="8"/>
  <c r="Z5415" i="8" s="1"/>
  <c r="X5416" i="8"/>
  <c r="Z5416" i="8" s="1"/>
  <c r="X5417" i="8"/>
  <c r="Z5417" i="8" s="1"/>
  <c r="X5418" i="8"/>
  <c r="Z5418" i="8" s="1"/>
  <c r="X5419" i="8"/>
  <c r="Z5419" i="8" s="1"/>
  <c r="X5420" i="8"/>
  <c r="Z5420" i="8" s="1"/>
  <c r="X5421" i="8"/>
  <c r="Z5421" i="8" s="1"/>
  <c r="X5422" i="8"/>
  <c r="Z5422" i="8" s="1"/>
  <c r="X5423" i="8"/>
  <c r="Z5423" i="8" s="1"/>
  <c r="X5424" i="8"/>
  <c r="Z5424" i="8" s="1"/>
  <c r="X5425" i="8"/>
  <c r="Z5425" i="8" s="1"/>
  <c r="X5426" i="8"/>
  <c r="Z5426" i="8" s="1"/>
  <c r="X5427" i="8"/>
  <c r="Z5427" i="8" s="1"/>
  <c r="X5428" i="8"/>
  <c r="Z5428" i="8" s="1"/>
  <c r="X5429" i="8"/>
  <c r="Z5429" i="8" s="1"/>
  <c r="X5430" i="8"/>
  <c r="Z5430" i="8" s="1"/>
  <c r="X5431" i="8"/>
  <c r="Z5431" i="8" s="1"/>
  <c r="X5432" i="8"/>
  <c r="Z5432" i="8" s="1"/>
  <c r="X5433" i="8"/>
  <c r="Z5433" i="8" s="1"/>
  <c r="X5434" i="8"/>
  <c r="Z5434" i="8" s="1"/>
  <c r="X5435" i="8"/>
  <c r="Z5435" i="8" s="1"/>
  <c r="X5436" i="8"/>
  <c r="Z5436" i="8" s="1"/>
  <c r="X5437" i="8"/>
  <c r="Z5437" i="8" s="1"/>
  <c r="X5438" i="8"/>
  <c r="Z5438" i="8" s="1"/>
  <c r="X5439" i="8"/>
  <c r="Z5439" i="8" s="1"/>
  <c r="X5440" i="8"/>
  <c r="Z5440" i="8" s="1"/>
  <c r="X5441" i="8"/>
  <c r="Z5441" i="8" s="1"/>
  <c r="X5442" i="8"/>
  <c r="Z5442" i="8" s="1"/>
  <c r="X5443" i="8"/>
  <c r="Z5443" i="8" s="1"/>
  <c r="X5444" i="8"/>
  <c r="Z5444" i="8" s="1"/>
  <c r="X5445" i="8"/>
  <c r="Z5445" i="8" s="1"/>
  <c r="X5446" i="8"/>
  <c r="Z5446" i="8" s="1"/>
  <c r="X5447" i="8"/>
  <c r="Z5447" i="8" s="1"/>
  <c r="X5448" i="8"/>
  <c r="Z5448" i="8" s="1"/>
  <c r="X5449" i="8"/>
  <c r="Z5449" i="8" s="1"/>
  <c r="X5450" i="8"/>
  <c r="Z5450" i="8" s="1"/>
  <c r="X5451" i="8"/>
  <c r="Z5451" i="8" s="1"/>
  <c r="X5452" i="8"/>
  <c r="Z5452" i="8" s="1"/>
  <c r="X5453" i="8"/>
  <c r="Z5453" i="8" s="1"/>
  <c r="X5454" i="8"/>
  <c r="Z5454" i="8" s="1"/>
  <c r="X5455" i="8"/>
  <c r="Z5455" i="8" s="1"/>
  <c r="X5456" i="8"/>
  <c r="Z5456" i="8" s="1"/>
  <c r="X5457" i="8"/>
  <c r="Z5457" i="8" s="1"/>
  <c r="X5458" i="8"/>
  <c r="Z5458" i="8" s="1"/>
  <c r="X5459" i="8"/>
  <c r="Z5459" i="8" s="1"/>
  <c r="X5460" i="8"/>
  <c r="Z5460" i="8" s="1"/>
  <c r="X5461" i="8"/>
  <c r="Z5461" i="8" s="1"/>
  <c r="X5462" i="8"/>
  <c r="Z5462" i="8" s="1"/>
  <c r="X5463" i="8"/>
  <c r="Z5463" i="8" s="1"/>
  <c r="X5464" i="8"/>
  <c r="Z5464" i="8" s="1"/>
  <c r="X5465" i="8"/>
  <c r="Z5465" i="8" s="1"/>
  <c r="X5466" i="8"/>
  <c r="Z5466" i="8" s="1"/>
  <c r="X5467" i="8"/>
  <c r="Z5467" i="8" s="1"/>
  <c r="X5468" i="8"/>
  <c r="Z5468" i="8" s="1"/>
  <c r="X5469" i="8"/>
  <c r="Z5469" i="8" s="1"/>
  <c r="X5470" i="8"/>
  <c r="Z5470" i="8" s="1"/>
  <c r="X5471" i="8"/>
  <c r="Z5471" i="8" s="1"/>
  <c r="X5472" i="8"/>
  <c r="Z5472" i="8" s="1"/>
  <c r="X5473" i="8"/>
  <c r="Z5473" i="8" s="1"/>
  <c r="X5474" i="8"/>
  <c r="Z5474" i="8" s="1"/>
  <c r="X5475" i="8"/>
  <c r="Z5475" i="8" s="1"/>
  <c r="X5476" i="8"/>
  <c r="Z5476" i="8" s="1"/>
  <c r="X5477" i="8"/>
  <c r="Z5477" i="8" s="1"/>
  <c r="X5478" i="8"/>
  <c r="Z5478" i="8" s="1"/>
  <c r="X5479" i="8"/>
  <c r="Z5479" i="8" s="1"/>
  <c r="X5480" i="8"/>
  <c r="Z5480" i="8" s="1"/>
  <c r="X5481" i="8"/>
  <c r="Z5481" i="8" s="1"/>
  <c r="X5482" i="8"/>
  <c r="Z5482" i="8" s="1"/>
  <c r="X5483" i="8"/>
  <c r="Z5483" i="8" s="1"/>
  <c r="X5484" i="8"/>
  <c r="Z5484" i="8" s="1"/>
  <c r="X5485" i="8"/>
  <c r="Z5485" i="8" s="1"/>
  <c r="X5486" i="8"/>
  <c r="Z5486" i="8" s="1"/>
  <c r="X5487" i="8"/>
  <c r="Z5487" i="8" s="1"/>
  <c r="X5488" i="8"/>
  <c r="Z5488" i="8" s="1"/>
  <c r="X5489" i="8"/>
  <c r="Z5489" i="8" s="1"/>
  <c r="X5490" i="8"/>
  <c r="Z5490" i="8" s="1"/>
  <c r="X5491" i="8"/>
  <c r="Z5491" i="8" s="1"/>
  <c r="X5492" i="8"/>
  <c r="Z5492" i="8" s="1"/>
  <c r="X5493" i="8"/>
  <c r="Z5493" i="8" s="1"/>
  <c r="X5494" i="8"/>
  <c r="Z5494" i="8" s="1"/>
  <c r="X5495" i="8"/>
  <c r="Z5495" i="8" s="1"/>
  <c r="X5496" i="8"/>
  <c r="Z5496" i="8" s="1"/>
  <c r="X5497" i="8"/>
  <c r="Z5497" i="8" s="1"/>
  <c r="X5498" i="8"/>
  <c r="Z5498" i="8" s="1"/>
  <c r="X5499" i="8"/>
  <c r="Z5499" i="8" s="1"/>
  <c r="X5500" i="8"/>
  <c r="Z5500" i="8" s="1"/>
  <c r="X5501" i="8"/>
  <c r="Z5501" i="8" s="1"/>
  <c r="X5502" i="8"/>
  <c r="Z5502" i="8" s="1"/>
  <c r="X5503" i="8"/>
  <c r="Z5503" i="8" s="1"/>
  <c r="X5504" i="8"/>
  <c r="Z5504" i="8" s="1"/>
  <c r="X5505" i="8"/>
  <c r="Z5505" i="8" s="1"/>
  <c r="X5506" i="8"/>
  <c r="Z5506" i="8" s="1"/>
  <c r="X5507" i="8"/>
  <c r="Z5507" i="8" s="1"/>
  <c r="X5508" i="8"/>
  <c r="Z5508" i="8" s="1"/>
  <c r="X5509" i="8"/>
  <c r="Z5509" i="8" s="1"/>
  <c r="X5510" i="8"/>
  <c r="Z5510" i="8" s="1"/>
  <c r="X5511" i="8"/>
  <c r="Z5511" i="8" s="1"/>
  <c r="X5512" i="8"/>
  <c r="Z5512" i="8" s="1"/>
  <c r="X5513" i="8"/>
  <c r="Z5513" i="8" s="1"/>
  <c r="X5514" i="8"/>
  <c r="Z5514" i="8" s="1"/>
  <c r="X5515" i="8"/>
  <c r="Z5515" i="8" s="1"/>
  <c r="X5516" i="8"/>
  <c r="Z5516" i="8" s="1"/>
  <c r="X5517" i="8"/>
  <c r="Z5517" i="8" s="1"/>
  <c r="X5518" i="8"/>
  <c r="Z5518" i="8" s="1"/>
  <c r="X5519" i="8"/>
  <c r="Z5519" i="8" s="1"/>
  <c r="X5520" i="8"/>
  <c r="Z5520" i="8" s="1"/>
  <c r="X5521" i="8"/>
  <c r="Z5521" i="8" s="1"/>
  <c r="X5522" i="8"/>
  <c r="Z5522" i="8" s="1"/>
  <c r="X5523" i="8"/>
  <c r="Z5523" i="8" s="1"/>
  <c r="X5524" i="8"/>
  <c r="Z5524" i="8" s="1"/>
  <c r="X5525" i="8"/>
  <c r="Z5525" i="8" s="1"/>
  <c r="X5526" i="8"/>
  <c r="Z5526" i="8" s="1"/>
  <c r="X5527" i="8"/>
  <c r="Z5527" i="8" s="1"/>
  <c r="X5528" i="8"/>
  <c r="Z5528" i="8" s="1"/>
  <c r="X5529" i="8"/>
  <c r="Z5529" i="8" s="1"/>
  <c r="X5530" i="8"/>
  <c r="Z5530" i="8" s="1"/>
  <c r="X5531" i="8"/>
  <c r="Z5531" i="8" s="1"/>
  <c r="X5532" i="8"/>
  <c r="Z5532" i="8" s="1"/>
  <c r="X5533" i="8"/>
  <c r="Z5533" i="8" s="1"/>
  <c r="X5534" i="8"/>
  <c r="Z5534" i="8" s="1"/>
  <c r="X5535" i="8"/>
  <c r="Z5535" i="8" s="1"/>
  <c r="X5536" i="8"/>
  <c r="Z5536" i="8" s="1"/>
  <c r="X5537" i="8"/>
  <c r="Z5537" i="8" s="1"/>
  <c r="X5538" i="8"/>
  <c r="Z5538" i="8" s="1"/>
  <c r="X5539" i="8"/>
  <c r="Z5539" i="8" s="1"/>
  <c r="X5540" i="8"/>
  <c r="Z5540" i="8" s="1"/>
  <c r="X5541" i="8"/>
  <c r="Z5541" i="8" s="1"/>
  <c r="X5542" i="8"/>
  <c r="Z5542" i="8" s="1"/>
  <c r="X5543" i="8"/>
  <c r="Z5543" i="8" s="1"/>
  <c r="X5544" i="8"/>
  <c r="Z5544" i="8" s="1"/>
  <c r="X5545" i="8"/>
  <c r="Z5545" i="8" s="1"/>
  <c r="X5546" i="8"/>
  <c r="Z5546" i="8" s="1"/>
  <c r="X5547" i="8"/>
  <c r="Z5547" i="8" s="1"/>
  <c r="X5548" i="8"/>
  <c r="Z5548" i="8" s="1"/>
  <c r="X5549" i="8"/>
  <c r="Z5549" i="8" s="1"/>
  <c r="X5550" i="8"/>
  <c r="Z5550" i="8" s="1"/>
  <c r="X5551" i="8"/>
  <c r="Z5551" i="8" s="1"/>
  <c r="X5552" i="8"/>
  <c r="Z5552" i="8" s="1"/>
  <c r="X5553" i="8"/>
  <c r="Z5553" i="8" s="1"/>
  <c r="X5554" i="8"/>
  <c r="Z5554" i="8" s="1"/>
  <c r="X5555" i="8"/>
  <c r="Z5555" i="8" s="1"/>
  <c r="X5556" i="8"/>
  <c r="Z5556" i="8" s="1"/>
  <c r="X5557" i="8"/>
  <c r="Z5557" i="8" s="1"/>
  <c r="X5558" i="8"/>
  <c r="Z5558" i="8" s="1"/>
  <c r="X5559" i="8"/>
  <c r="Z5559" i="8" s="1"/>
  <c r="X5560" i="8"/>
  <c r="Z5560" i="8" s="1"/>
  <c r="X5561" i="8"/>
  <c r="Z5561" i="8" s="1"/>
  <c r="X5562" i="8"/>
  <c r="Z5562" i="8" s="1"/>
  <c r="X5563" i="8"/>
  <c r="Z5563" i="8" s="1"/>
  <c r="X5564" i="8"/>
  <c r="Z5564" i="8" s="1"/>
  <c r="X5565" i="8"/>
  <c r="Z5565" i="8" s="1"/>
  <c r="X5566" i="8"/>
  <c r="Z5566" i="8" s="1"/>
  <c r="X5567" i="8"/>
  <c r="Z5567" i="8" s="1"/>
  <c r="X5568" i="8"/>
  <c r="Z5568" i="8" s="1"/>
  <c r="X5569" i="8"/>
  <c r="Z5569" i="8" s="1"/>
  <c r="X5570" i="8"/>
  <c r="Z5570" i="8" s="1"/>
  <c r="X5571" i="8"/>
  <c r="Z5571" i="8" s="1"/>
  <c r="X5572" i="8"/>
  <c r="Z5572" i="8" s="1"/>
  <c r="X5573" i="8"/>
  <c r="Z5573" i="8" s="1"/>
  <c r="X5574" i="8"/>
  <c r="Z5574" i="8" s="1"/>
  <c r="X5575" i="8"/>
  <c r="Z5575" i="8" s="1"/>
  <c r="X5576" i="8"/>
  <c r="Z5576" i="8" s="1"/>
  <c r="X5577" i="8"/>
  <c r="Z5577" i="8" s="1"/>
  <c r="X5578" i="8"/>
  <c r="Z5578" i="8" s="1"/>
  <c r="X5579" i="8"/>
  <c r="Z5579" i="8" s="1"/>
  <c r="X5580" i="8"/>
  <c r="Z5580" i="8" s="1"/>
  <c r="X5581" i="8"/>
  <c r="Z5581" i="8" s="1"/>
  <c r="X5582" i="8"/>
  <c r="Z5582" i="8" s="1"/>
  <c r="X5583" i="8"/>
  <c r="Z5583" i="8" s="1"/>
  <c r="X5584" i="8"/>
  <c r="Z5584" i="8" s="1"/>
  <c r="X5585" i="8"/>
  <c r="Z5585" i="8" s="1"/>
  <c r="X5586" i="8"/>
  <c r="Z5586" i="8" s="1"/>
  <c r="X5587" i="8"/>
  <c r="Z5587" i="8" s="1"/>
  <c r="X5588" i="8"/>
  <c r="Z5588" i="8" s="1"/>
  <c r="X5589" i="8"/>
  <c r="Z5589" i="8" s="1"/>
  <c r="X5590" i="8"/>
  <c r="Z5590" i="8" s="1"/>
  <c r="X5591" i="8"/>
  <c r="Z5591" i="8" s="1"/>
  <c r="X5592" i="8"/>
  <c r="Z5592" i="8" s="1"/>
  <c r="X5593" i="8"/>
  <c r="Z5593" i="8" s="1"/>
  <c r="X5594" i="8"/>
  <c r="Z5594" i="8" s="1"/>
  <c r="X5595" i="8"/>
  <c r="Z5595" i="8" s="1"/>
  <c r="X5596" i="8"/>
  <c r="Z5596" i="8" s="1"/>
  <c r="X5597" i="8"/>
  <c r="Z5597" i="8" s="1"/>
  <c r="X5598" i="8"/>
  <c r="Z5598" i="8" s="1"/>
  <c r="X5599" i="8"/>
  <c r="Z5599" i="8" s="1"/>
  <c r="X5600" i="8"/>
  <c r="Z5600" i="8" s="1"/>
  <c r="X5601" i="8"/>
  <c r="Z5601" i="8" s="1"/>
  <c r="X5602" i="8"/>
  <c r="Z5602" i="8" s="1"/>
  <c r="X5603" i="8"/>
  <c r="Z5603" i="8" s="1"/>
  <c r="X5604" i="8"/>
  <c r="Z5604" i="8" s="1"/>
  <c r="X5605" i="8"/>
  <c r="Z5605" i="8" s="1"/>
  <c r="X5606" i="8"/>
  <c r="Z5606" i="8" s="1"/>
  <c r="X5607" i="8"/>
  <c r="Z5607" i="8" s="1"/>
  <c r="X5608" i="8"/>
  <c r="Z5608" i="8" s="1"/>
  <c r="X5609" i="8"/>
  <c r="Z5609" i="8" s="1"/>
  <c r="X5610" i="8"/>
  <c r="Z5610" i="8" s="1"/>
  <c r="X5611" i="8"/>
  <c r="Z5611" i="8" s="1"/>
  <c r="X5612" i="8"/>
  <c r="Z5612" i="8" s="1"/>
  <c r="X5613" i="8"/>
  <c r="Z5613" i="8" s="1"/>
  <c r="X5614" i="8"/>
  <c r="Z5614" i="8" s="1"/>
  <c r="X5615" i="8"/>
  <c r="Z5615" i="8" s="1"/>
  <c r="X5616" i="8"/>
  <c r="Z5616" i="8" s="1"/>
  <c r="X5617" i="8"/>
  <c r="Z5617" i="8" s="1"/>
  <c r="X5618" i="8"/>
  <c r="Z5618" i="8" s="1"/>
  <c r="X5619" i="8"/>
  <c r="Z5619" i="8" s="1"/>
  <c r="X5620" i="8"/>
  <c r="Z5620" i="8" s="1"/>
  <c r="X5621" i="8"/>
  <c r="Z5621" i="8" s="1"/>
  <c r="X5622" i="8"/>
  <c r="Z5622" i="8" s="1"/>
  <c r="X5623" i="8"/>
  <c r="Z5623" i="8" s="1"/>
  <c r="X5624" i="8"/>
  <c r="Z5624" i="8" s="1"/>
  <c r="X5625" i="8"/>
  <c r="Z5625" i="8" s="1"/>
  <c r="X5626" i="8"/>
  <c r="Z5626" i="8" s="1"/>
  <c r="X5627" i="8"/>
  <c r="Z5627" i="8" s="1"/>
  <c r="X5628" i="8"/>
  <c r="Z5628" i="8" s="1"/>
  <c r="X5629" i="8"/>
  <c r="Z5629" i="8" s="1"/>
  <c r="X5630" i="8"/>
  <c r="Z5630" i="8" s="1"/>
  <c r="X5631" i="8"/>
  <c r="Z5631" i="8" s="1"/>
  <c r="X5632" i="8"/>
  <c r="Z5632" i="8" s="1"/>
  <c r="X5633" i="8"/>
  <c r="Z5633" i="8" s="1"/>
  <c r="X5634" i="8"/>
  <c r="Z5634" i="8" s="1"/>
  <c r="X5635" i="8"/>
  <c r="Z5635" i="8" s="1"/>
  <c r="X5636" i="8"/>
  <c r="Z5636" i="8" s="1"/>
  <c r="X5637" i="8"/>
  <c r="Z5637" i="8" s="1"/>
  <c r="X5638" i="8"/>
  <c r="Z5638" i="8" s="1"/>
  <c r="X5639" i="8"/>
  <c r="Z5639" i="8" s="1"/>
  <c r="X5640" i="8"/>
  <c r="Z5640" i="8" s="1"/>
  <c r="X5641" i="8"/>
  <c r="Z5641" i="8" s="1"/>
  <c r="X5642" i="8"/>
  <c r="Z5642" i="8" s="1"/>
  <c r="X5643" i="8"/>
  <c r="Z5643" i="8" s="1"/>
  <c r="X5644" i="8"/>
  <c r="Z5644" i="8" s="1"/>
  <c r="X5645" i="8"/>
  <c r="Z5645" i="8" s="1"/>
  <c r="X5646" i="8"/>
  <c r="Z5646" i="8" s="1"/>
  <c r="X5647" i="8"/>
  <c r="Z5647" i="8" s="1"/>
  <c r="X5648" i="8"/>
  <c r="Z5648" i="8" s="1"/>
  <c r="X5649" i="8"/>
  <c r="Z5649" i="8" s="1"/>
  <c r="X5650" i="8"/>
  <c r="Z5650" i="8" s="1"/>
  <c r="X5651" i="8"/>
  <c r="Z5651" i="8" s="1"/>
  <c r="X5652" i="8"/>
  <c r="Z5652" i="8" s="1"/>
  <c r="X5653" i="8"/>
  <c r="Z5653" i="8" s="1"/>
  <c r="X5654" i="8"/>
  <c r="Z5654" i="8" s="1"/>
  <c r="X5655" i="8"/>
  <c r="Z5655" i="8" s="1"/>
  <c r="X5656" i="8"/>
  <c r="Z5656" i="8" s="1"/>
  <c r="X5657" i="8"/>
  <c r="Z5657" i="8" s="1"/>
  <c r="X5658" i="8"/>
  <c r="Z5658" i="8" s="1"/>
  <c r="X5659" i="8"/>
  <c r="Z5659" i="8" s="1"/>
  <c r="X5660" i="8"/>
  <c r="Z5660" i="8" s="1"/>
  <c r="X5661" i="8"/>
  <c r="Z5661" i="8" s="1"/>
  <c r="X5662" i="8"/>
  <c r="Z5662" i="8" s="1"/>
  <c r="X5663" i="8"/>
  <c r="Z5663" i="8" s="1"/>
  <c r="X5664" i="8"/>
  <c r="Z5664" i="8" s="1"/>
  <c r="X5665" i="8"/>
  <c r="Z5665" i="8" s="1"/>
  <c r="X5666" i="8"/>
  <c r="Z5666" i="8" s="1"/>
  <c r="X5667" i="8"/>
  <c r="Z5667" i="8" s="1"/>
  <c r="X5668" i="8"/>
  <c r="Z5668" i="8" s="1"/>
  <c r="X5669" i="8"/>
  <c r="Z5669" i="8" s="1"/>
  <c r="X5670" i="8"/>
  <c r="Z5670" i="8" s="1"/>
  <c r="X5671" i="8"/>
  <c r="Z5671" i="8" s="1"/>
  <c r="X5672" i="8"/>
  <c r="Z5672" i="8" s="1"/>
  <c r="X5673" i="8"/>
  <c r="Z5673" i="8" s="1"/>
  <c r="X5674" i="8"/>
  <c r="Z5674" i="8" s="1"/>
  <c r="X5675" i="8"/>
  <c r="Z5675" i="8" s="1"/>
  <c r="X5676" i="8"/>
  <c r="Z5676" i="8" s="1"/>
  <c r="X5677" i="8"/>
  <c r="Z5677" i="8" s="1"/>
  <c r="X5678" i="8"/>
  <c r="Z5678" i="8" s="1"/>
  <c r="X5679" i="8"/>
  <c r="Z5679" i="8" s="1"/>
  <c r="X5680" i="8"/>
  <c r="Z5680" i="8" s="1"/>
  <c r="X5681" i="8"/>
  <c r="Z5681" i="8" s="1"/>
  <c r="X5682" i="8"/>
  <c r="Z5682" i="8" s="1"/>
  <c r="X5683" i="8"/>
  <c r="Z5683" i="8" s="1"/>
  <c r="X5684" i="8"/>
  <c r="Z5684" i="8" s="1"/>
  <c r="X5685" i="8"/>
  <c r="Z5685" i="8" s="1"/>
  <c r="X5686" i="8"/>
  <c r="Z5686" i="8" s="1"/>
  <c r="X5687" i="8"/>
  <c r="Z5687" i="8" s="1"/>
  <c r="X5688" i="8"/>
  <c r="Z5688" i="8" s="1"/>
  <c r="X5689" i="8"/>
  <c r="Z5689" i="8" s="1"/>
  <c r="X5690" i="8"/>
  <c r="Z5690" i="8" s="1"/>
  <c r="X5691" i="8"/>
  <c r="Z5691" i="8" s="1"/>
  <c r="X5692" i="8"/>
  <c r="Z5692" i="8" s="1"/>
  <c r="X5693" i="8"/>
  <c r="Z5693" i="8" s="1"/>
  <c r="X5694" i="8"/>
  <c r="Z5694" i="8" s="1"/>
  <c r="X5695" i="8"/>
  <c r="Z5695" i="8" s="1"/>
  <c r="X5696" i="8"/>
  <c r="Z5696" i="8" s="1"/>
  <c r="X5697" i="8"/>
  <c r="Z5697" i="8" s="1"/>
  <c r="X5698" i="8"/>
  <c r="Z5698" i="8" s="1"/>
  <c r="X5699" i="8"/>
  <c r="Z5699" i="8" s="1"/>
  <c r="X5700" i="8"/>
  <c r="Z5700" i="8" s="1"/>
  <c r="X5701" i="8"/>
  <c r="Z5701" i="8" s="1"/>
  <c r="X5702" i="8"/>
  <c r="Z5702" i="8" s="1"/>
  <c r="X5703" i="8"/>
  <c r="Z5703" i="8" s="1"/>
  <c r="X5704" i="8"/>
  <c r="Z5704" i="8" s="1"/>
  <c r="X5705" i="8"/>
  <c r="Z5705" i="8" s="1"/>
  <c r="X5706" i="8"/>
  <c r="Z5706" i="8" s="1"/>
  <c r="X5707" i="8"/>
  <c r="Z5707" i="8" s="1"/>
  <c r="X5708" i="8"/>
  <c r="Z5708" i="8" s="1"/>
  <c r="X5709" i="8"/>
  <c r="Z5709" i="8" s="1"/>
  <c r="X5710" i="8"/>
  <c r="Z5710" i="8" s="1"/>
  <c r="X5711" i="8"/>
  <c r="Z5711" i="8" s="1"/>
  <c r="X5712" i="8"/>
  <c r="Z5712" i="8" s="1"/>
  <c r="X5713" i="8"/>
  <c r="Z5713" i="8" s="1"/>
  <c r="X5714" i="8"/>
  <c r="Z5714" i="8" s="1"/>
  <c r="X5715" i="8"/>
  <c r="Z5715" i="8" s="1"/>
  <c r="X5716" i="8"/>
  <c r="Z5716" i="8" s="1"/>
  <c r="X5717" i="8"/>
  <c r="Z5717" i="8" s="1"/>
  <c r="X5718" i="8"/>
  <c r="Z5718" i="8" s="1"/>
  <c r="X5719" i="8"/>
  <c r="Z5719" i="8" s="1"/>
  <c r="X5720" i="8"/>
  <c r="Z5720" i="8" s="1"/>
  <c r="X5721" i="8"/>
  <c r="Z5721" i="8" s="1"/>
  <c r="X5722" i="8"/>
  <c r="Z5722" i="8" s="1"/>
  <c r="X5723" i="8"/>
  <c r="Z5723" i="8" s="1"/>
  <c r="X5724" i="8"/>
  <c r="Z5724" i="8" s="1"/>
  <c r="X5725" i="8"/>
  <c r="Z5725" i="8" s="1"/>
  <c r="X5726" i="8"/>
  <c r="Z5726" i="8" s="1"/>
  <c r="X5727" i="8"/>
  <c r="Z5727" i="8" s="1"/>
  <c r="X5728" i="8"/>
  <c r="Z5728" i="8" s="1"/>
  <c r="X5729" i="8"/>
  <c r="Z5729" i="8" s="1"/>
  <c r="X5730" i="8"/>
  <c r="Z5730" i="8" s="1"/>
  <c r="X5731" i="8"/>
  <c r="Z5731" i="8" s="1"/>
  <c r="X5732" i="8"/>
  <c r="Z5732" i="8" s="1"/>
  <c r="X5733" i="8"/>
  <c r="Z5733" i="8" s="1"/>
  <c r="X5734" i="8"/>
  <c r="Z5734" i="8" s="1"/>
  <c r="X5735" i="8"/>
  <c r="Z5735" i="8" s="1"/>
  <c r="X5736" i="8"/>
  <c r="Z5736" i="8" s="1"/>
  <c r="X5737" i="8"/>
  <c r="Z5737" i="8" s="1"/>
  <c r="X5738" i="8"/>
  <c r="Z5738" i="8" s="1"/>
  <c r="X5739" i="8"/>
  <c r="Z5739" i="8" s="1"/>
  <c r="X5740" i="8"/>
  <c r="Z5740" i="8" s="1"/>
  <c r="X5741" i="8"/>
  <c r="Z5741" i="8" s="1"/>
  <c r="X5742" i="8"/>
  <c r="Z5742" i="8" s="1"/>
  <c r="X5743" i="8"/>
  <c r="Z5743" i="8" s="1"/>
  <c r="X5744" i="8"/>
  <c r="Z5744" i="8" s="1"/>
  <c r="X5745" i="8"/>
  <c r="Z5745" i="8" s="1"/>
  <c r="X5746" i="8"/>
  <c r="Z5746" i="8" s="1"/>
  <c r="X5747" i="8"/>
  <c r="Z5747" i="8" s="1"/>
  <c r="X5748" i="8"/>
  <c r="Z5748" i="8" s="1"/>
  <c r="X5749" i="8"/>
  <c r="Z5749" i="8" s="1"/>
  <c r="X5750" i="8"/>
  <c r="Z5750" i="8" s="1"/>
  <c r="X5751" i="8"/>
  <c r="Z5751" i="8" s="1"/>
  <c r="X5752" i="8"/>
  <c r="Z5752" i="8" s="1"/>
  <c r="X5753" i="8"/>
  <c r="Z5753" i="8" s="1"/>
  <c r="X5754" i="8"/>
  <c r="Z5754" i="8" s="1"/>
  <c r="X5755" i="8"/>
  <c r="Z5755" i="8" s="1"/>
  <c r="X5756" i="8"/>
  <c r="Z5756" i="8" s="1"/>
  <c r="X5757" i="8"/>
  <c r="Z5757" i="8" s="1"/>
  <c r="X5758" i="8"/>
  <c r="Z5758" i="8" s="1"/>
  <c r="X5759" i="8"/>
  <c r="Z5759" i="8" s="1"/>
  <c r="X5760" i="8"/>
  <c r="Z5760" i="8" s="1"/>
  <c r="X5761" i="8"/>
  <c r="Z5761" i="8" s="1"/>
  <c r="X5762" i="8"/>
  <c r="Z5762" i="8" s="1"/>
  <c r="X5763" i="8"/>
  <c r="Z5763" i="8" s="1"/>
  <c r="X5764" i="8"/>
  <c r="Z5764" i="8" s="1"/>
  <c r="X5765" i="8"/>
  <c r="Z5765" i="8" s="1"/>
  <c r="X5766" i="8"/>
  <c r="Z5766" i="8" s="1"/>
  <c r="X5767" i="8"/>
  <c r="Z5767" i="8" s="1"/>
  <c r="X5768" i="8"/>
  <c r="Z5768" i="8" s="1"/>
  <c r="X5769" i="8"/>
  <c r="Z5769" i="8" s="1"/>
  <c r="X5770" i="8"/>
  <c r="Z5770" i="8" s="1"/>
  <c r="X5771" i="8"/>
  <c r="Z5771" i="8" s="1"/>
  <c r="X5772" i="8"/>
  <c r="Z5772" i="8" s="1"/>
  <c r="X5773" i="8"/>
  <c r="Z5773" i="8" s="1"/>
  <c r="X5774" i="8"/>
  <c r="Z5774" i="8" s="1"/>
  <c r="X5775" i="8"/>
  <c r="Z5775" i="8" s="1"/>
  <c r="X5776" i="8"/>
  <c r="Z5776" i="8" s="1"/>
  <c r="X5777" i="8"/>
  <c r="Z5777" i="8" s="1"/>
  <c r="X5778" i="8"/>
  <c r="Z5778" i="8" s="1"/>
  <c r="X5779" i="8"/>
  <c r="Z5779" i="8" s="1"/>
  <c r="X5780" i="8"/>
  <c r="Z5780" i="8" s="1"/>
  <c r="X5781" i="8"/>
  <c r="Z5781" i="8" s="1"/>
  <c r="X5782" i="8"/>
  <c r="Z5782" i="8" s="1"/>
  <c r="X5783" i="8"/>
  <c r="Z5783" i="8" s="1"/>
  <c r="X5784" i="8"/>
  <c r="Z5784" i="8" s="1"/>
  <c r="X5785" i="8"/>
  <c r="Z5785" i="8" s="1"/>
  <c r="X5786" i="8"/>
  <c r="Z5786" i="8" s="1"/>
  <c r="X5787" i="8"/>
  <c r="Z5787" i="8" s="1"/>
  <c r="X5788" i="8"/>
  <c r="Z5788" i="8" s="1"/>
  <c r="X5789" i="8"/>
  <c r="Z5789" i="8" s="1"/>
  <c r="X5790" i="8"/>
  <c r="Z5790" i="8" s="1"/>
  <c r="X5791" i="8"/>
  <c r="Z5791" i="8" s="1"/>
  <c r="X5792" i="8"/>
  <c r="Z5792" i="8" s="1"/>
  <c r="X5793" i="8"/>
  <c r="Z5793" i="8" s="1"/>
  <c r="X5794" i="8"/>
  <c r="Z5794" i="8" s="1"/>
  <c r="X5795" i="8"/>
  <c r="Z5795" i="8" s="1"/>
  <c r="X5796" i="8"/>
  <c r="Z5796" i="8" s="1"/>
  <c r="X5797" i="8"/>
  <c r="Z5797" i="8" s="1"/>
  <c r="X5798" i="8"/>
  <c r="Z5798" i="8" s="1"/>
  <c r="X5799" i="8"/>
  <c r="Z5799" i="8" s="1"/>
  <c r="X5800" i="8"/>
  <c r="Z5800" i="8" s="1"/>
  <c r="X5801" i="8"/>
  <c r="Z5801" i="8" s="1"/>
  <c r="X5802" i="8"/>
  <c r="Z5802" i="8" s="1"/>
  <c r="X5803" i="8"/>
  <c r="Z5803" i="8" s="1"/>
  <c r="X5804" i="8"/>
  <c r="Z5804" i="8" s="1"/>
  <c r="X5805" i="8"/>
  <c r="Z5805" i="8" s="1"/>
  <c r="X5806" i="8"/>
  <c r="Z5806" i="8" s="1"/>
  <c r="X5807" i="8"/>
  <c r="Z5807" i="8" s="1"/>
  <c r="X5808" i="8"/>
  <c r="Z5808" i="8" s="1"/>
  <c r="X5809" i="8"/>
  <c r="Z5809" i="8" s="1"/>
  <c r="X5810" i="8"/>
  <c r="Z5810" i="8" s="1"/>
  <c r="X5811" i="8"/>
  <c r="Z5811" i="8" s="1"/>
  <c r="X5812" i="8"/>
  <c r="Z5812" i="8" s="1"/>
  <c r="X5813" i="8"/>
  <c r="Z5813" i="8" s="1"/>
  <c r="X5814" i="8"/>
  <c r="Z5814" i="8" s="1"/>
  <c r="X5815" i="8"/>
  <c r="Z5815" i="8" s="1"/>
  <c r="X5816" i="8"/>
  <c r="Z5816" i="8" s="1"/>
  <c r="X5817" i="8"/>
  <c r="Z5817" i="8" s="1"/>
  <c r="X5818" i="8"/>
  <c r="Z5818" i="8" s="1"/>
  <c r="X5819" i="8"/>
  <c r="Z5819" i="8" s="1"/>
  <c r="X5820" i="8"/>
  <c r="Z5820" i="8" s="1"/>
  <c r="X5821" i="8"/>
  <c r="Z5821" i="8" s="1"/>
  <c r="X5822" i="8"/>
  <c r="Z5822" i="8" s="1"/>
  <c r="X5823" i="8"/>
  <c r="Z5823" i="8" s="1"/>
  <c r="X5824" i="8"/>
  <c r="Z5824" i="8" s="1"/>
  <c r="X5825" i="8"/>
  <c r="Z5825" i="8" s="1"/>
  <c r="X5826" i="8"/>
  <c r="Z5826" i="8" s="1"/>
  <c r="X5827" i="8"/>
  <c r="Z5827" i="8" s="1"/>
  <c r="X5828" i="8"/>
  <c r="Z5828" i="8" s="1"/>
  <c r="X5829" i="8"/>
  <c r="Z5829" i="8" s="1"/>
  <c r="X5830" i="8"/>
  <c r="Z5830" i="8" s="1"/>
  <c r="X5831" i="8"/>
  <c r="Z5831" i="8" s="1"/>
  <c r="X5832" i="8"/>
  <c r="Z5832" i="8" s="1"/>
  <c r="X5833" i="8"/>
  <c r="Z5833" i="8" s="1"/>
  <c r="X5834" i="8"/>
  <c r="Z5834" i="8" s="1"/>
  <c r="X5835" i="8"/>
  <c r="Z5835" i="8" s="1"/>
  <c r="X5836" i="8"/>
  <c r="Z5836" i="8" s="1"/>
  <c r="X5837" i="8"/>
  <c r="Z5837" i="8" s="1"/>
  <c r="X5838" i="8"/>
  <c r="Z5838" i="8" s="1"/>
  <c r="X5839" i="8"/>
  <c r="Z5839" i="8" s="1"/>
  <c r="X5840" i="8"/>
  <c r="Z5840" i="8" s="1"/>
  <c r="X5841" i="8"/>
  <c r="Z5841" i="8" s="1"/>
  <c r="X5842" i="8"/>
  <c r="Z5842" i="8" s="1"/>
  <c r="X5843" i="8"/>
  <c r="Z5843" i="8" s="1"/>
  <c r="X5844" i="8"/>
  <c r="Z5844" i="8" s="1"/>
  <c r="X5845" i="8"/>
  <c r="Z5845" i="8" s="1"/>
  <c r="X5846" i="8"/>
  <c r="Z5846" i="8" s="1"/>
  <c r="X5847" i="8"/>
  <c r="Z5847" i="8" s="1"/>
  <c r="X5848" i="8"/>
  <c r="Z5848" i="8" s="1"/>
  <c r="X5849" i="8"/>
  <c r="Z5849" i="8" s="1"/>
  <c r="X5850" i="8"/>
  <c r="Z5850" i="8" s="1"/>
  <c r="X5851" i="8"/>
  <c r="Z5851" i="8" s="1"/>
  <c r="X5852" i="8"/>
  <c r="Z5852" i="8" s="1"/>
  <c r="X5853" i="8"/>
  <c r="Z5853" i="8" s="1"/>
  <c r="X5854" i="8"/>
  <c r="Z5854" i="8" s="1"/>
  <c r="X5855" i="8"/>
  <c r="Z5855" i="8" s="1"/>
  <c r="X5856" i="8"/>
  <c r="Z5856" i="8" s="1"/>
  <c r="X5857" i="8"/>
  <c r="Z5857" i="8" s="1"/>
  <c r="X5858" i="8"/>
  <c r="Z5858" i="8" s="1"/>
  <c r="X5859" i="8"/>
  <c r="Z5859" i="8" s="1"/>
  <c r="X5860" i="8"/>
  <c r="Z5860" i="8" s="1"/>
  <c r="X5861" i="8"/>
  <c r="Z5861" i="8" s="1"/>
  <c r="X5862" i="8"/>
  <c r="Z5862" i="8" s="1"/>
  <c r="X5863" i="8"/>
  <c r="Z5863" i="8" s="1"/>
  <c r="X5864" i="8"/>
  <c r="Z5864" i="8" s="1"/>
  <c r="X5865" i="8"/>
  <c r="Z5865" i="8" s="1"/>
  <c r="X5866" i="8"/>
  <c r="Z5866" i="8" s="1"/>
  <c r="X5867" i="8"/>
  <c r="Z5867" i="8" s="1"/>
  <c r="X5868" i="8"/>
  <c r="Z5868" i="8" s="1"/>
  <c r="X5869" i="8"/>
  <c r="Z5869" i="8" s="1"/>
  <c r="X5870" i="8"/>
  <c r="Z5870" i="8" s="1"/>
  <c r="X5871" i="8"/>
  <c r="Z5871" i="8" s="1"/>
  <c r="X5872" i="8"/>
  <c r="Z5872" i="8" s="1"/>
  <c r="X5873" i="8"/>
  <c r="Z5873" i="8" s="1"/>
  <c r="X5874" i="8"/>
  <c r="Z5874" i="8" s="1"/>
  <c r="X5875" i="8"/>
  <c r="Z5875" i="8" s="1"/>
  <c r="X5876" i="8"/>
  <c r="Z5876" i="8" s="1"/>
  <c r="X5877" i="8"/>
  <c r="Z5877" i="8" s="1"/>
  <c r="X5878" i="8"/>
  <c r="Z5878" i="8" s="1"/>
  <c r="X5879" i="8"/>
  <c r="Z5879" i="8" s="1"/>
  <c r="X5880" i="8"/>
  <c r="Z5880" i="8" s="1"/>
  <c r="X5881" i="8"/>
  <c r="Z5881" i="8" s="1"/>
  <c r="X5882" i="8"/>
  <c r="Z5882" i="8" s="1"/>
  <c r="X5883" i="8"/>
  <c r="Z5883" i="8" s="1"/>
  <c r="X5884" i="8"/>
  <c r="Z5884" i="8" s="1"/>
  <c r="X5885" i="8"/>
  <c r="Z5885" i="8" s="1"/>
  <c r="X5886" i="8"/>
  <c r="Z5886" i="8" s="1"/>
  <c r="X5887" i="8"/>
  <c r="Z5887" i="8" s="1"/>
  <c r="X5888" i="8"/>
  <c r="Z5888" i="8" s="1"/>
  <c r="X5889" i="8"/>
  <c r="Z5889" i="8" s="1"/>
  <c r="X5890" i="8"/>
  <c r="Z5890" i="8" s="1"/>
  <c r="X5891" i="8"/>
  <c r="Z5891" i="8" s="1"/>
  <c r="X5892" i="8"/>
  <c r="Z5892" i="8" s="1"/>
  <c r="X5893" i="8"/>
  <c r="Z5893" i="8" s="1"/>
  <c r="X5894" i="8"/>
  <c r="Z5894" i="8" s="1"/>
  <c r="X5895" i="8"/>
  <c r="Z5895" i="8" s="1"/>
  <c r="X5896" i="8"/>
  <c r="Z5896" i="8" s="1"/>
  <c r="X5897" i="8"/>
  <c r="Z5897" i="8" s="1"/>
  <c r="X5898" i="8"/>
  <c r="Z5898" i="8" s="1"/>
  <c r="X5899" i="8"/>
  <c r="Z5899" i="8" s="1"/>
  <c r="X5900" i="8"/>
  <c r="Z5900" i="8" s="1"/>
  <c r="X5901" i="8"/>
  <c r="Z5901" i="8" s="1"/>
  <c r="X5902" i="8"/>
  <c r="Z5902" i="8" s="1"/>
  <c r="X5903" i="8"/>
  <c r="Z5903" i="8" s="1"/>
  <c r="X5904" i="8"/>
  <c r="Z5904" i="8" s="1"/>
  <c r="X5905" i="8"/>
  <c r="Z5905" i="8" s="1"/>
  <c r="X5906" i="8"/>
  <c r="Z5906" i="8" s="1"/>
  <c r="X5907" i="8"/>
  <c r="Z5907" i="8" s="1"/>
  <c r="X5908" i="8"/>
  <c r="Z5908" i="8" s="1"/>
  <c r="X5909" i="8"/>
  <c r="Z5909" i="8" s="1"/>
  <c r="X5910" i="8"/>
  <c r="Z5910" i="8" s="1"/>
  <c r="X5911" i="8"/>
  <c r="Z5911" i="8" s="1"/>
  <c r="X5912" i="8"/>
  <c r="Z5912" i="8" s="1"/>
  <c r="X5913" i="8"/>
  <c r="Z5913" i="8" s="1"/>
  <c r="X5914" i="8"/>
  <c r="Z5914" i="8" s="1"/>
  <c r="X5915" i="8"/>
  <c r="Z5915" i="8" s="1"/>
  <c r="X5916" i="8"/>
  <c r="Z5916" i="8" s="1"/>
  <c r="X5917" i="8"/>
  <c r="Z5917" i="8" s="1"/>
  <c r="X5918" i="8"/>
  <c r="Z5918" i="8" s="1"/>
  <c r="X5919" i="8"/>
  <c r="Z5919" i="8" s="1"/>
  <c r="X5920" i="8"/>
  <c r="Z5920" i="8" s="1"/>
  <c r="X5921" i="8"/>
  <c r="Z5921" i="8" s="1"/>
  <c r="X5922" i="8"/>
  <c r="Z5922" i="8" s="1"/>
  <c r="X5923" i="8"/>
  <c r="Z5923" i="8" s="1"/>
  <c r="X5924" i="8"/>
  <c r="Z5924" i="8" s="1"/>
  <c r="X5925" i="8"/>
  <c r="Z5925" i="8" s="1"/>
  <c r="X5926" i="8"/>
  <c r="Z5926" i="8" s="1"/>
  <c r="X5927" i="8"/>
  <c r="Z5927" i="8" s="1"/>
  <c r="X5928" i="8"/>
  <c r="Z5928" i="8" s="1"/>
  <c r="X5929" i="8"/>
  <c r="Z5929" i="8" s="1"/>
  <c r="X5930" i="8"/>
  <c r="Z5930" i="8" s="1"/>
  <c r="X5931" i="8"/>
  <c r="Z5931" i="8" s="1"/>
  <c r="X5932" i="8"/>
  <c r="Z5932" i="8" s="1"/>
  <c r="X5933" i="8"/>
  <c r="Z5933" i="8" s="1"/>
  <c r="X5934" i="8"/>
  <c r="Z5934" i="8" s="1"/>
  <c r="X5935" i="8"/>
  <c r="Z5935" i="8" s="1"/>
  <c r="X5936" i="8"/>
  <c r="Z5936" i="8" s="1"/>
  <c r="X5937" i="8"/>
  <c r="Z5937" i="8" s="1"/>
  <c r="X5938" i="8"/>
  <c r="Z5938" i="8" s="1"/>
  <c r="X5939" i="8"/>
  <c r="Z5939" i="8" s="1"/>
  <c r="X5940" i="8"/>
  <c r="Z5940" i="8" s="1"/>
  <c r="X5941" i="8"/>
  <c r="Z5941" i="8" s="1"/>
  <c r="X5942" i="8"/>
  <c r="Z5942" i="8" s="1"/>
  <c r="X5943" i="8"/>
  <c r="Z5943" i="8" s="1"/>
  <c r="X5944" i="8"/>
  <c r="Z5944" i="8" s="1"/>
  <c r="X5945" i="8"/>
  <c r="Z5945" i="8" s="1"/>
  <c r="X5946" i="8"/>
  <c r="Z5946" i="8" s="1"/>
  <c r="X5947" i="8"/>
  <c r="Z5947" i="8" s="1"/>
  <c r="X5948" i="8"/>
  <c r="Z5948" i="8" s="1"/>
  <c r="X5949" i="8"/>
  <c r="Z5949" i="8" s="1"/>
  <c r="X5950" i="8"/>
  <c r="Z5950" i="8" s="1"/>
  <c r="X5951" i="8"/>
  <c r="Z5951" i="8" s="1"/>
  <c r="X5952" i="8"/>
  <c r="Z5952" i="8" s="1"/>
  <c r="X5953" i="8"/>
  <c r="Z5953" i="8" s="1"/>
  <c r="X5954" i="8"/>
  <c r="Z5954" i="8" s="1"/>
  <c r="X5955" i="8"/>
  <c r="Z5955" i="8" s="1"/>
  <c r="X5956" i="8"/>
  <c r="Z5956" i="8" s="1"/>
  <c r="X5957" i="8"/>
  <c r="Z5957" i="8" s="1"/>
  <c r="X5958" i="8"/>
  <c r="Z5958" i="8" s="1"/>
  <c r="X5959" i="8"/>
  <c r="Z5959" i="8" s="1"/>
  <c r="X5960" i="8"/>
  <c r="Z5960" i="8" s="1"/>
  <c r="X5961" i="8"/>
  <c r="Z5961" i="8" s="1"/>
  <c r="X5962" i="8"/>
  <c r="Z5962" i="8" s="1"/>
  <c r="X5963" i="8"/>
  <c r="Z5963" i="8" s="1"/>
  <c r="X5964" i="8"/>
  <c r="Z5964" i="8" s="1"/>
  <c r="X5965" i="8"/>
  <c r="Z5965" i="8" s="1"/>
  <c r="X5966" i="8"/>
  <c r="Z5966" i="8" s="1"/>
  <c r="X5967" i="8"/>
  <c r="Z5967" i="8" s="1"/>
  <c r="X5968" i="8"/>
  <c r="Z5968" i="8" s="1"/>
  <c r="X5969" i="8"/>
  <c r="Z5969" i="8" s="1"/>
  <c r="X5970" i="8"/>
  <c r="Z5970" i="8" s="1"/>
  <c r="X5971" i="8"/>
  <c r="Z5971" i="8" s="1"/>
  <c r="X5972" i="8"/>
  <c r="Z5972" i="8" s="1"/>
  <c r="X5973" i="8"/>
  <c r="Z5973" i="8" s="1"/>
  <c r="X5974" i="8"/>
  <c r="Z5974" i="8" s="1"/>
  <c r="X5975" i="8"/>
  <c r="Z5975" i="8" s="1"/>
  <c r="X5976" i="8"/>
  <c r="Z5976" i="8" s="1"/>
  <c r="X5977" i="8"/>
  <c r="Z5977" i="8" s="1"/>
  <c r="X5978" i="8"/>
  <c r="Z5978" i="8" s="1"/>
  <c r="X5979" i="8"/>
  <c r="Z5979" i="8" s="1"/>
  <c r="X5980" i="8"/>
  <c r="Z5980" i="8" s="1"/>
  <c r="X5981" i="8"/>
  <c r="Z5981" i="8" s="1"/>
  <c r="X5982" i="8"/>
  <c r="Z5982" i="8" s="1"/>
  <c r="X5983" i="8"/>
  <c r="Z5983" i="8" s="1"/>
  <c r="X5984" i="8"/>
  <c r="Z5984" i="8" s="1"/>
  <c r="X5985" i="8"/>
  <c r="Z5985" i="8" s="1"/>
  <c r="X5986" i="8"/>
  <c r="Z5986" i="8" s="1"/>
  <c r="X5987" i="8"/>
  <c r="Z5987" i="8" s="1"/>
  <c r="X5988" i="8"/>
  <c r="Z5988" i="8" s="1"/>
  <c r="X5989" i="8"/>
  <c r="Z5989" i="8" s="1"/>
  <c r="X5990" i="8"/>
  <c r="Z5990" i="8" s="1"/>
  <c r="X5991" i="8"/>
  <c r="Z5991" i="8" s="1"/>
  <c r="X5992" i="8"/>
  <c r="Z5992" i="8" s="1"/>
  <c r="X5993" i="8"/>
  <c r="Z5993" i="8" s="1"/>
  <c r="X5994" i="8"/>
  <c r="Z5994" i="8" s="1"/>
  <c r="X5995" i="8"/>
  <c r="Z5995" i="8" s="1"/>
  <c r="X5996" i="8"/>
  <c r="Z5996" i="8" s="1"/>
  <c r="X5997" i="8"/>
  <c r="Z5997" i="8" s="1"/>
  <c r="X5998" i="8"/>
  <c r="Z5998" i="8" s="1"/>
  <c r="X5999" i="8"/>
  <c r="Z5999" i="8" s="1"/>
  <c r="X6000" i="8"/>
  <c r="Z6000" i="8" s="1"/>
  <c r="X2" i="8"/>
  <c r="Z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" i="5"/>
  <c r="Z1" i="8" l="1"/>
  <c r="X1" i="8"/>
  <c r="AA1" i="8" l="1"/>
  <c r="AC1" i="8" s="1"/>
  <c r="A2" i="1"/>
  <c r="BA2" i="1" s="1"/>
  <c r="P2" i="1" l="1"/>
  <c r="AR2" i="1" l="1"/>
  <c r="AT2" i="1" s="1"/>
  <c r="R2" i="1"/>
  <c r="N2" i="1"/>
  <c r="Q2" i="1" s="1"/>
  <c r="H2" i="1"/>
  <c r="F2" i="1"/>
  <c r="E2" i="1" s="1"/>
  <c r="AS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V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</t>
        </r>
      </text>
    </comment>
  </commentList>
</comments>
</file>

<file path=xl/sharedStrings.xml><?xml version="1.0" encoding="utf-8"?>
<sst xmlns="http://schemas.openxmlformats.org/spreadsheetml/2006/main" count="897" uniqueCount="615">
  <si>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</si>
  <si>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</si>
  <si>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</si>
  <si>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</si>
  <si>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</si>
  <si>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</si>
  <si>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</si>
  <si>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</si>
  <si>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</si>
  <si>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</si>
  <si>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</si>
  <si>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</si>
  <si>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</si>
  <si>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</si>
  <si>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</si>
  <si>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</si>
  <si>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</si>
  <si>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</si>
  <si>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</si>
  <si>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</si>
  <si>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</si>
  <si>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</si>
  <si>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</si>
  <si>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</si>
  <si>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</si>
  <si>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</si>
  <si>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</si>
  <si>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</si>
  <si>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</si>
  <si>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</si>
  <si>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</si>
  <si>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</si>
  <si>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</si>
  <si>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</si>
  <si>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</si>
  <si>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</si>
  <si>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</si>
  <si>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</si>
  <si>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</si>
  <si>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</si>
  <si>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</si>
  <si>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</si>
  <si>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</si>
  <si>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</si>
  <si>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</si>
  <si>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</si>
  <si>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</si>
  <si>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</si>
  <si>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</si>
  <si>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</si>
  <si>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</si>
  <si>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</si>
  <si>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</si>
  <si>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</si>
  <si>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ceрый</t>
  </si>
  <si>
    <t>Navy</t>
  </si>
  <si>
    <t>темно-синий</t>
  </si>
  <si>
    <t>cерый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</si>
  <si>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</si>
  <si>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</si>
  <si>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</si>
  <si>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</si>
  <si>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</si>
  <si>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</si>
  <si>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</si>
  <si>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</si>
  <si>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</si>
  <si>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</si>
  <si>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</si>
  <si>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</si>
  <si>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</si>
  <si>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</si>
  <si>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</si>
  <si>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</si>
  <si>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</si>
  <si>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</si>
  <si>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</si>
  <si>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</si>
  <si>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</si>
  <si>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</si>
  <si>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</si>
  <si>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</si>
  <si>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</si>
  <si>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</si>
  <si>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</si>
  <si>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</si>
  <si>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</si>
  <si>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</si>
  <si>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</si>
  <si>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</si>
  <si>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</si>
  <si>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</si>
  <si>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</si>
  <si>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</si>
  <si>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</si>
  <si>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</si>
  <si>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</si>
  <si>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</si>
  <si>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</si>
  <si>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</si>
  <si>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</si>
  <si>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</si>
  <si>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</si>
  <si>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</si>
  <si>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</si>
  <si>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</si>
  <si>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</si>
  <si>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</si>
  <si>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</si>
  <si>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</si>
  <si>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</si>
  <si>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</si>
  <si>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</si>
  <si>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</si>
  <si>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</si>
  <si>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</si>
  <si>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</si>
  <si>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</si>
  <si>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</si>
  <si>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</si>
  <si>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</si>
  <si>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</si>
  <si>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</si>
  <si>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</si>
  <si>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</si>
  <si>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</si>
  <si>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</si>
  <si>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</si>
  <si>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</si>
  <si>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</si>
  <si>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</si>
  <si>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</si>
  <si>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</si>
  <si>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</si>
  <si>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</si>
  <si>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</si>
  <si>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</si>
  <si>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</si>
  <si>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</si>
  <si>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</si>
  <si>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</si>
  <si>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</si>
  <si>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</si>
  <si>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</si>
  <si>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</si>
  <si>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</si>
  <si>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</si>
  <si>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</si>
  <si>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</si>
  <si>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</si>
  <si>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</si>
  <si>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</si>
  <si>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</si>
  <si>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</si>
  <si>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</si>
  <si>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</si>
  <si>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</si>
  <si>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</si>
  <si>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</si>
  <si>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</si>
  <si>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</si>
  <si>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</si>
  <si>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</si>
  <si>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</si>
  <si>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</si>
  <si>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</si>
  <si>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</si>
  <si>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</si>
  <si>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</si>
  <si>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</si>
  <si>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</si>
  <si>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</si>
  <si>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</si>
  <si>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</si>
  <si>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</si>
  <si>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</si>
  <si>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</si>
  <si>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</si>
  <si>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</si>
  <si>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</si>
  <si>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</si>
  <si>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красно-синий</t>
  </si>
  <si>
    <t>красный / белый</t>
  </si>
  <si>
    <t>красный / голубой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</si>
  <si>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</si>
  <si>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</si>
  <si>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</si>
  <si>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</si>
  <si>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</si>
  <si>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</si>
  <si>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</si>
  <si>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</si>
  <si>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</si>
  <si>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</si>
  <si>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</si>
  <si>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</si>
  <si>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</si>
  <si>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</si>
  <si>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</si>
  <si>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</si>
  <si>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</si>
  <si>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</si>
  <si>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</si>
  <si>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</si>
  <si>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</si>
  <si>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</si>
  <si>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</si>
  <si>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</si>
  <si>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</si>
  <si>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</si>
  <si>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</si>
  <si>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</si>
  <si>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</si>
  <si>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</si>
  <si>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</si>
  <si>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</si>
  <si>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</si>
  <si>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</si>
  <si>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</si>
  <si>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</si>
  <si>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</si>
  <si>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</si>
  <si>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</si>
  <si>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</si>
  <si>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</si>
  <si>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</si>
  <si>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</si>
  <si>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</si>
  <si>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</si>
  <si>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</si>
  <si>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</si>
  <si>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</si>
  <si>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</si>
  <si>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</si>
  <si>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</si>
  <si>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</si>
  <si>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</si>
  <si>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</si>
  <si>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</si>
  <si>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</si>
  <si>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</si>
  <si>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</si>
  <si>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</si>
  <si>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</si>
  <si>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</si>
  <si>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</si>
  <si>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</si>
  <si>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</si>
  <si>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</si>
  <si>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</si>
  <si>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</si>
  <si>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</si>
  <si>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</si>
  <si>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</si>
  <si>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</si>
  <si>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</si>
  <si>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</si>
  <si>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</si>
  <si>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</si>
  <si>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</si>
  <si>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</si>
  <si>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</si>
  <si>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</si>
  <si>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</si>
  <si>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</si>
  <si>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</si>
  <si>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</si>
  <si>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</si>
  <si>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</si>
  <si>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</si>
  <si>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</si>
  <si>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</si>
  <si>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</si>
  <si>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</si>
  <si>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</si>
  <si>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</si>
  <si>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</si>
  <si>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</si>
  <si>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</si>
  <si>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</si>
  <si>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</si>
  <si>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</si>
  <si>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</si>
  <si>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</si>
  <si>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</si>
  <si>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</si>
  <si>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</si>
  <si>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</si>
  <si>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</si>
  <si>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</si>
  <si>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</si>
  <si>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</si>
  <si>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</si>
  <si>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</si>
  <si>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</si>
  <si>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</si>
  <si>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</si>
  <si>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</si>
  <si>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</si>
  <si>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</si>
  <si>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</si>
  <si>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</si>
  <si>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</si>
  <si>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</si>
  <si>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</si>
  <si>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</si>
  <si>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</si>
  <si>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</si>
  <si>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</si>
  <si>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</si>
  <si>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</si>
  <si>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</si>
  <si>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</si>
  <si>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</si>
  <si>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</si>
  <si>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</si>
  <si>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</si>
  <si>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</si>
  <si>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</si>
  <si>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</si>
  <si>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</si>
  <si>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</si>
  <si>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</si>
  <si>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</si>
  <si>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</si>
  <si>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</si>
  <si>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</si>
  <si>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</si>
  <si>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</si>
  <si>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</si>
  <si>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</si>
  <si>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</si>
  <si>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</si>
  <si>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</si>
  <si>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</si>
  <si>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</si>
  <si>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</si>
  <si>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</si>
  <si>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</si>
  <si>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</si>
  <si>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</si>
  <si>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</si>
  <si>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</si>
  <si>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</si>
  <si>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</si>
  <si>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</si>
  <si>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</si>
  <si>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</si>
  <si>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</si>
  <si>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</si>
  <si>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</si>
  <si>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</si>
  <si>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</si>
  <si>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</si>
  <si>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</si>
  <si>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</si>
  <si>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</si>
  <si>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</si>
  <si>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</si>
  <si>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</si>
  <si>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</si>
  <si>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</si>
  <si>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</si>
  <si>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</si>
  <si>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</si>
  <si>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</si>
  <si>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</si>
  <si>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</si>
  <si>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</si>
  <si>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</si>
  <si>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</si>
  <si>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</si>
  <si>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</si>
  <si>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</si>
  <si>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</si>
  <si>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</si>
  <si>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</si>
  <si>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</si>
  <si>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</si>
  <si>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</si>
  <si>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</si>
  <si>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</si>
  <si>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</si>
  <si>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</si>
  <si>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</si>
  <si>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</si>
  <si>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</si>
  <si>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</si>
  <si>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</si>
  <si>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</si>
  <si>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</si>
  <si>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</si>
  <si>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</si>
  <si>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</si>
  <si>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</si>
  <si>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</si>
  <si>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</si>
  <si>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</si>
  <si>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</si>
  <si>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</si>
  <si>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</si>
  <si>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Сокращённое обозначение</t>
  </si>
  <si>
    <t>CO</t>
  </si>
  <si>
    <t>хлопок</t>
  </si>
  <si>
    <t>HA</t>
  </si>
  <si>
    <t>конопля</t>
  </si>
  <si>
    <t>EL</t>
  </si>
  <si>
    <t>эластан</t>
  </si>
  <si>
    <t>LI</t>
  </si>
  <si>
    <t>лен</t>
  </si>
  <si>
    <t>PA</t>
  </si>
  <si>
    <t>полиамид</t>
  </si>
  <si>
    <t>PES</t>
  </si>
  <si>
    <t>полиэстер</t>
  </si>
  <si>
    <t>SE</t>
  </si>
  <si>
    <t>шелк</t>
  </si>
  <si>
    <t>NSSW</t>
  </si>
  <si>
    <t>кожа</t>
  </si>
  <si>
    <t>WV</t>
  </si>
  <si>
    <t>шерсть</t>
  </si>
  <si>
    <t>WO</t>
  </si>
  <si>
    <t>STR</t>
  </si>
  <si>
    <t>солома</t>
  </si>
  <si>
    <t>CV</t>
  </si>
  <si>
    <t>вискоза</t>
  </si>
  <si>
    <t>NSBU</t>
  </si>
  <si>
    <t>натуральная кожа</t>
  </si>
  <si>
    <t>Polyester</t>
  </si>
  <si>
    <t>Cotton</t>
  </si>
  <si>
    <t>Spandex</t>
  </si>
  <si>
    <t>спандекс</t>
  </si>
  <si>
    <t>Pu</t>
  </si>
  <si>
    <t>полиуретан</t>
  </si>
  <si>
    <t>Linen</t>
  </si>
  <si>
    <t>Paper straw</t>
  </si>
  <si>
    <t>бумага</t>
  </si>
  <si>
    <t>Raffia straw</t>
  </si>
  <si>
    <t>солома Рафия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</si>
  <si>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</si>
  <si>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</si>
  <si>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</si>
  <si>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</si>
  <si>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</si>
  <si>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</si>
  <si>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</si>
  <si>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</si>
  <si>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</si>
  <si>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</si>
  <si>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</si>
  <si>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</si>
  <si>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</si>
  <si>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</si>
  <si>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</si>
  <si>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</si>
  <si>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</si>
  <si>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</si>
  <si>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</si>
  <si>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</si>
  <si>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</si>
  <si>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</si>
  <si>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</si>
  <si>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</si>
  <si>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</si>
  <si>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</si>
  <si>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</si>
  <si>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</si>
  <si>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</si>
  <si>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</si>
  <si>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</si>
  <si>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</si>
  <si>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</si>
  <si>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</si>
  <si>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</si>
  <si>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</si>
  <si>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</si>
  <si>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</si>
  <si>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</si>
  <si>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</si>
  <si>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</si>
  <si>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</si>
  <si>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</si>
  <si>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</si>
  <si>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</si>
  <si>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</si>
  <si>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</si>
  <si>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</si>
  <si>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</si>
  <si>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</si>
  <si>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</si>
  <si>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</si>
  <si>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</si>
  <si>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</si>
  <si>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</si>
  <si>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</si>
  <si>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</si>
  <si>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</si>
  <si>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</si>
  <si>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</si>
  <si>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</si>
  <si>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</si>
  <si>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</si>
  <si>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</si>
  <si>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</si>
  <si>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</si>
  <si>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</si>
  <si>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</si>
  <si>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</si>
  <si>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</si>
  <si>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</si>
  <si>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</si>
  <si>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</si>
  <si>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</si>
  <si>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</si>
  <si>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</si>
  <si>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</si>
  <si>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</si>
  <si>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</si>
  <si>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</si>
  <si>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</si>
  <si>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</si>
  <si>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</si>
  <si>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</si>
  <si>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</si>
  <si>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</si>
  <si>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</si>
  <si>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</si>
  <si>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</si>
  <si>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</si>
  <si>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</si>
  <si>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</si>
  <si>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</si>
  <si>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</si>
  <si>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</si>
  <si>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</si>
  <si>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</si>
  <si>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</si>
  <si>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</si>
  <si>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</si>
  <si>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</si>
  <si>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</si>
  <si>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</si>
  <si>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</si>
  <si>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</si>
  <si>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</si>
  <si>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</si>
  <si>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</si>
  <si>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</si>
  <si>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</si>
  <si>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</si>
  <si>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</si>
  <si>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</si>
  <si>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</si>
  <si>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</si>
  <si>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</si>
  <si>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</si>
  <si>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</si>
  <si>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</si>
  <si>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</si>
  <si>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</si>
  <si>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</si>
  <si>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</si>
  <si>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</si>
  <si>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</si>
  <si>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</si>
  <si>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</si>
  <si>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</si>
  <si>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</si>
  <si>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</si>
  <si>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</si>
  <si>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</si>
  <si>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</si>
  <si>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</si>
  <si>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</si>
  <si>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</si>
  <si>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</si>
  <si>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</si>
  <si>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</si>
  <si>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</si>
  <si>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</si>
  <si>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</si>
  <si>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</si>
  <si>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</si>
  <si>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</si>
  <si>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</si>
  <si>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</si>
  <si>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</si>
  <si>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</si>
  <si>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</si>
  <si>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</si>
  <si>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</si>
  <si>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</si>
  <si>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</si>
  <si>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</si>
  <si>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</si>
  <si>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</si>
  <si>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olive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</si>
  <si>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</si>
  <si>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</si>
  <si>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</si>
  <si>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</si>
  <si>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</si>
  <si>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</si>
  <si>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</si>
  <si>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</si>
  <si>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</si>
  <si>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рабочая_таблица_Capslab_aw21_для забивки(1).xlsx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</si>
  <si>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</si>
  <si>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</si>
  <si>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</si>
  <si>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</si>
  <si>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</si>
  <si>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</si>
  <si>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</si>
  <si>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36-001</t>
  </si>
  <si>
    <t>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</si>
</sst>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</numFmts>
  <fonts count="3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rgb="FF333333"/>
      <name val="Monaco"/>
      <family val="3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2" fillId="0" borderId="0"/>
    <xf numFmtId="166" fontId="14" fillId="0" borderId="0" applyFont="0" applyFill="0" applyBorder="0" applyAlignment="0" applyProtection="0"/>
    <xf numFmtId="167" fontId="23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49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8" fillId="0" borderId="0" xfId="2"/>
    <xf numFmtId="0" fontId="8" fillId="0" borderId="1" xfId="2" applyBorder="1" applyAlignment="1">
      <alignment horizontal="left"/>
    </xf>
    <xf numFmtId="0" fontId="6" fillId="0" borderId="0" xfId="0" applyFont="1" applyAlignment="1" applyProtection="1">
      <alignment horizontal="left" vertical="center" wrapText="1"/>
      <protection locked="0"/>
    </xf>
    <xf numFmtId="0" fontId="8" fillId="0" borderId="0" xfId="2" applyAlignment="1">
      <alignment horizontal="left"/>
    </xf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9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20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0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8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29" fillId="0" borderId="0" xfId="0" applyFont="1" applyBorder="1" applyAlignment="1" applyProtection="1">
      <alignment horizontal="left" vertical="center" indent="1"/>
      <protection locked="0"/>
    </xf>
    <xf numFmtId="0" fontId="19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31" fillId="0" borderId="1" xfId="0" applyFont="1" applyBorder="1"/>
    <xf numFmtId="0" fontId="32" fillId="0" borderId="0" xfId="0" applyFont="1"/>
    <xf numFmtId="0" fontId="32" fillId="0" borderId="0" xfId="8" applyFont="1"/>
    <xf numFmtId="0" fontId="33" fillId="0" borderId="0" xfId="8" applyFont="1"/>
    <xf numFmtId="0" fontId="31" fillId="0" borderId="0" xfId="0" applyFont="1"/>
    <xf numFmtId="49" fontId="28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6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0" borderId="0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18" xfId="0" applyFont="1" applyFill="1" applyBorder="1" applyAlignment="1" applyProtection="1">
      <alignment vertical="center" wrapText="1"/>
      <protection hidden="1"/>
    </xf>
    <xf numFmtId="0" fontId="26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7" fillId="12" borderId="15" xfId="7" applyFont="1" applyFill="1" applyBorder="1" applyAlignment="1">
      <alignment horizontal="center" vertical="center" wrapText="1"/>
    </xf>
    <xf numFmtId="0" fontId="27" fillId="12" borderId="11" xfId="7" applyFont="1" applyFill="1" applyBorder="1" applyAlignment="1">
      <alignment horizontal="center" vertical="center" wrapText="1"/>
    </xf>
    <xf numFmtId="0" fontId="27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1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0</xdr:row>
          <xdr:rowOff>28575</xdr:rowOff>
        </xdr:from>
        <xdr:to>
          <xdr:col>19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971550</xdr:colOff>
          <xdr:row>0</xdr:row>
          <xdr:rowOff>28575</xdr:rowOff>
        </xdr:from>
        <xdr:to>
          <xdr:col>19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76"/>
  <sheetViews>
    <sheetView topLeftCell="R1" zoomScale="70" zoomScaleNormal="70" workbookViewId="0">
      <pane ySplit="1" topLeftCell="A2" activePane="bottomLeft" state="frozen"/>
      <selection pane="bottomLeft" activeCell="AR1" sqref="AR1:AS1"/>
    </sheetView>
  </sheetViews>
  <sheetFormatPr defaultColWidth="9" defaultRowHeight="78" customHeight="1"/>
  <cols>
    <col min="1" max="1" width="9" style="48"/>
    <col min="2" max="2" width="9.5703125" style="49" customWidth="1"/>
    <col min="3" max="4" width="9" style="48"/>
    <col min="5" max="5" width="9" style="47"/>
    <col min="6" max="6" width="9" style="48"/>
    <col min="7" max="7" width="9" style="47"/>
    <col min="8" max="8" width="9" style="48"/>
    <col min="9" max="9" width="16" style="62" customWidth="1"/>
    <col min="10" max="10" width="9" style="48"/>
    <col min="11" max="11" width="9" style="113"/>
    <col min="12" max="13" width="9" style="62"/>
    <col min="14" max="14" width="9" style="113"/>
    <col min="15" max="25" width="9" style="48"/>
    <col min="26" max="26" width="9" style="48" customWidth="1"/>
    <col min="27" max="31" width="9" style="48"/>
    <col min="32" max="32" width="9" style="48" customWidth="1"/>
    <col min="33" max="42" width="9" style="48" hidden="1" customWidth="1"/>
    <col min="43" max="43" width="9" style="63"/>
    <col min="44" max="44" width="9" style="48"/>
    <col min="45" max="46" width="9.7109375" style="47" customWidth="1"/>
    <col min="47" max="47" width="9" style="82" customWidth="1"/>
    <col min="48" max="48" width="9.85546875" style="47" customWidth="1"/>
    <col min="49" max="50" width="10" style="47" customWidth="1"/>
    <col min="51" max="51" width="10.7109375" style="118" bestFit="1" customWidth="1"/>
    <col min="52" max="52" width="16.5703125" style="119" customWidth="1"/>
    <col min="53" max="53" width="9" style="49"/>
    <col min="54" max="54" width="9" style="130"/>
    <col min="55" max="55" width="9" style="49"/>
    <col min="56" max="56" width="95" style="48" customWidth="1"/>
    <col min="57" max="16384" width="9" style="47"/>
  </cols>
  <sheetData>
    <row r="1" spans="1:56" s="45" customFormat="1" ht="66" customHeight="1" thickBot="1">
      <c r="A1" s="68" t="s">
        <v>368</v>
      </c>
      <c r="B1" s="71" t="s">
        <v>483</v>
      </c>
      <c r="C1" s="72" t="s">
        <v>495</v>
      </c>
      <c r="D1" s="68" t="s">
        <v>496</v>
      </c>
      <c r="E1" s="68" t="s">
        <v>486</v>
      </c>
      <c r="F1" s="68" t="s">
        <v>497</v>
      </c>
      <c r="G1" s="66" t="s">
        <v>379</v>
      </c>
      <c r="H1" s="68" t="s">
        <v>380</v>
      </c>
      <c r="I1" s="68" t="s">
        <v>498</v>
      </c>
      <c r="J1" s="68" t="s">
        <v>499</v>
      </c>
      <c r="K1" s="108" t="s">
        <v>500</v>
      </c>
      <c r="L1" s="66" t="s">
        <v>609</v>
      </c>
      <c r="M1" s="66" t="s">
        <v>385</v>
      </c>
      <c r="N1" s="72" t="s">
        <v>482</v>
      </c>
      <c r="O1" s="68" t="s">
        <v>501</v>
      </c>
      <c r="P1" s="66" t="s">
        <v>502</v>
      </c>
      <c r="Q1" s="66" t="s">
        <v>503</v>
      </c>
      <c r="R1" s="66" t="s">
        <v>504</v>
      </c>
      <c r="S1" s="68" t="s">
        <v>603</v>
      </c>
      <c r="T1" s="68" t="s">
        <v>505</v>
      </c>
      <c r="U1" s="68" t="s">
        <v>506</v>
      </c>
      <c r="V1" s="68" t="s">
        <v>507</v>
      </c>
      <c r="W1" s="68" t="s">
        <v>508</v>
      </c>
      <c r="X1" s="68" t="s">
        <v>509</v>
      </c>
      <c r="Y1" s="68" t="s">
        <v>510</v>
      </c>
      <c r="Z1" s="68" t="s">
        <v>511</v>
      </c>
      <c r="AA1" s="68" t="s">
        <v>512</v>
      </c>
      <c r="AB1" s="68" t="s">
        <v>513</v>
      </c>
      <c r="AC1" s="68" t="s">
        <v>514</v>
      </c>
      <c r="AD1" s="68" t="s">
        <v>515</v>
      </c>
      <c r="AE1" s="68" t="s">
        <v>516</v>
      </c>
      <c r="AF1" s="68" t="s">
        <v>517</v>
      </c>
      <c r="AG1" s="73">
        <v>6</v>
      </c>
      <c r="AH1" s="73">
        <v>6.5</v>
      </c>
      <c r="AI1" s="73">
        <v>7</v>
      </c>
      <c r="AJ1" s="73">
        <v>7.5</v>
      </c>
      <c r="AK1" s="73">
        <v>8</v>
      </c>
      <c r="AL1" s="73">
        <v>8.5</v>
      </c>
      <c r="AM1" s="73">
        <v>9</v>
      </c>
      <c r="AN1" s="73">
        <v>9.5</v>
      </c>
      <c r="AO1" s="73" t="s">
        <v>571</v>
      </c>
      <c r="AP1" s="73" t="s">
        <v>570</v>
      </c>
      <c r="AQ1" s="68" t="s">
        <v>488</v>
      </c>
      <c r="AR1" s="72" t="s">
        <v>518</v>
      </c>
      <c r="AS1" s="66" t="s">
        <v>489</v>
      </c>
      <c r="AT1" s="66" t="s">
        <v>490</v>
      </c>
      <c r="AU1" s="80" t="s">
        <v>519</v>
      </c>
      <c r="AV1" s="66" t="s">
        <v>491</v>
      </c>
      <c r="AW1" s="66" t="s">
        <v>492</v>
      </c>
      <c r="AX1" s="66" t="s">
        <v>493</v>
      </c>
      <c r="AY1" s="114" t="s">
        <v>520</v>
      </c>
      <c r="AZ1" s="115" t="s">
        <v>494</v>
      </c>
      <c r="BA1" s="66" t="s">
        <v>521</v>
      </c>
      <c r="BB1" s="45" t="s">
        <v>608</v>
      </c>
      <c r="BC1" s="74" t="s">
        <v>522</v>
      </c>
      <c r="BD1" s="129" t="s">
        <v>579</v>
      </c>
    </row>
    <row r="2" spans="1:56" s="46" customFormat="1" ht="78" hidden="1" customHeight="1">
      <c r="A2" s="70" t="str">
        <f t="shared" ref="A2" si="0">IF(C2&amp;K2&lt;&gt;"",C2&amp;K2,"")</f>
        <v/>
      </c>
      <c r="B2" s="75" t="str">
        <f>IF(C2&lt;&gt;"",IFERROR(VLOOKUP(A2,'1C'!A:S,2,0),IFERROR(MID(INDEX('1C'!B:B,MATCH(C2,'1C'!G:G,0)),1,7)&amp;IF(L2&lt;&gt;"",IFERROR(RIGHT("000"&amp;VLOOKUP(L2,Colors!A:B,2,0),2),"new"),"Требуется цвет"),"new")),"")</f>
        <v/>
      </c>
      <c r="C2" s="76"/>
      <c r="D2" s="69"/>
      <c r="E2" s="61" t="str">
        <f>IF(F2&lt;&gt;"",IFERROR(VLOOKUP(F2,Категории!A:B,2,0),""),"Требуется категория")</f>
        <v/>
      </c>
      <c r="F2" s="48">
        <f>IF(BA2&gt;0,IFERROR(VLOOKUP(A2,'1C'!A:S,10,0),""),IFERROR(VLOOKUP(C2,'1C'!G:J,4,0),""))</f>
        <v>0</v>
      </c>
      <c r="G2" s="60" t="str">
        <f>IF(C2&lt;&gt;"",IF(BA2&gt;0,IFERROR(VLOOKUP(A2,'1C'!A:L,12,0),""),IF(BB2&lt;1,IFERROR(VLOOKUP(C2,'1C'!G:L,6,0),""),"")),"")</f>
        <v/>
      </c>
      <c r="H2" s="48" t="str">
        <f>IF(BA2&gt;0,IF(B2&lt;&gt;"",IFERROR(VLOOKUP(A2,'1C'!A:S,13,0),""),""),IFERROR(VLOOKUP(C2,'1C'!G:M,7,0),""))</f>
        <v/>
      </c>
      <c r="I2" s="98"/>
      <c r="J2" s="69" t="str">
        <f>'1C'!$AE$1</f>
        <v>47 Brand</v>
      </c>
      <c r="K2" s="109"/>
      <c r="L2" s="67" t="str">
        <f>IF(K2&lt;&gt;"",IFERROR(VLOOKUP(A2,'1C'!A:S,8,0),IFERROR(VLOOKUP(K2,Colors!D:E,2,0),"")),"")</f>
        <v/>
      </c>
      <c r="M2" s="67" t="str">
        <f>IF(K2&lt;&gt;"",IFERROR(VLOOKUP(A2,'1C'!A:S,18,0),IFERROR(VLOOKUP(K2,Colors!D:E,2,0),"")),"")</f>
        <v/>
      </c>
      <c r="N2" s="128" t="str">
        <f>IF(BA2&gt;0,IF(B2&lt;&gt;"",IFERROR(VLOOKUP(A2,'1C'!A:S,9,0),""),""),"")</f>
        <v/>
      </c>
      <c r="O2" s="69" t="str">
        <f>IF(D2&lt;&gt;"",IFERROR(IF(VLOOKUP(D2,'1C'!D:D,1,0)&lt;&gt;"",1,0),0),"")</f>
        <v/>
      </c>
      <c r="P2" s="67" t="str">
        <f>IFERROR(IF(A2&lt;&gt;"",IF(VLOOKUP(A2,'1C'!A:S,14,0)=0,"",VLOOKUP(A2,'1C'!A:S,14,0)),""),"")</f>
        <v/>
      </c>
      <c r="Q2" s="67" t="str">
        <f>IF(P2&lt;&gt;"",IFERROR(VLOOKUP(P2,MaterialsTypes!F:G,2,0),IFERROR(VLOOKUP(N2,MaterialsTypes100,2,0),"")),IFERROR(VLOOKUP(N2,MaterialsTypes100,2,0),""))</f>
        <v/>
      </c>
      <c r="R2" s="67" t="str">
        <f>IF(BA2&gt;0,IF(B2&lt;&gt;"",IFERROR(VLOOKUP(A2,'1C'!A:S,11,0),""),""),"")</f>
        <v/>
      </c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1" t="str">
        <f t="shared" ref="AQ2" si="1">IF(COUNTBLANK(S2:AP2)&lt;24,SUM(S2:AP2),"")</f>
        <v/>
      </c>
      <c r="AR2" s="70" t="str">
        <f>IF(BA2&gt;0,IF(B2&lt;&gt;"",IFERROR(VLOOKUP(VLOOKUP(A2,'1C'!A:S,15,0),Settings!N:O,2,0),""),""),"")</f>
        <v/>
      </c>
      <c r="AS2" s="60" t="str">
        <f t="shared" ref="AS2" ca="1" si="2">IF(AR2&lt;&gt;"",VLOOKUP(AR2,INDIRECT(SUBSTITUTE($J2," ","")&amp;"Manufactures"),3,0),"Требуется код страны")</f>
        <v>Требуется код страны</v>
      </c>
      <c r="AT2" s="60" t="str">
        <f t="shared" ref="AT2" ca="1" si="3">IF(AR2&lt;&gt;"",VLOOKUP(AR2,INDIRECT(SUBSTITUTE($J2," ","")&amp;"Manufactures"),2,0),"Требуется код страны")</f>
        <v>Требуется код страны</v>
      </c>
      <c r="AU2" s="81">
        <f t="shared" ref="AU2" si="4">0.05+0.05</f>
        <v>0.1</v>
      </c>
      <c r="AV2" s="60">
        <f t="shared" ref="AV2" si="5">IF(AU2&lt;&gt;"",AU2*1.5,"Требуется нетто")</f>
        <v>0.15000000000000002</v>
      </c>
      <c r="AW2" s="60" t="str">
        <f t="shared" ref="AW2" si="6">+IF(AU2&lt;&gt;"",IFERROR(AQ2*AU2,"Требуются кол-во и нетто"),"Требуются кол-во и нетто")</f>
        <v>Требуются кол-во и нетто</v>
      </c>
      <c r="AX2" s="60" t="str">
        <f t="shared" ref="AX2" si="7">IF(AV2&lt;&gt;"",IFERROR(AQ2*AV2,"Требуются кол-во и брутто"),"Требуются кол-во и брутто")</f>
        <v>Требуются кол-во и брутто</v>
      </c>
      <c r="AY2" s="116"/>
      <c r="AZ2" s="117" t="str">
        <f t="shared" ref="AZ2" si="8">+IF(AY2&lt;&gt;0,IFERROR(AQ2*AY2,"Требуются кол-во и цена"),"Требуются кол-во и цена")</f>
        <v>Требуются кол-во и цена</v>
      </c>
      <c r="BA2" s="49" t="str">
        <f>IF(A2&lt;&gt;"",IFERROR(IF(VLOOKUP(A2,'1C'!A:A,1,0)&lt;&gt;"",1,0),0),"")</f>
        <v/>
      </c>
      <c r="BB2" s="120" t="str">
        <f>IF(C2&lt;&gt;"",IFERROR(IF(VLOOKUP(C2,'1C'!G:G,1,0)&lt;&gt;"",0),1),"")</f>
        <v/>
      </c>
      <c r="BC2" s="79" t="str">
        <f t="shared" ref="BC2" si="9">IF(B2&lt;&gt;"",IF(SUM(BA2:BB2)&lt;2,1,"-"),"")</f>
        <v/>
      </c>
      <c r="BD2" s="100"/>
    </row>
    <row r="3" spans="1:56" ht="78" customHeight="1">
      <c r="C3" s="65"/>
      <c r="G3" s="60"/>
      <c r="I3" s="99"/>
      <c r="J3" s="69"/>
      <c r="K3" s="110"/>
      <c r="L3" s="67"/>
      <c r="M3" s="67"/>
      <c r="N3" s="128"/>
      <c r="O3" s="62"/>
      <c r="P3" s="67"/>
      <c r="Q3" s="62"/>
      <c r="R3" s="67"/>
      <c r="S3" s="62"/>
      <c r="AQ3" s="61"/>
      <c r="AS3" s="60"/>
      <c r="AT3" s="60"/>
      <c r="BB3" s="120"/>
      <c r="BC3" s="79"/>
    </row>
    <row r="4" spans="1:56" ht="78" customHeight="1">
      <c r="C4" s="65"/>
      <c r="G4" s="60"/>
      <c r="I4" s="99"/>
      <c r="J4" s="69"/>
      <c r="K4" s="110"/>
      <c r="L4" s="67"/>
      <c r="M4" s="67"/>
      <c r="N4" s="128"/>
      <c r="O4" s="62"/>
      <c r="P4" s="67"/>
      <c r="Q4" s="62"/>
      <c r="R4" s="67"/>
      <c r="S4" s="62"/>
      <c r="AQ4" s="61"/>
      <c r="AS4" s="60"/>
      <c r="AT4" s="60"/>
      <c r="BB4" s="120"/>
      <c r="BC4" s="79"/>
    </row>
    <row r="5" spans="1:56" ht="78" customHeight="1">
      <c r="C5" s="65"/>
      <c r="G5" s="60"/>
      <c r="J5" s="69"/>
      <c r="K5" s="110"/>
      <c r="L5" s="70"/>
      <c r="M5" s="70"/>
      <c r="N5" s="128"/>
      <c r="O5" s="70"/>
      <c r="P5" s="67"/>
      <c r="Q5" s="62"/>
      <c r="R5" s="67"/>
      <c r="S5" s="62"/>
      <c r="AQ5" s="61"/>
      <c r="AS5" s="60"/>
      <c r="AT5" s="60"/>
      <c r="BB5" s="120"/>
      <c r="BC5" s="79"/>
    </row>
    <row r="6" spans="1:56" ht="78" customHeight="1">
      <c r="C6" s="65"/>
      <c r="G6" s="60"/>
      <c r="J6" s="69"/>
      <c r="K6" s="111"/>
      <c r="L6" s="70"/>
      <c r="M6" s="70"/>
      <c r="N6" s="128"/>
      <c r="O6" s="70"/>
      <c r="P6" s="67"/>
      <c r="Q6" s="62"/>
      <c r="R6" s="67"/>
      <c r="S6" s="62"/>
      <c r="AQ6" s="61"/>
      <c r="AS6" s="60"/>
      <c r="AT6" s="60"/>
      <c r="BB6" s="120"/>
      <c r="BC6" s="79"/>
    </row>
    <row r="7" spans="1:56" ht="78" customHeight="1">
      <c r="C7" s="65"/>
      <c r="G7" s="60"/>
      <c r="J7" s="69"/>
      <c r="K7" s="111"/>
      <c r="L7" s="67"/>
      <c r="M7" s="67"/>
      <c r="N7" s="111"/>
      <c r="O7" s="62"/>
      <c r="P7" s="67"/>
      <c r="Q7" s="62"/>
      <c r="R7" s="67"/>
      <c r="S7" s="62"/>
      <c r="AQ7" s="61"/>
      <c r="AS7" s="60"/>
      <c r="AT7" s="60"/>
      <c r="BB7" s="120"/>
      <c r="BC7" s="79"/>
    </row>
    <row r="8" spans="1:56" ht="78" customHeight="1">
      <c r="C8" s="65"/>
      <c r="G8" s="60"/>
      <c r="J8" s="69"/>
      <c r="K8" s="110"/>
      <c r="L8" s="67"/>
      <c r="M8" s="67"/>
      <c r="N8" s="128"/>
      <c r="O8" s="62"/>
      <c r="P8" s="67"/>
      <c r="Q8" s="62"/>
      <c r="R8" s="67"/>
      <c r="S8" s="62"/>
      <c r="AQ8" s="61"/>
      <c r="AS8" s="60"/>
      <c r="AT8" s="60"/>
      <c r="BB8" s="120"/>
      <c r="BC8" s="79"/>
    </row>
    <row r="9" spans="1:56" ht="78" customHeight="1">
      <c r="C9" s="65"/>
      <c r="G9" s="60"/>
      <c r="J9" s="69"/>
      <c r="K9" s="110"/>
      <c r="L9" s="67"/>
      <c r="M9" s="67"/>
      <c r="N9" s="128"/>
      <c r="O9" s="62"/>
      <c r="P9" s="67"/>
      <c r="Q9" s="62"/>
      <c r="R9" s="67"/>
      <c r="S9" s="62"/>
      <c r="AQ9" s="61"/>
      <c r="AS9" s="60"/>
      <c r="AT9" s="60"/>
      <c r="BB9" s="120"/>
      <c r="BC9" s="79"/>
    </row>
    <row r="10" spans="1:56" ht="78" customHeight="1">
      <c r="C10" s="65"/>
      <c r="G10" s="60"/>
      <c r="J10" s="69"/>
      <c r="K10" s="110"/>
      <c r="L10" s="67"/>
      <c r="M10" s="67"/>
      <c r="N10" s="128"/>
      <c r="O10" s="62"/>
      <c r="P10" s="67"/>
      <c r="Q10" s="62"/>
      <c r="R10" s="67"/>
      <c r="S10" s="62"/>
      <c r="AQ10" s="61"/>
      <c r="AS10" s="60"/>
      <c r="AT10" s="60"/>
      <c r="BB10" s="120"/>
      <c r="BC10" s="79"/>
    </row>
    <row r="11" spans="1:56" ht="78" customHeight="1">
      <c r="G11" s="60"/>
      <c r="J11" s="69"/>
      <c r="K11" s="112"/>
      <c r="L11" s="67"/>
      <c r="M11" s="67"/>
      <c r="N11" s="128"/>
      <c r="O11" s="62"/>
      <c r="P11" s="67"/>
      <c r="Q11" s="62"/>
      <c r="R11" s="67"/>
      <c r="S11" s="62"/>
      <c r="AQ11" s="61"/>
      <c r="AS11" s="60"/>
      <c r="AT11" s="60"/>
      <c r="BB11" s="120"/>
      <c r="BC11" s="79"/>
    </row>
    <row r="12" spans="1:56" ht="78" customHeight="1">
      <c r="G12" s="60"/>
      <c r="J12" s="69"/>
      <c r="K12" s="112"/>
      <c r="L12" s="67"/>
      <c r="M12" s="67"/>
      <c r="N12" s="128"/>
      <c r="O12" s="62"/>
      <c r="P12" s="67"/>
      <c r="Q12" s="62"/>
      <c r="R12" s="67"/>
      <c r="S12" s="62"/>
      <c r="AQ12" s="61"/>
      <c r="AS12" s="60"/>
      <c r="AT12" s="60"/>
      <c r="BB12" s="120"/>
      <c r="BC12" s="79"/>
    </row>
    <row r="13" spans="1:56" ht="78" customHeight="1">
      <c r="G13" s="60"/>
      <c r="J13" s="69"/>
      <c r="K13" s="112"/>
      <c r="L13" s="67"/>
      <c r="M13" s="67"/>
      <c r="N13" s="128"/>
      <c r="O13" s="62"/>
      <c r="P13" s="67"/>
      <c r="Q13" s="62"/>
      <c r="R13" s="67"/>
      <c r="S13" s="62"/>
      <c r="AQ13" s="61"/>
      <c r="AS13" s="60"/>
      <c r="AT13" s="60"/>
      <c r="BB13" s="120"/>
      <c r="BC13" s="79"/>
    </row>
    <row r="14" spans="1:56" ht="78" customHeight="1">
      <c r="G14" s="60"/>
      <c r="J14" s="69"/>
      <c r="K14" s="112"/>
      <c r="L14" s="67"/>
      <c r="M14" s="67"/>
      <c r="N14" s="128"/>
      <c r="O14" s="62"/>
      <c r="P14" s="67"/>
      <c r="Q14" s="62"/>
      <c r="R14" s="67"/>
      <c r="S14" s="62"/>
      <c r="AQ14" s="61"/>
      <c r="AS14" s="60"/>
      <c r="AT14" s="60"/>
      <c r="BB14" s="120"/>
      <c r="BC14" s="79"/>
    </row>
    <row r="15" spans="1:56" ht="78" customHeight="1">
      <c r="G15" s="60"/>
      <c r="J15" s="69"/>
      <c r="K15" s="112"/>
      <c r="L15" s="67"/>
      <c r="M15" s="67"/>
      <c r="N15" s="128"/>
      <c r="O15" s="62"/>
      <c r="P15" s="67"/>
      <c r="Q15" s="62"/>
      <c r="R15" s="67"/>
      <c r="S15" s="62"/>
      <c r="AQ15" s="61"/>
      <c r="AS15" s="60"/>
      <c r="AT15" s="60"/>
      <c r="BB15" s="120"/>
      <c r="BC15" s="79"/>
    </row>
    <row r="16" spans="1:56" ht="78" customHeight="1">
      <c r="G16" s="60"/>
      <c r="J16" s="69"/>
      <c r="K16" s="112"/>
      <c r="L16" s="67"/>
      <c r="M16" s="67"/>
      <c r="N16" s="128"/>
      <c r="O16" s="62"/>
      <c r="P16" s="67"/>
      <c r="Q16" s="62"/>
      <c r="R16" s="67"/>
      <c r="S16" s="62"/>
      <c r="AQ16" s="61"/>
      <c r="AS16" s="60"/>
      <c r="AT16" s="60"/>
      <c r="BB16" s="120"/>
      <c r="BC16" s="79"/>
    </row>
    <row r="17" spans="7:55" ht="78" customHeight="1">
      <c r="G17" s="60"/>
      <c r="J17" s="69"/>
      <c r="K17" s="112"/>
      <c r="L17" s="67"/>
      <c r="M17" s="67"/>
      <c r="N17" s="128"/>
      <c r="O17" s="62"/>
      <c r="P17" s="67"/>
      <c r="Q17" s="62"/>
      <c r="R17" s="67"/>
      <c r="S17" s="62"/>
      <c r="AQ17" s="61"/>
      <c r="AS17" s="60"/>
      <c r="AT17" s="60"/>
      <c r="BB17" s="120"/>
      <c r="BC17" s="79"/>
    </row>
    <row r="18" spans="7:55" ht="78" customHeight="1">
      <c r="G18" s="60"/>
      <c r="J18" s="69"/>
      <c r="K18" s="112"/>
      <c r="L18" s="67"/>
      <c r="M18" s="67"/>
      <c r="N18" s="128"/>
      <c r="O18" s="62"/>
      <c r="P18" s="67"/>
      <c r="Q18" s="62"/>
      <c r="R18" s="67"/>
      <c r="S18" s="62"/>
      <c r="AQ18" s="61"/>
      <c r="AS18" s="60"/>
      <c r="AT18" s="60"/>
      <c r="BB18" s="120"/>
      <c r="BC18" s="79"/>
    </row>
    <row r="19" spans="7:55" ht="78" customHeight="1">
      <c r="G19" s="60"/>
      <c r="J19" s="69"/>
      <c r="K19" s="112"/>
      <c r="L19" s="67"/>
      <c r="M19" s="67"/>
      <c r="N19" s="128"/>
      <c r="O19" s="62"/>
      <c r="P19" s="67"/>
      <c r="Q19" s="62"/>
      <c r="R19" s="67"/>
      <c r="S19" s="62"/>
      <c r="AQ19" s="61"/>
      <c r="AS19" s="60"/>
      <c r="AT19" s="60"/>
      <c r="BB19" s="120"/>
      <c r="BC19" s="79"/>
    </row>
    <row r="20" spans="7:55" ht="78" customHeight="1">
      <c r="G20" s="60"/>
      <c r="J20" s="69"/>
      <c r="K20" s="112"/>
      <c r="L20" s="67"/>
      <c r="M20" s="67"/>
      <c r="N20" s="128"/>
      <c r="O20" s="62"/>
      <c r="P20" s="67"/>
      <c r="Q20" s="62"/>
      <c r="R20" s="67"/>
      <c r="S20" s="62"/>
      <c r="AQ20" s="61"/>
      <c r="AS20" s="60"/>
      <c r="AT20" s="60"/>
      <c r="BB20" s="120"/>
      <c r="BC20" s="79"/>
    </row>
    <row r="21" spans="7:55" ht="78" customHeight="1">
      <c r="G21" s="60"/>
      <c r="J21" s="69"/>
      <c r="K21" s="112"/>
      <c r="L21" s="67"/>
      <c r="M21" s="67"/>
      <c r="N21" s="128"/>
      <c r="O21" s="62"/>
      <c r="P21" s="67"/>
      <c r="Q21" s="62"/>
      <c r="R21" s="67"/>
      <c r="S21" s="62"/>
      <c r="AQ21" s="61"/>
      <c r="AS21" s="60"/>
      <c r="AT21" s="60"/>
      <c r="BB21" s="120"/>
      <c r="BC21" s="79"/>
    </row>
    <row r="22" spans="7:55" ht="78" customHeight="1">
      <c r="G22" s="60"/>
      <c r="J22" s="69"/>
      <c r="K22" s="112"/>
      <c r="L22" s="67"/>
      <c r="M22" s="67"/>
      <c r="N22" s="128"/>
      <c r="O22" s="62"/>
      <c r="P22" s="67"/>
      <c r="Q22" s="62"/>
      <c r="R22" s="67"/>
      <c r="S22" s="62"/>
      <c r="AQ22" s="61"/>
      <c r="AS22" s="60"/>
      <c r="AT22" s="60"/>
      <c r="BB22" s="120"/>
      <c r="BC22" s="79"/>
    </row>
    <row r="23" spans="7:55" ht="78" customHeight="1">
      <c r="G23" s="60"/>
      <c r="J23" s="69"/>
      <c r="K23" s="112"/>
      <c r="L23" s="67"/>
      <c r="M23" s="67"/>
      <c r="N23" s="128"/>
      <c r="O23" s="62"/>
      <c r="P23" s="67"/>
      <c r="Q23" s="62"/>
      <c r="R23" s="67"/>
      <c r="S23" s="62"/>
      <c r="AQ23" s="61"/>
      <c r="AS23" s="60"/>
      <c r="AT23" s="60"/>
      <c r="BB23" s="120"/>
      <c r="BC23" s="79"/>
    </row>
    <row r="24" spans="7:55" ht="78" customHeight="1">
      <c r="G24" s="60"/>
      <c r="J24" s="69"/>
      <c r="K24" s="112"/>
      <c r="L24" s="67"/>
      <c r="M24" s="67"/>
      <c r="N24" s="112"/>
      <c r="O24" s="62"/>
      <c r="P24" s="67"/>
      <c r="Q24" s="62"/>
      <c r="R24" s="62"/>
      <c r="S24" s="62"/>
      <c r="AQ24" s="61"/>
      <c r="AS24" s="60"/>
      <c r="AT24" s="60"/>
      <c r="BB24" s="120"/>
      <c r="BC24" s="79"/>
    </row>
    <row r="25" spans="7:55" ht="78" customHeight="1">
      <c r="G25" s="60"/>
      <c r="J25" s="69"/>
      <c r="K25" s="112"/>
      <c r="L25" s="67"/>
      <c r="M25" s="67"/>
      <c r="N25" s="112"/>
      <c r="O25" s="62"/>
      <c r="P25" s="67"/>
      <c r="Q25" s="62"/>
      <c r="R25" s="62"/>
      <c r="S25" s="62"/>
      <c r="AQ25" s="61"/>
      <c r="AS25" s="60"/>
      <c r="AT25" s="60"/>
      <c r="BB25" s="120"/>
      <c r="BC25" s="79"/>
    </row>
    <row r="26" spans="7:55" ht="78" customHeight="1">
      <c r="G26" s="60"/>
      <c r="J26" s="69"/>
      <c r="K26" s="112"/>
      <c r="L26" s="67"/>
      <c r="M26" s="67"/>
      <c r="N26" s="112"/>
      <c r="O26" s="62"/>
      <c r="P26" s="67"/>
      <c r="Q26" s="62"/>
      <c r="R26" s="62"/>
      <c r="S26" s="62"/>
      <c r="AQ26" s="61"/>
      <c r="AS26" s="60"/>
      <c r="AT26" s="60"/>
      <c r="BB26" s="120"/>
      <c r="BC26" s="79"/>
    </row>
    <row r="27" spans="7:55" ht="78" customHeight="1">
      <c r="G27" s="60"/>
      <c r="J27" s="69"/>
      <c r="K27" s="112"/>
      <c r="L27" s="67"/>
      <c r="M27" s="67"/>
      <c r="N27" s="112"/>
      <c r="O27" s="62"/>
      <c r="P27" s="67"/>
      <c r="Q27" s="62"/>
      <c r="R27" s="62"/>
      <c r="S27" s="62"/>
      <c r="AQ27" s="61"/>
      <c r="AS27" s="60"/>
      <c r="AT27" s="60"/>
      <c r="BB27" s="120"/>
      <c r="BC27" s="79"/>
    </row>
    <row r="28" spans="7:55" ht="78" customHeight="1">
      <c r="G28" s="60"/>
      <c r="J28" s="69"/>
      <c r="K28" s="112"/>
      <c r="L28" s="67"/>
      <c r="M28" s="67"/>
      <c r="N28" s="112"/>
      <c r="O28" s="62"/>
      <c r="P28" s="67"/>
      <c r="Q28" s="62"/>
      <c r="R28" s="62"/>
      <c r="S28" s="62"/>
      <c r="AQ28" s="61"/>
      <c r="AS28" s="60"/>
      <c r="AT28" s="60"/>
      <c r="BB28" s="120"/>
      <c r="BC28" s="79"/>
    </row>
    <row r="29" spans="7:55" ht="78" customHeight="1">
      <c r="G29" s="60"/>
      <c r="J29" s="69"/>
      <c r="K29" s="112"/>
      <c r="L29" s="67"/>
      <c r="M29" s="67"/>
      <c r="N29" s="112"/>
      <c r="O29" s="62"/>
      <c r="P29" s="67"/>
      <c r="Q29" s="62"/>
      <c r="R29" s="62"/>
      <c r="S29" s="62"/>
      <c r="AQ29" s="61"/>
      <c r="AS29" s="60"/>
      <c r="AT29" s="60"/>
      <c r="BB29" s="120"/>
      <c r="BC29" s="79"/>
    </row>
    <row r="30" spans="7:55" ht="78" customHeight="1">
      <c r="G30" s="60"/>
      <c r="J30" s="69"/>
      <c r="K30" s="112"/>
      <c r="L30" s="67"/>
      <c r="M30" s="67"/>
      <c r="N30" s="112"/>
      <c r="O30" s="62"/>
      <c r="P30" s="67"/>
      <c r="Q30" s="62"/>
      <c r="R30" s="62"/>
      <c r="S30" s="62"/>
      <c r="AQ30" s="61"/>
      <c r="AS30" s="60"/>
      <c r="AT30" s="60"/>
      <c r="BB30" s="120"/>
      <c r="BC30" s="79"/>
    </row>
    <row r="31" spans="7:55" ht="78" customHeight="1">
      <c r="G31" s="60"/>
      <c r="J31" s="69"/>
      <c r="K31" s="112"/>
      <c r="L31" s="67"/>
      <c r="M31" s="67"/>
      <c r="N31" s="112"/>
      <c r="O31" s="62"/>
      <c r="P31" s="67"/>
      <c r="Q31" s="62"/>
      <c r="R31" s="62"/>
      <c r="S31" s="62"/>
      <c r="AQ31" s="61"/>
      <c r="AS31" s="60"/>
      <c r="AT31" s="60"/>
      <c r="BB31" s="120"/>
      <c r="BC31" s="79"/>
    </row>
    <row r="32" spans="7:55" ht="78" customHeight="1">
      <c r="G32" s="60"/>
      <c r="J32" s="69"/>
      <c r="K32" s="112"/>
      <c r="L32" s="67"/>
      <c r="M32" s="67"/>
      <c r="N32" s="112"/>
      <c r="O32" s="62"/>
      <c r="P32" s="67"/>
      <c r="Q32" s="62"/>
      <c r="R32" s="62"/>
      <c r="S32" s="62"/>
      <c r="AQ32" s="61"/>
      <c r="AS32" s="60"/>
      <c r="AT32" s="60"/>
      <c r="BB32" s="120"/>
      <c r="BC32" s="79"/>
    </row>
    <row r="33" spans="7:55" ht="78" customHeight="1">
      <c r="G33" s="60"/>
      <c r="J33" s="69"/>
      <c r="K33" s="112"/>
      <c r="L33" s="67"/>
      <c r="M33" s="67"/>
      <c r="N33" s="112"/>
      <c r="O33" s="62"/>
      <c r="P33" s="67"/>
      <c r="Q33" s="62"/>
      <c r="R33" s="62"/>
      <c r="S33" s="62"/>
      <c r="AQ33" s="61"/>
      <c r="AS33" s="60"/>
      <c r="AT33" s="60"/>
      <c r="BB33" s="120"/>
      <c r="BC33" s="79"/>
    </row>
    <row r="34" spans="7:55" ht="78" customHeight="1">
      <c r="G34" s="60"/>
      <c r="J34" s="69"/>
      <c r="K34" s="112"/>
      <c r="L34" s="67"/>
      <c r="M34" s="67"/>
      <c r="N34" s="112"/>
      <c r="O34" s="62"/>
      <c r="P34" s="67"/>
      <c r="Q34" s="62"/>
      <c r="R34" s="62"/>
      <c r="S34" s="62"/>
      <c r="AQ34" s="61"/>
      <c r="AS34" s="60"/>
      <c r="AT34" s="60"/>
      <c r="BB34" s="120"/>
      <c r="BC34" s="79"/>
    </row>
    <row r="35" spans="7:55" ht="78" customHeight="1">
      <c r="G35" s="60"/>
      <c r="J35" s="69"/>
      <c r="K35" s="112"/>
      <c r="L35" s="67"/>
      <c r="M35" s="67"/>
      <c r="N35" s="112"/>
      <c r="O35" s="62"/>
      <c r="P35" s="67"/>
      <c r="Q35" s="62"/>
      <c r="R35" s="62"/>
      <c r="S35" s="62"/>
      <c r="AQ35" s="61"/>
      <c r="AS35" s="60"/>
      <c r="AT35" s="60"/>
      <c r="BB35" s="120"/>
      <c r="BC35" s="79"/>
    </row>
    <row r="36" spans="7:55" ht="78" customHeight="1">
      <c r="G36" s="60"/>
      <c r="J36" s="69"/>
      <c r="K36" s="112"/>
      <c r="L36" s="67"/>
      <c r="M36" s="67"/>
      <c r="N36" s="112"/>
      <c r="O36" s="62"/>
      <c r="P36" s="67"/>
      <c r="Q36" s="62"/>
      <c r="R36" s="62"/>
      <c r="S36" s="62"/>
      <c r="AQ36" s="61"/>
      <c r="AS36" s="60"/>
      <c r="AT36" s="60"/>
      <c r="BB36" s="120"/>
      <c r="BC36" s="79"/>
    </row>
    <row r="37" spans="7:55" ht="78" customHeight="1">
      <c r="G37" s="60"/>
      <c r="J37" s="69"/>
      <c r="K37" s="112"/>
      <c r="L37" s="67"/>
      <c r="M37" s="67"/>
      <c r="N37" s="112"/>
      <c r="O37" s="62"/>
      <c r="P37" s="67"/>
      <c r="Q37" s="62"/>
      <c r="R37" s="62"/>
      <c r="S37" s="62"/>
      <c r="AQ37" s="61"/>
      <c r="AS37" s="60"/>
      <c r="AT37" s="60"/>
      <c r="BB37" s="120"/>
      <c r="BC37" s="79"/>
    </row>
    <row r="38" spans="7:55" ht="78" customHeight="1">
      <c r="G38" s="60"/>
      <c r="J38" s="69"/>
      <c r="K38" s="112"/>
      <c r="L38" s="67"/>
      <c r="M38" s="67"/>
      <c r="N38" s="112"/>
      <c r="O38" s="62"/>
      <c r="P38" s="67"/>
      <c r="Q38" s="62"/>
      <c r="R38" s="62"/>
      <c r="S38" s="62"/>
      <c r="AQ38" s="61"/>
      <c r="AS38" s="60"/>
      <c r="AT38" s="60"/>
      <c r="BB38" s="120"/>
      <c r="BC38" s="79"/>
    </row>
    <row r="39" spans="7:55" ht="78" customHeight="1">
      <c r="G39" s="60"/>
      <c r="J39" s="69"/>
      <c r="K39" s="112"/>
      <c r="L39" s="67"/>
      <c r="M39" s="67"/>
      <c r="N39" s="112"/>
      <c r="O39" s="62"/>
      <c r="P39" s="67"/>
      <c r="Q39" s="62"/>
      <c r="R39" s="62"/>
      <c r="S39" s="62"/>
      <c r="AQ39" s="61"/>
      <c r="AS39" s="60"/>
      <c r="AT39" s="60"/>
      <c r="BB39" s="120"/>
      <c r="BC39" s="79"/>
    </row>
    <row r="40" spans="7:55" ht="78" customHeight="1">
      <c r="G40" s="60"/>
      <c r="J40" s="69"/>
      <c r="K40" s="112"/>
      <c r="L40" s="67"/>
      <c r="M40" s="67"/>
      <c r="N40" s="112"/>
      <c r="O40" s="62"/>
      <c r="P40" s="67"/>
      <c r="Q40" s="62"/>
      <c r="R40" s="62"/>
      <c r="S40" s="62"/>
      <c r="AQ40" s="61"/>
      <c r="AS40" s="60"/>
      <c r="AT40" s="60"/>
      <c r="BB40" s="120"/>
      <c r="BC40" s="79"/>
    </row>
    <row r="41" spans="7:55" ht="78" customHeight="1">
      <c r="G41" s="60"/>
      <c r="J41" s="69"/>
      <c r="K41" s="112"/>
      <c r="L41" s="67"/>
      <c r="M41" s="67"/>
      <c r="N41" s="112"/>
      <c r="O41" s="62"/>
      <c r="P41" s="67"/>
      <c r="Q41" s="62"/>
      <c r="R41" s="62"/>
      <c r="S41" s="62"/>
      <c r="AQ41" s="61"/>
      <c r="AS41" s="60"/>
      <c r="AT41" s="60"/>
      <c r="BB41" s="120"/>
      <c r="BC41" s="79"/>
    </row>
    <row r="42" spans="7:55" ht="78" customHeight="1">
      <c r="G42" s="60"/>
      <c r="J42" s="69"/>
      <c r="K42" s="112"/>
      <c r="L42" s="67"/>
      <c r="M42" s="67"/>
      <c r="N42" s="112"/>
      <c r="O42" s="62"/>
      <c r="P42" s="67"/>
      <c r="Q42" s="62"/>
      <c r="R42" s="62"/>
      <c r="S42" s="62"/>
      <c r="AQ42" s="61"/>
      <c r="AS42" s="60"/>
      <c r="AT42" s="60"/>
      <c r="BB42" s="120"/>
      <c r="BC42" s="79"/>
    </row>
    <row r="43" spans="7:55" ht="78" customHeight="1">
      <c r="G43" s="60"/>
      <c r="J43" s="69"/>
      <c r="K43" s="112"/>
      <c r="L43" s="67"/>
      <c r="M43" s="67"/>
      <c r="N43" s="112"/>
      <c r="O43" s="62"/>
      <c r="P43" s="67"/>
      <c r="Q43" s="62"/>
      <c r="R43" s="62"/>
      <c r="S43" s="62"/>
      <c r="AQ43" s="61"/>
      <c r="AS43" s="60"/>
      <c r="AT43" s="60"/>
      <c r="BB43" s="120"/>
      <c r="BC43" s="79"/>
    </row>
    <row r="44" spans="7:55" ht="78" customHeight="1">
      <c r="G44" s="60"/>
      <c r="J44" s="69"/>
      <c r="K44" s="112"/>
      <c r="L44" s="67"/>
      <c r="M44" s="67"/>
      <c r="N44" s="112"/>
      <c r="O44" s="62"/>
      <c r="P44" s="67"/>
      <c r="Q44" s="62"/>
      <c r="R44" s="62"/>
      <c r="S44" s="62"/>
      <c r="AQ44" s="61"/>
      <c r="AS44" s="60"/>
      <c r="AT44" s="60"/>
      <c r="BB44" s="120"/>
      <c r="BC44" s="79"/>
    </row>
    <row r="45" spans="7:55" ht="78" customHeight="1">
      <c r="G45" s="60"/>
      <c r="J45" s="69"/>
      <c r="K45" s="112"/>
      <c r="L45" s="67"/>
      <c r="M45" s="67"/>
      <c r="N45" s="112"/>
      <c r="O45" s="62"/>
      <c r="P45" s="67"/>
      <c r="Q45" s="62"/>
      <c r="R45" s="62"/>
      <c r="S45" s="62"/>
      <c r="AQ45" s="61"/>
      <c r="AS45" s="60"/>
      <c r="AT45" s="60"/>
      <c r="BB45" s="120"/>
      <c r="BC45" s="79"/>
    </row>
    <row r="46" spans="7:55" ht="78" customHeight="1">
      <c r="G46" s="60"/>
      <c r="J46" s="69"/>
      <c r="K46" s="112"/>
      <c r="L46" s="67"/>
      <c r="M46" s="67"/>
      <c r="N46" s="112"/>
      <c r="O46" s="62"/>
      <c r="P46" s="67"/>
      <c r="Q46" s="62"/>
      <c r="R46" s="62"/>
      <c r="S46" s="62"/>
      <c r="AQ46" s="61"/>
      <c r="AS46" s="60"/>
      <c r="AT46" s="60"/>
      <c r="BB46" s="120"/>
      <c r="BC46" s="79"/>
    </row>
    <row r="47" spans="7:55" ht="78" customHeight="1">
      <c r="G47" s="60"/>
      <c r="J47" s="69"/>
      <c r="K47" s="112"/>
      <c r="L47" s="67"/>
      <c r="M47" s="67"/>
      <c r="N47" s="112"/>
      <c r="O47" s="62"/>
      <c r="P47" s="67"/>
      <c r="Q47" s="62"/>
      <c r="R47" s="62"/>
      <c r="S47" s="62"/>
      <c r="AQ47" s="61"/>
      <c r="AS47" s="60"/>
      <c r="AT47" s="60"/>
      <c r="BB47" s="120"/>
      <c r="BC47" s="79"/>
    </row>
    <row r="48" spans="7:55" ht="78" customHeight="1">
      <c r="G48" s="60"/>
      <c r="J48" s="69"/>
      <c r="K48" s="112"/>
      <c r="L48" s="67"/>
      <c r="M48" s="67"/>
      <c r="N48" s="112"/>
      <c r="O48" s="62"/>
      <c r="P48" s="67"/>
      <c r="Q48" s="62"/>
      <c r="R48" s="62"/>
      <c r="S48" s="62"/>
      <c r="AQ48" s="61"/>
      <c r="AS48" s="60"/>
      <c r="AT48" s="60"/>
      <c r="BB48" s="120"/>
      <c r="BC48" s="79"/>
    </row>
    <row r="49" spans="7:55" ht="78" customHeight="1">
      <c r="G49" s="60"/>
      <c r="J49" s="69"/>
      <c r="K49" s="112"/>
      <c r="L49" s="67"/>
      <c r="M49" s="67"/>
      <c r="N49" s="112"/>
      <c r="O49" s="62"/>
      <c r="P49" s="67"/>
      <c r="Q49" s="62"/>
      <c r="R49" s="62"/>
      <c r="S49" s="62"/>
      <c r="AQ49" s="61"/>
      <c r="AS49" s="60"/>
      <c r="AT49" s="60"/>
      <c r="BB49" s="120"/>
      <c r="BC49" s="79"/>
    </row>
    <row r="50" spans="7:55" ht="78" customHeight="1">
      <c r="G50" s="60"/>
      <c r="J50" s="69"/>
      <c r="K50" s="112"/>
      <c r="L50" s="67"/>
      <c r="M50" s="67"/>
      <c r="N50" s="112"/>
      <c r="O50" s="62"/>
      <c r="P50" s="67"/>
      <c r="Q50" s="62"/>
      <c r="R50" s="62"/>
      <c r="S50" s="62"/>
      <c r="AQ50" s="61"/>
      <c r="AS50" s="60"/>
      <c r="AT50" s="60"/>
      <c r="BB50" s="120"/>
      <c r="BC50" s="79"/>
    </row>
    <row r="51" spans="7:55" ht="78" customHeight="1">
      <c r="G51" s="60"/>
      <c r="J51" s="69"/>
      <c r="K51" s="112"/>
      <c r="L51" s="67"/>
      <c r="M51" s="67"/>
      <c r="N51" s="112"/>
      <c r="O51" s="62"/>
      <c r="P51" s="67"/>
      <c r="Q51" s="62"/>
      <c r="R51" s="62"/>
      <c r="S51" s="62"/>
      <c r="AQ51" s="61"/>
      <c r="AS51" s="60"/>
      <c r="AT51" s="60"/>
      <c r="BB51" s="120"/>
      <c r="BC51" s="79"/>
    </row>
    <row r="52" spans="7:55" ht="78" customHeight="1">
      <c r="G52" s="60"/>
      <c r="J52" s="69"/>
      <c r="K52" s="112"/>
      <c r="L52" s="67"/>
      <c r="M52" s="67"/>
      <c r="N52" s="112"/>
      <c r="O52" s="62"/>
      <c r="P52" s="67"/>
      <c r="Q52" s="62"/>
      <c r="R52" s="62"/>
      <c r="S52" s="62"/>
      <c r="AQ52" s="61"/>
      <c r="AS52" s="60"/>
      <c r="AT52" s="60"/>
      <c r="BB52" s="120"/>
      <c r="BC52" s="79"/>
    </row>
    <row r="53" spans="7:55" ht="78" customHeight="1">
      <c r="G53" s="60"/>
      <c r="J53" s="69"/>
      <c r="K53" s="112"/>
      <c r="L53" s="67"/>
      <c r="M53" s="67"/>
      <c r="N53" s="112"/>
      <c r="O53" s="62"/>
      <c r="P53" s="67"/>
      <c r="Q53" s="62"/>
      <c r="R53" s="62"/>
      <c r="S53" s="62"/>
      <c r="AQ53" s="61"/>
      <c r="AS53" s="60"/>
      <c r="AT53" s="60"/>
      <c r="BB53" s="120"/>
      <c r="BC53" s="79"/>
    </row>
    <row r="54" spans="7:55" ht="78" customHeight="1">
      <c r="G54" s="60"/>
      <c r="J54" s="69"/>
      <c r="K54" s="112"/>
      <c r="L54" s="67"/>
      <c r="M54" s="67"/>
      <c r="N54" s="112"/>
      <c r="O54" s="62"/>
      <c r="P54" s="67"/>
      <c r="Q54" s="62"/>
      <c r="R54" s="62"/>
      <c r="S54" s="62"/>
      <c r="AQ54" s="61"/>
      <c r="AS54" s="60"/>
      <c r="AT54" s="60"/>
      <c r="BB54" s="120"/>
      <c r="BC54" s="79"/>
    </row>
    <row r="55" spans="7:55" ht="78" customHeight="1">
      <c r="G55" s="60"/>
      <c r="J55" s="69"/>
      <c r="K55" s="112"/>
      <c r="L55" s="67"/>
      <c r="M55" s="67"/>
      <c r="N55" s="112"/>
      <c r="O55" s="62"/>
      <c r="P55" s="67"/>
      <c r="Q55" s="62"/>
      <c r="R55" s="62"/>
      <c r="S55" s="62"/>
      <c r="AQ55" s="61"/>
      <c r="AS55" s="60"/>
      <c r="AT55" s="60"/>
      <c r="BB55" s="120"/>
      <c r="BC55" s="79"/>
    </row>
    <row r="56" spans="7:55" ht="78" customHeight="1">
      <c r="G56" s="60"/>
      <c r="J56" s="69"/>
      <c r="K56" s="112"/>
      <c r="L56" s="67"/>
      <c r="M56" s="67"/>
      <c r="N56" s="112"/>
      <c r="O56" s="62"/>
      <c r="P56" s="67"/>
      <c r="Q56" s="62"/>
      <c r="R56" s="62"/>
      <c r="S56" s="62"/>
      <c r="AQ56" s="61"/>
      <c r="AS56" s="60"/>
      <c r="AT56" s="60"/>
      <c r="BB56" s="120"/>
      <c r="BC56" s="79"/>
    </row>
    <row r="57" spans="7:55" ht="78" customHeight="1">
      <c r="G57" s="60"/>
      <c r="J57" s="69"/>
      <c r="K57" s="112"/>
      <c r="L57" s="67"/>
      <c r="M57" s="67"/>
      <c r="N57" s="112"/>
      <c r="O57" s="62"/>
      <c r="P57" s="67"/>
      <c r="Q57" s="62"/>
      <c r="R57" s="62"/>
      <c r="S57" s="62"/>
      <c r="AQ57" s="61"/>
      <c r="AS57" s="60"/>
      <c r="AT57" s="60"/>
      <c r="BB57" s="120"/>
      <c r="BC57" s="79"/>
    </row>
    <row r="58" spans="7:55" ht="78" customHeight="1">
      <c r="G58" s="60"/>
      <c r="J58" s="69"/>
      <c r="K58" s="112"/>
      <c r="L58" s="67"/>
      <c r="M58" s="67"/>
      <c r="N58" s="112"/>
      <c r="O58" s="62"/>
      <c r="P58" s="67"/>
      <c r="Q58" s="62"/>
      <c r="R58" s="62"/>
      <c r="S58" s="62"/>
      <c r="AQ58" s="61"/>
      <c r="AS58" s="60"/>
      <c r="AT58" s="60"/>
      <c r="BB58" s="120"/>
      <c r="BC58" s="79"/>
    </row>
    <row r="59" spans="7:55" ht="78" customHeight="1">
      <c r="G59" s="60"/>
      <c r="J59" s="69"/>
      <c r="K59" s="112"/>
      <c r="L59" s="67"/>
      <c r="M59" s="67"/>
      <c r="N59" s="112"/>
      <c r="O59" s="62"/>
      <c r="P59" s="67"/>
      <c r="Q59" s="62"/>
      <c r="R59" s="62"/>
      <c r="S59" s="62"/>
      <c r="AQ59" s="61"/>
      <c r="AS59" s="60"/>
      <c r="AT59" s="60"/>
      <c r="BB59" s="120"/>
      <c r="BC59" s="79"/>
    </row>
    <row r="60" spans="7:55" ht="78" customHeight="1">
      <c r="G60" s="60"/>
      <c r="J60" s="69"/>
      <c r="K60" s="112"/>
      <c r="L60" s="67"/>
      <c r="M60" s="67"/>
      <c r="N60" s="112"/>
      <c r="O60" s="62"/>
      <c r="P60" s="67"/>
      <c r="Q60" s="62"/>
      <c r="R60" s="62"/>
      <c r="S60" s="62"/>
      <c r="AQ60" s="61"/>
      <c r="AS60" s="60"/>
      <c r="AT60" s="60"/>
      <c r="BB60" s="120"/>
      <c r="BC60" s="79"/>
    </row>
    <row r="61" spans="7:55" ht="78" customHeight="1">
      <c r="G61" s="60"/>
      <c r="J61" s="69"/>
      <c r="K61" s="112"/>
      <c r="L61" s="67"/>
      <c r="M61" s="67"/>
      <c r="N61" s="112"/>
      <c r="O61" s="62"/>
      <c r="P61" s="67"/>
      <c r="Q61" s="62"/>
      <c r="R61" s="62"/>
      <c r="S61" s="62"/>
      <c r="AQ61" s="61"/>
      <c r="AS61" s="60"/>
      <c r="AT61" s="60"/>
      <c r="BB61" s="120"/>
      <c r="BC61" s="79"/>
    </row>
    <row r="62" spans="7:55" ht="78" customHeight="1">
      <c r="G62" s="60"/>
      <c r="J62" s="69"/>
      <c r="K62" s="112"/>
      <c r="L62" s="67"/>
      <c r="M62" s="67"/>
      <c r="N62" s="112"/>
      <c r="O62" s="62"/>
      <c r="P62" s="67"/>
      <c r="Q62" s="62"/>
      <c r="R62" s="62"/>
      <c r="S62" s="62"/>
      <c r="AQ62" s="61"/>
      <c r="AS62" s="60"/>
      <c r="AT62" s="60"/>
      <c r="BB62" s="120"/>
      <c r="BC62" s="79"/>
    </row>
    <row r="63" spans="7:55" ht="78" customHeight="1">
      <c r="G63" s="60"/>
      <c r="J63" s="69"/>
      <c r="K63" s="112"/>
      <c r="L63" s="67"/>
      <c r="M63" s="67"/>
      <c r="N63" s="112"/>
      <c r="O63" s="62"/>
      <c r="P63" s="67"/>
      <c r="Q63" s="62"/>
      <c r="R63" s="62"/>
      <c r="S63" s="62"/>
      <c r="AQ63" s="61"/>
      <c r="AS63" s="60"/>
      <c r="AT63" s="60"/>
      <c r="BB63" s="120"/>
      <c r="BC63" s="79"/>
    </row>
    <row r="64" spans="7:55" ht="78" customHeight="1">
      <c r="G64" s="60"/>
      <c r="J64" s="62"/>
      <c r="K64" s="112"/>
      <c r="L64" s="67"/>
      <c r="M64" s="67"/>
      <c r="N64" s="112"/>
      <c r="O64" s="62"/>
      <c r="P64" s="62"/>
      <c r="Q64" s="62"/>
      <c r="R64" s="62"/>
      <c r="S64" s="62"/>
      <c r="AQ64" s="61"/>
      <c r="AS64" s="60"/>
      <c r="AT64" s="60"/>
    </row>
    <row r="65" spans="7:46" ht="78" customHeight="1">
      <c r="G65" s="60"/>
      <c r="J65" s="62"/>
      <c r="K65" s="112"/>
      <c r="L65" s="67"/>
      <c r="M65" s="67"/>
      <c r="N65" s="112"/>
      <c r="O65" s="62"/>
      <c r="P65" s="62"/>
      <c r="Q65" s="62"/>
      <c r="R65" s="62"/>
      <c r="S65" s="62"/>
      <c r="AQ65" s="61"/>
      <c r="AS65" s="60"/>
      <c r="AT65" s="60"/>
    </row>
    <row r="66" spans="7:46" ht="78" customHeight="1">
      <c r="G66" s="60"/>
      <c r="J66" s="62"/>
      <c r="K66" s="112"/>
      <c r="L66" s="67"/>
      <c r="M66" s="67"/>
      <c r="N66" s="112"/>
      <c r="O66" s="62"/>
      <c r="P66" s="62"/>
      <c r="Q66" s="62"/>
      <c r="R66" s="62"/>
      <c r="S66" s="62"/>
      <c r="AQ66" s="61"/>
      <c r="AS66" s="60"/>
      <c r="AT66" s="60"/>
    </row>
    <row r="67" spans="7:46" ht="78" customHeight="1">
      <c r="G67" s="60"/>
      <c r="J67" s="62"/>
      <c r="K67" s="112"/>
      <c r="L67" s="67"/>
      <c r="M67" s="67"/>
      <c r="N67" s="112"/>
      <c r="O67" s="62"/>
      <c r="P67" s="62"/>
      <c r="Q67" s="62"/>
      <c r="R67" s="62"/>
      <c r="S67" s="62"/>
      <c r="AQ67" s="61"/>
      <c r="AS67" s="60"/>
      <c r="AT67" s="60"/>
    </row>
    <row r="68" spans="7:46" ht="78" customHeight="1">
      <c r="G68" s="60"/>
      <c r="J68" s="62"/>
      <c r="K68" s="112"/>
      <c r="L68" s="67"/>
      <c r="M68" s="67"/>
      <c r="N68" s="112"/>
      <c r="O68" s="62"/>
      <c r="P68" s="62"/>
      <c r="Q68" s="62"/>
      <c r="R68" s="62"/>
      <c r="S68" s="62"/>
      <c r="AQ68" s="61"/>
      <c r="AS68" s="60"/>
      <c r="AT68" s="60"/>
    </row>
    <row r="69" spans="7:46" ht="78" customHeight="1">
      <c r="G69" s="60"/>
      <c r="J69" s="62"/>
      <c r="K69" s="112"/>
      <c r="L69" s="67"/>
      <c r="M69" s="67"/>
      <c r="N69" s="112"/>
      <c r="O69" s="62"/>
      <c r="P69" s="62"/>
      <c r="Q69" s="62"/>
      <c r="R69" s="62"/>
      <c r="S69" s="62"/>
      <c r="AQ69" s="61"/>
      <c r="AS69" s="60"/>
      <c r="AT69" s="60"/>
    </row>
    <row r="70" spans="7:46" ht="78" customHeight="1">
      <c r="G70" s="60"/>
      <c r="J70" s="62"/>
      <c r="K70" s="112"/>
      <c r="L70" s="67"/>
      <c r="M70" s="67"/>
      <c r="N70" s="112"/>
      <c r="O70" s="62"/>
      <c r="P70" s="62"/>
      <c r="Q70" s="62"/>
      <c r="R70" s="62"/>
      <c r="S70" s="62"/>
      <c r="AQ70" s="61"/>
      <c r="AS70" s="60"/>
      <c r="AT70" s="60"/>
    </row>
    <row r="71" spans="7:46" ht="78" customHeight="1">
      <c r="G71" s="60"/>
      <c r="J71" s="62"/>
      <c r="K71" s="112"/>
      <c r="L71" s="67"/>
      <c r="M71" s="67"/>
      <c r="N71" s="112"/>
      <c r="O71" s="62"/>
      <c r="P71" s="62"/>
      <c r="Q71" s="62"/>
      <c r="R71" s="62"/>
      <c r="S71" s="62"/>
      <c r="AQ71" s="61"/>
      <c r="AS71" s="60"/>
      <c r="AT71" s="60"/>
    </row>
    <row r="72" spans="7:46" ht="78" customHeight="1">
      <c r="G72" s="63"/>
      <c r="J72" s="62"/>
      <c r="K72" s="112"/>
      <c r="N72" s="112"/>
      <c r="O72" s="62"/>
      <c r="P72" s="62"/>
      <c r="Q72" s="62"/>
      <c r="R72" s="62"/>
      <c r="S72" s="62"/>
      <c r="AS72" s="60"/>
      <c r="AT72" s="60"/>
    </row>
    <row r="73" spans="7:46" ht="78" customHeight="1">
      <c r="AS73" s="60"/>
      <c r="AT73" s="60"/>
    </row>
    <row r="74" spans="7:46" ht="78" customHeight="1">
      <c r="AS74" s="60"/>
      <c r="AT74" s="60"/>
    </row>
    <row r="75" spans="7:46" ht="78" customHeight="1">
      <c r="AS75" s="60"/>
      <c r="AT75" s="60"/>
    </row>
    <row r="76" spans="7:46" ht="78" customHeight="1">
      <c r="AS76" s="60"/>
      <c r="AT76" s="60"/>
    </row>
  </sheetData>
  <sheetProtection sheet="1" objects="1" scenarios="1" formatColumns="0" formatRows="0" sort="0" autoFilter="0"/>
  <autoFilter ref="A1:BB4" xr:uid="{00000000-0009-0000-0000-000000000000}"/>
  <conditionalFormatting sqref="S2:AQ500">
    <cfRule type="expression" dxfId="20" priority="5">
      <formula>IF(УФ_Переключатель=1,IF(ISNUMBER(S2),IF(S2&gt;0,TRUE,FALSE),FALSE))</formula>
    </cfRule>
  </conditionalFormatting>
  <conditionalFormatting sqref="A2:H500 AQ2:BA500 BC2:BC500 J2:R500">
    <cfRule type="expression" dxfId="19" priority="12">
      <formula>IF(УФ_Переключатель=1,IF(A2&lt;&gt;"",TRUE,FALSE))</formula>
    </cfRule>
    <cfRule type="expression" dxfId="18" priority="13">
      <formula>IF(УФ_Переключатель=1,IF($A2&lt;&gt;"",NOT(_xludf.isFormula(A2)),FALSE))</formula>
    </cfRule>
  </conditionalFormatting>
  <conditionalFormatting sqref="A3:H4 J3:J63 G2:G63 AT3:AT63 BC1:BC500 P3:P63 A5:BA500 A1:BA2 J3:BA4">
    <cfRule type="expression" dxfId="17" priority="14">
      <formula>IF(УФ_Переключатель=1,IFERROR(TEXT(RIGHT(A1,255),"###"),TRUE))</formula>
    </cfRule>
  </conditionalFormatting>
  <conditionalFormatting sqref="A1:BC500">
    <cfRule type="expression" dxfId="16" priority="11">
      <formula>IF(УФ_Переключатель=1,_xludf.isFormula(A1))</formula>
    </cfRule>
    <cfRule type="expression" dxfId="15" priority="15">
      <formula>IF(УФ_Переключатель=1,IF($A1&lt;&gt;"",TRUE,FALSE))</formula>
    </cfRule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H1 H3:H1048576" xr:uid="{00000000-0002-0000-0000-000002000000}">
      <formula1>Сезоны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P1 P64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3:R1048576" xr:uid="{00000000-0002-0000-0000-000006000000}">
      <formula1>Пол</formula1>
    </dataValidation>
    <dataValidation type="list" allowBlank="1" showInputMessage="1" showErrorMessage="1" sqref="AE3" xr:uid="{1F98BB38-D209-477E-AC93-64E661049363}">
      <formula1>INDIRECT("_"&amp;SUBSTITUTE($J1," ","")&amp;"CountiresCodes")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7" workbookViewId="0">
      <selection activeCell="N27" sqref="N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43" customWidth="1"/>
    <col min="23" max="23" width="18" style="7" customWidth="1"/>
    <col min="24" max="16384" width="9.140625" style="4"/>
  </cols>
  <sheetData>
    <row r="1" spans="2:23" ht="28.9" customHeight="1">
      <c r="B1" s="136" t="s">
        <v>474</v>
      </c>
      <c r="C1" s="137"/>
      <c r="D1" s="137"/>
      <c r="E1" s="138"/>
      <c r="G1" s="52" t="s">
        <v>479</v>
      </c>
      <c r="L1" s="52" t="s">
        <v>475</v>
      </c>
      <c r="N1" s="51" t="s">
        <v>476</v>
      </c>
      <c r="O1" s="51" t="s">
        <v>49</v>
      </c>
      <c r="P1" s="56"/>
      <c r="Q1" s="52" t="s">
        <v>477</v>
      </c>
      <c r="S1" s="51" t="s">
        <v>478</v>
      </c>
      <c r="U1" s="52" t="s">
        <v>378</v>
      </c>
    </row>
    <row r="2" spans="2:23" ht="22.15" customHeight="1">
      <c r="B2" s="57" t="s">
        <v>480</v>
      </c>
      <c r="C2" s="57"/>
      <c r="D2" s="57"/>
      <c r="E2" s="42" t="s">
        <v>481</v>
      </c>
      <c r="G2" s="50" t="s">
        <v>368</v>
      </c>
      <c r="L2" s="50" t="s">
        <v>542</v>
      </c>
      <c r="N2" s="50" t="s">
        <v>390</v>
      </c>
      <c r="O2" s="50" t="s">
        <v>444</v>
      </c>
      <c r="Q2" s="50" t="s">
        <v>323</v>
      </c>
      <c r="S2" s="50" t="s">
        <v>393</v>
      </c>
      <c r="U2" s="50" t="s">
        <v>395</v>
      </c>
    </row>
    <row r="3" spans="2:23" ht="22.15" customHeight="1">
      <c r="B3" s="57" t="s">
        <v>565</v>
      </c>
      <c r="C3" s="58"/>
      <c r="D3" s="59"/>
      <c r="E3" s="42" t="s">
        <v>482</v>
      </c>
      <c r="G3" s="50" t="s">
        <v>483</v>
      </c>
      <c r="L3" s="50" t="s">
        <v>543</v>
      </c>
      <c r="N3" s="50" t="s">
        <v>449</v>
      </c>
      <c r="O3" s="50" t="s">
        <v>448</v>
      </c>
      <c r="Q3" s="50" t="s">
        <v>326</v>
      </c>
      <c r="S3" s="50" t="s">
        <v>388</v>
      </c>
      <c r="U3" s="50" t="s">
        <v>391</v>
      </c>
    </row>
    <row r="4" spans="2:23" ht="22.15" customHeight="1">
      <c r="B4" s="57" t="s">
        <v>484</v>
      </c>
      <c r="C4" s="57"/>
      <c r="D4" s="57"/>
      <c r="E4" s="42" t="s">
        <v>485</v>
      </c>
      <c r="G4" s="50" t="s">
        <v>486</v>
      </c>
      <c r="L4" s="50" t="s">
        <v>573</v>
      </c>
      <c r="N4" s="50" t="s">
        <v>454</v>
      </c>
      <c r="O4" s="50" t="s">
        <v>453</v>
      </c>
      <c r="Q4" s="50" t="s">
        <v>330</v>
      </c>
      <c r="S4" s="50" t="s">
        <v>392</v>
      </c>
      <c r="U4" s="50" t="s">
        <v>394</v>
      </c>
    </row>
    <row r="5" spans="2:23" ht="22.15" customHeight="1">
      <c r="B5" s="139" t="s">
        <v>487</v>
      </c>
      <c r="C5" s="139"/>
      <c r="D5" s="139"/>
      <c r="E5" s="77">
        <v>0</v>
      </c>
      <c r="G5" s="50" t="s">
        <v>488</v>
      </c>
      <c r="L5" s="50" t="s">
        <v>387</v>
      </c>
      <c r="N5" s="50" t="s">
        <v>389</v>
      </c>
      <c r="O5" s="50" t="s">
        <v>451</v>
      </c>
      <c r="Q5" s="50" t="s">
        <v>332</v>
      </c>
      <c r="U5" s="50" t="s">
        <v>386</v>
      </c>
    </row>
    <row r="6" spans="2:23" ht="22.15" customHeight="1">
      <c r="B6" s="140"/>
      <c r="C6" s="141"/>
      <c r="D6" s="141"/>
      <c r="E6" s="142"/>
      <c r="G6" s="50" t="s">
        <v>489</v>
      </c>
      <c r="L6" s="50" t="s">
        <v>544</v>
      </c>
      <c r="N6" s="50" t="s">
        <v>460</v>
      </c>
      <c r="O6" s="50" t="s">
        <v>459</v>
      </c>
      <c r="Q6" s="50" t="s">
        <v>337</v>
      </c>
      <c r="W6" s="44"/>
    </row>
    <row r="7" spans="2:23" ht="22.15" customHeight="1">
      <c r="G7" s="50" t="s">
        <v>490</v>
      </c>
      <c r="L7" s="50" t="s">
        <v>545</v>
      </c>
      <c r="N7" s="50" t="s">
        <v>463</v>
      </c>
      <c r="O7" s="50" t="s">
        <v>462</v>
      </c>
      <c r="Q7" s="50" t="s">
        <v>339</v>
      </c>
    </row>
    <row r="8" spans="2:23" ht="21.75" customHeight="1">
      <c r="B8" s="136" t="s">
        <v>564</v>
      </c>
      <c r="C8" s="137"/>
      <c r="D8" s="137"/>
      <c r="E8" s="138"/>
      <c r="G8" s="50" t="s">
        <v>491</v>
      </c>
      <c r="L8" s="50" t="s">
        <v>441</v>
      </c>
      <c r="N8" s="50" t="s">
        <v>466</v>
      </c>
      <c r="O8" s="50" t="s">
        <v>465</v>
      </c>
      <c r="Q8" s="50" t="s">
        <v>341</v>
      </c>
    </row>
    <row r="9" spans="2:23" ht="22.15" customHeight="1">
      <c r="B9" s="143" t="s">
        <v>594</v>
      </c>
      <c r="C9" s="144"/>
      <c r="D9" s="145"/>
      <c r="E9" s="42" t="s">
        <v>605</v>
      </c>
      <c r="G9" s="50" t="s">
        <v>492</v>
      </c>
      <c r="L9" s="50" t="s">
        <v>546</v>
      </c>
      <c r="N9" s="50" t="s">
        <v>469</v>
      </c>
      <c r="O9" s="50" t="s">
        <v>468</v>
      </c>
      <c r="Q9" s="50" t="s">
        <v>343</v>
      </c>
    </row>
    <row r="10" spans="2:23" ht="22.15" customHeight="1">
      <c r="B10" s="101" t="s">
        <v>566</v>
      </c>
      <c r="C10" s="101"/>
      <c r="D10" s="101"/>
      <c r="E10" s="42">
        <v>1</v>
      </c>
      <c r="G10" s="50" t="s">
        <v>493</v>
      </c>
      <c r="L10" s="50" t="s">
        <v>547</v>
      </c>
      <c r="N10" s="50" t="s">
        <v>472</v>
      </c>
      <c r="O10" s="50" t="s">
        <v>471</v>
      </c>
      <c r="Q10" s="50" t="s">
        <v>345</v>
      </c>
    </row>
    <row r="11" spans="2:23" ht="22.15" customHeight="1">
      <c r="B11" s="101" t="s">
        <v>567</v>
      </c>
      <c r="C11" s="101"/>
      <c r="D11" s="101"/>
      <c r="E11" s="42" t="s">
        <v>368</v>
      </c>
      <c r="G11" s="50" t="s">
        <v>494</v>
      </c>
      <c r="L11" s="50" t="s">
        <v>575</v>
      </c>
      <c r="N11" s="50" t="s">
        <v>399</v>
      </c>
      <c r="O11" s="50" t="s">
        <v>456</v>
      </c>
      <c r="Q11" s="50" t="s">
        <v>351</v>
      </c>
    </row>
    <row r="12" spans="2:23" ht="22.15" customHeight="1" thickBot="1">
      <c r="B12" s="91" t="s">
        <v>568</v>
      </c>
      <c r="C12" s="91"/>
      <c r="D12" s="91"/>
      <c r="E12" s="92" t="s">
        <v>498</v>
      </c>
      <c r="L12" s="50" t="s">
        <v>576</v>
      </c>
      <c r="N12" s="50" t="s">
        <v>553</v>
      </c>
      <c r="O12" s="50" t="s">
        <v>580</v>
      </c>
      <c r="Q12" s="50" t="s">
        <v>356</v>
      </c>
    </row>
    <row r="13" spans="2:23" ht="22.15" customHeight="1" thickTop="1">
      <c r="B13" s="78" t="s">
        <v>569</v>
      </c>
      <c r="C13" s="78"/>
      <c r="D13" s="78"/>
      <c r="E13" s="90">
        <v>1</v>
      </c>
      <c r="L13" s="50" t="s">
        <v>548</v>
      </c>
      <c r="N13" s="50" t="s">
        <v>398</v>
      </c>
      <c r="O13" s="50" t="s">
        <v>581</v>
      </c>
      <c r="Q13" s="50" t="s">
        <v>358</v>
      </c>
    </row>
    <row r="14" spans="2:23" ht="22.15" customHeight="1">
      <c r="B14" s="101" t="s">
        <v>567</v>
      </c>
      <c r="C14" s="101"/>
      <c r="D14" s="101"/>
      <c r="E14" s="42" t="s">
        <v>368</v>
      </c>
      <c r="L14" s="50" t="s">
        <v>549</v>
      </c>
      <c r="N14" s="50" t="s">
        <v>554</v>
      </c>
      <c r="O14" s="50" t="s">
        <v>582</v>
      </c>
      <c r="Q14" s="50" t="s">
        <v>359</v>
      </c>
    </row>
    <row r="15" spans="2:23" ht="22.15" customHeight="1">
      <c r="B15" s="101" t="s">
        <v>568</v>
      </c>
      <c r="C15" s="101"/>
      <c r="D15" s="101"/>
      <c r="E15" s="42" t="s">
        <v>498</v>
      </c>
      <c r="L15" s="50" t="s">
        <v>550</v>
      </c>
      <c r="N15" s="50" t="s">
        <v>555</v>
      </c>
      <c r="O15" s="50" t="s">
        <v>583</v>
      </c>
      <c r="Q15" s="50" t="s">
        <v>539</v>
      </c>
    </row>
    <row r="16" spans="2:23" ht="22.15" customHeight="1" thickBot="1">
      <c r="B16" s="101" t="s">
        <v>602</v>
      </c>
      <c r="C16" s="101"/>
      <c r="D16" s="101"/>
      <c r="E16" s="42">
        <v>1</v>
      </c>
      <c r="L16" s="50" t="s">
        <v>574</v>
      </c>
      <c r="N16" s="50" t="s">
        <v>556</v>
      </c>
      <c r="O16" s="50" t="s">
        <v>584</v>
      </c>
      <c r="Q16" s="50" t="s">
        <v>538</v>
      </c>
    </row>
    <row r="17" spans="2:17" ht="22.15" customHeight="1" thickBot="1">
      <c r="B17" s="133"/>
      <c r="C17" s="134"/>
      <c r="D17" s="134"/>
      <c r="E17" s="135"/>
      <c r="L17" s="50" t="s">
        <v>551</v>
      </c>
      <c r="N17" s="50" t="s">
        <v>557</v>
      </c>
      <c r="O17" s="50" t="s">
        <v>585</v>
      </c>
      <c r="Q17" s="50" t="s">
        <v>597</v>
      </c>
    </row>
    <row r="18" spans="2:17" ht="22.15" customHeight="1">
      <c r="B18" s="93" t="s">
        <v>572</v>
      </c>
      <c r="C18" s="93"/>
      <c r="D18" s="93"/>
      <c r="E18" s="94">
        <v>1</v>
      </c>
      <c r="L18" s="50" t="s">
        <v>611</v>
      </c>
      <c r="N18" s="50" t="s">
        <v>397</v>
      </c>
      <c r="O18" s="50" t="s">
        <v>586</v>
      </c>
      <c r="Q18" s="50" t="s">
        <v>540</v>
      </c>
    </row>
    <row r="19" spans="2:17" ht="22.15" customHeight="1">
      <c r="B19" s="101" t="s">
        <v>607</v>
      </c>
      <c r="C19" s="101"/>
      <c r="D19" s="101"/>
      <c r="E19" s="94" t="s">
        <v>610</v>
      </c>
      <c r="L19" s="50" t="s">
        <v>552</v>
      </c>
      <c r="N19" s="50" t="s">
        <v>558</v>
      </c>
      <c r="O19" s="50" t="s">
        <v>587</v>
      </c>
      <c r="Q19" s="50" t="s">
        <v>598</v>
      </c>
    </row>
    <row r="20" spans="2:17" ht="22.15" customHeight="1">
      <c r="N20" s="50" t="s">
        <v>559</v>
      </c>
      <c r="O20" s="50" t="s">
        <v>588</v>
      </c>
      <c r="Q20" s="50" t="s">
        <v>599</v>
      </c>
    </row>
    <row r="21" spans="2:17" ht="22.15" customHeight="1">
      <c r="N21" s="50" t="s">
        <v>560</v>
      </c>
      <c r="O21" s="50" t="s">
        <v>589</v>
      </c>
      <c r="Q21" s="50" t="s">
        <v>600</v>
      </c>
    </row>
    <row r="22" spans="2:17" ht="22.15" customHeight="1">
      <c r="N22" s="50" t="s">
        <v>396</v>
      </c>
      <c r="O22" s="50" t="s">
        <v>590</v>
      </c>
      <c r="Q22" s="50" t="s">
        <v>596</v>
      </c>
    </row>
    <row r="23" spans="2:17" ht="22.15" customHeight="1">
      <c r="N23" s="50" t="s">
        <v>400</v>
      </c>
      <c r="O23" s="50" t="s">
        <v>591</v>
      </c>
      <c r="Q23" s="50" t="s">
        <v>601</v>
      </c>
    </row>
    <row r="24" spans="2:17" ht="22.15" customHeight="1">
      <c r="N24" s="50" t="s">
        <v>561</v>
      </c>
      <c r="O24" s="50" t="s">
        <v>592</v>
      </c>
    </row>
    <row r="25" spans="2:17" ht="22.15" customHeight="1">
      <c r="N25" s="50" t="s">
        <v>562</v>
      </c>
      <c r="O25" s="50" t="s">
        <v>593</v>
      </c>
    </row>
    <row r="26" spans="2:17" ht="22.15" customHeight="1">
      <c r="N26" s="50" t="s">
        <v>559</v>
      </c>
      <c r="O26" s="50" t="s">
        <v>614</v>
      </c>
    </row>
    <row r="27" spans="2:17" ht="22.15" customHeight="1">
      <c r="N27" s="50" t="s">
        <v>563</v>
      </c>
      <c r="O27" s="50" t="s">
        <v>459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4" priority="20"/>
  </conditionalFormatting>
  <conditionalFormatting sqref="Q16">
    <cfRule type="duplicateValues" dxfId="13" priority="7"/>
  </conditionalFormatting>
  <conditionalFormatting sqref="Q17">
    <cfRule type="duplicateValues" dxfId="12" priority="6"/>
  </conditionalFormatting>
  <conditionalFormatting sqref="Q18">
    <cfRule type="duplicateValues" dxfId="11" priority="5"/>
  </conditionalFormatting>
  <conditionalFormatting sqref="Q19">
    <cfRule type="duplicateValues" dxfId="10" priority="4"/>
  </conditionalFormatting>
  <conditionalFormatting sqref="Q20">
    <cfRule type="duplicateValues" dxfId="9" priority="3"/>
  </conditionalFormatting>
  <conditionalFormatting sqref="Q21">
    <cfRule type="duplicateValues" dxfId="8" priority="2"/>
  </conditionalFormatting>
  <conditionalFormatting sqref="Q22">
    <cfRule type="duplicateValues" dxfId="7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C24"/>
  <sheetViews>
    <sheetView workbookViewId="0">
      <selection activeCell="D8" sqref="D8"/>
    </sheetView>
  </sheetViews>
  <sheetFormatPr defaultColWidth="12.42578125" defaultRowHeight="15.75"/>
  <cols>
    <col min="1" max="1" width="5.85546875" style="21" customWidth="1"/>
    <col min="2" max="2" width="31.85546875" style="21" customWidth="1"/>
    <col min="3" max="3" width="25.7109375" style="21" customWidth="1"/>
    <col min="4" max="4" width="28.85546875" style="21" customWidth="1"/>
    <col min="5" max="5" width="12.42578125" style="21" customWidth="1"/>
    <col min="6" max="16384" width="12.42578125" style="21"/>
  </cols>
  <sheetData>
    <row r="1" spans="2:3" ht="32.25" thickBot="1">
      <c r="B1" s="20" t="s">
        <v>401</v>
      </c>
      <c r="C1" s="20" t="s">
        <v>48</v>
      </c>
    </row>
    <row r="2" spans="2:3" ht="18.75">
      <c r="B2" s="22" t="s">
        <v>418</v>
      </c>
      <c r="C2" s="23" t="s">
        <v>419</v>
      </c>
    </row>
    <row r="3" spans="2:3" ht="18.75">
      <c r="B3" s="26" t="s">
        <v>440</v>
      </c>
      <c r="C3" s="27" t="s">
        <v>419</v>
      </c>
    </row>
    <row r="4" spans="2:3" ht="18.75">
      <c r="B4" s="24" t="s">
        <v>420</v>
      </c>
      <c r="C4" s="25" t="s">
        <v>419</v>
      </c>
    </row>
    <row r="5" spans="2:3" ht="18.75">
      <c r="B5" s="24" t="s">
        <v>421</v>
      </c>
      <c r="C5" s="25" t="s">
        <v>422</v>
      </c>
    </row>
    <row r="6" spans="2:3" ht="18.75">
      <c r="B6" s="24" t="s">
        <v>429</v>
      </c>
      <c r="C6" s="25" t="s">
        <v>430</v>
      </c>
    </row>
    <row r="7" spans="2:3" ht="18.75">
      <c r="B7" s="26" t="s">
        <v>439</v>
      </c>
      <c r="C7" s="27" t="s">
        <v>422</v>
      </c>
    </row>
    <row r="8" spans="2:3" ht="18.75">
      <c r="B8" s="24" t="s">
        <v>414</v>
      </c>
      <c r="C8" s="25" t="s">
        <v>415</v>
      </c>
    </row>
    <row r="9" spans="2:3" ht="18.75">
      <c r="B9" s="26" t="s">
        <v>436</v>
      </c>
      <c r="C9" s="27" t="s">
        <v>437</v>
      </c>
    </row>
    <row r="10" spans="2:3" ht="18.75">
      <c r="B10" s="24" t="s">
        <v>431</v>
      </c>
      <c r="C10" s="25" t="s">
        <v>432</v>
      </c>
    </row>
    <row r="11" spans="2:3" ht="18.75">
      <c r="B11" s="24" t="s">
        <v>427</v>
      </c>
      <c r="C11" s="25" t="s">
        <v>413</v>
      </c>
    </row>
    <row r="12" spans="2:3" ht="18.75">
      <c r="B12" s="24" t="s">
        <v>412</v>
      </c>
      <c r="C12" s="25" t="s">
        <v>413</v>
      </c>
    </row>
    <row r="13" spans="2:3" ht="18.75">
      <c r="B13" s="26" t="s">
        <v>434</v>
      </c>
      <c r="C13" s="27" t="s">
        <v>435</v>
      </c>
    </row>
    <row r="14" spans="2:3" ht="18.75">
      <c r="B14" s="24" t="s">
        <v>410</v>
      </c>
      <c r="C14" s="25" t="s">
        <v>411</v>
      </c>
    </row>
    <row r="15" spans="2:3" ht="18.75">
      <c r="B15" s="24" t="s">
        <v>416</v>
      </c>
      <c r="C15" s="25" t="s">
        <v>417</v>
      </c>
    </row>
    <row r="16" spans="2:3" ht="18.75">
      <c r="B16" s="24" t="s">
        <v>425</v>
      </c>
      <c r="C16" s="25" t="s">
        <v>426</v>
      </c>
    </row>
    <row r="17" spans="2:3" ht="18.75">
      <c r="B17" s="26" t="s">
        <v>438</v>
      </c>
      <c r="C17" s="27" t="s">
        <v>422</v>
      </c>
    </row>
    <row r="18" spans="2:3" ht="18.75">
      <c r="B18" s="26" t="s">
        <v>433</v>
      </c>
      <c r="C18" s="27" t="s">
        <v>409</v>
      </c>
    </row>
    <row r="19" spans="2:3" ht="18.75">
      <c r="B19" s="24" t="s">
        <v>408</v>
      </c>
      <c r="C19" s="25" t="s">
        <v>409</v>
      </c>
    </row>
    <row r="20" spans="2:3" ht="18.75">
      <c r="B20" s="24" t="s">
        <v>404</v>
      </c>
      <c r="C20" s="25" t="s">
        <v>405</v>
      </c>
    </row>
    <row r="21" spans="2:3" ht="18.75">
      <c r="B21" s="24" t="s">
        <v>406</v>
      </c>
      <c r="C21" s="25" t="s">
        <v>407</v>
      </c>
    </row>
    <row r="22" spans="2:3" ht="18.75">
      <c r="B22" s="24" t="s">
        <v>423</v>
      </c>
      <c r="C22" s="25" t="s">
        <v>424</v>
      </c>
    </row>
    <row r="23" spans="2:3" ht="18.75">
      <c r="B23" s="24" t="s">
        <v>428</v>
      </c>
      <c r="C23" s="25" t="s">
        <v>403</v>
      </c>
    </row>
    <row r="24" spans="2:3" ht="18.75">
      <c r="B24" s="24" t="s">
        <v>402</v>
      </c>
      <c r="C24" s="25" t="s">
        <v>403</v>
      </c>
    </row>
  </sheetData>
  <autoFilter ref="B1:C24" xr:uid="{00000000-0009-0000-0000-000002000000}">
    <sortState xmlns:xlrd2="http://schemas.microsoft.com/office/spreadsheetml/2017/richdata2" ref="B3:C25">
      <sortCondition descending="1" ref="B2:B25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3"/>
  <sheetViews>
    <sheetView workbookViewId="0">
      <selection activeCell="C31" sqref="C31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4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537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27</v>
      </c>
      <c r="C24" s="8" t="str">
        <f t="shared" si="0"/>
        <v>100% Солома Панама</v>
      </c>
      <c r="D24" s="7" t="s">
        <v>4</v>
      </c>
      <c r="F24" s="12"/>
    </row>
    <row r="25" spans="2:6">
      <c r="C25" s="8" t="s">
        <v>47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</sheetData>
  <conditionalFormatting sqref="C1:C1048576">
    <cfRule type="expression" dxfId="6" priority="3">
      <formula>NOT(COUNTBLANK($A1:$AN1)&gt;=40)</formula>
    </cfRule>
  </conditionalFormatting>
  <conditionalFormatting sqref="B2:B100">
    <cfRule type="expression" dxfId="5" priority="2">
      <formula>NOT(COUNTBLANK($A2:$AN2)&gt;=40)</formula>
    </cfRule>
  </conditionalFormatting>
  <conditionalFormatting sqref="D2:D100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X255"/>
  <sheetViews>
    <sheetView topLeftCell="A232" workbookViewId="0">
      <selection activeCell="H246" sqref="H246"/>
    </sheetView>
  </sheetViews>
  <sheetFormatPr defaultColWidth="9.140625" defaultRowHeight="15"/>
  <cols>
    <col min="1" max="1" width="36.140625" style="18" bestFit="1" customWidth="1"/>
    <col min="2" max="2" width="5.7109375" style="18" customWidth="1"/>
    <col min="3" max="3" width="1.42578125" style="14" customWidth="1"/>
    <col min="4" max="4" width="14.140625" style="18" customWidth="1"/>
    <col min="5" max="5" width="13.42578125" style="18" customWidth="1"/>
    <col min="6" max="24" width="9.140625" style="14"/>
    <col min="25" max="16384" width="9.140625" style="15"/>
  </cols>
  <sheetData>
    <row r="1" spans="1:5" ht="19.5" customHeight="1">
      <c r="A1" s="13" t="s">
        <v>48</v>
      </c>
      <c r="B1" s="13" t="s">
        <v>49</v>
      </c>
      <c r="D1" s="13" t="s">
        <v>48</v>
      </c>
      <c r="E1" s="13" t="s">
        <v>50</v>
      </c>
    </row>
    <row r="2" spans="1:5">
      <c r="A2" s="16" t="s">
        <v>51</v>
      </c>
      <c r="B2" s="16"/>
      <c r="D2" s="17" t="s">
        <v>52</v>
      </c>
      <c r="E2" s="16" t="s">
        <v>53</v>
      </c>
    </row>
    <row r="3" spans="1:5">
      <c r="A3" s="16" t="s">
        <v>54</v>
      </c>
      <c r="B3" s="16">
        <v>5</v>
      </c>
      <c r="D3" s="17" t="s">
        <v>55</v>
      </c>
      <c r="E3" s="16" t="s">
        <v>56</v>
      </c>
    </row>
    <row r="4" spans="1:5">
      <c r="A4" s="16" t="s">
        <v>57</v>
      </c>
      <c r="B4" s="16">
        <v>8</v>
      </c>
      <c r="D4" s="17" t="s">
        <v>58</v>
      </c>
      <c r="E4" s="16" t="s">
        <v>59</v>
      </c>
    </row>
    <row r="5" spans="1:5">
      <c r="A5" s="16" t="s">
        <v>60</v>
      </c>
      <c r="B5" s="16">
        <v>72</v>
      </c>
      <c r="D5" s="17" t="s">
        <v>61</v>
      </c>
      <c r="E5" s="16" t="s">
        <v>62</v>
      </c>
    </row>
    <row r="6" spans="1:5">
      <c r="A6" s="16" t="s">
        <v>63</v>
      </c>
      <c r="B6" s="16">
        <v>32</v>
      </c>
      <c r="D6" s="17" t="s">
        <v>64</v>
      </c>
      <c r="E6" s="16" t="s">
        <v>65</v>
      </c>
    </row>
    <row r="7" spans="1:5">
      <c r="A7" s="16" t="s">
        <v>65</v>
      </c>
      <c r="B7" s="16">
        <v>2</v>
      </c>
      <c r="D7" s="17" t="s">
        <v>66</v>
      </c>
      <c r="E7" s="16" t="s">
        <v>67</v>
      </c>
    </row>
    <row r="8" spans="1:5">
      <c r="A8" s="16" t="s">
        <v>68</v>
      </c>
      <c r="B8" s="16"/>
      <c r="D8" s="17" t="s">
        <v>69</v>
      </c>
      <c r="E8" s="16" t="s">
        <v>70</v>
      </c>
    </row>
    <row r="9" spans="1:5">
      <c r="A9" s="16" t="s">
        <v>71</v>
      </c>
      <c r="B9" s="16"/>
      <c r="D9" s="17" t="s">
        <v>72</v>
      </c>
      <c r="E9" s="16" t="s">
        <v>73</v>
      </c>
    </row>
    <row r="10" spans="1:5">
      <c r="A10" s="16" t="s">
        <v>74</v>
      </c>
      <c r="B10" s="16"/>
      <c r="D10" s="17" t="s">
        <v>75</v>
      </c>
      <c r="E10" s="16" t="s">
        <v>65</v>
      </c>
    </row>
    <row r="11" spans="1:5">
      <c r="A11" s="16" t="s">
        <v>76</v>
      </c>
      <c r="B11" s="16">
        <v>32</v>
      </c>
      <c r="D11" s="17" t="s">
        <v>77</v>
      </c>
      <c r="E11" s="16" t="s">
        <v>65</v>
      </c>
    </row>
    <row r="12" spans="1:5">
      <c r="A12" s="16" t="s">
        <v>78</v>
      </c>
      <c r="B12" s="16"/>
      <c r="D12" s="17" t="s">
        <v>79</v>
      </c>
      <c r="E12" s="16" t="s">
        <v>80</v>
      </c>
    </row>
    <row r="13" spans="1:5">
      <c r="A13" s="16" t="s">
        <v>81</v>
      </c>
      <c r="B13" s="16">
        <v>73</v>
      </c>
      <c r="D13" s="17" t="s">
        <v>82</v>
      </c>
      <c r="E13" s="16" t="s">
        <v>62</v>
      </c>
    </row>
    <row r="14" spans="1:5">
      <c r="A14" s="16" t="s">
        <v>83</v>
      </c>
      <c r="B14" s="16">
        <v>73</v>
      </c>
      <c r="D14" s="17" t="s">
        <v>84</v>
      </c>
      <c r="E14" s="16" t="s">
        <v>85</v>
      </c>
    </row>
    <row r="15" spans="1:5">
      <c r="A15" s="16" t="s">
        <v>86</v>
      </c>
      <c r="B15" s="16">
        <v>54</v>
      </c>
      <c r="D15" s="17" t="s">
        <v>87</v>
      </c>
      <c r="E15" s="16" t="s">
        <v>88</v>
      </c>
    </row>
    <row r="16" spans="1:5">
      <c r="A16" s="16" t="s">
        <v>89</v>
      </c>
      <c r="B16" s="16">
        <v>54</v>
      </c>
      <c r="D16" s="17" t="s">
        <v>90</v>
      </c>
      <c r="E16" s="16" t="s">
        <v>62</v>
      </c>
    </row>
    <row r="17" spans="1:5">
      <c r="A17" s="16" t="s">
        <v>91</v>
      </c>
      <c r="B17" s="16"/>
      <c r="D17" s="17" t="s">
        <v>92</v>
      </c>
      <c r="E17" s="16" t="s">
        <v>93</v>
      </c>
    </row>
    <row r="18" spans="1:5">
      <c r="A18" s="16" t="s">
        <v>94</v>
      </c>
      <c r="B18" s="16"/>
      <c r="D18" s="17" t="s">
        <v>95</v>
      </c>
      <c r="E18" s="16" t="s">
        <v>70</v>
      </c>
    </row>
    <row r="19" spans="1:5">
      <c r="A19" s="16" t="s">
        <v>96</v>
      </c>
      <c r="B19" s="16"/>
      <c r="D19" s="16" t="s">
        <v>595</v>
      </c>
      <c r="E19" s="16" t="s">
        <v>199</v>
      </c>
    </row>
    <row r="20" spans="1:5">
      <c r="A20" s="16" t="s">
        <v>97</v>
      </c>
      <c r="B20" s="16"/>
      <c r="D20" s="16"/>
      <c r="E20" s="16"/>
    </row>
    <row r="21" spans="1:5">
      <c r="A21" s="16" t="s">
        <v>98</v>
      </c>
      <c r="B21" s="16">
        <v>54</v>
      </c>
      <c r="D21" s="16"/>
      <c r="E21" s="16"/>
    </row>
    <row r="22" spans="1:5">
      <c r="A22" s="16" t="s">
        <v>99</v>
      </c>
      <c r="B22" s="16">
        <v>32</v>
      </c>
      <c r="D22" s="16"/>
      <c r="E22" s="16"/>
    </row>
    <row r="23" spans="1:5">
      <c r="A23" s="16" t="s">
        <v>100</v>
      </c>
      <c r="B23" s="16"/>
      <c r="D23" s="16"/>
      <c r="E23" s="16"/>
    </row>
    <row r="24" spans="1:5">
      <c r="A24" s="16" t="s">
        <v>101</v>
      </c>
      <c r="B24" s="16"/>
      <c r="D24" s="16"/>
      <c r="E24" s="16"/>
    </row>
    <row r="25" spans="1:5">
      <c r="A25" s="16" t="s">
        <v>102</v>
      </c>
      <c r="B25" s="16"/>
      <c r="D25" s="16"/>
      <c r="E25" s="16"/>
    </row>
    <row r="26" spans="1:5">
      <c r="A26" s="16" t="s">
        <v>103</v>
      </c>
      <c r="B26" s="16">
        <v>53</v>
      </c>
      <c r="D26" s="16"/>
      <c r="E26" s="16"/>
    </row>
    <row r="27" spans="1:5">
      <c r="A27" s="16" t="s">
        <v>104</v>
      </c>
      <c r="B27" s="16"/>
      <c r="D27" s="16"/>
      <c r="E27" s="16"/>
    </row>
    <row r="28" spans="1:5">
      <c r="A28" s="16" t="s">
        <v>105</v>
      </c>
      <c r="B28" s="16"/>
      <c r="D28" s="16"/>
      <c r="E28" s="16"/>
    </row>
    <row r="29" spans="1:5">
      <c r="A29" s="16" t="s">
        <v>59</v>
      </c>
      <c r="B29" s="16">
        <v>17</v>
      </c>
      <c r="D29" s="16"/>
      <c r="E29" s="16"/>
    </row>
    <row r="30" spans="1:5">
      <c r="A30" s="16" t="s">
        <v>106</v>
      </c>
      <c r="B30" s="16"/>
      <c r="D30" s="16"/>
      <c r="E30" s="16"/>
    </row>
    <row r="31" spans="1:5">
      <c r="A31" s="16" t="s">
        <v>107</v>
      </c>
      <c r="B31" s="16"/>
      <c r="D31" s="16"/>
      <c r="E31" s="16"/>
    </row>
    <row r="32" spans="1:5">
      <c r="A32" s="16" t="s">
        <v>108</v>
      </c>
      <c r="B32" s="16"/>
      <c r="D32" s="16"/>
      <c r="E32" s="16"/>
    </row>
    <row r="33" spans="1:5">
      <c r="A33" s="16" t="s">
        <v>109</v>
      </c>
      <c r="B33" s="16">
        <v>46</v>
      </c>
      <c r="D33" s="16"/>
      <c r="E33" s="16"/>
    </row>
    <row r="34" spans="1:5">
      <c r="A34" s="16" t="s">
        <v>110</v>
      </c>
      <c r="B34" s="16"/>
      <c r="D34" s="16"/>
      <c r="E34" s="16"/>
    </row>
    <row r="35" spans="1:5">
      <c r="A35" s="16" t="s">
        <v>111</v>
      </c>
      <c r="B35" s="16">
        <v>51</v>
      </c>
      <c r="D35" s="16"/>
      <c r="E35" s="16"/>
    </row>
    <row r="36" spans="1:5">
      <c r="A36" s="16" t="s">
        <v>112</v>
      </c>
      <c r="B36" s="16">
        <v>62</v>
      </c>
      <c r="D36" s="16"/>
      <c r="E36" s="16"/>
    </row>
    <row r="37" spans="1:5">
      <c r="A37" s="16" t="s">
        <v>113</v>
      </c>
      <c r="B37" s="16"/>
      <c r="D37" s="16"/>
      <c r="E37" s="16"/>
    </row>
    <row r="38" spans="1:5">
      <c r="A38" s="16" t="s">
        <v>114</v>
      </c>
      <c r="B38" s="16">
        <v>25</v>
      </c>
      <c r="D38" s="16"/>
      <c r="E38" s="16"/>
    </row>
    <row r="39" spans="1:5">
      <c r="A39" s="16" t="s">
        <v>115</v>
      </c>
      <c r="B39" s="16"/>
      <c r="D39" s="16"/>
      <c r="E39" s="16"/>
    </row>
    <row r="40" spans="1:5">
      <c r="A40" s="16" t="s">
        <v>116</v>
      </c>
      <c r="B40" s="16">
        <v>59</v>
      </c>
      <c r="D40" s="16"/>
      <c r="E40" s="16"/>
    </row>
    <row r="41" spans="1:5">
      <c r="A41" s="16" t="s">
        <v>117</v>
      </c>
      <c r="B41" s="16">
        <v>50</v>
      </c>
      <c r="D41" s="16"/>
      <c r="E41" s="16"/>
    </row>
    <row r="42" spans="1:5">
      <c r="A42" s="16" t="s">
        <v>118</v>
      </c>
      <c r="B42" s="16">
        <v>38</v>
      </c>
      <c r="D42" s="16"/>
      <c r="E42" s="16"/>
    </row>
    <row r="43" spans="1:5">
      <c r="A43" s="16" t="s">
        <v>119</v>
      </c>
      <c r="B43" s="16"/>
      <c r="D43" s="16"/>
      <c r="E43" s="16"/>
    </row>
    <row r="44" spans="1:5">
      <c r="A44" s="16" t="s">
        <v>120</v>
      </c>
      <c r="B44" s="16"/>
      <c r="D44" s="16"/>
      <c r="E44" s="16"/>
    </row>
    <row r="45" spans="1:5">
      <c r="A45" s="16" t="s">
        <v>121</v>
      </c>
      <c r="B45" s="16">
        <v>48</v>
      </c>
      <c r="D45" s="16"/>
      <c r="E45" s="16"/>
    </row>
    <row r="46" spans="1:5">
      <c r="A46" s="16" t="s">
        <v>122</v>
      </c>
      <c r="B46" s="16">
        <v>23</v>
      </c>
      <c r="D46" s="16"/>
      <c r="E46" s="16"/>
    </row>
    <row r="47" spans="1:5">
      <c r="A47" s="16" t="s">
        <v>123</v>
      </c>
      <c r="B47" s="16">
        <v>12</v>
      </c>
      <c r="D47" s="16"/>
      <c r="E47" s="16"/>
    </row>
    <row r="48" spans="1:5">
      <c r="A48" s="16" t="s">
        <v>124</v>
      </c>
      <c r="B48" s="16">
        <v>54</v>
      </c>
      <c r="D48" s="16"/>
      <c r="E48" s="16"/>
    </row>
    <row r="49" spans="1:5">
      <c r="A49" s="16" t="s">
        <v>125</v>
      </c>
      <c r="B49" s="16">
        <v>65</v>
      </c>
      <c r="D49" s="16"/>
      <c r="E49" s="16"/>
    </row>
    <row r="50" spans="1:5">
      <c r="A50" s="16" t="s">
        <v>126</v>
      </c>
      <c r="B50" s="16"/>
      <c r="D50" s="16"/>
      <c r="E50" s="16"/>
    </row>
    <row r="51" spans="1:5">
      <c r="A51" s="16" t="s">
        <v>127</v>
      </c>
      <c r="B51" s="16"/>
      <c r="D51" s="16"/>
      <c r="E51" s="16"/>
    </row>
    <row r="52" spans="1:5">
      <c r="A52" s="16" t="s">
        <v>128</v>
      </c>
      <c r="B52" s="16"/>
      <c r="D52" s="16"/>
      <c r="E52" s="16"/>
    </row>
    <row r="53" spans="1:5">
      <c r="A53" s="16" t="s">
        <v>129</v>
      </c>
      <c r="B53" s="16"/>
      <c r="D53" s="16"/>
      <c r="E53" s="16"/>
    </row>
    <row r="54" spans="1:5">
      <c r="A54" s="16" t="s">
        <v>130</v>
      </c>
      <c r="B54" s="16">
        <v>86</v>
      </c>
      <c r="D54" s="16"/>
      <c r="E54" s="16"/>
    </row>
    <row r="55" spans="1:5">
      <c r="A55" s="16" t="s">
        <v>131</v>
      </c>
      <c r="B55" s="16">
        <v>57</v>
      </c>
      <c r="D55" s="16"/>
      <c r="E55" s="16"/>
    </row>
    <row r="56" spans="1:5">
      <c r="A56" s="16" t="s">
        <v>93</v>
      </c>
      <c r="B56" s="16">
        <v>19</v>
      </c>
      <c r="D56" s="16"/>
      <c r="E56" s="16"/>
    </row>
    <row r="57" spans="1:5">
      <c r="A57" s="16" t="s">
        <v>132</v>
      </c>
      <c r="B57" s="16"/>
      <c r="D57" s="16"/>
      <c r="E57" s="16"/>
    </row>
    <row r="58" spans="1:5">
      <c r="A58" s="16" t="s">
        <v>133</v>
      </c>
      <c r="B58" s="16"/>
      <c r="D58" s="16"/>
      <c r="E58" s="16"/>
    </row>
    <row r="59" spans="1:5">
      <c r="A59" s="16" t="s">
        <v>134</v>
      </c>
      <c r="B59" s="16"/>
      <c r="D59" s="16"/>
      <c r="E59" s="16"/>
    </row>
    <row r="60" spans="1:5">
      <c r="A60" s="16" t="s">
        <v>135</v>
      </c>
      <c r="B60" s="16">
        <v>19</v>
      </c>
      <c r="D60" s="16"/>
      <c r="E60" s="16"/>
    </row>
    <row r="61" spans="1:5">
      <c r="A61" s="16" t="s">
        <v>136</v>
      </c>
      <c r="B61" s="16">
        <v>66</v>
      </c>
      <c r="D61" s="16"/>
      <c r="E61" s="16"/>
    </row>
    <row r="62" spans="1:5">
      <c r="A62" s="16" t="s">
        <v>137</v>
      </c>
      <c r="B62" s="16"/>
      <c r="D62" s="16"/>
      <c r="E62" s="16"/>
    </row>
    <row r="63" spans="1:5">
      <c r="A63" s="16" t="s">
        <v>138</v>
      </c>
      <c r="B63" s="16"/>
      <c r="D63" s="16"/>
      <c r="E63" s="16"/>
    </row>
    <row r="64" spans="1:5">
      <c r="A64" s="16" t="s">
        <v>139</v>
      </c>
      <c r="B64" s="16"/>
      <c r="D64" s="16"/>
      <c r="E64" s="16"/>
    </row>
    <row r="65" spans="1:5">
      <c r="A65" s="16" t="s">
        <v>140</v>
      </c>
      <c r="B65" s="16">
        <v>47</v>
      </c>
      <c r="D65" s="16"/>
      <c r="E65" s="16"/>
    </row>
    <row r="66" spans="1:5">
      <c r="A66" s="16" t="s">
        <v>141</v>
      </c>
      <c r="B66" s="16">
        <v>89</v>
      </c>
      <c r="D66" s="16"/>
      <c r="E66" s="16"/>
    </row>
    <row r="67" spans="1:5">
      <c r="A67" s="16" t="s">
        <v>142</v>
      </c>
      <c r="B67" s="16"/>
      <c r="D67" s="16"/>
      <c r="E67" s="16"/>
    </row>
    <row r="68" spans="1:5">
      <c r="A68" s="16" t="s">
        <v>143</v>
      </c>
      <c r="B68" s="16">
        <v>70</v>
      </c>
      <c r="D68" s="16"/>
      <c r="E68" s="16"/>
    </row>
    <row r="69" spans="1:5">
      <c r="A69" s="16" t="s">
        <v>144</v>
      </c>
      <c r="B69" s="16">
        <v>4</v>
      </c>
      <c r="D69" s="16"/>
      <c r="E69" s="16"/>
    </row>
    <row r="70" spans="1:5">
      <c r="A70" s="16" t="s">
        <v>67</v>
      </c>
      <c r="B70" s="16">
        <v>20</v>
      </c>
      <c r="D70" s="16"/>
      <c r="E70" s="16"/>
    </row>
    <row r="71" spans="1:5">
      <c r="A71" s="16" t="s">
        <v>145</v>
      </c>
      <c r="B71" s="16"/>
      <c r="D71" s="16"/>
      <c r="E71" s="16"/>
    </row>
    <row r="72" spans="1:5">
      <c r="A72" s="16" t="s">
        <v>146</v>
      </c>
      <c r="B72" s="16">
        <v>30</v>
      </c>
      <c r="D72" s="16"/>
      <c r="E72" s="16"/>
    </row>
    <row r="73" spans="1:5">
      <c r="A73" s="16" t="s">
        <v>147</v>
      </c>
      <c r="B73" s="16">
        <v>76</v>
      </c>
      <c r="D73" s="16"/>
      <c r="E73" s="16"/>
    </row>
    <row r="74" spans="1:5">
      <c r="A74" s="16" t="s">
        <v>148</v>
      </c>
      <c r="B74" s="16">
        <v>42</v>
      </c>
      <c r="D74" s="16"/>
      <c r="E74" s="16"/>
    </row>
    <row r="75" spans="1:5">
      <c r="A75" s="16" t="s">
        <v>149</v>
      </c>
      <c r="B75" s="16"/>
      <c r="D75" s="16"/>
      <c r="E75" s="16"/>
    </row>
    <row r="76" spans="1:5">
      <c r="A76" s="16" t="s">
        <v>150</v>
      </c>
      <c r="B76" s="16">
        <v>24</v>
      </c>
      <c r="D76" s="16"/>
      <c r="E76" s="16"/>
    </row>
    <row r="77" spans="1:5">
      <c r="A77" s="16" t="s">
        <v>62</v>
      </c>
      <c r="B77" s="16">
        <v>11</v>
      </c>
      <c r="D77" s="16"/>
      <c r="E77" s="16"/>
    </row>
    <row r="78" spans="1:5">
      <c r="A78" s="16" t="s">
        <v>151</v>
      </c>
      <c r="B78" s="16"/>
      <c r="D78" s="16"/>
      <c r="E78" s="16"/>
    </row>
    <row r="79" spans="1:5">
      <c r="A79" s="16" t="s">
        <v>152</v>
      </c>
      <c r="B79" s="16"/>
      <c r="D79" s="16"/>
      <c r="E79" s="16"/>
    </row>
    <row r="80" spans="1:5">
      <c r="A80" s="16" t="s">
        <v>153</v>
      </c>
      <c r="B80" s="16"/>
      <c r="D80" s="16"/>
      <c r="E80" s="16"/>
    </row>
    <row r="81" spans="1:5">
      <c r="A81" s="16" t="s">
        <v>154</v>
      </c>
      <c r="B81" s="16">
        <v>27</v>
      </c>
      <c r="D81" s="16"/>
      <c r="E81" s="16"/>
    </row>
    <row r="82" spans="1:5">
      <c r="A82" s="16" t="s">
        <v>155</v>
      </c>
      <c r="B82" s="16">
        <v>37</v>
      </c>
      <c r="D82" s="16"/>
      <c r="E82" s="16"/>
    </row>
    <row r="83" spans="1:5">
      <c r="A83" s="16" t="s">
        <v>156</v>
      </c>
      <c r="B83" s="16"/>
      <c r="D83" s="16"/>
      <c r="E83" s="16"/>
    </row>
    <row r="84" spans="1:5">
      <c r="A84" s="16" t="s">
        <v>157</v>
      </c>
      <c r="B84" s="16"/>
      <c r="D84" s="16"/>
      <c r="E84" s="16"/>
    </row>
    <row r="85" spans="1:5">
      <c r="A85" s="16" t="s">
        <v>158</v>
      </c>
      <c r="B85" s="16">
        <v>20</v>
      </c>
      <c r="D85" s="16"/>
      <c r="E85" s="16"/>
    </row>
    <row r="86" spans="1:5">
      <c r="A86" s="16" t="s">
        <v>159</v>
      </c>
      <c r="B86" s="16"/>
      <c r="D86" s="16"/>
      <c r="E86" s="16"/>
    </row>
    <row r="87" spans="1:5">
      <c r="A87" s="16" t="s">
        <v>160</v>
      </c>
      <c r="B87" s="16">
        <v>0</v>
      </c>
      <c r="D87" s="16"/>
      <c r="E87" s="16"/>
    </row>
    <row r="88" spans="1:5">
      <c r="A88" s="16" t="s">
        <v>161</v>
      </c>
      <c r="B88" s="16">
        <v>14</v>
      </c>
      <c r="D88" s="16"/>
      <c r="E88" s="16"/>
    </row>
    <row r="89" spans="1:5">
      <c r="A89" s="16" t="s">
        <v>162</v>
      </c>
      <c r="B89" s="16">
        <v>13</v>
      </c>
      <c r="D89" s="16"/>
      <c r="E89" s="16"/>
    </row>
    <row r="90" spans="1:5">
      <c r="A90" s="16" t="s">
        <v>163</v>
      </c>
      <c r="B90" s="16"/>
      <c r="D90" s="16"/>
      <c r="E90" s="16"/>
    </row>
    <row r="91" spans="1:5">
      <c r="A91" s="16" t="s">
        <v>164</v>
      </c>
      <c r="B91" s="16"/>
      <c r="D91" s="16"/>
      <c r="E91" s="16"/>
    </row>
    <row r="92" spans="1:5">
      <c r="A92" s="16" t="s">
        <v>165</v>
      </c>
      <c r="B92" s="16">
        <v>18</v>
      </c>
      <c r="D92" s="16"/>
      <c r="E92" s="16"/>
    </row>
    <row r="93" spans="1:5">
      <c r="A93" s="16" t="s">
        <v>88</v>
      </c>
      <c r="B93" s="16">
        <v>14</v>
      </c>
      <c r="D93" s="16"/>
      <c r="E93" s="16"/>
    </row>
    <row r="94" spans="1:5">
      <c r="A94" s="16" t="s">
        <v>166</v>
      </c>
      <c r="B94" s="16">
        <v>14</v>
      </c>
      <c r="D94" s="16"/>
      <c r="E94" s="16"/>
    </row>
    <row r="95" spans="1:5">
      <c r="A95" s="16" t="s">
        <v>167</v>
      </c>
      <c r="B95" s="16"/>
      <c r="D95" s="16"/>
      <c r="E95" s="16"/>
    </row>
    <row r="96" spans="1:5">
      <c r="A96" s="16" t="s">
        <v>168</v>
      </c>
      <c r="B96" s="16">
        <v>66</v>
      </c>
      <c r="D96" s="16"/>
      <c r="E96" s="16"/>
    </row>
    <row r="97" spans="1:5">
      <c r="A97" s="16" t="s">
        <v>169</v>
      </c>
      <c r="B97" s="16">
        <v>14</v>
      </c>
      <c r="D97" s="16"/>
      <c r="E97" s="16"/>
    </row>
    <row r="98" spans="1:5">
      <c r="A98" s="16" t="s">
        <v>170</v>
      </c>
      <c r="B98" s="16">
        <v>27</v>
      </c>
      <c r="D98" s="16"/>
      <c r="E98" s="16"/>
    </row>
    <row r="99" spans="1:5">
      <c r="A99" s="16" t="s">
        <v>171</v>
      </c>
      <c r="B99" s="16">
        <v>0</v>
      </c>
      <c r="D99" s="16"/>
      <c r="E99" s="16"/>
    </row>
    <row r="100" spans="1:5">
      <c r="A100" s="16" t="s">
        <v>172</v>
      </c>
      <c r="B100" s="16">
        <v>66</v>
      </c>
      <c r="D100" s="16"/>
      <c r="E100" s="16"/>
    </row>
    <row r="101" spans="1:5">
      <c r="A101" s="16" t="s">
        <v>173</v>
      </c>
      <c r="B101" s="16">
        <v>73</v>
      </c>
      <c r="D101" s="16"/>
      <c r="E101" s="16"/>
    </row>
    <row r="102" spans="1:5">
      <c r="A102" s="16" t="s">
        <v>174</v>
      </c>
      <c r="B102" s="16">
        <v>14</v>
      </c>
      <c r="D102" s="16"/>
      <c r="E102" s="16"/>
    </row>
    <row r="103" spans="1:5">
      <c r="A103" s="16" t="s">
        <v>175</v>
      </c>
      <c r="B103" s="16">
        <v>87</v>
      </c>
      <c r="D103" s="16"/>
      <c r="E103" s="16"/>
    </row>
    <row r="104" spans="1:5">
      <c r="A104" s="16" t="s">
        <v>176</v>
      </c>
      <c r="B104" s="16">
        <v>60</v>
      </c>
      <c r="D104" s="16"/>
      <c r="E104" s="16"/>
    </row>
    <row r="105" spans="1:5">
      <c r="A105" s="16" t="s">
        <v>177</v>
      </c>
      <c r="B105" s="16">
        <v>92</v>
      </c>
      <c r="D105" s="16"/>
      <c r="E105" s="16"/>
    </row>
    <row r="106" spans="1:5">
      <c r="A106" s="16" t="s">
        <v>178</v>
      </c>
      <c r="B106" s="16"/>
      <c r="D106" s="16"/>
      <c r="E106" s="16"/>
    </row>
    <row r="107" spans="1:5">
      <c r="A107" s="16" t="s">
        <v>179</v>
      </c>
      <c r="B107" s="16">
        <v>96</v>
      </c>
      <c r="D107" s="16"/>
      <c r="E107" s="16"/>
    </row>
    <row r="108" spans="1:5">
      <c r="A108" s="16" t="s">
        <v>180</v>
      </c>
      <c r="B108" s="16"/>
      <c r="D108" s="16"/>
      <c r="E108" s="16"/>
    </row>
    <row r="109" spans="1:5">
      <c r="A109" s="16" t="s">
        <v>181</v>
      </c>
      <c r="B109" s="16">
        <v>18</v>
      </c>
      <c r="D109" s="16"/>
      <c r="E109" s="16"/>
    </row>
    <row r="110" spans="1:5">
      <c r="A110" s="16" t="s">
        <v>80</v>
      </c>
      <c r="B110" s="16">
        <v>18</v>
      </c>
      <c r="D110" s="16"/>
      <c r="E110" s="16"/>
    </row>
    <row r="111" spans="1:5">
      <c r="A111" s="16" t="s">
        <v>182</v>
      </c>
      <c r="B111" s="16">
        <v>18</v>
      </c>
      <c r="D111" s="16"/>
      <c r="E111" s="16"/>
    </row>
    <row r="112" spans="1:5">
      <c r="A112" s="16" t="s">
        <v>183</v>
      </c>
      <c r="B112" s="16">
        <v>18</v>
      </c>
      <c r="D112" s="16"/>
      <c r="E112" s="16"/>
    </row>
    <row r="113" spans="1:5">
      <c r="A113" s="16" t="s">
        <v>184</v>
      </c>
      <c r="B113" s="16">
        <v>76</v>
      </c>
      <c r="D113" s="16"/>
      <c r="E113" s="16"/>
    </row>
    <row r="114" spans="1:5">
      <c r="A114" s="16" t="s">
        <v>185</v>
      </c>
      <c r="B114" s="16"/>
      <c r="D114" s="16"/>
      <c r="E114" s="16"/>
    </row>
    <row r="115" spans="1:5">
      <c r="A115" s="16" t="s">
        <v>186</v>
      </c>
      <c r="B115" s="16">
        <v>87</v>
      </c>
      <c r="D115" s="16"/>
      <c r="E115" s="16"/>
    </row>
    <row r="116" spans="1:5">
      <c r="A116" s="16" t="s">
        <v>187</v>
      </c>
      <c r="B116" s="16"/>
      <c r="D116" s="16"/>
      <c r="E116" s="16"/>
    </row>
    <row r="117" spans="1:5">
      <c r="A117" s="16" t="s">
        <v>188</v>
      </c>
      <c r="B117" s="16"/>
      <c r="D117" s="16"/>
      <c r="E117" s="16"/>
    </row>
    <row r="118" spans="1:5">
      <c r="A118" s="16" t="s">
        <v>189</v>
      </c>
      <c r="B118" s="16"/>
      <c r="D118" s="16"/>
      <c r="E118" s="16"/>
    </row>
    <row r="119" spans="1:5">
      <c r="A119" s="16" t="s">
        <v>190</v>
      </c>
      <c r="B119" s="16">
        <v>72</v>
      </c>
      <c r="D119" s="16"/>
      <c r="E119" s="16"/>
    </row>
    <row r="120" spans="1:5">
      <c r="A120" s="16" t="s">
        <v>191</v>
      </c>
      <c r="B120" s="16">
        <v>36</v>
      </c>
      <c r="D120" s="16"/>
      <c r="E120" s="16"/>
    </row>
    <row r="121" spans="1:5">
      <c r="A121" s="16" t="s">
        <v>192</v>
      </c>
      <c r="B121" s="16"/>
      <c r="D121" s="16"/>
      <c r="E121" s="16"/>
    </row>
    <row r="122" spans="1:5">
      <c r="A122" s="16" t="s">
        <v>193</v>
      </c>
      <c r="B122" s="16">
        <v>73</v>
      </c>
      <c r="D122" s="16"/>
      <c r="E122" s="16"/>
    </row>
    <row r="123" spans="1:5">
      <c r="A123" s="16" t="s">
        <v>194</v>
      </c>
      <c r="B123" s="16"/>
      <c r="D123" s="16"/>
      <c r="E123" s="16"/>
    </row>
    <row r="124" spans="1:5">
      <c r="A124" s="16" t="s">
        <v>195</v>
      </c>
      <c r="B124" s="16"/>
      <c r="D124" s="16"/>
      <c r="E124" s="16"/>
    </row>
    <row r="125" spans="1:5">
      <c r="A125" s="16" t="s">
        <v>196</v>
      </c>
      <c r="B125" s="16">
        <v>93</v>
      </c>
      <c r="D125" s="16"/>
      <c r="E125" s="16"/>
    </row>
    <row r="126" spans="1:5">
      <c r="A126" s="16" t="s">
        <v>197</v>
      </c>
      <c r="B126" s="16">
        <v>86</v>
      </c>
      <c r="D126" s="16"/>
      <c r="E126" s="16"/>
    </row>
    <row r="127" spans="1:5">
      <c r="A127" s="16" t="s">
        <v>198</v>
      </c>
      <c r="B127" s="16">
        <v>47</v>
      </c>
      <c r="D127" s="16"/>
      <c r="E127" s="16"/>
    </row>
    <row r="128" spans="1:5">
      <c r="A128" s="16" t="s">
        <v>199</v>
      </c>
      <c r="B128" s="16">
        <v>3</v>
      </c>
      <c r="D128" s="16"/>
      <c r="E128" s="16"/>
    </row>
    <row r="129" spans="1:5">
      <c r="A129" s="16" t="s">
        <v>200</v>
      </c>
      <c r="B129" s="16">
        <v>73</v>
      </c>
      <c r="D129" s="16"/>
      <c r="E129" s="16"/>
    </row>
    <row r="130" spans="1:5">
      <c r="A130" s="16" t="s">
        <v>201</v>
      </c>
      <c r="B130" s="16"/>
      <c r="D130" s="16"/>
      <c r="E130" s="16"/>
    </row>
    <row r="131" spans="1:5">
      <c r="A131" s="16" t="s">
        <v>202</v>
      </c>
      <c r="B131" s="16"/>
      <c r="D131" s="16"/>
      <c r="E131" s="16"/>
    </row>
    <row r="132" spans="1:5">
      <c r="A132" s="16" t="s">
        <v>203</v>
      </c>
      <c r="B132" s="16">
        <v>13</v>
      </c>
      <c r="D132" s="16"/>
      <c r="E132" s="16"/>
    </row>
    <row r="133" spans="1:5">
      <c r="A133" s="16" t="s">
        <v>204</v>
      </c>
      <c r="B133" s="16"/>
      <c r="D133" s="16"/>
      <c r="E133" s="16"/>
    </row>
    <row r="134" spans="1:5">
      <c r="A134" s="16" t="s">
        <v>205</v>
      </c>
      <c r="B134" s="16"/>
      <c r="D134" s="16"/>
      <c r="E134" s="16"/>
    </row>
    <row r="135" spans="1:5">
      <c r="A135" s="16" t="s">
        <v>206</v>
      </c>
      <c r="B135" s="16">
        <v>68</v>
      </c>
      <c r="D135" s="16"/>
      <c r="E135" s="16"/>
    </row>
    <row r="136" spans="1:5">
      <c r="A136" s="16" t="s">
        <v>207</v>
      </c>
      <c r="B136" s="16"/>
      <c r="D136" s="16"/>
      <c r="E136" s="16"/>
    </row>
    <row r="137" spans="1:5">
      <c r="A137" s="16" t="s">
        <v>208</v>
      </c>
      <c r="B137" s="16"/>
      <c r="D137" s="16"/>
      <c r="E137" s="16"/>
    </row>
    <row r="138" spans="1:5">
      <c r="A138" s="16" t="s">
        <v>209</v>
      </c>
      <c r="B138" s="16">
        <v>2</v>
      </c>
      <c r="D138" s="16"/>
      <c r="E138" s="16"/>
    </row>
    <row r="139" spans="1:5">
      <c r="A139" s="16" t="s">
        <v>210</v>
      </c>
      <c r="B139" s="16"/>
      <c r="D139" s="16"/>
      <c r="E139" s="16"/>
    </row>
    <row r="140" spans="1:5">
      <c r="A140" s="16" t="s">
        <v>211</v>
      </c>
      <c r="B140" s="16"/>
      <c r="D140" s="16"/>
      <c r="E140" s="16"/>
    </row>
    <row r="141" spans="1:5">
      <c r="A141" s="16" t="s">
        <v>212</v>
      </c>
      <c r="B141" s="16">
        <v>12</v>
      </c>
      <c r="D141" s="16"/>
      <c r="E141" s="16"/>
    </row>
    <row r="142" spans="1:5">
      <c r="A142" s="16" t="s">
        <v>213</v>
      </c>
      <c r="B142" s="16">
        <v>35</v>
      </c>
      <c r="D142" s="16"/>
      <c r="E142" s="16"/>
    </row>
    <row r="143" spans="1:5">
      <c r="A143" s="16" t="s">
        <v>70</v>
      </c>
      <c r="B143" s="16">
        <v>34</v>
      </c>
      <c r="D143" s="16"/>
      <c r="E143" s="16"/>
    </row>
    <row r="144" spans="1:5">
      <c r="A144" s="16" t="s">
        <v>214</v>
      </c>
      <c r="B144" s="16"/>
      <c r="D144" s="16"/>
      <c r="E144" s="16"/>
    </row>
    <row r="145" spans="1:5">
      <c r="A145" s="16" t="s">
        <v>215</v>
      </c>
      <c r="B145" s="16"/>
      <c r="D145" s="16"/>
      <c r="E145" s="16"/>
    </row>
    <row r="146" spans="1:5">
      <c r="A146" s="16" t="s">
        <v>216</v>
      </c>
      <c r="B146" s="16"/>
      <c r="D146" s="16"/>
      <c r="E146" s="16"/>
    </row>
    <row r="147" spans="1:5">
      <c r="A147" s="16" t="s">
        <v>217</v>
      </c>
      <c r="B147" s="16"/>
      <c r="D147" s="16"/>
      <c r="E147" s="16"/>
    </row>
    <row r="148" spans="1:5">
      <c r="A148" s="16" t="s">
        <v>218</v>
      </c>
      <c r="B148" s="16"/>
      <c r="D148" s="16"/>
      <c r="E148" s="16"/>
    </row>
    <row r="149" spans="1:5">
      <c r="A149" s="16" t="s">
        <v>219</v>
      </c>
      <c r="B149" s="16">
        <v>64</v>
      </c>
      <c r="D149" s="16"/>
      <c r="E149" s="16"/>
    </row>
    <row r="150" spans="1:5">
      <c r="A150" s="16" t="s">
        <v>220</v>
      </c>
      <c r="B150" s="16">
        <v>28</v>
      </c>
      <c r="D150" s="16"/>
      <c r="E150" s="16"/>
    </row>
    <row r="151" spans="1:5">
      <c r="A151" s="16" t="s">
        <v>221</v>
      </c>
      <c r="B151" s="16">
        <v>13</v>
      </c>
      <c r="D151" s="16"/>
      <c r="E151" s="16"/>
    </row>
    <row r="152" spans="1:5">
      <c r="A152" s="16" t="s">
        <v>222</v>
      </c>
      <c r="B152" s="16"/>
      <c r="D152" s="16"/>
      <c r="E152" s="16"/>
    </row>
    <row r="153" spans="1:5">
      <c r="A153" s="16" t="s">
        <v>223</v>
      </c>
      <c r="B153" s="16">
        <v>3</v>
      </c>
      <c r="D153" s="16"/>
      <c r="E153" s="16"/>
    </row>
    <row r="154" spans="1:5">
      <c r="A154" s="16" t="s">
        <v>224</v>
      </c>
      <c r="B154" s="16">
        <v>1</v>
      </c>
      <c r="D154" s="16"/>
      <c r="E154" s="16"/>
    </row>
    <row r="155" spans="1:5">
      <c r="A155" s="16" t="s">
        <v>225</v>
      </c>
      <c r="B155" s="16">
        <v>2</v>
      </c>
      <c r="D155" s="16"/>
      <c r="E155" s="16"/>
    </row>
    <row r="156" spans="1:5">
      <c r="A156" s="16" t="s">
        <v>226</v>
      </c>
      <c r="B156" s="16">
        <v>19</v>
      </c>
      <c r="D156" s="16"/>
      <c r="E156" s="16"/>
    </row>
    <row r="157" spans="1:5">
      <c r="A157" s="16" t="s">
        <v>227</v>
      </c>
      <c r="B157" s="16">
        <v>83</v>
      </c>
      <c r="D157" s="16"/>
      <c r="E157" s="16"/>
    </row>
    <row r="158" spans="1:5">
      <c r="A158" s="16" t="s">
        <v>228</v>
      </c>
      <c r="B158" s="16">
        <v>3</v>
      </c>
      <c r="D158" s="16"/>
      <c r="E158" s="16"/>
    </row>
    <row r="159" spans="1:5">
      <c r="A159" s="16" t="s">
        <v>229</v>
      </c>
      <c r="B159" s="16">
        <v>39</v>
      </c>
      <c r="D159" s="16"/>
      <c r="E159" s="16"/>
    </row>
    <row r="160" spans="1:5">
      <c r="A160" s="16" t="s">
        <v>230</v>
      </c>
      <c r="B160" s="16">
        <v>15</v>
      </c>
      <c r="D160" s="16"/>
      <c r="E160" s="16"/>
    </row>
    <row r="161" spans="1:5">
      <c r="A161" s="16" t="s">
        <v>231</v>
      </c>
      <c r="B161" s="16">
        <v>84</v>
      </c>
      <c r="D161" s="16"/>
      <c r="E161" s="16"/>
    </row>
    <row r="162" spans="1:5">
      <c r="A162" s="16" t="s">
        <v>232</v>
      </c>
      <c r="B162" s="16">
        <v>3</v>
      </c>
      <c r="D162" s="16"/>
      <c r="E162" s="16"/>
    </row>
    <row r="163" spans="1:5">
      <c r="A163" s="16" t="s">
        <v>233</v>
      </c>
      <c r="B163" s="16"/>
      <c r="D163" s="16"/>
      <c r="E163" s="16"/>
    </row>
    <row r="164" spans="1:5">
      <c r="A164" s="16" t="s">
        <v>234</v>
      </c>
      <c r="B164" s="16">
        <v>86</v>
      </c>
      <c r="D164" s="16"/>
      <c r="E164" s="16"/>
    </row>
    <row r="165" spans="1:5">
      <c r="A165" s="16" t="s">
        <v>235</v>
      </c>
      <c r="B165" s="16">
        <v>1</v>
      </c>
      <c r="D165" s="16"/>
      <c r="E165" s="16"/>
    </row>
    <row r="166" spans="1:5">
      <c r="A166" s="16" t="s">
        <v>236</v>
      </c>
      <c r="B166" s="16"/>
      <c r="D166" s="16"/>
      <c r="E166" s="16"/>
    </row>
    <row r="167" spans="1:5">
      <c r="A167" s="16" t="s">
        <v>237</v>
      </c>
      <c r="B167" s="16">
        <v>22</v>
      </c>
      <c r="D167" s="16"/>
      <c r="E167" s="16"/>
    </row>
    <row r="168" spans="1:5">
      <c r="A168" s="16" t="s">
        <v>238</v>
      </c>
      <c r="B168" s="16"/>
      <c r="D168" s="16"/>
      <c r="E168" s="16"/>
    </row>
    <row r="169" spans="1:5">
      <c r="A169" s="16" t="s">
        <v>239</v>
      </c>
      <c r="B169" s="16">
        <v>26</v>
      </c>
      <c r="D169" s="16"/>
      <c r="E169" s="16"/>
    </row>
    <row r="170" spans="1:5">
      <c r="A170" s="16" t="s">
        <v>85</v>
      </c>
      <c r="B170" s="16">
        <v>8</v>
      </c>
      <c r="D170" s="16"/>
      <c r="E170" s="16"/>
    </row>
    <row r="171" spans="1:5">
      <c r="A171" s="16" t="s">
        <v>240</v>
      </c>
      <c r="B171" s="16"/>
      <c r="D171" s="16"/>
      <c r="E171" s="16"/>
    </row>
    <row r="172" spans="1:5">
      <c r="A172" s="16" t="s">
        <v>241</v>
      </c>
      <c r="B172" s="16">
        <v>50</v>
      </c>
      <c r="D172" s="16"/>
      <c r="E172" s="16"/>
    </row>
    <row r="173" spans="1:5">
      <c r="A173" s="16" t="s">
        <v>242</v>
      </c>
      <c r="B173" s="16">
        <v>89</v>
      </c>
      <c r="D173" s="16"/>
      <c r="E173" s="16"/>
    </row>
    <row r="174" spans="1:5">
      <c r="A174" s="16" t="s">
        <v>243</v>
      </c>
      <c r="B174" s="16"/>
      <c r="D174" s="16"/>
      <c r="E174" s="16"/>
    </row>
    <row r="175" spans="1:5">
      <c r="A175" s="16" t="s">
        <v>244</v>
      </c>
      <c r="B175" s="16"/>
      <c r="D175" s="16"/>
      <c r="E175" s="16"/>
    </row>
    <row r="176" spans="1:5">
      <c r="A176" s="16" t="s">
        <v>245</v>
      </c>
      <c r="B176" s="16"/>
      <c r="D176" s="16"/>
      <c r="E176" s="16"/>
    </row>
    <row r="177" spans="1:5">
      <c r="A177" s="16" t="s">
        <v>246</v>
      </c>
      <c r="B177" s="16">
        <v>24</v>
      </c>
      <c r="D177" s="16"/>
      <c r="E177" s="16"/>
    </row>
    <row r="178" spans="1:5">
      <c r="A178" s="16" t="s">
        <v>247</v>
      </c>
      <c r="B178" s="16">
        <v>68</v>
      </c>
      <c r="D178" s="16"/>
      <c r="E178" s="16"/>
    </row>
    <row r="179" spans="1:5">
      <c r="A179" s="16" t="s">
        <v>248</v>
      </c>
      <c r="B179" s="16">
        <v>64</v>
      </c>
      <c r="D179" s="16"/>
      <c r="E179" s="16"/>
    </row>
    <row r="180" spans="1:5">
      <c r="A180" s="16" t="s">
        <v>249</v>
      </c>
      <c r="B180" s="16">
        <v>26</v>
      </c>
      <c r="D180" s="16"/>
      <c r="E180" s="16"/>
    </row>
    <row r="181" spans="1:5">
      <c r="A181" s="16" t="s">
        <v>250</v>
      </c>
      <c r="B181" s="16">
        <v>10</v>
      </c>
      <c r="D181" s="16"/>
      <c r="E181" s="16"/>
    </row>
    <row r="182" spans="1:5">
      <c r="A182" s="16" t="s">
        <v>73</v>
      </c>
      <c r="B182" s="16">
        <v>6</v>
      </c>
      <c r="D182" s="16"/>
      <c r="E182" s="16"/>
    </row>
    <row r="183" spans="1:5">
      <c r="A183" s="16" t="s">
        <v>251</v>
      </c>
      <c r="B183" s="16">
        <v>95</v>
      </c>
      <c r="D183" s="16"/>
      <c r="E183" s="16"/>
    </row>
    <row r="184" spans="1:5">
      <c r="A184" s="16" t="s">
        <v>252</v>
      </c>
      <c r="B184" s="16">
        <v>95</v>
      </c>
      <c r="D184" s="16"/>
      <c r="E184" s="16"/>
    </row>
    <row r="185" spans="1:5">
      <c r="A185" s="16" t="s">
        <v>253</v>
      </c>
      <c r="B185" s="16"/>
      <c r="D185" s="16"/>
      <c r="E185" s="16"/>
    </row>
    <row r="186" spans="1:5">
      <c r="A186" s="16" t="s">
        <v>254</v>
      </c>
      <c r="B186" s="16"/>
      <c r="D186" s="16"/>
      <c r="E186" s="16"/>
    </row>
    <row r="187" spans="1:5">
      <c r="A187" s="16" t="s">
        <v>255</v>
      </c>
      <c r="B187" s="16"/>
      <c r="D187" s="16"/>
      <c r="E187" s="16"/>
    </row>
    <row r="188" spans="1:5">
      <c r="A188" s="16" t="s">
        <v>256</v>
      </c>
      <c r="B188" s="16">
        <v>21</v>
      </c>
      <c r="D188" s="16"/>
      <c r="E188" s="16"/>
    </row>
    <row r="189" spans="1:5">
      <c r="A189" s="16" t="s">
        <v>257</v>
      </c>
      <c r="B189" s="16"/>
      <c r="D189" s="16"/>
      <c r="E189" s="16"/>
    </row>
    <row r="190" spans="1:5">
      <c r="A190" s="16" t="s">
        <v>258</v>
      </c>
      <c r="B190" s="16"/>
      <c r="D190" s="16"/>
      <c r="E190" s="16"/>
    </row>
    <row r="191" spans="1:5">
      <c r="A191" s="16" t="s">
        <v>259</v>
      </c>
      <c r="B191" s="16">
        <v>21</v>
      </c>
      <c r="D191" s="16"/>
      <c r="E191" s="16"/>
    </row>
    <row r="192" spans="1:5">
      <c r="A192" s="16" t="s">
        <v>260</v>
      </c>
      <c r="B192" s="16"/>
      <c r="D192" s="16"/>
      <c r="E192" s="16"/>
    </row>
    <row r="193" spans="1:5">
      <c r="A193" s="16" t="s">
        <v>261</v>
      </c>
      <c r="B193" s="16"/>
      <c r="D193" s="16"/>
      <c r="E193" s="16"/>
    </row>
    <row r="194" spans="1:5">
      <c r="A194" s="16" t="s">
        <v>262</v>
      </c>
      <c r="B194" s="16"/>
      <c r="D194" s="16"/>
      <c r="E194" s="16"/>
    </row>
    <row r="195" spans="1:5">
      <c r="A195" s="16" t="s">
        <v>263</v>
      </c>
      <c r="B195" s="16">
        <v>78</v>
      </c>
      <c r="D195" s="16"/>
      <c r="E195" s="16"/>
    </row>
    <row r="196" spans="1:5">
      <c r="A196" s="16" t="s">
        <v>264</v>
      </c>
      <c r="B196" s="16">
        <v>97</v>
      </c>
      <c r="D196" s="16"/>
      <c r="E196" s="16"/>
    </row>
    <row r="197" spans="1:5">
      <c r="A197" s="16" t="s">
        <v>265</v>
      </c>
      <c r="B197" s="16">
        <v>31</v>
      </c>
      <c r="D197" s="16"/>
      <c r="E197" s="16"/>
    </row>
    <row r="198" spans="1:5">
      <c r="A198" s="16" t="s">
        <v>266</v>
      </c>
      <c r="B198" s="16"/>
      <c r="D198" s="16"/>
      <c r="E198" s="16"/>
    </row>
    <row r="199" spans="1:5">
      <c r="A199" s="16" t="s">
        <v>267</v>
      </c>
      <c r="B199" s="16"/>
      <c r="D199" s="16"/>
      <c r="E199" s="16"/>
    </row>
    <row r="200" spans="1:5">
      <c r="A200" s="16" t="s">
        <v>268</v>
      </c>
      <c r="B200" s="16"/>
      <c r="D200" s="16"/>
      <c r="E200" s="16"/>
    </row>
    <row r="201" spans="1:5">
      <c r="A201" s="16" t="s">
        <v>269</v>
      </c>
      <c r="B201" s="16"/>
      <c r="D201" s="16"/>
      <c r="E201" s="16"/>
    </row>
    <row r="202" spans="1:5">
      <c r="A202" s="16" t="s">
        <v>270</v>
      </c>
      <c r="B202" s="16">
        <v>18</v>
      </c>
      <c r="D202" s="16"/>
      <c r="E202" s="16"/>
    </row>
    <row r="203" spans="1:5">
      <c r="A203" s="16" t="s">
        <v>271</v>
      </c>
      <c r="B203" s="16"/>
      <c r="D203" s="16"/>
      <c r="E203" s="16"/>
    </row>
    <row r="204" spans="1:5">
      <c r="A204" s="16" t="s">
        <v>272</v>
      </c>
      <c r="B204" s="16">
        <v>83</v>
      </c>
      <c r="D204" s="16"/>
      <c r="E204" s="16"/>
    </row>
    <row r="205" spans="1:5">
      <c r="A205" s="16" t="s">
        <v>273</v>
      </c>
      <c r="B205" s="16">
        <v>7</v>
      </c>
      <c r="D205" s="16"/>
      <c r="E205" s="16"/>
    </row>
    <row r="206" spans="1:5">
      <c r="A206" s="16" t="s">
        <v>274</v>
      </c>
      <c r="B206" s="16">
        <v>77</v>
      </c>
      <c r="D206" s="16"/>
      <c r="E206" s="16"/>
    </row>
    <row r="207" spans="1:5">
      <c r="A207" s="16" t="s">
        <v>275</v>
      </c>
      <c r="B207" s="16">
        <v>91</v>
      </c>
      <c r="D207" s="16"/>
      <c r="E207" s="16"/>
    </row>
    <row r="208" spans="1:5">
      <c r="A208" s="16" t="s">
        <v>276</v>
      </c>
      <c r="B208" s="16">
        <v>73</v>
      </c>
      <c r="D208" s="16"/>
      <c r="E208" s="16"/>
    </row>
    <row r="209" spans="1:5">
      <c r="A209" s="16" t="s">
        <v>277</v>
      </c>
      <c r="B209" s="16">
        <v>66</v>
      </c>
      <c r="D209" s="16"/>
      <c r="E209" s="16"/>
    </row>
    <row r="210" spans="1:5">
      <c r="A210" s="16" t="s">
        <v>278</v>
      </c>
      <c r="B210" s="16">
        <v>18</v>
      </c>
      <c r="D210" s="16"/>
      <c r="E210" s="16"/>
    </row>
    <row r="211" spans="1:5">
      <c r="A211" s="16" t="s">
        <v>279</v>
      </c>
      <c r="B211" s="16"/>
      <c r="D211" s="16"/>
      <c r="E211" s="16"/>
    </row>
    <row r="212" spans="1:5">
      <c r="A212" s="16" t="s">
        <v>280</v>
      </c>
      <c r="B212" s="16">
        <v>34</v>
      </c>
      <c r="D212" s="16"/>
      <c r="E212" s="16"/>
    </row>
    <row r="213" spans="1:5">
      <c r="A213" s="16" t="s">
        <v>281</v>
      </c>
      <c r="B213" s="16">
        <v>5</v>
      </c>
      <c r="D213" s="16"/>
      <c r="E213" s="16"/>
    </row>
    <row r="214" spans="1:5">
      <c r="A214" s="16" t="s">
        <v>282</v>
      </c>
      <c r="B214" s="16">
        <v>26</v>
      </c>
      <c r="D214" s="16"/>
      <c r="E214" s="16"/>
    </row>
    <row r="215" spans="1:5">
      <c r="A215" s="16" t="s">
        <v>56</v>
      </c>
      <c r="B215" s="16">
        <v>16</v>
      </c>
      <c r="D215" s="16"/>
      <c r="E215" s="16"/>
    </row>
    <row r="216" spans="1:5">
      <c r="A216" s="16" t="s">
        <v>283</v>
      </c>
      <c r="B216" s="16">
        <v>32</v>
      </c>
      <c r="D216" s="16"/>
      <c r="E216" s="16"/>
    </row>
    <row r="217" spans="1:5">
      <c r="A217" s="16" t="s">
        <v>284</v>
      </c>
      <c r="B217" s="16">
        <v>32</v>
      </c>
      <c r="D217" s="16"/>
      <c r="E217" s="16"/>
    </row>
    <row r="218" spans="1:5">
      <c r="A218" s="16" t="s">
        <v>285</v>
      </c>
      <c r="B218" s="16">
        <v>92</v>
      </c>
      <c r="D218" s="16"/>
      <c r="E218" s="16"/>
    </row>
    <row r="219" spans="1:5">
      <c r="A219" s="16" t="s">
        <v>286</v>
      </c>
      <c r="B219" s="16"/>
      <c r="D219" s="16"/>
      <c r="E219" s="16"/>
    </row>
    <row r="220" spans="1:5">
      <c r="A220" s="16" t="s">
        <v>287</v>
      </c>
      <c r="B220" s="16">
        <v>16</v>
      </c>
      <c r="D220" s="16"/>
      <c r="E220" s="16"/>
    </row>
    <row r="221" spans="1:5">
      <c r="A221" s="16" t="s">
        <v>288</v>
      </c>
      <c r="B221" s="16"/>
      <c r="D221" s="16"/>
      <c r="E221" s="16"/>
    </row>
    <row r="222" spans="1:5">
      <c r="A222" s="16" t="s">
        <v>289</v>
      </c>
      <c r="B222" s="16"/>
      <c r="D222" s="16"/>
      <c r="E222" s="16"/>
    </row>
    <row r="223" spans="1:5">
      <c r="A223" s="16" t="s">
        <v>290</v>
      </c>
      <c r="B223" s="16">
        <v>41</v>
      </c>
      <c r="D223" s="16"/>
      <c r="E223" s="16"/>
    </row>
    <row r="224" spans="1:5">
      <c r="A224" s="16" t="s">
        <v>291</v>
      </c>
      <c r="B224" s="16">
        <v>29</v>
      </c>
      <c r="D224" s="16"/>
      <c r="E224" s="16"/>
    </row>
    <row r="225" spans="1:5">
      <c r="A225" s="16" t="s">
        <v>292</v>
      </c>
      <c r="B225" s="16"/>
      <c r="D225" s="16"/>
      <c r="E225" s="16"/>
    </row>
    <row r="226" spans="1:5">
      <c r="A226" s="16" t="s">
        <v>293</v>
      </c>
      <c r="B226" s="16"/>
      <c r="D226" s="16"/>
      <c r="E226" s="16"/>
    </row>
    <row r="227" spans="1:5">
      <c r="A227" s="16" t="s">
        <v>294</v>
      </c>
      <c r="B227" s="16">
        <v>56</v>
      </c>
      <c r="D227" s="16"/>
      <c r="E227" s="16"/>
    </row>
    <row r="228" spans="1:5">
      <c r="A228" s="16" t="s">
        <v>295</v>
      </c>
      <c r="B228" s="16">
        <v>52</v>
      </c>
      <c r="D228" s="16"/>
      <c r="E228" s="16"/>
    </row>
    <row r="229" spans="1:5">
      <c r="A229" s="16" t="s">
        <v>53</v>
      </c>
      <c r="B229" s="16">
        <v>9</v>
      </c>
      <c r="D229" s="16"/>
      <c r="E229" s="16"/>
    </row>
    <row r="230" spans="1:5">
      <c r="A230" s="16" t="s">
        <v>296</v>
      </c>
      <c r="B230" s="16"/>
      <c r="D230" s="16"/>
      <c r="E230" s="16"/>
    </row>
    <row r="231" spans="1:5">
      <c r="A231" s="16" t="s">
        <v>297</v>
      </c>
      <c r="B231" s="16">
        <v>48</v>
      </c>
      <c r="D231" s="16"/>
      <c r="E231" s="16"/>
    </row>
    <row r="232" spans="1:5">
      <c r="A232" s="16" t="s">
        <v>298</v>
      </c>
      <c r="B232" s="16"/>
      <c r="D232" s="16"/>
      <c r="E232" s="16"/>
    </row>
    <row r="233" spans="1:5">
      <c r="A233" s="16" t="s">
        <v>299</v>
      </c>
      <c r="B233" s="16"/>
      <c r="D233" s="16"/>
      <c r="E233" s="16"/>
    </row>
    <row r="234" spans="1:5">
      <c r="A234" s="16" t="s">
        <v>300</v>
      </c>
      <c r="B234" s="16">
        <v>70</v>
      </c>
      <c r="D234" s="16"/>
      <c r="E234" s="16"/>
    </row>
    <row r="235" spans="1:5">
      <c r="A235" s="16" t="s">
        <v>301</v>
      </c>
      <c r="B235" s="16">
        <v>33</v>
      </c>
      <c r="D235" s="16"/>
      <c r="E235" s="16"/>
    </row>
    <row r="236" spans="1:5">
      <c r="A236" s="16" t="s">
        <v>302</v>
      </c>
      <c r="B236" s="16">
        <v>9</v>
      </c>
      <c r="D236" s="16"/>
      <c r="E236" s="16"/>
    </row>
    <row r="237" spans="1:5">
      <c r="A237" s="16" t="s">
        <v>303</v>
      </c>
      <c r="B237" s="16">
        <v>33</v>
      </c>
      <c r="D237" s="16"/>
      <c r="E237" s="16"/>
    </row>
    <row r="238" spans="1:5">
      <c r="A238" s="16" t="s">
        <v>304</v>
      </c>
      <c r="B238" s="16"/>
      <c r="D238" s="16"/>
      <c r="E238" s="16"/>
    </row>
    <row r="239" spans="1:5">
      <c r="A239" s="16" t="s">
        <v>305</v>
      </c>
      <c r="B239" s="16">
        <v>96</v>
      </c>
      <c r="D239" s="16"/>
      <c r="E239" s="16"/>
    </row>
    <row r="240" spans="1:5">
      <c r="A240" s="16" t="s">
        <v>306</v>
      </c>
      <c r="B240" s="16">
        <v>72</v>
      </c>
      <c r="D240" s="16"/>
      <c r="E240" s="16"/>
    </row>
    <row r="241" spans="1:5">
      <c r="A241" s="16" t="s">
        <v>307</v>
      </c>
      <c r="B241" s="16"/>
      <c r="D241" s="16"/>
      <c r="E241" s="16"/>
    </row>
    <row r="242" spans="1:5">
      <c r="A242" s="16" t="s">
        <v>308</v>
      </c>
      <c r="B242" s="16">
        <v>53</v>
      </c>
      <c r="D242" s="16"/>
      <c r="E242" s="16"/>
    </row>
    <row r="243" spans="1:5">
      <c r="A243" s="16" t="s">
        <v>309</v>
      </c>
      <c r="B243" s="16">
        <v>9</v>
      </c>
      <c r="D243" s="16"/>
      <c r="E243" s="16"/>
    </row>
    <row r="244" spans="1:5">
      <c r="A244" s="16" t="s">
        <v>310</v>
      </c>
      <c r="B244" s="16"/>
      <c r="D244" s="16"/>
      <c r="E244" s="16"/>
    </row>
    <row r="245" spans="1:5">
      <c r="A245" s="16" t="s">
        <v>311</v>
      </c>
      <c r="B245" s="16">
        <v>40</v>
      </c>
      <c r="D245" s="16"/>
      <c r="E245" s="16"/>
    </row>
    <row r="246" spans="1:5">
      <c r="A246" s="16" t="s">
        <v>312</v>
      </c>
      <c r="B246" s="16">
        <v>10</v>
      </c>
      <c r="D246" s="16"/>
      <c r="E246" s="16"/>
    </row>
    <row r="247" spans="1:5">
      <c r="A247" s="16" t="s">
        <v>313</v>
      </c>
      <c r="B247" s="16">
        <v>78</v>
      </c>
      <c r="D247" s="16"/>
      <c r="E247" s="16"/>
    </row>
    <row r="248" spans="1:5">
      <c r="A248" s="16" t="s">
        <v>314</v>
      </c>
      <c r="B248" s="16"/>
      <c r="D248" s="16"/>
      <c r="E248" s="16"/>
    </row>
    <row r="249" spans="1:5">
      <c r="A249" s="16" t="s">
        <v>315</v>
      </c>
      <c r="B249" s="16">
        <v>19</v>
      </c>
      <c r="D249" s="16"/>
      <c r="E249" s="16"/>
    </row>
    <row r="250" spans="1:5">
      <c r="A250" s="16" t="s">
        <v>316</v>
      </c>
      <c r="B250" s="16">
        <v>3</v>
      </c>
      <c r="D250" s="16"/>
      <c r="E250" s="16"/>
    </row>
    <row r="251" spans="1:5">
      <c r="A251" s="16" t="s">
        <v>317</v>
      </c>
      <c r="B251" s="16"/>
      <c r="D251" s="16"/>
      <c r="E251" s="16"/>
    </row>
    <row r="252" spans="1:5">
      <c r="A252" s="16" t="s">
        <v>318</v>
      </c>
      <c r="B252" s="16">
        <v>71</v>
      </c>
      <c r="D252" s="16"/>
      <c r="E252" s="16"/>
    </row>
    <row r="253" spans="1:5">
      <c r="A253" s="16" t="s">
        <v>319</v>
      </c>
      <c r="B253" s="16">
        <v>61</v>
      </c>
      <c r="D253" s="16"/>
      <c r="E253" s="16"/>
    </row>
    <row r="254" spans="1:5">
      <c r="A254" s="16" t="s">
        <v>320</v>
      </c>
      <c r="B254" s="16">
        <v>49</v>
      </c>
      <c r="D254" s="16"/>
      <c r="E254" s="16"/>
    </row>
    <row r="255" spans="1:5">
      <c r="A255" s="16" t="s">
        <v>321</v>
      </c>
      <c r="B255" s="16">
        <v>87</v>
      </c>
      <c r="D255" s="16"/>
      <c r="E255" s="16"/>
    </row>
  </sheetData>
  <conditionalFormatting sqref="D2:D18">
    <cfRule type="expression" dxfId="3" priority="1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89"/>
  <sheetViews>
    <sheetView workbookViewId="0">
      <selection activeCell="D11" sqref="D11"/>
    </sheetView>
  </sheetViews>
  <sheetFormatPr defaultRowHeight="15"/>
  <cols>
    <col min="1" max="1" width="32.7109375" style="19" customWidth="1"/>
    <col min="2" max="2" width="13.140625" style="19" customWidth="1"/>
  </cols>
  <sheetData>
    <row r="1" spans="1:7" ht="15.75">
      <c r="A1" s="13" t="s">
        <v>497</v>
      </c>
      <c r="B1" s="13" t="s">
        <v>486</v>
      </c>
    </row>
    <row r="2" spans="1:7" s="103" customFormat="1" ht="12.75">
      <c r="A2" s="102" t="s">
        <v>523</v>
      </c>
      <c r="B2" s="102" t="s">
        <v>538</v>
      </c>
    </row>
    <row r="3" spans="1:7" s="103" customFormat="1" ht="12.75">
      <c r="A3" s="102" t="s">
        <v>357</v>
      </c>
      <c r="B3" s="102" t="s">
        <v>358</v>
      </c>
      <c r="F3" s="104"/>
      <c r="G3" s="104"/>
    </row>
    <row r="4" spans="1:7" s="103" customFormat="1" ht="12.75">
      <c r="A4" s="102" t="s">
        <v>331</v>
      </c>
      <c r="B4" s="102" t="s">
        <v>332</v>
      </c>
      <c r="F4" s="104"/>
      <c r="G4" s="104"/>
    </row>
    <row r="5" spans="1:7" s="103" customFormat="1" ht="12.75">
      <c r="A5" s="102" t="s">
        <v>524</v>
      </c>
      <c r="B5" s="102" t="s">
        <v>332</v>
      </c>
      <c r="F5" s="104"/>
      <c r="G5" s="104"/>
    </row>
    <row r="6" spans="1:7" s="103" customFormat="1" ht="12.75">
      <c r="A6" s="102" t="s">
        <v>525</v>
      </c>
      <c r="B6" s="102" t="s">
        <v>332</v>
      </c>
      <c r="F6" s="104"/>
      <c r="G6" s="104"/>
    </row>
    <row r="7" spans="1:7" s="103" customFormat="1" ht="12.75">
      <c r="A7" s="102" t="s">
        <v>360</v>
      </c>
      <c r="B7" s="102" t="s">
        <v>332</v>
      </c>
      <c r="F7" s="104"/>
      <c r="G7" s="104"/>
    </row>
    <row r="8" spans="1:7" s="103" customFormat="1" ht="12.75">
      <c r="A8" s="102" t="s">
        <v>338</v>
      </c>
      <c r="B8" s="102" t="s">
        <v>339</v>
      </c>
      <c r="F8" s="104"/>
      <c r="G8" s="104"/>
    </row>
    <row r="9" spans="1:7" s="103" customFormat="1" ht="12.75">
      <c r="A9" s="102" t="s">
        <v>351</v>
      </c>
      <c r="B9" s="102" t="s">
        <v>351</v>
      </c>
      <c r="F9" s="104"/>
      <c r="G9" s="104"/>
    </row>
    <row r="10" spans="1:7" s="103" customFormat="1" ht="12.75">
      <c r="A10" s="102" t="s">
        <v>526</v>
      </c>
      <c r="B10" s="102" t="s">
        <v>539</v>
      </c>
      <c r="F10" s="104"/>
      <c r="G10" s="104"/>
    </row>
    <row r="11" spans="1:7" s="103" customFormat="1" ht="12.75">
      <c r="A11" s="102" t="s">
        <v>527</v>
      </c>
      <c r="B11" s="102" t="s">
        <v>597</v>
      </c>
      <c r="F11" s="105"/>
      <c r="G11" s="105"/>
    </row>
    <row r="12" spans="1:7" s="103" customFormat="1" ht="12.75">
      <c r="A12" s="102" t="s">
        <v>322</v>
      </c>
      <c r="B12" s="102" t="s">
        <v>323</v>
      </c>
      <c r="F12" s="104"/>
      <c r="G12" s="104"/>
    </row>
    <row r="13" spans="1:7" s="103" customFormat="1" ht="12.75">
      <c r="A13" s="102" t="s">
        <v>354</v>
      </c>
      <c r="B13" s="102" t="s">
        <v>323</v>
      </c>
      <c r="F13" s="104"/>
      <c r="G13" s="104"/>
    </row>
    <row r="14" spans="1:7" s="103" customFormat="1" ht="12.75">
      <c r="A14" s="102" t="s">
        <v>352</v>
      </c>
      <c r="B14" s="102" t="s">
        <v>323</v>
      </c>
      <c r="F14" s="104"/>
      <c r="G14" s="104"/>
    </row>
    <row r="15" spans="1:7" s="103" customFormat="1" ht="12.75">
      <c r="A15" s="102" t="s">
        <v>364</v>
      </c>
      <c r="B15" s="102" t="s">
        <v>323</v>
      </c>
      <c r="F15" s="104"/>
      <c r="G15" s="104"/>
    </row>
    <row r="16" spans="1:7" s="103" customFormat="1" ht="12.75">
      <c r="A16" s="102" t="s">
        <v>328</v>
      </c>
      <c r="B16" s="102" t="s">
        <v>323</v>
      </c>
      <c r="F16" s="104"/>
      <c r="G16" s="104"/>
    </row>
    <row r="17" spans="1:7" s="103" customFormat="1" ht="12.75">
      <c r="A17" s="102" t="s">
        <v>528</v>
      </c>
      <c r="B17" s="102" t="s">
        <v>323</v>
      </c>
      <c r="F17" s="104"/>
      <c r="G17" s="104"/>
    </row>
    <row r="18" spans="1:7" s="103" customFormat="1" ht="12.75">
      <c r="A18" s="102" t="s">
        <v>340</v>
      </c>
      <c r="B18" s="102" t="s">
        <v>323</v>
      </c>
      <c r="F18" s="104"/>
      <c r="G18" s="104"/>
    </row>
    <row r="19" spans="1:7" s="103" customFormat="1" ht="12.75">
      <c r="A19" s="102" t="s">
        <v>324</v>
      </c>
      <c r="B19" s="102" t="s">
        <v>323</v>
      </c>
      <c r="F19" s="104"/>
      <c r="G19" s="104"/>
    </row>
    <row r="20" spans="1:7" s="103" customFormat="1" ht="12.75">
      <c r="A20" s="102" t="s">
        <v>353</v>
      </c>
      <c r="B20" s="102" t="s">
        <v>323</v>
      </c>
      <c r="F20" s="104"/>
      <c r="G20" s="104"/>
    </row>
    <row r="21" spans="1:7" s="103" customFormat="1" ht="12.75">
      <c r="A21" s="102" t="s">
        <v>355</v>
      </c>
      <c r="B21" s="102" t="s">
        <v>356</v>
      </c>
      <c r="F21" s="104"/>
      <c r="G21" s="104"/>
    </row>
    <row r="22" spans="1:7" s="103" customFormat="1" ht="12.75">
      <c r="A22" s="102" t="s">
        <v>529</v>
      </c>
      <c r="B22" s="102" t="s">
        <v>540</v>
      </c>
      <c r="F22" s="104"/>
      <c r="G22" s="104"/>
    </row>
    <row r="23" spans="1:7" s="103" customFormat="1" ht="12.75">
      <c r="A23" s="102" t="s">
        <v>530</v>
      </c>
      <c r="B23" s="102" t="s">
        <v>598</v>
      </c>
      <c r="F23" s="104"/>
      <c r="G23" s="104"/>
    </row>
    <row r="24" spans="1:7" s="103" customFormat="1" ht="12.75">
      <c r="A24" s="102" t="s">
        <v>367</v>
      </c>
      <c r="B24" s="102" t="s">
        <v>601</v>
      </c>
      <c r="F24" s="104"/>
      <c r="G24" s="104"/>
    </row>
    <row r="25" spans="1:7" s="103" customFormat="1" ht="12.75">
      <c r="A25" s="102" t="s">
        <v>531</v>
      </c>
      <c r="B25" s="102" t="s">
        <v>599</v>
      </c>
      <c r="F25" s="104"/>
      <c r="G25" s="104"/>
    </row>
    <row r="26" spans="1:7" s="103" customFormat="1" ht="12.75">
      <c r="A26" s="102" t="s">
        <v>329</v>
      </c>
      <c r="B26" s="102" t="s">
        <v>330</v>
      </c>
      <c r="F26" s="104"/>
      <c r="G26" s="104"/>
    </row>
    <row r="27" spans="1:7" s="103" customFormat="1" ht="12.75">
      <c r="A27" s="102" t="s">
        <v>532</v>
      </c>
      <c r="B27" s="102" t="s">
        <v>600</v>
      </c>
      <c r="F27" s="104"/>
      <c r="G27" s="104"/>
    </row>
    <row r="28" spans="1:7" s="103" customFormat="1" ht="12.75">
      <c r="A28" s="102" t="s">
        <v>341</v>
      </c>
      <c r="B28" s="102" t="s">
        <v>341</v>
      </c>
      <c r="F28" s="104"/>
      <c r="G28" s="104"/>
    </row>
    <row r="29" spans="1:7" s="103" customFormat="1" ht="12.75">
      <c r="A29" s="102" t="s">
        <v>533</v>
      </c>
      <c r="B29" s="102" t="s">
        <v>337</v>
      </c>
      <c r="F29" s="104"/>
      <c r="G29" s="104"/>
    </row>
    <row r="30" spans="1:7" s="103" customFormat="1" ht="12.75">
      <c r="A30" s="102" t="s">
        <v>342</v>
      </c>
      <c r="B30" s="102" t="s">
        <v>343</v>
      </c>
      <c r="F30" s="104"/>
      <c r="G30" s="104"/>
    </row>
    <row r="31" spans="1:7" s="103" customFormat="1" ht="12.75">
      <c r="A31" s="102" t="s">
        <v>534</v>
      </c>
      <c r="B31" s="102" t="s">
        <v>596</v>
      </c>
      <c r="F31" s="104"/>
      <c r="G31" s="104"/>
    </row>
    <row r="32" spans="1:7" s="103" customFormat="1" ht="12.75">
      <c r="A32" s="102" t="s">
        <v>359</v>
      </c>
      <c r="B32" s="102" t="s">
        <v>359</v>
      </c>
      <c r="F32" s="104"/>
      <c r="G32" s="104"/>
    </row>
    <row r="33" spans="1:2" s="103" customFormat="1" ht="12.75">
      <c r="A33" s="102" t="s">
        <v>348</v>
      </c>
      <c r="B33" s="102" t="s">
        <v>337</v>
      </c>
    </row>
    <row r="34" spans="1:2" s="103" customFormat="1" ht="12.75">
      <c r="A34" s="102" t="s">
        <v>344</v>
      </c>
      <c r="B34" s="102" t="s">
        <v>345</v>
      </c>
    </row>
    <row r="35" spans="1:2" s="103" customFormat="1" ht="12.75">
      <c r="A35" s="102" t="s">
        <v>365</v>
      </c>
      <c r="B35" s="102" t="s">
        <v>345</v>
      </c>
    </row>
    <row r="36" spans="1:2" s="103" customFormat="1" ht="12.75">
      <c r="A36" s="102" t="s">
        <v>362</v>
      </c>
      <c r="B36" s="102" t="s">
        <v>345</v>
      </c>
    </row>
    <row r="37" spans="1:2" s="103" customFormat="1" ht="12.75">
      <c r="A37" s="102" t="s">
        <v>535</v>
      </c>
      <c r="B37" s="102" t="s">
        <v>345</v>
      </c>
    </row>
    <row r="38" spans="1:2" s="103" customFormat="1" ht="12.75">
      <c r="A38" s="102" t="s">
        <v>536</v>
      </c>
      <c r="B38" s="102" t="s">
        <v>345</v>
      </c>
    </row>
    <row r="39" spans="1:2" s="103" customFormat="1" ht="12.75">
      <c r="A39" s="102" t="s">
        <v>346</v>
      </c>
      <c r="B39" s="102" t="s">
        <v>345</v>
      </c>
    </row>
    <row r="40" spans="1:2" s="103" customFormat="1" ht="12.75">
      <c r="A40" s="102" t="s">
        <v>347</v>
      </c>
      <c r="B40" s="102" t="s">
        <v>345</v>
      </c>
    </row>
    <row r="41" spans="1:2" s="103" customFormat="1" ht="12.75">
      <c r="A41" s="102" t="s">
        <v>336</v>
      </c>
      <c r="B41" s="102" t="s">
        <v>337</v>
      </c>
    </row>
    <row r="42" spans="1:2" s="103" customFormat="1" ht="12.75">
      <c r="A42" s="102" t="s">
        <v>325</v>
      </c>
      <c r="B42" s="102" t="s">
        <v>326</v>
      </c>
    </row>
    <row r="43" spans="1:2" s="103" customFormat="1" ht="12.75">
      <c r="A43" s="102" t="s">
        <v>361</v>
      </c>
      <c r="B43" s="102" t="s">
        <v>326</v>
      </c>
    </row>
    <row r="44" spans="1:2" s="103" customFormat="1" ht="12.75">
      <c r="A44" s="102" t="s">
        <v>335</v>
      </c>
      <c r="B44" s="102" t="s">
        <v>326</v>
      </c>
    </row>
    <row r="45" spans="1:2" s="103" customFormat="1" ht="12.75">
      <c r="A45" s="102" t="s">
        <v>366</v>
      </c>
      <c r="B45" s="102" t="s">
        <v>326</v>
      </c>
    </row>
    <row r="46" spans="1:2" s="103" customFormat="1" ht="12.75">
      <c r="A46" s="102" t="s">
        <v>350</v>
      </c>
      <c r="B46" s="102" t="s">
        <v>326</v>
      </c>
    </row>
    <row r="47" spans="1:2" s="103" customFormat="1" ht="12.75">
      <c r="A47" s="102" t="s">
        <v>327</v>
      </c>
      <c r="B47" s="102" t="s">
        <v>326</v>
      </c>
    </row>
    <row r="48" spans="1:2" s="103" customFormat="1" ht="12.75">
      <c r="A48" s="102" t="s">
        <v>333</v>
      </c>
      <c r="B48" s="102" t="s">
        <v>326</v>
      </c>
    </row>
    <row r="49" spans="1:2" s="103" customFormat="1" ht="12.75">
      <c r="A49" s="102" t="s">
        <v>334</v>
      </c>
      <c r="B49" s="102" t="s">
        <v>326</v>
      </c>
    </row>
    <row r="50" spans="1:2" s="103" customFormat="1" ht="12.75">
      <c r="A50" s="102" t="s">
        <v>349</v>
      </c>
      <c r="B50" s="102" t="s">
        <v>326</v>
      </c>
    </row>
    <row r="51" spans="1:2" s="103" customFormat="1" ht="12.75">
      <c r="A51" s="102" t="s">
        <v>363</v>
      </c>
      <c r="B51" s="102" t="s">
        <v>326</v>
      </c>
    </row>
    <row r="52" spans="1:2" s="103" customFormat="1" ht="12.75">
      <c r="A52" s="106"/>
      <c r="B52" s="106"/>
    </row>
    <row r="53" spans="1:2" s="103" customFormat="1" ht="12.75">
      <c r="A53" s="106"/>
      <c r="B53" s="106"/>
    </row>
    <row r="54" spans="1:2" s="103" customFormat="1" ht="12.75">
      <c r="A54" s="106"/>
      <c r="B54" s="106"/>
    </row>
    <row r="55" spans="1:2" s="103" customFormat="1" ht="12.75">
      <c r="A55" s="106"/>
      <c r="B55" s="106"/>
    </row>
    <row r="56" spans="1:2" s="103" customFormat="1" ht="12.75">
      <c r="A56" s="106"/>
      <c r="B56" s="106"/>
    </row>
    <row r="57" spans="1:2" s="103" customFormat="1" ht="12.75">
      <c r="A57" s="106"/>
      <c r="B57" s="106"/>
    </row>
    <row r="58" spans="1:2" s="103" customFormat="1" ht="12.75">
      <c r="A58" s="106"/>
      <c r="B58" s="106"/>
    </row>
    <row r="59" spans="1:2" s="103" customFormat="1" ht="12.75">
      <c r="A59" s="106"/>
      <c r="B59" s="106"/>
    </row>
    <row r="60" spans="1:2" s="103" customFormat="1" ht="12.75">
      <c r="A60" s="106"/>
      <c r="B60" s="106"/>
    </row>
    <row r="61" spans="1:2" s="103" customFormat="1" ht="12.75">
      <c r="A61" s="106"/>
      <c r="B61" s="106"/>
    </row>
    <row r="62" spans="1:2" s="103" customFormat="1" ht="12.75">
      <c r="A62" s="106"/>
      <c r="B62" s="106"/>
    </row>
    <row r="63" spans="1:2" s="103" customFormat="1" ht="12.75">
      <c r="A63" s="106"/>
      <c r="B63" s="106"/>
    </row>
    <row r="64" spans="1:2" s="103" customFormat="1" ht="12.75">
      <c r="A64" s="106"/>
      <c r="B64" s="106"/>
    </row>
    <row r="65" spans="1:2" s="103" customFormat="1" ht="12.75">
      <c r="A65" s="106"/>
      <c r="B65" s="106"/>
    </row>
    <row r="66" spans="1:2" s="103" customFormat="1" ht="12.75">
      <c r="A66" s="106"/>
      <c r="B66" s="106"/>
    </row>
    <row r="67" spans="1:2" s="103" customFormat="1" ht="12.75">
      <c r="A67" s="106"/>
      <c r="B67" s="106"/>
    </row>
    <row r="68" spans="1:2" s="103" customFormat="1" ht="12.75">
      <c r="A68" s="106"/>
      <c r="B68" s="106"/>
    </row>
    <row r="69" spans="1:2" s="103" customFormat="1" ht="12.75">
      <c r="A69" s="106"/>
      <c r="B69" s="106"/>
    </row>
    <row r="70" spans="1:2" s="103" customFormat="1" ht="12.75">
      <c r="A70" s="106"/>
      <c r="B70" s="106"/>
    </row>
    <row r="71" spans="1:2" s="103" customFormat="1" ht="12.75">
      <c r="A71" s="106"/>
      <c r="B71" s="106"/>
    </row>
    <row r="72" spans="1:2" s="103" customFormat="1" ht="12.75">
      <c r="A72" s="106"/>
      <c r="B72" s="106"/>
    </row>
    <row r="73" spans="1:2" s="103" customFormat="1" ht="12.75">
      <c r="A73" s="106"/>
      <c r="B73" s="106"/>
    </row>
    <row r="74" spans="1:2" s="103" customFormat="1" ht="12.75">
      <c r="A74" s="106"/>
      <c r="B74" s="106"/>
    </row>
    <row r="75" spans="1:2" s="103" customFormat="1" ht="12.75">
      <c r="A75" s="106"/>
      <c r="B75" s="106"/>
    </row>
    <row r="76" spans="1:2" s="103" customFormat="1" ht="12.75">
      <c r="A76" s="106"/>
      <c r="B76" s="106"/>
    </row>
    <row r="77" spans="1:2" s="103" customFormat="1" ht="12.75">
      <c r="A77" s="106"/>
      <c r="B77" s="106"/>
    </row>
    <row r="78" spans="1:2" s="103" customFormat="1" ht="12.75">
      <c r="A78" s="106"/>
      <c r="B78" s="106"/>
    </row>
    <row r="79" spans="1:2" s="103" customFormat="1" ht="12.75">
      <c r="A79" s="106"/>
      <c r="B79" s="106"/>
    </row>
    <row r="80" spans="1:2" s="103" customFormat="1" ht="12.75">
      <c r="A80" s="106"/>
      <c r="B80" s="106"/>
    </row>
    <row r="81" spans="1:2" s="103" customFormat="1" ht="12.75">
      <c r="A81" s="106"/>
      <c r="B81" s="106"/>
    </row>
    <row r="82" spans="1:2" s="103" customFormat="1" ht="12.75">
      <c r="A82" s="106"/>
      <c r="B82" s="106"/>
    </row>
    <row r="83" spans="1:2" s="103" customFormat="1" ht="12.75">
      <c r="A83" s="106"/>
      <c r="B83" s="106"/>
    </row>
    <row r="84" spans="1:2" s="103" customFormat="1" ht="12.75">
      <c r="A84" s="106"/>
      <c r="B84" s="106"/>
    </row>
    <row r="85" spans="1:2" s="103" customFormat="1" ht="12.75">
      <c r="A85" s="106"/>
      <c r="B85" s="106"/>
    </row>
    <row r="86" spans="1:2" s="103" customFormat="1" ht="12.75">
      <c r="A86" s="106"/>
      <c r="B86" s="106"/>
    </row>
    <row r="87" spans="1:2" s="103" customFormat="1" ht="12.75">
      <c r="A87" s="106"/>
      <c r="B87" s="106"/>
    </row>
    <row r="88" spans="1:2" s="103" customFormat="1" ht="12.75">
      <c r="A88" s="106"/>
      <c r="B88" s="106"/>
    </row>
    <row r="89" spans="1:2" s="103" customFormat="1" ht="12.75">
      <c r="A89" s="106"/>
      <c r="B89" s="106"/>
    </row>
    <row r="90" spans="1:2" s="103" customFormat="1" ht="12.75">
      <c r="A90" s="106"/>
      <c r="B90" s="106"/>
    </row>
    <row r="91" spans="1:2" s="103" customFormat="1" ht="12.75">
      <c r="A91" s="106"/>
      <c r="B91" s="106"/>
    </row>
    <row r="92" spans="1:2" s="103" customFormat="1" ht="12.75">
      <c r="A92" s="106"/>
      <c r="B92" s="106"/>
    </row>
    <row r="93" spans="1:2" s="103" customFormat="1" ht="12.75">
      <c r="A93" s="106"/>
      <c r="B93" s="106"/>
    </row>
    <row r="94" spans="1:2" s="103" customFormat="1" ht="12.75">
      <c r="A94" s="106"/>
      <c r="B94" s="106"/>
    </row>
    <row r="95" spans="1:2" s="103" customFormat="1" ht="12.75">
      <c r="A95" s="106"/>
      <c r="B95" s="106"/>
    </row>
    <row r="96" spans="1:2" s="103" customFormat="1" ht="12.75">
      <c r="A96" s="106"/>
      <c r="B96" s="106"/>
    </row>
    <row r="97" spans="1:2" s="103" customFormat="1" ht="12.75">
      <c r="A97" s="106"/>
      <c r="B97" s="106"/>
    </row>
    <row r="98" spans="1:2" s="103" customFormat="1" ht="12.75">
      <c r="A98" s="106"/>
      <c r="B98" s="106"/>
    </row>
    <row r="99" spans="1:2" s="103" customFormat="1" ht="12.75">
      <c r="A99" s="106"/>
      <c r="B99" s="106"/>
    </row>
    <row r="100" spans="1:2" s="103" customFormat="1" ht="12.75">
      <c r="A100" s="106"/>
      <c r="B100" s="106"/>
    </row>
    <row r="101" spans="1:2" s="103" customFormat="1" ht="12.75">
      <c r="A101" s="106"/>
      <c r="B101" s="106"/>
    </row>
    <row r="102" spans="1:2" s="103" customFormat="1" ht="12.75">
      <c r="A102" s="106"/>
      <c r="B102" s="106"/>
    </row>
    <row r="103" spans="1:2" s="103" customFormat="1" ht="12.75">
      <c r="A103" s="106"/>
      <c r="B103" s="106"/>
    </row>
    <row r="104" spans="1:2" s="103" customFormat="1" ht="12.75">
      <c r="A104" s="106"/>
      <c r="B104" s="106"/>
    </row>
    <row r="105" spans="1:2" s="103" customFormat="1" ht="12.75">
      <c r="A105" s="106"/>
      <c r="B105" s="106"/>
    </row>
    <row r="106" spans="1:2" s="103" customFormat="1" ht="12.75">
      <c r="A106" s="106"/>
      <c r="B106" s="106"/>
    </row>
    <row r="107" spans="1:2" s="103" customFormat="1" ht="12.75">
      <c r="A107" s="106"/>
      <c r="B107" s="106"/>
    </row>
    <row r="108" spans="1:2" s="103" customFormat="1" ht="12.75">
      <c r="A108" s="106"/>
      <c r="B108" s="106"/>
    </row>
    <row r="109" spans="1:2" s="103" customFormat="1" ht="12.75">
      <c r="A109" s="106"/>
      <c r="B109" s="106"/>
    </row>
    <row r="110" spans="1:2" s="103" customFormat="1" ht="12.75">
      <c r="A110" s="106"/>
      <c r="B110" s="106"/>
    </row>
    <row r="111" spans="1:2" s="103" customFormat="1" ht="12.75">
      <c r="A111" s="106"/>
      <c r="B111" s="106"/>
    </row>
    <row r="112" spans="1:2" s="103" customFormat="1" ht="12.75">
      <c r="A112" s="106"/>
      <c r="B112" s="106"/>
    </row>
    <row r="113" spans="1:2" s="103" customFormat="1" ht="12.75">
      <c r="A113" s="106"/>
      <c r="B113" s="106"/>
    </row>
    <row r="114" spans="1:2" s="103" customFormat="1" ht="12.75">
      <c r="A114" s="106"/>
      <c r="B114" s="106"/>
    </row>
    <row r="115" spans="1:2" s="103" customFormat="1" ht="12.75">
      <c r="A115" s="106"/>
      <c r="B115" s="106"/>
    </row>
    <row r="116" spans="1:2" s="103" customFormat="1" ht="12.75">
      <c r="A116" s="106"/>
      <c r="B116" s="106"/>
    </row>
    <row r="117" spans="1:2" s="103" customFormat="1" ht="12.75">
      <c r="A117" s="106"/>
      <c r="B117" s="106"/>
    </row>
    <row r="118" spans="1:2" s="103" customFormat="1" ht="12.75">
      <c r="A118" s="106"/>
      <c r="B118" s="106"/>
    </row>
    <row r="119" spans="1:2" s="103" customFormat="1" ht="12.75">
      <c r="A119" s="106"/>
      <c r="B119" s="106"/>
    </row>
    <row r="120" spans="1:2" s="103" customFormat="1" ht="12.75">
      <c r="A120" s="106"/>
      <c r="B120" s="106"/>
    </row>
    <row r="121" spans="1:2" s="103" customFormat="1" ht="12.75">
      <c r="A121" s="106"/>
      <c r="B121" s="106"/>
    </row>
    <row r="122" spans="1:2" s="103" customFormat="1" ht="12.75">
      <c r="A122" s="106"/>
      <c r="B122" s="106"/>
    </row>
    <row r="123" spans="1:2" s="103" customFormat="1" ht="12.75">
      <c r="A123" s="106"/>
      <c r="B123" s="106"/>
    </row>
    <row r="124" spans="1:2" s="103" customFormat="1" ht="12.75">
      <c r="A124" s="106"/>
      <c r="B124" s="106"/>
    </row>
    <row r="125" spans="1:2" s="103" customFormat="1" ht="12.75">
      <c r="A125" s="106"/>
      <c r="B125" s="106"/>
    </row>
    <row r="126" spans="1:2" s="103" customFormat="1" ht="12.75">
      <c r="A126" s="106"/>
      <c r="B126" s="106"/>
    </row>
    <row r="127" spans="1:2" s="103" customFormat="1" ht="12.75">
      <c r="A127" s="106"/>
      <c r="B127" s="106"/>
    </row>
    <row r="128" spans="1:2" s="103" customFormat="1" ht="12.75">
      <c r="A128" s="106"/>
      <c r="B128" s="106"/>
    </row>
    <row r="129" spans="1:2" s="103" customFormat="1" ht="12.75">
      <c r="A129" s="106"/>
      <c r="B129" s="106"/>
    </row>
    <row r="130" spans="1:2" s="103" customFormat="1" ht="12.75">
      <c r="A130" s="106"/>
      <c r="B130" s="106"/>
    </row>
    <row r="131" spans="1:2" s="103" customFormat="1" ht="12.75">
      <c r="A131" s="106"/>
      <c r="B131" s="106"/>
    </row>
    <row r="132" spans="1:2" s="103" customFormat="1" ht="12.75">
      <c r="A132" s="106"/>
      <c r="B132" s="106"/>
    </row>
    <row r="133" spans="1:2" s="103" customFormat="1" ht="12.75">
      <c r="A133" s="106"/>
      <c r="B133" s="106"/>
    </row>
    <row r="134" spans="1:2" s="103" customFormat="1" ht="12.75">
      <c r="A134" s="106"/>
      <c r="B134" s="106"/>
    </row>
    <row r="135" spans="1:2" s="103" customFormat="1" ht="12.75">
      <c r="A135" s="106"/>
      <c r="B135" s="106"/>
    </row>
    <row r="136" spans="1:2" s="103" customFormat="1" ht="12.75">
      <c r="A136" s="106"/>
      <c r="B136" s="106"/>
    </row>
    <row r="137" spans="1:2" s="103" customFormat="1" ht="12.75">
      <c r="A137" s="106"/>
      <c r="B137" s="106"/>
    </row>
    <row r="138" spans="1:2" s="103" customFormat="1" ht="12.75">
      <c r="A138" s="106"/>
      <c r="B138" s="106"/>
    </row>
    <row r="139" spans="1:2" s="103" customFormat="1" ht="12.75">
      <c r="A139" s="106"/>
      <c r="B139" s="106"/>
    </row>
    <row r="140" spans="1:2" s="103" customFormat="1" ht="12.75">
      <c r="A140" s="106"/>
      <c r="B140" s="106"/>
    </row>
    <row r="141" spans="1:2" s="103" customFormat="1" ht="12.75">
      <c r="A141" s="106"/>
      <c r="B141" s="106"/>
    </row>
    <row r="142" spans="1:2" s="103" customFormat="1" ht="12.75">
      <c r="A142" s="106"/>
      <c r="B142" s="106"/>
    </row>
    <row r="143" spans="1:2" s="103" customFormat="1" ht="12.75">
      <c r="A143" s="106"/>
      <c r="B143" s="106"/>
    </row>
    <row r="144" spans="1:2" s="103" customFormat="1" ht="12.75">
      <c r="A144" s="106"/>
      <c r="B144" s="106"/>
    </row>
    <row r="145" spans="1:2" s="103" customFormat="1" ht="12.75">
      <c r="A145" s="106"/>
      <c r="B145" s="106"/>
    </row>
    <row r="146" spans="1:2" s="103" customFormat="1" ht="12.75">
      <c r="A146" s="106"/>
      <c r="B146" s="106"/>
    </row>
    <row r="147" spans="1:2" s="103" customFormat="1" ht="12.75">
      <c r="A147" s="106"/>
      <c r="B147" s="106"/>
    </row>
    <row r="148" spans="1:2" s="103" customFormat="1" ht="12.75">
      <c r="A148" s="106"/>
      <c r="B148" s="106"/>
    </row>
    <row r="149" spans="1:2" s="103" customFormat="1" ht="12.75">
      <c r="A149" s="106"/>
      <c r="B149" s="106"/>
    </row>
    <row r="150" spans="1:2" s="103" customFormat="1" ht="12.75">
      <c r="A150" s="106"/>
      <c r="B150" s="106"/>
    </row>
    <row r="151" spans="1:2" s="103" customFormat="1" ht="12.75">
      <c r="A151" s="106"/>
      <c r="B151" s="106"/>
    </row>
    <row r="152" spans="1:2" s="103" customFormat="1" ht="12.75">
      <c r="A152" s="106"/>
      <c r="B152" s="106"/>
    </row>
    <row r="153" spans="1:2" s="103" customFormat="1" ht="12.75">
      <c r="A153" s="106"/>
      <c r="B153" s="106"/>
    </row>
    <row r="154" spans="1:2" s="103" customFormat="1" ht="12.75">
      <c r="A154" s="106"/>
      <c r="B154" s="106"/>
    </row>
    <row r="155" spans="1:2" s="103" customFormat="1" ht="12.75">
      <c r="A155" s="106"/>
      <c r="B155" s="106"/>
    </row>
    <row r="156" spans="1:2" s="103" customFormat="1" ht="12.75">
      <c r="A156" s="106"/>
      <c r="B156" s="106"/>
    </row>
    <row r="157" spans="1:2" s="103" customFormat="1" ht="12.75">
      <c r="A157" s="106"/>
      <c r="B157" s="106"/>
    </row>
    <row r="158" spans="1:2" s="103" customFormat="1" ht="12.75">
      <c r="A158" s="106"/>
      <c r="B158" s="106"/>
    </row>
    <row r="159" spans="1:2" s="103" customFormat="1" ht="12.75">
      <c r="A159" s="106"/>
      <c r="B159" s="106"/>
    </row>
    <row r="160" spans="1:2" s="103" customFormat="1" ht="12.75">
      <c r="A160" s="106"/>
      <c r="B160" s="106"/>
    </row>
    <row r="161" spans="1:2" s="103" customFormat="1" ht="12.75">
      <c r="A161" s="106"/>
      <c r="B161" s="106"/>
    </row>
    <row r="162" spans="1:2" s="103" customFormat="1" ht="12.75">
      <c r="A162" s="106"/>
      <c r="B162" s="106"/>
    </row>
    <row r="163" spans="1:2" s="103" customFormat="1" ht="12.75">
      <c r="A163" s="106"/>
      <c r="B163" s="106"/>
    </row>
    <row r="164" spans="1:2" s="103" customFormat="1" ht="12.75">
      <c r="A164" s="106"/>
      <c r="B164" s="106"/>
    </row>
    <row r="165" spans="1:2" s="103" customFormat="1" ht="12.75">
      <c r="A165" s="106"/>
      <c r="B165" s="106"/>
    </row>
    <row r="166" spans="1:2" s="103" customFormat="1" ht="12.75">
      <c r="A166" s="106"/>
      <c r="B166" s="106"/>
    </row>
    <row r="167" spans="1:2" s="103" customFormat="1" ht="12.75">
      <c r="A167" s="106"/>
      <c r="B167" s="106"/>
    </row>
    <row r="168" spans="1:2" s="103" customFormat="1" ht="12.75">
      <c r="A168" s="106"/>
      <c r="B168" s="106"/>
    </row>
    <row r="169" spans="1:2" s="103" customFormat="1" ht="12.75">
      <c r="A169" s="106"/>
      <c r="B169" s="106"/>
    </row>
    <row r="170" spans="1:2" s="103" customFormat="1" ht="12.75">
      <c r="A170" s="106"/>
      <c r="B170" s="106"/>
    </row>
    <row r="171" spans="1:2" s="103" customFormat="1" ht="12.75">
      <c r="A171" s="106"/>
      <c r="B171" s="106"/>
    </row>
    <row r="172" spans="1:2" s="103" customFormat="1" ht="12.75">
      <c r="A172" s="106"/>
      <c r="B172" s="106"/>
    </row>
    <row r="173" spans="1:2" s="103" customFormat="1" ht="12.75">
      <c r="A173" s="106"/>
      <c r="B173" s="106"/>
    </row>
    <row r="174" spans="1:2" s="103" customFormat="1" ht="12.75">
      <c r="A174" s="106"/>
      <c r="B174" s="106"/>
    </row>
    <row r="175" spans="1:2" s="103" customFormat="1" ht="12.75">
      <c r="A175" s="106"/>
      <c r="B175" s="106"/>
    </row>
    <row r="176" spans="1:2" s="103" customFormat="1" ht="12.75">
      <c r="A176" s="106"/>
      <c r="B176" s="106"/>
    </row>
    <row r="177" spans="1:2" s="103" customFormat="1" ht="12.75">
      <c r="A177" s="106"/>
      <c r="B177" s="106"/>
    </row>
    <row r="178" spans="1:2" s="103" customFormat="1" ht="12.75">
      <c r="A178" s="106"/>
      <c r="B178" s="106"/>
    </row>
    <row r="179" spans="1:2" s="103" customFormat="1" ht="12.75">
      <c r="A179" s="106"/>
      <c r="B179" s="106"/>
    </row>
    <row r="180" spans="1:2" s="103" customFormat="1" ht="12.75">
      <c r="A180" s="106"/>
      <c r="B180" s="106"/>
    </row>
    <row r="181" spans="1:2" s="103" customFormat="1" ht="12.75">
      <c r="A181" s="106"/>
      <c r="B181" s="106"/>
    </row>
    <row r="182" spans="1:2" s="103" customFormat="1" ht="12.75">
      <c r="A182" s="106"/>
      <c r="B182" s="106"/>
    </row>
    <row r="183" spans="1:2" s="103" customFormat="1" ht="12.75">
      <c r="A183" s="106"/>
      <c r="B183" s="106"/>
    </row>
    <row r="184" spans="1:2" s="103" customFormat="1" ht="12.75">
      <c r="A184" s="106"/>
      <c r="B184" s="106"/>
    </row>
    <row r="185" spans="1:2" s="103" customFormat="1" ht="12.75">
      <c r="A185" s="106"/>
      <c r="B185" s="106"/>
    </row>
    <row r="186" spans="1:2" s="103" customFormat="1" ht="12.75">
      <c r="A186" s="106"/>
      <c r="B186" s="106"/>
    </row>
    <row r="187" spans="1:2" s="103" customFormat="1" ht="12.75">
      <c r="A187" s="106"/>
      <c r="B187" s="106"/>
    </row>
    <row r="188" spans="1:2" s="103" customFormat="1" ht="12.75">
      <c r="A188" s="106"/>
      <c r="B188" s="106"/>
    </row>
    <row r="189" spans="1:2" s="103" customFormat="1" ht="12.75">
      <c r="A189" s="106"/>
      <c r="B189" s="106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6029"/>
  <sheetViews>
    <sheetView tabSelected="1" topLeftCell="J1" workbookViewId="0">
      <pane ySplit="1" topLeftCell="A2" activePane="bottomLeft" state="frozen"/>
      <selection pane="bottomLeft" activeCell="AA4" sqref="AA4"/>
    </sheetView>
  </sheetViews>
  <sheetFormatPr defaultColWidth="9.140625" defaultRowHeight="15" outlineLevelCol="1"/>
  <cols>
    <col min="1" max="1" width="51.28515625" style="54" bestFit="1" customWidth="1"/>
    <col min="2" max="2" width="11" style="54" customWidth="1"/>
    <col min="3" max="3" width="15" style="121" customWidth="1"/>
    <col min="4" max="4" width="92.7109375" style="121" customWidth="1"/>
    <col min="5" max="5" width="13.5703125" style="121" customWidth="1"/>
    <col min="6" max="6" width="6.85546875" style="122" customWidth="1"/>
    <col min="7" max="7" width="19.7109375" style="121" bestFit="1" customWidth="1"/>
    <col min="8" max="8" width="11.7109375" style="121" customWidth="1"/>
    <col min="9" max="9" width="39.85546875" style="121" bestFit="1" customWidth="1"/>
    <col min="10" max="11" width="9.7109375" style="121" customWidth="1"/>
    <col min="12" max="12" width="16" style="121" customWidth="1"/>
    <col min="13" max="16" width="9.7109375" style="121" customWidth="1"/>
    <col min="17" max="17" width="14.7109375" style="121" customWidth="1"/>
    <col min="18" max="18" width="9.7109375" style="121" customWidth="1"/>
    <col min="19" max="19" width="21.140625" style="54" customWidth="1"/>
    <col min="20" max="20" width="28.85546875" style="53" customWidth="1"/>
    <col min="21" max="21" width="14.42578125" style="53" customWidth="1"/>
    <col min="22" max="22" width="12.85546875" style="53" customWidth="1"/>
    <col min="23" max="23" width="19.7109375" style="53" bestFit="1" customWidth="1"/>
    <col min="24" max="24" width="9.140625" style="64" hidden="1" customWidth="1" outlineLevel="1"/>
    <col min="25" max="25" width="9.140625" style="53" hidden="1" customWidth="1" outlineLevel="1"/>
    <col min="26" max="26" width="6" style="64" hidden="1" customWidth="1" outlineLevel="1"/>
    <col min="27" max="27" width="7.28515625" style="53" customWidth="1" collapsed="1"/>
    <col min="28" max="28" width="15.42578125" style="53" bestFit="1" customWidth="1"/>
    <col min="29" max="29" width="17.140625" style="53" customWidth="1"/>
    <col min="30" max="30" width="9.140625" style="64"/>
    <col min="31" max="31" width="12.85546875" style="64" customWidth="1"/>
    <col min="32" max="38" width="9.140625" style="53"/>
    <col min="39" max="16384" width="9.140625" style="55"/>
  </cols>
  <sheetData>
    <row r="1" spans="1:31" ht="21.75" customHeight="1" thickBot="1">
      <c r="A1" s="87" t="s">
        <v>368</v>
      </c>
      <c r="B1" s="87" t="s">
        <v>369</v>
      </c>
      <c r="C1" s="87" t="s">
        <v>370</v>
      </c>
      <c r="D1" s="87" t="s">
        <v>371</v>
      </c>
      <c r="E1" s="87" t="s">
        <v>372</v>
      </c>
      <c r="F1" s="107" t="s">
        <v>373</v>
      </c>
      <c r="G1" s="87" t="s">
        <v>374</v>
      </c>
      <c r="H1" s="87" t="s">
        <v>375</v>
      </c>
      <c r="I1" s="87" t="s">
        <v>376</v>
      </c>
      <c r="J1" s="87" t="s">
        <v>377</v>
      </c>
      <c r="K1" s="87" t="s">
        <v>378</v>
      </c>
      <c r="L1" s="87" t="s">
        <v>379</v>
      </c>
      <c r="M1" s="87" t="s">
        <v>380</v>
      </c>
      <c r="N1" s="87" t="s">
        <v>381</v>
      </c>
      <c r="O1" s="87" t="s">
        <v>382</v>
      </c>
      <c r="P1" s="87" t="s">
        <v>383</v>
      </c>
      <c r="Q1" s="87" t="s">
        <v>384</v>
      </c>
      <c r="R1" s="87" t="s">
        <v>385</v>
      </c>
      <c r="S1" s="87" t="s">
        <v>375</v>
      </c>
      <c r="T1" s="88"/>
      <c r="U1" s="85" t="s">
        <v>612</v>
      </c>
      <c r="V1" s="132" t="s">
        <v>613</v>
      </c>
      <c r="W1" s="85" t="s">
        <v>578</v>
      </c>
      <c r="X1" s="83">
        <f>MAX(X2:X6000)</f>
        <v>0</v>
      </c>
      <c r="Y1" s="83"/>
      <c r="Z1" s="83" t="str">
        <f>RIGHT(TEXT(MAX(Z2:Z6000),"###"),3)</f>
        <v/>
      </c>
      <c r="AA1" s="84" t="str">
        <f>RIGHT("000"&amp;X1,2)&amp;"-"&amp;RIGHT("000"&amp;Z1,3)</f>
        <v>00-000</v>
      </c>
      <c r="AB1" s="85" t="s">
        <v>541</v>
      </c>
      <c r="AC1" s="84" t="str">
        <f>IFERROR(IF(VALUE(MID(AA1,4,3))&gt;=999,RIGHT("000"&amp;X1+1,2)&amp;"-"&amp;"000",RIGHT("000"&amp;X1,2)&amp;"-"&amp;RIGHT("000"&amp;Z1+1,3))&amp;"-",IF(V1&lt;&gt;"-",V1,"Введите данные"))</f>
        <v>36-001</v>
      </c>
      <c r="AD1" s="86" t="s">
        <v>606</v>
      </c>
      <c r="AE1" s="127" t="s">
        <v>611</v>
      </c>
    </row>
    <row r="2" spans="1:31">
      <c r="A2" s="89" t="str">
        <f>IF(G2&amp;Q2&lt;&gt;"",G2&amp;Q2,"")</f>
        <v/>
      </c>
      <c r="B2" s="89" t="str">
        <f>IF(C2&lt;&gt;"",LEFT(C2,9),"")</f>
        <v/>
      </c>
      <c r="S2" s="89" t="str">
        <f>IF(H2&lt;&gt;"",H2,"")</f>
        <v/>
      </c>
      <c r="X2" s="64">
        <f>IFERROR(VALUE(MID($C2,1,2)),0)</f>
        <v>0</v>
      </c>
      <c r="Y2" s="53">
        <f t="shared" ref="Y2:Y66" si="0">IFERROR(VALUE(MID($C2,4,3)),0)</f>
        <v>0</v>
      </c>
      <c r="Z2" s="64">
        <f>VALUE(RIGHT("00"&amp;X2,2)&amp;RIGHT("000"&amp;Y2,3))</f>
        <v>0</v>
      </c>
    </row>
    <row r="3" spans="1:31">
      <c r="A3" s="89" t="str">
        <f t="shared" ref="A3:A66" si="1">IF(G3&amp;Q3&lt;&gt;"",G3&amp;Q3,"")</f>
        <v/>
      </c>
      <c r="B3" s="89" t="str">
        <f t="shared" ref="B3:B66" si="2">IF(C3&lt;&gt;"",LEFT(C3,9),"")</f>
        <v/>
      </c>
      <c r="S3" s="89" t="str">
        <f t="shared" ref="S3:S66" si="3">IF(H3&lt;&gt;"",H3,"")</f>
        <v/>
      </c>
      <c r="X3" s="64">
        <f t="shared" ref="X3:X66" si="4">IFERROR(VALUE(MID($C3,1,2)),0)</f>
        <v>0</v>
      </c>
      <c r="Y3" s="53">
        <f t="shared" si="0"/>
        <v>0</v>
      </c>
      <c r="Z3" s="64">
        <f t="shared" ref="Z3:Z66" si="5">VALUE(RIGHT("00"&amp;X3,2)&amp;RIGHT("000"&amp;Y3,3))</f>
        <v>0</v>
      </c>
    </row>
    <row r="4" spans="1:31">
      <c r="A4" s="89" t="str">
        <f t="shared" si="1"/>
        <v/>
      </c>
      <c r="B4" s="89" t="str">
        <f t="shared" si="2"/>
        <v/>
      </c>
      <c r="S4" s="89" t="str">
        <f t="shared" si="3"/>
        <v/>
      </c>
      <c r="X4" s="64">
        <f t="shared" si="4"/>
        <v>0</v>
      </c>
      <c r="Y4" s="53">
        <f t="shared" si="0"/>
        <v>0</v>
      </c>
      <c r="Z4" s="64">
        <f t="shared" si="5"/>
        <v>0</v>
      </c>
    </row>
    <row r="5" spans="1:31">
      <c r="A5" s="89" t="str">
        <f t="shared" si="1"/>
        <v/>
      </c>
      <c r="B5" s="89" t="str">
        <f t="shared" si="2"/>
        <v/>
      </c>
      <c r="S5" s="89" t="str">
        <f t="shared" si="3"/>
        <v/>
      </c>
      <c r="X5" s="64">
        <f t="shared" si="4"/>
        <v>0</v>
      </c>
      <c r="Y5" s="53">
        <f t="shared" si="0"/>
        <v>0</v>
      </c>
      <c r="Z5" s="64">
        <f t="shared" si="5"/>
        <v>0</v>
      </c>
    </row>
    <row r="6" spans="1:31">
      <c r="A6" s="89" t="str">
        <f t="shared" si="1"/>
        <v/>
      </c>
      <c r="B6" s="89" t="str">
        <f t="shared" si="2"/>
        <v/>
      </c>
      <c r="S6" s="89" t="str">
        <f t="shared" si="3"/>
        <v/>
      </c>
      <c r="X6" s="64">
        <f t="shared" si="4"/>
        <v>0</v>
      </c>
      <c r="Y6" s="53">
        <f t="shared" si="0"/>
        <v>0</v>
      </c>
      <c r="Z6" s="64">
        <f t="shared" si="5"/>
        <v>0</v>
      </c>
    </row>
    <row r="7" spans="1:31">
      <c r="A7" s="89" t="str">
        <f t="shared" si="1"/>
        <v/>
      </c>
      <c r="B7" s="89" t="str">
        <f t="shared" si="2"/>
        <v/>
      </c>
      <c r="S7" s="89" t="str">
        <f t="shared" si="3"/>
        <v/>
      </c>
      <c r="X7" s="64">
        <f t="shared" si="4"/>
        <v>0</v>
      </c>
      <c r="Y7" s="53">
        <f t="shared" si="0"/>
        <v>0</v>
      </c>
      <c r="Z7" s="64">
        <f t="shared" si="5"/>
        <v>0</v>
      </c>
    </row>
    <row r="8" spans="1:31">
      <c r="A8" s="89" t="str">
        <f t="shared" si="1"/>
        <v/>
      </c>
      <c r="B8" s="89" t="str">
        <f t="shared" si="2"/>
        <v/>
      </c>
      <c r="S8" s="89" t="str">
        <f t="shared" si="3"/>
        <v/>
      </c>
      <c r="X8" s="64">
        <f t="shared" si="4"/>
        <v>0</v>
      </c>
      <c r="Y8" s="53">
        <f t="shared" si="0"/>
        <v>0</v>
      </c>
      <c r="Z8" s="64">
        <f t="shared" si="5"/>
        <v>0</v>
      </c>
    </row>
    <row r="9" spans="1:31">
      <c r="A9" s="89" t="str">
        <f t="shared" si="1"/>
        <v/>
      </c>
      <c r="B9" s="89" t="str">
        <f t="shared" si="2"/>
        <v/>
      </c>
      <c r="S9" s="89" t="str">
        <f t="shared" si="3"/>
        <v/>
      </c>
      <c r="X9" s="64">
        <f t="shared" si="4"/>
        <v>0</v>
      </c>
      <c r="Y9" s="53">
        <f t="shared" si="0"/>
        <v>0</v>
      </c>
      <c r="Z9" s="64">
        <f t="shared" si="5"/>
        <v>0</v>
      </c>
    </row>
    <row r="10" spans="1:31">
      <c r="A10" s="89" t="str">
        <f t="shared" si="1"/>
        <v/>
      </c>
      <c r="B10" s="89" t="str">
        <f t="shared" si="2"/>
        <v/>
      </c>
      <c r="S10" s="89" t="str">
        <f t="shared" si="3"/>
        <v/>
      </c>
      <c r="X10" s="64">
        <f t="shared" si="4"/>
        <v>0</v>
      </c>
      <c r="Y10" s="53">
        <f t="shared" si="0"/>
        <v>0</v>
      </c>
      <c r="Z10" s="64">
        <f t="shared" si="5"/>
        <v>0</v>
      </c>
    </row>
    <row r="11" spans="1:31">
      <c r="A11" s="89" t="str">
        <f t="shared" si="1"/>
        <v/>
      </c>
      <c r="B11" s="89" t="str">
        <f t="shared" si="2"/>
        <v/>
      </c>
      <c r="S11" s="89" t="str">
        <f t="shared" si="3"/>
        <v/>
      </c>
      <c r="X11" s="64">
        <f t="shared" si="4"/>
        <v>0</v>
      </c>
      <c r="Y11" s="53">
        <f t="shared" si="0"/>
        <v>0</v>
      </c>
      <c r="Z11" s="64">
        <f t="shared" si="5"/>
        <v>0</v>
      </c>
    </row>
    <row r="12" spans="1:31">
      <c r="A12" s="89" t="str">
        <f t="shared" si="1"/>
        <v/>
      </c>
      <c r="B12" s="89" t="str">
        <f t="shared" si="2"/>
        <v/>
      </c>
      <c r="S12" s="89" t="str">
        <f t="shared" si="3"/>
        <v/>
      </c>
      <c r="X12" s="64">
        <f t="shared" si="4"/>
        <v>0</v>
      </c>
      <c r="Y12" s="53">
        <f t="shared" si="0"/>
        <v>0</v>
      </c>
      <c r="Z12" s="64">
        <f t="shared" si="5"/>
        <v>0</v>
      </c>
    </row>
    <row r="13" spans="1:31">
      <c r="A13" s="89" t="str">
        <f t="shared" si="1"/>
        <v/>
      </c>
      <c r="B13" s="89" t="str">
        <f t="shared" si="2"/>
        <v/>
      </c>
      <c r="S13" s="89" t="str">
        <f t="shared" si="3"/>
        <v/>
      </c>
      <c r="X13" s="64">
        <f t="shared" si="4"/>
        <v>0</v>
      </c>
      <c r="Y13" s="53">
        <f t="shared" si="0"/>
        <v>0</v>
      </c>
      <c r="Z13" s="64">
        <f t="shared" si="5"/>
        <v>0</v>
      </c>
    </row>
    <row r="14" spans="1:31">
      <c r="A14" s="89" t="str">
        <f t="shared" si="1"/>
        <v/>
      </c>
      <c r="B14" s="89" t="str">
        <f t="shared" si="2"/>
        <v/>
      </c>
      <c r="S14" s="89" t="str">
        <f t="shared" si="3"/>
        <v/>
      </c>
      <c r="X14" s="64">
        <f t="shared" si="4"/>
        <v>0</v>
      </c>
      <c r="Y14" s="53">
        <f t="shared" si="0"/>
        <v>0</v>
      </c>
      <c r="Z14" s="64">
        <f t="shared" si="5"/>
        <v>0</v>
      </c>
    </row>
    <row r="15" spans="1:31">
      <c r="A15" s="89" t="str">
        <f t="shared" si="1"/>
        <v/>
      </c>
      <c r="B15" s="89" t="str">
        <f t="shared" si="2"/>
        <v/>
      </c>
      <c r="S15" s="89" t="str">
        <f t="shared" si="3"/>
        <v/>
      </c>
      <c r="X15" s="64">
        <f t="shared" si="4"/>
        <v>0</v>
      </c>
      <c r="Y15" s="53">
        <f t="shared" si="0"/>
        <v>0</v>
      </c>
      <c r="Z15" s="64">
        <f t="shared" si="5"/>
        <v>0</v>
      </c>
    </row>
    <row r="16" spans="1:31">
      <c r="A16" s="89" t="str">
        <f t="shared" si="1"/>
        <v/>
      </c>
      <c r="B16" s="89" t="str">
        <f t="shared" si="2"/>
        <v/>
      </c>
      <c r="S16" s="89" t="str">
        <f t="shared" si="3"/>
        <v/>
      </c>
      <c r="X16" s="64">
        <f t="shared" si="4"/>
        <v>0</v>
      </c>
      <c r="Y16" s="53">
        <f t="shared" si="0"/>
        <v>0</v>
      </c>
      <c r="Z16" s="64">
        <f t="shared" si="5"/>
        <v>0</v>
      </c>
    </row>
    <row r="17" spans="1:26">
      <c r="A17" s="89" t="str">
        <f t="shared" si="1"/>
        <v/>
      </c>
      <c r="B17" s="89" t="str">
        <f t="shared" si="2"/>
        <v/>
      </c>
      <c r="S17" s="89" t="str">
        <f t="shared" si="3"/>
        <v/>
      </c>
      <c r="X17" s="64">
        <f t="shared" si="4"/>
        <v>0</v>
      </c>
      <c r="Y17" s="53">
        <f t="shared" si="0"/>
        <v>0</v>
      </c>
      <c r="Z17" s="64">
        <f t="shared" si="5"/>
        <v>0</v>
      </c>
    </row>
    <row r="18" spans="1:26">
      <c r="A18" s="89" t="str">
        <f t="shared" si="1"/>
        <v/>
      </c>
      <c r="B18" s="89" t="str">
        <f t="shared" si="2"/>
        <v/>
      </c>
      <c r="S18" s="89" t="str">
        <f t="shared" si="3"/>
        <v/>
      </c>
      <c r="X18" s="64">
        <f t="shared" si="4"/>
        <v>0</v>
      </c>
      <c r="Y18" s="53">
        <f t="shared" si="0"/>
        <v>0</v>
      </c>
      <c r="Z18" s="64">
        <f t="shared" si="5"/>
        <v>0</v>
      </c>
    </row>
    <row r="19" spans="1:26">
      <c r="A19" s="89" t="str">
        <f t="shared" si="1"/>
        <v/>
      </c>
      <c r="B19" s="89" t="str">
        <f t="shared" si="2"/>
        <v/>
      </c>
      <c r="S19" s="89" t="str">
        <f t="shared" si="3"/>
        <v/>
      </c>
      <c r="X19" s="64">
        <f t="shared" si="4"/>
        <v>0</v>
      </c>
      <c r="Y19" s="53">
        <f t="shared" si="0"/>
        <v>0</v>
      </c>
      <c r="Z19" s="64">
        <f t="shared" si="5"/>
        <v>0</v>
      </c>
    </row>
    <row r="20" spans="1:26">
      <c r="A20" s="89" t="str">
        <f t="shared" si="1"/>
        <v/>
      </c>
      <c r="B20" s="89" t="str">
        <f t="shared" si="2"/>
        <v/>
      </c>
      <c r="S20" s="89" t="str">
        <f t="shared" si="3"/>
        <v/>
      </c>
      <c r="X20" s="64">
        <f t="shared" si="4"/>
        <v>0</v>
      </c>
      <c r="Y20" s="53">
        <f t="shared" si="0"/>
        <v>0</v>
      </c>
      <c r="Z20" s="64">
        <f t="shared" si="5"/>
        <v>0</v>
      </c>
    </row>
    <row r="21" spans="1:26">
      <c r="A21" s="89" t="str">
        <f t="shared" si="1"/>
        <v/>
      </c>
      <c r="B21" s="89" t="str">
        <f t="shared" si="2"/>
        <v/>
      </c>
      <c r="S21" s="89" t="str">
        <f t="shared" si="3"/>
        <v/>
      </c>
      <c r="X21" s="64">
        <f t="shared" si="4"/>
        <v>0</v>
      </c>
      <c r="Y21" s="53">
        <f t="shared" si="0"/>
        <v>0</v>
      </c>
      <c r="Z21" s="64">
        <f t="shared" si="5"/>
        <v>0</v>
      </c>
    </row>
    <row r="22" spans="1:26">
      <c r="A22" s="89" t="str">
        <f t="shared" si="1"/>
        <v/>
      </c>
      <c r="B22" s="89" t="str">
        <f t="shared" si="2"/>
        <v/>
      </c>
      <c r="S22" s="89" t="str">
        <f t="shared" si="3"/>
        <v/>
      </c>
      <c r="X22" s="64">
        <f t="shared" si="4"/>
        <v>0</v>
      </c>
      <c r="Y22" s="53">
        <f t="shared" si="0"/>
        <v>0</v>
      </c>
      <c r="Z22" s="64">
        <f t="shared" si="5"/>
        <v>0</v>
      </c>
    </row>
    <row r="23" spans="1:26">
      <c r="A23" s="89" t="str">
        <f t="shared" si="1"/>
        <v/>
      </c>
      <c r="B23" s="89" t="str">
        <f t="shared" si="2"/>
        <v/>
      </c>
      <c r="S23" s="89" t="str">
        <f t="shared" si="3"/>
        <v/>
      </c>
      <c r="X23" s="64">
        <f t="shared" si="4"/>
        <v>0</v>
      </c>
      <c r="Y23" s="53">
        <f t="shared" si="0"/>
        <v>0</v>
      </c>
      <c r="Z23" s="64">
        <f t="shared" si="5"/>
        <v>0</v>
      </c>
    </row>
    <row r="24" spans="1:26">
      <c r="A24" s="89" t="str">
        <f t="shared" si="1"/>
        <v/>
      </c>
      <c r="B24" s="89" t="str">
        <f t="shared" si="2"/>
        <v/>
      </c>
      <c r="S24" s="89" t="str">
        <f t="shared" si="3"/>
        <v/>
      </c>
      <c r="X24" s="64">
        <f t="shared" si="4"/>
        <v>0</v>
      </c>
      <c r="Y24" s="53">
        <f t="shared" si="0"/>
        <v>0</v>
      </c>
      <c r="Z24" s="64">
        <f t="shared" si="5"/>
        <v>0</v>
      </c>
    </row>
    <row r="25" spans="1:26">
      <c r="A25" s="89" t="str">
        <f t="shared" si="1"/>
        <v/>
      </c>
      <c r="B25" s="89" t="str">
        <f t="shared" si="2"/>
        <v/>
      </c>
      <c r="S25" s="89" t="str">
        <f t="shared" si="3"/>
        <v/>
      </c>
      <c r="X25" s="64">
        <f t="shared" si="4"/>
        <v>0</v>
      </c>
      <c r="Y25" s="53">
        <f t="shared" si="0"/>
        <v>0</v>
      </c>
      <c r="Z25" s="64">
        <f t="shared" si="5"/>
        <v>0</v>
      </c>
    </row>
    <row r="26" spans="1:26">
      <c r="A26" s="89" t="str">
        <f t="shared" si="1"/>
        <v/>
      </c>
      <c r="B26" s="89" t="str">
        <f t="shared" si="2"/>
        <v/>
      </c>
      <c r="S26" s="89" t="str">
        <f t="shared" si="3"/>
        <v/>
      </c>
      <c r="X26" s="64">
        <f t="shared" si="4"/>
        <v>0</v>
      </c>
      <c r="Y26" s="53">
        <f t="shared" si="0"/>
        <v>0</v>
      </c>
      <c r="Z26" s="64">
        <f t="shared" si="5"/>
        <v>0</v>
      </c>
    </row>
    <row r="27" spans="1:26">
      <c r="A27" s="89" t="str">
        <f t="shared" si="1"/>
        <v/>
      </c>
      <c r="B27" s="89" t="str">
        <f t="shared" si="2"/>
        <v/>
      </c>
      <c r="S27" s="89" t="str">
        <f t="shared" si="3"/>
        <v/>
      </c>
      <c r="X27" s="64">
        <f t="shared" si="4"/>
        <v>0</v>
      </c>
      <c r="Y27" s="53">
        <f t="shared" si="0"/>
        <v>0</v>
      </c>
      <c r="Z27" s="64">
        <f t="shared" si="5"/>
        <v>0</v>
      </c>
    </row>
    <row r="28" spans="1:26">
      <c r="A28" s="89" t="str">
        <f t="shared" si="1"/>
        <v/>
      </c>
      <c r="B28" s="89" t="str">
        <f t="shared" si="2"/>
        <v/>
      </c>
      <c r="S28" s="89" t="str">
        <f t="shared" si="3"/>
        <v/>
      </c>
      <c r="X28" s="64">
        <f t="shared" si="4"/>
        <v>0</v>
      </c>
      <c r="Y28" s="53">
        <f t="shared" si="0"/>
        <v>0</v>
      </c>
      <c r="Z28" s="64">
        <f t="shared" si="5"/>
        <v>0</v>
      </c>
    </row>
    <row r="29" spans="1:26">
      <c r="A29" s="89" t="str">
        <f t="shared" si="1"/>
        <v/>
      </c>
      <c r="B29" s="89" t="str">
        <f t="shared" si="2"/>
        <v/>
      </c>
      <c r="S29" s="89" t="str">
        <f t="shared" si="3"/>
        <v/>
      </c>
      <c r="X29" s="64">
        <f t="shared" si="4"/>
        <v>0</v>
      </c>
      <c r="Y29" s="53">
        <f t="shared" si="0"/>
        <v>0</v>
      </c>
      <c r="Z29" s="64">
        <f t="shared" si="5"/>
        <v>0</v>
      </c>
    </row>
    <row r="30" spans="1:26">
      <c r="A30" s="89" t="str">
        <f t="shared" si="1"/>
        <v/>
      </c>
      <c r="B30" s="89" t="str">
        <f t="shared" si="2"/>
        <v/>
      </c>
      <c r="S30" s="89" t="str">
        <f t="shared" si="3"/>
        <v/>
      </c>
      <c r="X30" s="64">
        <f t="shared" si="4"/>
        <v>0</v>
      </c>
      <c r="Y30" s="53">
        <f t="shared" si="0"/>
        <v>0</v>
      </c>
      <c r="Z30" s="64">
        <f t="shared" si="5"/>
        <v>0</v>
      </c>
    </row>
    <row r="31" spans="1:26">
      <c r="A31" s="89" t="str">
        <f t="shared" si="1"/>
        <v/>
      </c>
      <c r="B31" s="89" t="str">
        <f t="shared" si="2"/>
        <v/>
      </c>
      <c r="S31" s="89" t="str">
        <f t="shared" si="3"/>
        <v/>
      </c>
      <c r="X31" s="64">
        <f t="shared" si="4"/>
        <v>0</v>
      </c>
      <c r="Y31" s="53">
        <f t="shared" si="0"/>
        <v>0</v>
      </c>
      <c r="Z31" s="64">
        <f t="shared" si="5"/>
        <v>0</v>
      </c>
    </row>
    <row r="32" spans="1:26">
      <c r="A32" s="89" t="str">
        <f t="shared" si="1"/>
        <v/>
      </c>
      <c r="B32" s="89" t="str">
        <f t="shared" si="2"/>
        <v/>
      </c>
      <c r="S32" s="89" t="str">
        <f t="shared" si="3"/>
        <v/>
      </c>
      <c r="X32" s="64">
        <f t="shared" si="4"/>
        <v>0</v>
      </c>
      <c r="Y32" s="53">
        <f t="shared" si="0"/>
        <v>0</v>
      </c>
      <c r="Z32" s="64">
        <f t="shared" si="5"/>
        <v>0</v>
      </c>
    </row>
    <row r="33" spans="1:26">
      <c r="A33" s="89" t="str">
        <f t="shared" si="1"/>
        <v/>
      </c>
      <c r="B33" s="89" t="str">
        <f t="shared" si="2"/>
        <v/>
      </c>
      <c r="S33" s="89" t="str">
        <f t="shared" si="3"/>
        <v/>
      </c>
      <c r="X33" s="64">
        <f t="shared" si="4"/>
        <v>0</v>
      </c>
      <c r="Y33" s="53">
        <f t="shared" si="0"/>
        <v>0</v>
      </c>
      <c r="Z33" s="64">
        <f t="shared" si="5"/>
        <v>0</v>
      </c>
    </row>
    <row r="34" spans="1:26">
      <c r="A34" s="89" t="str">
        <f t="shared" si="1"/>
        <v/>
      </c>
      <c r="B34" s="89" t="str">
        <f t="shared" si="2"/>
        <v/>
      </c>
      <c r="S34" s="89" t="str">
        <f t="shared" si="3"/>
        <v/>
      </c>
      <c r="X34" s="64">
        <f t="shared" si="4"/>
        <v>0</v>
      </c>
      <c r="Y34" s="53">
        <f t="shared" si="0"/>
        <v>0</v>
      </c>
      <c r="Z34" s="64">
        <f t="shared" si="5"/>
        <v>0</v>
      </c>
    </row>
    <row r="35" spans="1:26">
      <c r="A35" s="89" t="str">
        <f t="shared" si="1"/>
        <v/>
      </c>
      <c r="B35" s="89" t="str">
        <f t="shared" si="2"/>
        <v/>
      </c>
      <c r="S35" s="89" t="str">
        <f t="shared" si="3"/>
        <v/>
      </c>
      <c r="X35" s="64">
        <f t="shared" si="4"/>
        <v>0</v>
      </c>
      <c r="Y35" s="53">
        <f t="shared" si="0"/>
        <v>0</v>
      </c>
      <c r="Z35" s="64">
        <f t="shared" si="5"/>
        <v>0</v>
      </c>
    </row>
    <row r="36" spans="1:26">
      <c r="A36" s="89" t="str">
        <f t="shared" si="1"/>
        <v/>
      </c>
      <c r="B36" s="89" t="str">
        <f t="shared" si="2"/>
        <v/>
      </c>
      <c r="S36" s="89" t="str">
        <f t="shared" si="3"/>
        <v/>
      </c>
      <c r="X36" s="64">
        <f t="shared" si="4"/>
        <v>0</v>
      </c>
      <c r="Y36" s="53">
        <f t="shared" si="0"/>
        <v>0</v>
      </c>
      <c r="Z36" s="64">
        <f t="shared" si="5"/>
        <v>0</v>
      </c>
    </row>
    <row r="37" spans="1:26">
      <c r="A37" s="89" t="str">
        <f t="shared" si="1"/>
        <v/>
      </c>
      <c r="B37" s="89" t="str">
        <f t="shared" si="2"/>
        <v/>
      </c>
      <c r="S37" s="89" t="str">
        <f t="shared" si="3"/>
        <v/>
      </c>
      <c r="X37" s="64">
        <f t="shared" si="4"/>
        <v>0</v>
      </c>
      <c r="Y37" s="53">
        <f t="shared" si="0"/>
        <v>0</v>
      </c>
      <c r="Z37" s="64">
        <f t="shared" si="5"/>
        <v>0</v>
      </c>
    </row>
    <row r="38" spans="1:26">
      <c r="A38" s="89" t="str">
        <f t="shared" si="1"/>
        <v/>
      </c>
      <c r="B38" s="89" t="str">
        <f t="shared" si="2"/>
        <v/>
      </c>
      <c r="S38" s="89" t="str">
        <f t="shared" si="3"/>
        <v/>
      </c>
      <c r="X38" s="64">
        <f t="shared" si="4"/>
        <v>0</v>
      </c>
      <c r="Y38" s="53">
        <f t="shared" si="0"/>
        <v>0</v>
      </c>
      <c r="Z38" s="64">
        <f t="shared" si="5"/>
        <v>0</v>
      </c>
    </row>
    <row r="39" spans="1:26">
      <c r="A39" s="89" t="str">
        <f t="shared" si="1"/>
        <v/>
      </c>
      <c r="B39" s="89" t="str">
        <f t="shared" si="2"/>
        <v/>
      </c>
      <c r="S39" s="89" t="str">
        <f t="shared" si="3"/>
        <v/>
      </c>
      <c r="X39" s="64">
        <f t="shared" si="4"/>
        <v>0</v>
      </c>
      <c r="Y39" s="53">
        <f t="shared" si="0"/>
        <v>0</v>
      </c>
      <c r="Z39" s="64">
        <f t="shared" si="5"/>
        <v>0</v>
      </c>
    </row>
    <row r="40" spans="1:26">
      <c r="A40" s="89" t="str">
        <f t="shared" si="1"/>
        <v/>
      </c>
      <c r="B40" s="89" t="str">
        <f t="shared" si="2"/>
        <v/>
      </c>
      <c r="S40" s="89" t="str">
        <f t="shared" si="3"/>
        <v/>
      </c>
      <c r="X40" s="64">
        <f t="shared" si="4"/>
        <v>0</v>
      </c>
      <c r="Y40" s="53">
        <f t="shared" si="0"/>
        <v>0</v>
      </c>
      <c r="Z40" s="64">
        <f t="shared" si="5"/>
        <v>0</v>
      </c>
    </row>
    <row r="41" spans="1:26">
      <c r="A41" s="89" t="str">
        <f t="shared" si="1"/>
        <v/>
      </c>
      <c r="B41" s="89" t="str">
        <f t="shared" si="2"/>
        <v/>
      </c>
      <c r="S41" s="89" t="str">
        <f t="shared" si="3"/>
        <v/>
      </c>
      <c r="X41" s="64">
        <f t="shared" si="4"/>
        <v>0</v>
      </c>
      <c r="Y41" s="53">
        <f t="shared" si="0"/>
        <v>0</v>
      </c>
      <c r="Z41" s="64">
        <f t="shared" si="5"/>
        <v>0</v>
      </c>
    </row>
    <row r="42" spans="1:26">
      <c r="A42" s="89" t="str">
        <f t="shared" si="1"/>
        <v/>
      </c>
      <c r="B42" s="89" t="str">
        <f t="shared" si="2"/>
        <v/>
      </c>
      <c r="S42" s="89" t="str">
        <f t="shared" si="3"/>
        <v/>
      </c>
      <c r="X42" s="64">
        <f t="shared" si="4"/>
        <v>0</v>
      </c>
      <c r="Y42" s="53">
        <f t="shared" si="0"/>
        <v>0</v>
      </c>
      <c r="Z42" s="64">
        <f t="shared" si="5"/>
        <v>0</v>
      </c>
    </row>
    <row r="43" spans="1:26">
      <c r="A43" s="89" t="str">
        <f t="shared" si="1"/>
        <v/>
      </c>
      <c r="B43" s="89" t="str">
        <f t="shared" si="2"/>
        <v/>
      </c>
      <c r="S43" s="89" t="str">
        <f t="shared" si="3"/>
        <v/>
      </c>
      <c r="X43" s="64">
        <f t="shared" si="4"/>
        <v>0</v>
      </c>
      <c r="Y43" s="53">
        <f t="shared" si="0"/>
        <v>0</v>
      </c>
      <c r="Z43" s="64">
        <f t="shared" si="5"/>
        <v>0</v>
      </c>
    </row>
    <row r="44" spans="1:26">
      <c r="A44" s="89" t="str">
        <f t="shared" si="1"/>
        <v/>
      </c>
      <c r="B44" s="89" t="str">
        <f t="shared" si="2"/>
        <v/>
      </c>
      <c r="S44" s="89" t="str">
        <f t="shared" si="3"/>
        <v/>
      </c>
      <c r="X44" s="64">
        <f t="shared" si="4"/>
        <v>0</v>
      </c>
      <c r="Y44" s="53">
        <f t="shared" si="0"/>
        <v>0</v>
      </c>
      <c r="Z44" s="64">
        <f t="shared" si="5"/>
        <v>0</v>
      </c>
    </row>
    <row r="45" spans="1:26">
      <c r="A45" s="89" t="str">
        <f t="shared" si="1"/>
        <v/>
      </c>
      <c r="B45" s="89" t="str">
        <f t="shared" si="2"/>
        <v/>
      </c>
      <c r="S45" s="89" t="str">
        <f t="shared" si="3"/>
        <v/>
      </c>
      <c r="X45" s="64">
        <f t="shared" si="4"/>
        <v>0</v>
      </c>
      <c r="Y45" s="53">
        <f t="shared" si="0"/>
        <v>0</v>
      </c>
      <c r="Z45" s="64">
        <f t="shared" si="5"/>
        <v>0</v>
      </c>
    </row>
    <row r="46" spans="1:26">
      <c r="A46" s="89" t="str">
        <f t="shared" si="1"/>
        <v/>
      </c>
      <c r="B46" s="89" t="str">
        <f t="shared" si="2"/>
        <v/>
      </c>
      <c r="S46" s="89" t="str">
        <f t="shared" si="3"/>
        <v/>
      </c>
      <c r="X46" s="64">
        <f t="shared" si="4"/>
        <v>0</v>
      </c>
      <c r="Y46" s="53">
        <f t="shared" si="0"/>
        <v>0</v>
      </c>
      <c r="Z46" s="64">
        <f t="shared" si="5"/>
        <v>0</v>
      </c>
    </row>
    <row r="47" spans="1:26">
      <c r="A47" s="89" t="str">
        <f t="shared" si="1"/>
        <v/>
      </c>
      <c r="B47" s="89" t="str">
        <f t="shared" si="2"/>
        <v/>
      </c>
      <c r="S47" s="89" t="str">
        <f t="shared" si="3"/>
        <v/>
      </c>
      <c r="X47" s="64">
        <f t="shared" si="4"/>
        <v>0</v>
      </c>
      <c r="Y47" s="53">
        <f t="shared" si="0"/>
        <v>0</v>
      </c>
      <c r="Z47" s="64">
        <f t="shared" si="5"/>
        <v>0</v>
      </c>
    </row>
    <row r="48" spans="1:26">
      <c r="A48" s="89" t="str">
        <f t="shared" si="1"/>
        <v/>
      </c>
      <c r="B48" s="89" t="str">
        <f t="shared" si="2"/>
        <v/>
      </c>
      <c r="S48" s="89" t="str">
        <f t="shared" si="3"/>
        <v/>
      </c>
      <c r="X48" s="64">
        <f t="shared" si="4"/>
        <v>0</v>
      </c>
      <c r="Y48" s="53">
        <f t="shared" si="0"/>
        <v>0</v>
      </c>
      <c r="Z48" s="64">
        <f t="shared" si="5"/>
        <v>0</v>
      </c>
    </row>
    <row r="49" spans="1:26">
      <c r="A49" s="89" t="str">
        <f t="shared" si="1"/>
        <v/>
      </c>
      <c r="B49" s="89" t="str">
        <f t="shared" si="2"/>
        <v/>
      </c>
      <c r="S49" s="89" t="str">
        <f t="shared" si="3"/>
        <v/>
      </c>
      <c r="X49" s="64">
        <f t="shared" si="4"/>
        <v>0</v>
      </c>
      <c r="Y49" s="53">
        <f t="shared" si="0"/>
        <v>0</v>
      </c>
      <c r="Z49" s="64">
        <f t="shared" si="5"/>
        <v>0</v>
      </c>
    </row>
    <row r="50" spans="1:26">
      <c r="A50" s="89" t="str">
        <f t="shared" si="1"/>
        <v/>
      </c>
      <c r="B50" s="89" t="str">
        <f t="shared" si="2"/>
        <v/>
      </c>
      <c r="S50" s="89" t="str">
        <f t="shared" si="3"/>
        <v/>
      </c>
      <c r="X50" s="64">
        <f t="shared" si="4"/>
        <v>0</v>
      </c>
      <c r="Y50" s="53">
        <f t="shared" si="0"/>
        <v>0</v>
      </c>
      <c r="Z50" s="64">
        <f t="shared" si="5"/>
        <v>0</v>
      </c>
    </row>
    <row r="51" spans="1:26">
      <c r="A51" s="89" t="str">
        <f t="shared" si="1"/>
        <v/>
      </c>
      <c r="B51" s="89" t="str">
        <f t="shared" si="2"/>
        <v/>
      </c>
      <c r="S51" s="89" t="str">
        <f t="shared" si="3"/>
        <v/>
      </c>
      <c r="X51" s="64">
        <f t="shared" si="4"/>
        <v>0</v>
      </c>
      <c r="Y51" s="53">
        <f t="shared" si="0"/>
        <v>0</v>
      </c>
      <c r="Z51" s="64">
        <f t="shared" si="5"/>
        <v>0</v>
      </c>
    </row>
    <row r="52" spans="1:26">
      <c r="A52" s="89" t="str">
        <f t="shared" si="1"/>
        <v/>
      </c>
      <c r="B52" s="89" t="str">
        <f t="shared" si="2"/>
        <v/>
      </c>
      <c r="S52" s="89" t="str">
        <f t="shared" si="3"/>
        <v/>
      </c>
      <c r="X52" s="64">
        <f t="shared" si="4"/>
        <v>0</v>
      </c>
      <c r="Y52" s="53">
        <f t="shared" si="0"/>
        <v>0</v>
      </c>
      <c r="Z52" s="64">
        <f t="shared" si="5"/>
        <v>0</v>
      </c>
    </row>
    <row r="53" spans="1:26">
      <c r="A53" s="89" t="str">
        <f t="shared" si="1"/>
        <v/>
      </c>
      <c r="B53" s="89" t="str">
        <f t="shared" si="2"/>
        <v/>
      </c>
      <c r="S53" s="89" t="str">
        <f t="shared" si="3"/>
        <v/>
      </c>
      <c r="X53" s="64">
        <f t="shared" si="4"/>
        <v>0</v>
      </c>
      <c r="Y53" s="53">
        <f t="shared" si="0"/>
        <v>0</v>
      </c>
      <c r="Z53" s="64">
        <f t="shared" si="5"/>
        <v>0</v>
      </c>
    </row>
    <row r="54" spans="1:26">
      <c r="A54" s="89" t="str">
        <f t="shared" si="1"/>
        <v/>
      </c>
      <c r="B54" s="89" t="str">
        <f t="shared" si="2"/>
        <v/>
      </c>
      <c r="S54" s="89" t="str">
        <f t="shared" si="3"/>
        <v/>
      </c>
      <c r="X54" s="64">
        <f t="shared" si="4"/>
        <v>0</v>
      </c>
      <c r="Y54" s="53">
        <f t="shared" si="0"/>
        <v>0</v>
      </c>
      <c r="Z54" s="64">
        <f t="shared" si="5"/>
        <v>0</v>
      </c>
    </row>
    <row r="55" spans="1:26">
      <c r="A55" s="89" t="str">
        <f t="shared" si="1"/>
        <v/>
      </c>
      <c r="B55" s="89" t="str">
        <f t="shared" si="2"/>
        <v/>
      </c>
      <c r="S55" s="89" t="str">
        <f t="shared" si="3"/>
        <v/>
      </c>
      <c r="X55" s="64">
        <f t="shared" si="4"/>
        <v>0</v>
      </c>
      <c r="Y55" s="53">
        <f t="shared" si="0"/>
        <v>0</v>
      </c>
      <c r="Z55" s="64">
        <f t="shared" si="5"/>
        <v>0</v>
      </c>
    </row>
    <row r="56" spans="1:26">
      <c r="A56" s="89" t="str">
        <f t="shared" si="1"/>
        <v/>
      </c>
      <c r="B56" s="89" t="str">
        <f t="shared" si="2"/>
        <v/>
      </c>
      <c r="S56" s="89" t="str">
        <f t="shared" si="3"/>
        <v/>
      </c>
      <c r="X56" s="64">
        <f t="shared" si="4"/>
        <v>0</v>
      </c>
      <c r="Y56" s="53">
        <f t="shared" si="0"/>
        <v>0</v>
      </c>
      <c r="Z56" s="64">
        <f t="shared" si="5"/>
        <v>0</v>
      </c>
    </row>
    <row r="57" spans="1:26">
      <c r="A57" s="89" t="str">
        <f t="shared" si="1"/>
        <v/>
      </c>
      <c r="B57" s="89" t="str">
        <f t="shared" si="2"/>
        <v/>
      </c>
      <c r="S57" s="89" t="str">
        <f t="shared" si="3"/>
        <v/>
      </c>
      <c r="X57" s="64">
        <f t="shared" si="4"/>
        <v>0</v>
      </c>
      <c r="Y57" s="53">
        <f t="shared" si="0"/>
        <v>0</v>
      </c>
      <c r="Z57" s="64">
        <f t="shared" si="5"/>
        <v>0</v>
      </c>
    </row>
    <row r="58" spans="1:26">
      <c r="A58" s="89" t="str">
        <f t="shared" si="1"/>
        <v/>
      </c>
      <c r="B58" s="89" t="str">
        <f t="shared" si="2"/>
        <v/>
      </c>
      <c r="S58" s="89" t="str">
        <f t="shared" si="3"/>
        <v/>
      </c>
      <c r="X58" s="64">
        <f t="shared" si="4"/>
        <v>0</v>
      </c>
      <c r="Y58" s="53">
        <f t="shared" si="0"/>
        <v>0</v>
      </c>
      <c r="Z58" s="64">
        <f t="shared" si="5"/>
        <v>0</v>
      </c>
    </row>
    <row r="59" spans="1:26">
      <c r="A59" s="89" t="str">
        <f t="shared" si="1"/>
        <v/>
      </c>
      <c r="B59" s="89" t="str">
        <f t="shared" si="2"/>
        <v/>
      </c>
      <c r="S59" s="89" t="str">
        <f t="shared" si="3"/>
        <v/>
      </c>
      <c r="X59" s="64">
        <f t="shared" si="4"/>
        <v>0</v>
      </c>
      <c r="Y59" s="53">
        <f t="shared" si="0"/>
        <v>0</v>
      </c>
      <c r="Z59" s="64">
        <f t="shared" si="5"/>
        <v>0</v>
      </c>
    </row>
    <row r="60" spans="1:26">
      <c r="A60" s="89" t="str">
        <f t="shared" si="1"/>
        <v/>
      </c>
      <c r="B60" s="89" t="str">
        <f t="shared" si="2"/>
        <v/>
      </c>
      <c r="S60" s="89" t="str">
        <f t="shared" si="3"/>
        <v/>
      </c>
      <c r="X60" s="64">
        <f t="shared" si="4"/>
        <v>0</v>
      </c>
      <c r="Y60" s="53">
        <f t="shared" si="0"/>
        <v>0</v>
      </c>
      <c r="Z60" s="64">
        <f t="shared" si="5"/>
        <v>0</v>
      </c>
    </row>
    <row r="61" spans="1:26">
      <c r="A61" s="89" t="str">
        <f t="shared" si="1"/>
        <v/>
      </c>
      <c r="B61" s="89" t="str">
        <f t="shared" si="2"/>
        <v/>
      </c>
      <c r="S61" s="89" t="str">
        <f t="shared" si="3"/>
        <v/>
      </c>
      <c r="X61" s="64">
        <f t="shared" si="4"/>
        <v>0</v>
      </c>
      <c r="Y61" s="53">
        <f t="shared" si="0"/>
        <v>0</v>
      </c>
      <c r="Z61" s="64">
        <f t="shared" si="5"/>
        <v>0</v>
      </c>
    </row>
    <row r="62" spans="1:26">
      <c r="A62" s="89" t="str">
        <f t="shared" si="1"/>
        <v/>
      </c>
      <c r="B62" s="89" t="str">
        <f t="shared" si="2"/>
        <v/>
      </c>
      <c r="S62" s="89" t="str">
        <f t="shared" si="3"/>
        <v/>
      </c>
      <c r="X62" s="64">
        <f t="shared" si="4"/>
        <v>0</v>
      </c>
      <c r="Y62" s="53">
        <f t="shared" si="0"/>
        <v>0</v>
      </c>
      <c r="Z62" s="64">
        <f t="shared" si="5"/>
        <v>0</v>
      </c>
    </row>
    <row r="63" spans="1:26">
      <c r="A63" s="89" t="str">
        <f t="shared" si="1"/>
        <v/>
      </c>
      <c r="B63" s="89" t="str">
        <f t="shared" si="2"/>
        <v/>
      </c>
      <c r="S63" s="89" t="str">
        <f t="shared" si="3"/>
        <v/>
      </c>
      <c r="X63" s="64">
        <f t="shared" si="4"/>
        <v>0</v>
      </c>
      <c r="Y63" s="53">
        <f t="shared" si="0"/>
        <v>0</v>
      </c>
      <c r="Z63" s="64">
        <f t="shared" si="5"/>
        <v>0</v>
      </c>
    </row>
    <row r="64" spans="1:26">
      <c r="A64" s="89" t="str">
        <f t="shared" si="1"/>
        <v/>
      </c>
      <c r="B64" s="89" t="str">
        <f t="shared" si="2"/>
        <v/>
      </c>
      <c r="S64" s="89" t="str">
        <f t="shared" si="3"/>
        <v/>
      </c>
      <c r="X64" s="64">
        <f t="shared" si="4"/>
        <v>0</v>
      </c>
      <c r="Y64" s="53">
        <f t="shared" si="0"/>
        <v>0</v>
      </c>
      <c r="Z64" s="64">
        <f t="shared" si="5"/>
        <v>0</v>
      </c>
    </row>
    <row r="65" spans="1:26">
      <c r="A65" s="89" t="str">
        <f t="shared" si="1"/>
        <v/>
      </c>
      <c r="B65" s="89" t="str">
        <f t="shared" si="2"/>
        <v/>
      </c>
      <c r="S65" s="89" t="str">
        <f t="shared" si="3"/>
        <v/>
      </c>
      <c r="X65" s="64">
        <f t="shared" si="4"/>
        <v>0</v>
      </c>
      <c r="Y65" s="53">
        <f t="shared" si="0"/>
        <v>0</v>
      </c>
      <c r="Z65" s="64">
        <f t="shared" si="5"/>
        <v>0</v>
      </c>
    </row>
    <row r="66" spans="1:26">
      <c r="A66" s="89" t="str">
        <f t="shared" si="1"/>
        <v/>
      </c>
      <c r="B66" s="89" t="str">
        <f t="shared" si="2"/>
        <v/>
      </c>
      <c r="S66" s="89" t="str">
        <f t="shared" si="3"/>
        <v/>
      </c>
      <c r="X66" s="64">
        <f t="shared" si="4"/>
        <v>0</v>
      </c>
      <c r="Y66" s="53">
        <f t="shared" si="0"/>
        <v>0</v>
      </c>
      <c r="Z66" s="64">
        <f t="shared" si="5"/>
        <v>0</v>
      </c>
    </row>
    <row r="67" spans="1:26">
      <c r="A67" s="89" t="str">
        <f t="shared" ref="A67:A130" si="6">IF(G67&amp;Q67&lt;&gt;"",G67&amp;Q67,"")</f>
        <v/>
      </c>
      <c r="B67" s="89" t="str">
        <f t="shared" ref="B67:B130" si="7">IF(C67&lt;&gt;"",LEFT(C67,9),"")</f>
        <v/>
      </c>
      <c r="S67" s="89" t="str">
        <f t="shared" ref="S67:S130" si="8">IF(H67&lt;&gt;"",H67,"")</f>
        <v/>
      </c>
      <c r="X67" s="64">
        <f t="shared" ref="X67:X130" si="9">IFERROR(VALUE(MID($C67,1,2)),0)</f>
        <v>0</v>
      </c>
      <c r="Y67" s="53">
        <f t="shared" ref="Y67:Y130" si="10">IFERROR(VALUE(MID($C67,4,3)),0)</f>
        <v>0</v>
      </c>
      <c r="Z67" s="64">
        <f t="shared" ref="Z67:Z130" si="11">VALUE(RIGHT("00"&amp;X67,2)&amp;RIGHT("000"&amp;Y67,3))</f>
        <v>0</v>
      </c>
    </row>
    <row r="68" spans="1:26">
      <c r="A68" s="89" t="str">
        <f t="shared" si="6"/>
        <v/>
      </c>
      <c r="B68" s="89" t="str">
        <f t="shared" si="7"/>
        <v/>
      </c>
      <c r="S68" s="89" t="str">
        <f t="shared" si="8"/>
        <v/>
      </c>
      <c r="X68" s="64">
        <f t="shared" si="9"/>
        <v>0</v>
      </c>
      <c r="Y68" s="53">
        <f t="shared" si="10"/>
        <v>0</v>
      </c>
      <c r="Z68" s="64">
        <f t="shared" si="11"/>
        <v>0</v>
      </c>
    </row>
    <row r="69" spans="1:26">
      <c r="A69" s="89" t="str">
        <f t="shared" si="6"/>
        <v/>
      </c>
      <c r="B69" s="89" t="str">
        <f t="shared" si="7"/>
        <v/>
      </c>
      <c r="S69" s="89" t="str">
        <f t="shared" si="8"/>
        <v/>
      </c>
      <c r="X69" s="64">
        <f t="shared" si="9"/>
        <v>0</v>
      </c>
      <c r="Y69" s="53">
        <f t="shared" si="10"/>
        <v>0</v>
      </c>
      <c r="Z69" s="64">
        <f t="shared" si="11"/>
        <v>0</v>
      </c>
    </row>
    <row r="70" spans="1:26">
      <c r="A70" s="89" t="str">
        <f t="shared" si="6"/>
        <v/>
      </c>
      <c r="B70" s="89" t="str">
        <f t="shared" si="7"/>
        <v/>
      </c>
      <c r="S70" s="89" t="str">
        <f t="shared" si="8"/>
        <v/>
      </c>
      <c r="X70" s="64">
        <f t="shared" si="9"/>
        <v>0</v>
      </c>
      <c r="Y70" s="53">
        <f t="shared" si="10"/>
        <v>0</v>
      </c>
      <c r="Z70" s="64">
        <f t="shared" si="11"/>
        <v>0</v>
      </c>
    </row>
    <row r="71" spans="1:26">
      <c r="A71" s="89" t="str">
        <f t="shared" si="6"/>
        <v/>
      </c>
      <c r="B71" s="89" t="str">
        <f t="shared" si="7"/>
        <v/>
      </c>
      <c r="S71" s="89" t="str">
        <f t="shared" si="8"/>
        <v/>
      </c>
      <c r="X71" s="64">
        <f t="shared" si="9"/>
        <v>0</v>
      </c>
      <c r="Y71" s="53">
        <f t="shared" si="10"/>
        <v>0</v>
      </c>
      <c r="Z71" s="64">
        <f t="shared" si="11"/>
        <v>0</v>
      </c>
    </row>
    <row r="72" spans="1:26">
      <c r="A72" s="89" t="str">
        <f t="shared" si="6"/>
        <v/>
      </c>
      <c r="B72" s="89" t="str">
        <f t="shared" si="7"/>
        <v/>
      </c>
      <c r="S72" s="89" t="str">
        <f t="shared" si="8"/>
        <v/>
      </c>
      <c r="X72" s="64">
        <f t="shared" si="9"/>
        <v>0</v>
      </c>
      <c r="Y72" s="53">
        <f t="shared" si="10"/>
        <v>0</v>
      </c>
      <c r="Z72" s="64">
        <f t="shared" si="11"/>
        <v>0</v>
      </c>
    </row>
    <row r="73" spans="1:26">
      <c r="A73" s="89" t="str">
        <f t="shared" si="6"/>
        <v/>
      </c>
      <c r="B73" s="89" t="str">
        <f t="shared" si="7"/>
        <v/>
      </c>
      <c r="S73" s="89" t="str">
        <f t="shared" si="8"/>
        <v/>
      </c>
      <c r="X73" s="64">
        <f t="shared" si="9"/>
        <v>0</v>
      </c>
      <c r="Y73" s="53">
        <f t="shared" si="10"/>
        <v>0</v>
      </c>
      <c r="Z73" s="64">
        <f t="shared" si="11"/>
        <v>0</v>
      </c>
    </row>
    <row r="74" spans="1:26">
      <c r="A74" s="89" t="str">
        <f t="shared" si="6"/>
        <v/>
      </c>
      <c r="B74" s="89" t="str">
        <f t="shared" si="7"/>
        <v/>
      </c>
      <c r="S74" s="89" t="str">
        <f t="shared" si="8"/>
        <v/>
      </c>
      <c r="X74" s="64">
        <f t="shared" si="9"/>
        <v>0</v>
      </c>
      <c r="Y74" s="53">
        <f t="shared" si="10"/>
        <v>0</v>
      </c>
      <c r="Z74" s="64">
        <f t="shared" si="11"/>
        <v>0</v>
      </c>
    </row>
    <row r="75" spans="1:26">
      <c r="A75" s="89" t="str">
        <f t="shared" si="6"/>
        <v/>
      </c>
      <c r="B75" s="89" t="str">
        <f t="shared" si="7"/>
        <v/>
      </c>
      <c r="S75" s="89" t="str">
        <f t="shared" si="8"/>
        <v/>
      </c>
      <c r="X75" s="64">
        <f t="shared" si="9"/>
        <v>0</v>
      </c>
      <c r="Y75" s="53">
        <f t="shared" si="10"/>
        <v>0</v>
      </c>
      <c r="Z75" s="64">
        <f t="shared" si="11"/>
        <v>0</v>
      </c>
    </row>
    <row r="76" spans="1:26">
      <c r="A76" s="89" t="str">
        <f t="shared" si="6"/>
        <v/>
      </c>
      <c r="B76" s="89" t="str">
        <f t="shared" si="7"/>
        <v/>
      </c>
      <c r="S76" s="89" t="str">
        <f t="shared" si="8"/>
        <v/>
      </c>
      <c r="X76" s="64">
        <f t="shared" si="9"/>
        <v>0</v>
      </c>
      <c r="Y76" s="53">
        <f t="shared" si="10"/>
        <v>0</v>
      </c>
      <c r="Z76" s="64">
        <f t="shared" si="11"/>
        <v>0</v>
      </c>
    </row>
    <row r="77" spans="1:26">
      <c r="A77" s="89" t="str">
        <f t="shared" si="6"/>
        <v/>
      </c>
      <c r="B77" s="89" t="str">
        <f t="shared" si="7"/>
        <v/>
      </c>
      <c r="S77" s="89" t="str">
        <f t="shared" si="8"/>
        <v/>
      </c>
      <c r="X77" s="64">
        <f t="shared" si="9"/>
        <v>0</v>
      </c>
      <c r="Y77" s="53">
        <f t="shared" si="10"/>
        <v>0</v>
      </c>
      <c r="Z77" s="64">
        <f t="shared" si="11"/>
        <v>0</v>
      </c>
    </row>
    <row r="78" spans="1:26">
      <c r="A78" s="89" t="str">
        <f t="shared" si="6"/>
        <v/>
      </c>
      <c r="B78" s="89" t="str">
        <f t="shared" si="7"/>
        <v/>
      </c>
      <c r="S78" s="89" t="str">
        <f t="shared" si="8"/>
        <v/>
      </c>
      <c r="X78" s="64">
        <f t="shared" si="9"/>
        <v>0</v>
      </c>
      <c r="Y78" s="53">
        <f t="shared" si="10"/>
        <v>0</v>
      </c>
      <c r="Z78" s="64">
        <f t="shared" si="11"/>
        <v>0</v>
      </c>
    </row>
    <row r="79" spans="1:26">
      <c r="A79" s="89" t="str">
        <f t="shared" si="6"/>
        <v/>
      </c>
      <c r="B79" s="89" t="str">
        <f t="shared" si="7"/>
        <v/>
      </c>
      <c r="S79" s="89" t="str">
        <f t="shared" si="8"/>
        <v/>
      </c>
      <c r="X79" s="64">
        <f t="shared" si="9"/>
        <v>0</v>
      </c>
      <c r="Y79" s="53">
        <f t="shared" si="10"/>
        <v>0</v>
      </c>
      <c r="Z79" s="64">
        <f t="shared" si="11"/>
        <v>0</v>
      </c>
    </row>
    <row r="80" spans="1:26">
      <c r="A80" s="89" t="str">
        <f t="shared" si="6"/>
        <v/>
      </c>
      <c r="B80" s="89" t="str">
        <f t="shared" si="7"/>
        <v/>
      </c>
      <c r="S80" s="89" t="str">
        <f t="shared" si="8"/>
        <v/>
      </c>
      <c r="X80" s="64">
        <f t="shared" si="9"/>
        <v>0</v>
      </c>
      <c r="Y80" s="53">
        <f t="shared" si="10"/>
        <v>0</v>
      </c>
      <c r="Z80" s="64">
        <f t="shared" si="11"/>
        <v>0</v>
      </c>
    </row>
    <row r="81" spans="1:26">
      <c r="A81" s="89" t="str">
        <f t="shared" si="6"/>
        <v/>
      </c>
      <c r="B81" s="89" t="str">
        <f t="shared" si="7"/>
        <v/>
      </c>
      <c r="S81" s="89" t="str">
        <f t="shared" si="8"/>
        <v/>
      </c>
      <c r="X81" s="64">
        <f t="shared" si="9"/>
        <v>0</v>
      </c>
      <c r="Y81" s="53">
        <f t="shared" si="10"/>
        <v>0</v>
      </c>
      <c r="Z81" s="64">
        <f t="shared" si="11"/>
        <v>0</v>
      </c>
    </row>
    <row r="82" spans="1:26">
      <c r="A82" s="89" t="str">
        <f t="shared" si="6"/>
        <v/>
      </c>
      <c r="B82" s="89" t="str">
        <f t="shared" si="7"/>
        <v/>
      </c>
      <c r="S82" s="89" t="str">
        <f t="shared" si="8"/>
        <v/>
      </c>
      <c r="X82" s="64">
        <f t="shared" si="9"/>
        <v>0</v>
      </c>
      <c r="Y82" s="53">
        <f t="shared" si="10"/>
        <v>0</v>
      </c>
      <c r="Z82" s="64">
        <f t="shared" si="11"/>
        <v>0</v>
      </c>
    </row>
    <row r="83" spans="1:26">
      <c r="A83" s="89" t="str">
        <f t="shared" si="6"/>
        <v/>
      </c>
      <c r="B83" s="89" t="str">
        <f t="shared" si="7"/>
        <v/>
      </c>
      <c r="S83" s="89" t="str">
        <f t="shared" si="8"/>
        <v/>
      </c>
      <c r="X83" s="64">
        <f t="shared" si="9"/>
        <v>0</v>
      </c>
      <c r="Y83" s="53">
        <f t="shared" si="10"/>
        <v>0</v>
      </c>
      <c r="Z83" s="64">
        <f t="shared" si="11"/>
        <v>0</v>
      </c>
    </row>
    <row r="84" spans="1:26">
      <c r="A84" s="89" t="str">
        <f t="shared" si="6"/>
        <v/>
      </c>
      <c r="B84" s="89" t="str">
        <f t="shared" si="7"/>
        <v/>
      </c>
      <c r="S84" s="89" t="str">
        <f t="shared" si="8"/>
        <v/>
      </c>
      <c r="X84" s="64">
        <f t="shared" si="9"/>
        <v>0</v>
      </c>
      <c r="Y84" s="53">
        <f t="shared" si="10"/>
        <v>0</v>
      </c>
      <c r="Z84" s="64">
        <f t="shared" si="11"/>
        <v>0</v>
      </c>
    </row>
    <row r="85" spans="1:26">
      <c r="A85" s="89" t="str">
        <f t="shared" si="6"/>
        <v/>
      </c>
      <c r="B85" s="89" t="str">
        <f t="shared" si="7"/>
        <v/>
      </c>
      <c r="S85" s="89" t="str">
        <f t="shared" si="8"/>
        <v/>
      </c>
      <c r="X85" s="64">
        <f t="shared" si="9"/>
        <v>0</v>
      </c>
      <c r="Y85" s="53">
        <f t="shared" si="10"/>
        <v>0</v>
      </c>
      <c r="Z85" s="64">
        <f t="shared" si="11"/>
        <v>0</v>
      </c>
    </row>
    <row r="86" spans="1:26">
      <c r="A86" s="89" t="str">
        <f t="shared" si="6"/>
        <v/>
      </c>
      <c r="B86" s="89" t="str">
        <f t="shared" si="7"/>
        <v/>
      </c>
      <c r="S86" s="89" t="str">
        <f t="shared" si="8"/>
        <v/>
      </c>
      <c r="X86" s="64">
        <f t="shared" si="9"/>
        <v>0</v>
      </c>
      <c r="Y86" s="53">
        <f t="shared" si="10"/>
        <v>0</v>
      </c>
      <c r="Z86" s="64">
        <f t="shared" si="11"/>
        <v>0</v>
      </c>
    </row>
    <row r="87" spans="1:26">
      <c r="A87" s="89" t="str">
        <f t="shared" si="6"/>
        <v/>
      </c>
      <c r="B87" s="89" t="str">
        <f t="shared" si="7"/>
        <v/>
      </c>
      <c r="S87" s="89" t="str">
        <f t="shared" si="8"/>
        <v/>
      </c>
      <c r="X87" s="64">
        <f t="shared" si="9"/>
        <v>0</v>
      </c>
      <c r="Y87" s="53">
        <f t="shared" si="10"/>
        <v>0</v>
      </c>
      <c r="Z87" s="64">
        <f t="shared" si="11"/>
        <v>0</v>
      </c>
    </row>
    <row r="88" spans="1:26">
      <c r="A88" s="89" t="str">
        <f t="shared" si="6"/>
        <v/>
      </c>
      <c r="B88" s="89" t="str">
        <f t="shared" si="7"/>
        <v/>
      </c>
      <c r="S88" s="89" t="str">
        <f t="shared" si="8"/>
        <v/>
      </c>
      <c r="X88" s="64">
        <f t="shared" si="9"/>
        <v>0</v>
      </c>
      <c r="Y88" s="53">
        <f t="shared" si="10"/>
        <v>0</v>
      </c>
      <c r="Z88" s="64">
        <f t="shared" si="11"/>
        <v>0</v>
      </c>
    </row>
    <row r="89" spans="1:26">
      <c r="A89" s="89" t="str">
        <f t="shared" si="6"/>
        <v/>
      </c>
      <c r="B89" s="89" t="str">
        <f t="shared" si="7"/>
        <v/>
      </c>
      <c r="S89" s="89" t="str">
        <f t="shared" si="8"/>
        <v/>
      </c>
      <c r="X89" s="64">
        <f t="shared" si="9"/>
        <v>0</v>
      </c>
      <c r="Y89" s="53">
        <f t="shared" si="10"/>
        <v>0</v>
      </c>
      <c r="Z89" s="64">
        <f t="shared" si="11"/>
        <v>0</v>
      </c>
    </row>
    <row r="90" spans="1:26">
      <c r="A90" s="89" t="str">
        <f t="shared" si="6"/>
        <v/>
      </c>
      <c r="B90" s="89" t="str">
        <f t="shared" si="7"/>
        <v/>
      </c>
      <c r="S90" s="89" t="str">
        <f t="shared" si="8"/>
        <v/>
      </c>
      <c r="X90" s="64">
        <f t="shared" si="9"/>
        <v>0</v>
      </c>
      <c r="Y90" s="53">
        <f t="shared" si="10"/>
        <v>0</v>
      </c>
      <c r="Z90" s="64">
        <f t="shared" si="11"/>
        <v>0</v>
      </c>
    </row>
    <row r="91" spans="1:26">
      <c r="A91" s="89" t="str">
        <f t="shared" si="6"/>
        <v/>
      </c>
      <c r="B91" s="89" t="str">
        <f t="shared" si="7"/>
        <v/>
      </c>
      <c r="S91" s="89" t="str">
        <f t="shared" si="8"/>
        <v/>
      </c>
      <c r="X91" s="64">
        <f t="shared" si="9"/>
        <v>0</v>
      </c>
      <c r="Y91" s="53">
        <f t="shared" si="10"/>
        <v>0</v>
      </c>
      <c r="Z91" s="64">
        <f t="shared" si="11"/>
        <v>0</v>
      </c>
    </row>
    <row r="92" spans="1:26">
      <c r="A92" s="89" t="str">
        <f t="shared" si="6"/>
        <v/>
      </c>
      <c r="B92" s="89" t="str">
        <f t="shared" si="7"/>
        <v/>
      </c>
      <c r="S92" s="89" t="str">
        <f t="shared" si="8"/>
        <v/>
      </c>
      <c r="X92" s="64">
        <f t="shared" si="9"/>
        <v>0</v>
      </c>
      <c r="Y92" s="53">
        <f t="shared" si="10"/>
        <v>0</v>
      </c>
      <c r="Z92" s="64">
        <f t="shared" si="11"/>
        <v>0</v>
      </c>
    </row>
    <row r="93" spans="1:26">
      <c r="A93" s="89" t="str">
        <f t="shared" si="6"/>
        <v/>
      </c>
      <c r="B93" s="89" t="str">
        <f t="shared" si="7"/>
        <v/>
      </c>
      <c r="S93" s="89" t="str">
        <f t="shared" si="8"/>
        <v/>
      </c>
      <c r="X93" s="64">
        <f t="shared" si="9"/>
        <v>0</v>
      </c>
      <c r="Y93" s="53">
        <f t="shared" si="10"/>
        <v>0</v>
      </c>
      <c r="Z93" s="64">
        <f t="shared" si="11"/>
        <v>0</v>
      </c>
    </row>
    <row r="94" spans="1:26">
      <c r="A94" s="89" t="str">
        <f t="shared" si="6"/>
        <v/>
      </c>
      <c r="B94" s="89" t="str">
        <f t="shared" si="7"/>
        <v/>
      </c>
      <c r="S94" s="89" t="str">
        <f t="shared" si="8"/>
        <v/>
      </c>
      <c r="X94" s="64">
        <f t="shared" si="9"/>
        <v>0</v>
      </c>
      <c r="Y94" s="53">
        <f t="shared" si="10"/>
        <v>0</v>
      </c>
      <c r="Z94" s="64">
        <f t="shared" si="11"/>
        <v>0</v>
      </c>
    </row>
    <row r="95" spans="1:26">
      <c r="A95" s="89" t="str">
        <f t="shared" si="6"/>
        <v/>
      </c>
      <c r="B95" s="89" t="str">
        <f t="shared" si="7"/>
        <v/>
      </c>
      <c r="S95" s="89" t="str">
        <f t="shared" si="8"/>
        <v/>
      </c>
      <c r="X95" s="64">
        <f t="shared" si="9"/>
        <v>0</v>
      </c>
      <c r="Y95" s="53">
        <f t="shared" si="10"/>
        <v>0</v>
      </c>
      <c r="Z95" s="64">
        <f t="shared" si="11"/>
        <v>0</v>
      </c>
    </row>
    <row r="96" spans="1:26">
      <c r="A96" s="89" t="str">
        <f t="shared" si="6"/>
        <v/>
      </c>
      <c r="B96" s="89" t="str">
        <f t="shared" si="7"/>
        <v/>
      </c>
      <c r="S96" s="89" t="str">
        <f t="shared" si="8"/>
        <v/>
      </c>
      <c r="X96" s="64">
        <f t="shared" si="9"/>
        <v>0</v>
      </c>
      <c r="Y96" s="53">
        <f t="shared" si="10"/>
        <v>0</v>
      </c>
      <c r="Z96" s="64">
        <f t="shared" si="11"/>
        <v>0</v>
      </c>
    </row>
    <row r="97" spans="1:26">
      <c r="A97" s="89" t="str">
        <f t="shared" si="6"/>
        <v/>
      </c>
      <c r="B97" s="89" t="str">
        <f t="shared" si="7"/>
        <v/>
      </c>
      <c r="S97" s="89" t="str">
        <f t="shared" si="8"/>
        <v/>
      </c>
      <c r="X97" s="64">
        <f t="shared" si="9"/>
        <v>0</v>
      </c>
      <c r="Y97" s="53">
        <f t="shared" si="10"/>
        <v>0</v>
      </c>
      <c r="Z97" s="64">
        <f t="shared" si="11"/>
        <v>0</v>
      </c>
    </row>
    <row r="98" spans="1:26">
      <c r="A98" s="89" t="str">
        <f t="shared" si="6"/>
        <v/>
      </c>
      <c r="B98" s="89" t="str">
        <f t="shared" si="7"/>
        <v/>
      </c>
      <c r="S98" s="89" t="str">
        <f t="shared" si="8"/>
        <v/>
      </c>
      <c r="X98" s="64">
        <f t="shared" si="9"/>
        <v>0</v>
      </c>
      <c r="Y98" s="53">
        <f t="shared" si="10"/>
        <v>0</v>
      </c>
      <c r="Z98" s="64">
        <f t="shared" si="11"/>
        <v>0</v>
      </c>
    </row>
    <row r="99" spans="1:26">
      <c r="A99" s="89" t="str">
        <f t="shared" si="6"/>
        <v/>
      </c>
      <c r="B99" s="89" t="str">
        <f t="shared" si="7"/>
        <v/>
      </c>
      <c r="S99" s="89" t="str">
        <f t="shared" si="8"/>
        <v/>
      </c>
      <c r="X99" s="64">
        <f t="shared" si="9"/>
        <v>0</v>
      </c>
      <c r="Y99" s="53">
        <f t="shared" si="10"/>
        <v>0</v>
      </c>
      <c r="Z99" s="64">
        <f t="shared" si="11"/>
        <v>0</v>
      </c>
    </row>
    <row r="100" spans="1:26">
      <c r="A100" s="89" t="str">
        <f t="shared" si="6"/>
        <v/>
      </c>
      <c r="B100" s="89" t="str">
        <f t="shared" si="7"/>
        <v/>
      </c>
      <c r="S100" s="89" t="str">
        <f t="shared" si="8"/>
        <v/>
      </c>
      <c r="X100" s="64">
        <f t="shared" si="9"/>
        <v>0</v>
      </c>
      <c r="Y100" s="53">
        <f t="shared" si="10"/>
        <v>0</v>
      </c>
      <c r="Z100" s="64">
        <f t="shared" si="11"/>
        <v>0</v>
      </c>
    </row>
    <row r="101" spans="1:26">
      <c r="A101" s="89" t="str">
        <f t="shared" si="6"/>
        <v/>
      </c>
      <c r="B101" s="89" t="str">
        <f t="shared" si="7"/>
        <v/>
      </c>
      <c r="S101" s="89" t="str">
        <f t="shared" si="8"/>
        <v/>
      </c>
      <c r="X101" s="64">
        <f t="shared" si="9"/>
        <v>0</v>
      </c>
      <c r="Y101" s="53">
        <f t="shared" si="10"/>
        <v>0</v>
      </c>
      <c r="Z101" s="64">
        <f t="shared" si="11"/>
        <v>0</v>
      </c>
    </row>
    <row r="102" spans="1:26">
      <c r="A102" s="89" t="str">
        <f t="shared" si="6"/>
        <v/>
      </c>
      <c r="B102" s="89" t="str">
        <f t="shared" si="7"/>
        <v/>
      </c>
      <c r="S102" s="89" t="str">
        <f t="shared" si="8"/>
        <v/>
      </c>
      <c r="X102" s="64">
        <f t="shared" si="9"/>
        <v>0</v>
      </c>
      <c r="Y102" s="53">
        <f t="shared" si="10"/>
        <v>0</v>
      </c>
      <c r="Z102" s="64">
        <f t="shared" si="11"/>
        <v>0</v>
      </c>
    </row>
    <row r="103" spans="1:26">
      <c r="A103" s="89" t="str">
        <f t="shared" si="6"/>
        <v/>
      </c>
      <c r="B103" s="89" t="str">
        <f t="shared" si="7"/>
        <v/>
      </c>
      <c r="S103" s="89" t="str">
        <f t="shared" si="8"/>
        <v/>
      </c>
      <c r="X103" s="64">
        <f t="shared" si="9"/>
        <v>0</v>
      </c>
      <c r="Y103" s="53">
        <f t="shared" si="10"/>
        <v>0</v>
      </c>
      <c r="Z103" s="64">
        <f t="shared" si="11"/>
        <v>0</v>
      </c>
    </row>
    <row r="104" spans="1:26">
      <c r="A104" s="89" t="str">
        <f t="shared" si="6"/>
        <v/>
      </c>
      <c r="B104" s="89" t="str">
        <f t="shared" si="7"/>
        <v/>
      </c>
      <c r="S104" s="89" t="str">
        <f t="shared" si="8"/>
        <v/>
      </c>
      <c r="X104" s="64">
        <f t="shared" si="9"/>
        <v>0</v>
      </c>
      <c r="Y104" s="53">
        <f t="shared" si="10"/>
        <v>0</v>
      </c>
      <c r="Z104" s="64">
        <f t="shared" si="11"/>
        <v>0</v>
      </c>
    </row>
    <row r="105" spans="1:26">
      <c r="A105" s="89" t="str">
        <f t="shared" si="6"/>
        <v/>
      </c>
      <c r="B105" s="89" t="str">
        <f t="shared" si="7"/>
        <v/>
      </c>
      <c r="S105" s="89" t="str">
        <f t="shared" si="8"/>
        <v/>
      </c>
      <c r="X105" s="64">
        <f t="shared" si="9"/>
        <v>0</v>
      </c>
      <c r="Y105" s="53">
        <f t="shared" si="10"/>
        <v>0</v>
      </c>
      <c r="Z105" s="64">
        <f t="shared" si="11"/>
        <v>0</v>
      </c>
    </row>
    <row r="106" spans="1:26">
      <c r="A106" s="89" t="str">
        <f t="shared" si="6"/>
        <v/>
      </c>
      <c r="B106" s="89" t="str">
        <f t="shared" si="7"/>
        <v/>
      </c>
      <c r="S106" s="89" t="str">
        <f t="shared" si="8"/>
        <v/>
      </c>
      <c r="X106" s="64">
        <f t="shared" si="9"/>
        <v>0</v>
      </c>
      <c r="Y106" s="53">
        <f t="shared" si="10"/>
        <v>0</v>
      </c>
      <c r="Z106" s="64">
        <f t="shared" si="11"/>
        <v>0</v>
      </c>
    </row>
    <row r="107" spans="1:26">
      <c r="A107" s="89" t="str">
        <f t="shared" si="6"/>
        <v/>
      </c>
      <c r="B107" s="89" t="str">
        <f t="shared" si="7"/>
        <v/>
      </c>
      <c r="S107" s="89" t="str">
        <f t="shared" si="8"/>
        <v/>
      </c>
      <c r="X107" s="64">
        <f t="shared" si="9"/>
        <v>0</v>
      </c>
      <c r="Y107" s="53">
        <f t="shared" si="10"/>
        <v>0</v>
      </c>
      <c r="Z107" s="64">
        <f t="shared" si="11"/>
        <v>0</v>
      </c>
    </row>
    <row r="108" spans="1:26">
      <c r="A108" s="89" t="str">
        <f t="shared" si="6"/>
        <v/>
      </c>
      <c r="B108" s="89" t="str">
        <f t="shared" si="7"/>
        <v/>
      </c>
      <c r="S108" s="89" t="str">
        <f t="shared" si="8"/>
        <v/>
      </c>
      <c r="X108" s="64">
        <f t="shared" si="9"/>
        <v>0</v>
      </c>
      <c r="Y108" s="53">
        <f t="shared" si="10"/>
        <v>0</v>
      </c>
      <c r="Z108" s="64">
        <f t="shared" si="11"/>
        <v>0</v>
      </c>
    </row>
    <row r="109" spans="1:26">
      <c r="A109" s="89" t="str">
        <f t="shared" si="6"/>
        <v/>
      </c>
      <c r="B109" s="89" t="str">
        <f t="shared" si="7"/>
        <v/>
      </c>
      <c r="S109" s="89" t="str">
        <f t="shared" si="8"/>
        <v/>
      </c>
      <c r="X109" s="64">
        <f t="shared" si="9"/>
        <v>0</v>
      </c>
      <c r="Y109" s="53">
        <f t="shared" si="10"/>
        <v>0</v>
      </c>
      <c r="Z109" s="64">
        <f t="shared" si="11"/>
        <v>0</v>
      </c>
    </row>
    <row r="110" spans="1:26">
      <c r="A110" s="89" t="str">
        <f t="shared" si="6"/>
        <v/>
      </c>
      <c r="B110" s="89" t="str">
        <f t="shared" si="7"/>
        <v/>
      </c>
      <c r="S110" s="89" t="str">
        <f t="shared" si="8"/>
        <v/>
      </c>
      <c r="X110" s="64">
        <f t="shared" si="9"/>
        <v>0</v>
      </c>
      <c r="Y110" s="53">
        <f t="shared" si="10"/>
        <v>0</v>
      </c>
      <c r="Z110" s="64">
        <f t="shared" si="11"/>
        <v>0</v>
      </c>
    </row>
    <row r="111" spans="1:26">
      <c r="A111" s="89" t="str">
        <f t="shared" si="6"/>
        <v/>
      </c>
      <c r="B111" s="89" t="str">
        <f t="shared" si="7"/>
        <v/>
      </c>
      <c r="S111" s="89" t="str">
        <f t="shared" si="8"/>
        <v/>
      </c>
      <c r="X111" s="64">
        <f t="shared" si="9"/>
        <v>0</v>
      </c>
      <c r="Y111" s="53">
        <f t="shared" si="10"/>
        <v>0</v>
      </c>
      <c r="Z111" s="64">
        <f t="shared" si="11"/>
        <v>0</v>
      </c>
    </row>
    <row r="112" spans="1:26">
      <c r="A112" s="89" t="str">
        <f t="shared" si="6"/>
        <v/>
      </c>
      <c r="B112" s="89" t="str">
        <f t="shared" si="7"/>
        <v/>
      </c>
      <c r="S112" s="89" t="str">
        <f t="shared" si="8"/>
        <v/>
      </c>
      <c r="X112" s="64">
        <f t="shared" si="9"/>
        <v>0</v>
      </c>
      <c r="Y112" s="53">
        <f t="shared" si="10"/>
        <v>0</v>
      </c>
      <c r="Z112" s="64">
        <f t="shared" si="11"/>
        <v>0</v>
      </c>
    </row>
    <row r="113" spans="1:26">
      <c r="A113" s="89" t="str">
        <f t="shared" si="6"/>
        <v/>
      </c>
      <c r="B113" s="89" t="str">
        <f t="shared" si="7"/>
        <v/>
      </c>
      <c r="S113" s="89" t="str">
        <f t="shared" si="8"/>
        <v/>
      </c>
      <c r="X113" s="64">
        <f t="shared" si="9"/>
        <v>0</v>
      </c>
      <c r="Y113" s="53">
        <f t="shared" si="10"/>
        <v>0</v>
      </c>
      <c r="Z113" s="64">
        <f t="shared" si="11"/>
        <v>0</v>
      </c>
    </row>
    <row r="114" spans="1:26">
      <c r="A114" s="89" t="str">
        <f t="shared" si="6"/>
        <v/>
      </c>
      <c r="B114" s="89" t="str">
        <f t="shared" si="7"/>
        <v/>
      </c>
      <c r="S114" s="89" t="str">
        <f t="shared" si="8"/>
        <v/>
      </c>
      <c r="X114" s="64">
        <f t="shared" si="9"/>
        <v>0</v>
      </c>
      <c r="Y114" s="53">
        <f t="shared" si="10"/>
        <v>0</v>
      </c>
      <c r="Z114" s="64">
        <f t="shared" si="11"/>
        <v>0</v>
      </c>
    </row>
    <row r="115" spans="1:26">
      <c r="A115" s="89" t="str">
        <f t="shared" si="6"/>
        <v/>
      </c>
      <c r="B115" s="89" t="str">
        <f t="shared" si="7"/>
        <v/>
      </c>
      <c r="S115" s="89" t="str">
        <f t="shared" si="8"/>
        <v/>
      </c>
      <c r="X115" s="64">
        <f t="shared" si="9"/>
        <v>0</v>
      </c>
      <c r="Y115" s="53">
        <f t="shared" si="10"/>
        <v>0</v>
      </c>
      <c r="Z115" s="64">
        <f t="shared" si="11"/>
        <v>0</v>
      </c>
    </row>
    <row r="116" spans="1:26">
      <c r="A116" s="89" t="str">
        <f t="shared" si="6"/>
        <v/>
      </c>
      <c r="B116" s="89" t="str">
        <f t="shared" si="7"/>
        <v/>
      </c>
      <c r="S116" s="89" t="str">
        <f t="shared" si="8"/>
        <v/>
      </c>
      <c r="X116" s="64">
        <f t="shared" si="9"/>
        <v>0</v>
      </c>
      <c r="Y116" s="53">
        <f t="shared" si="10"/>
        <v>0</v>
      </c>
      <c r="Z116" s="64">
        <f t="shared" si="11"/>
        <v>0</v>
      </c>
    </row>
    <row r="117" spans="1:26">
      <c r="A117" s="89" t="str">
        <f t="shared" si="6"/>
        <v/>
      </c>
      <c r="B117" s="89" t="str">
        <f t="shared" si="7"/>
        <v/>
      </c>
      <c r="S117" s="89" t="str">
        <f t="shared" si="8"/>
        <v/>
      </c>
      <c r="X117" s="64">
        <f t="shared" si="9"/>
        <v>0</v>
      </c>
      <c r="Y117" s="53">
        <f t="shared" si="10"/>
        <v>0</v>
      </c>
      <c r="Z117" s="64">
        <f t="shared" si="11"/>
        <v>0</v>
      </c>
    </row>
    <row r="118" spans="1:26">
      <c r="A118" s="89" t="str">
        <f t="shared" si="6"/>
        <v/>
      </c>
      <c r="B118" s="89" t="str">
        <f t="shared" si="7"/>
        <v/>
      </c>
      <c r="S118" s="89" t="str">
        <f t="shared" si="8"/>
        <v/>
      </c>
      <c r="X118" s="64">
        <f t="shared" si="9"/>
        <v>0</v>
      </c>
      <c r="Y118" s="53">
        <f t="shared" si="10"/>
        <v>0</v>
      </c>
      <c r="Z118" s="64">
        <f t="shared" si="11"/>
        <v>0</v>
      </c>
    </row>
    <row r="119" spans="1:26">
      <c r="A119" s="89" t="str">
        <f t="shared" si="6"/>
        <v/>
      </c>
      <c r="B119" s="89" t="str">
        <f t="shared" si="7"/>
        <v/>
      </c>
      <c r="S119" s="89" t="str">
        <f t="shared" si="8"/>
        <v/>
      </c>
      <c r="X119" s="64">
        <f t="shared" si="9"/>
        <v>0</v>
      </c>
      <c r="Y119" s="53">
        <f t="shared" si="10"/>
        <v>0</v>
      </c>
      <c r="Z119" s="64">
        <f t="shared" si="11"/>
        <v>0</v>
      </c>
    </row>
    <row r="120" spans="1:26">
      <c r="A120" s="89" t="str">
        <f t="shared" si="6"/>
        <v/>
      </c>
      <c r="B120" s="89" t="str">
        <f t="shared" si="7"/>
        <v/>
      </c>
      <c r="S120" s="89" t="str">
        <f t="shared" si="8"/>
        <v/>
      </c>
      <c r="X120" s="64">
        <f t="shared" si="9"/>
        <v>0</v>
      </c>
      <c r="Y120" s="53">
        <f t="shared" si="10"/>
        <v>0</v>
      </c>
      <c r="Z120" s="64">
        <f t="shared" si="11"/>
        <v>0</v>
      </c>
    </row>
    <row r="121" spans="1:26">
      <c r="A121" s="89" t="str">
        <f t="shared" si="6"/>
        <v/>
      </c>
      <c r="B121" s="89" t="str">
        <f t="shared" si="7"/>
        <v/>
      </c>
      <c r="S121" s="89" t="str">
        <f t="shared" si="8"/>
        <v/>
      </c>
      <c r="X121" s="64">
        <f t="shared" si="9"/>
        <v>0</v>
      </c>
      <c r="Y121" s="53">
        <f t="shared" si="10"/>
        <v>0</v>
      </c>
      <c r="Z121" s="64">
        <f t="shared" si="11"/>
        <v>0</v>
      </c>
    </row>
    <row r="122" spans="1:26">
      <c r="A122" s="89" t="str">
        <f t="shared" si="6"/>
        <v/>
      </c>
      <c r="B122" s="89" t="str">
        <f t="shared" si="7"/>
        <v/>
      </c>
      <c r="S122" s="89" t="str">
        <f t="shared" si="8"/>
        <v/>
      </c>
      <c r="X122" s="64">
        <f t="shared" si="9"/>
        <v>0</v>
      </c>
      <c r="Y122" s="53">
        <f t="shared" si="10"/>
        <v>0</v>
      </c>
      <c r="Z122" s="64">
        <f t="shared" si="11"/>
        <v>0</v>
      </c>
    </row>
    <row r="123" spans="1:26">
      <c r="A123" s="89" t="str">
        <f t="shared" si="6"/>
        <v/>
      </c>
      <c r="B123" s="89" t="str">
        <f t="shared" si="7"/>
        <v/>
      </c>
      <c r="S123" s="89" t="str">
        <f t="shared" si="8"/>
        <v/>
      </c>
      <c r="X123" s="64">
        <f t="shared" si="9"/>
        <v>0</v>
      </c>
      <c r="Y123" s="53">
        <f t="shared" si="10"/>
        <v>0</v>
      </c>
      <c r="Z123" s="64">
        <f t="shared" si="11"/>
        <v>0</v>
      </c>
    </row>
    <row r="124" spans="1:26">
      <c r="A124" s="89" t="str">
        <f t="shared" si="6"/>
        <v/>
      </c>
      <c r="B124" s="89" t="str">
        <f t="shared" si="7"/>
        <v/>
      </c>
      <c r="S124" s="89" t="str">
        <f t="shared" si="8"/>
        <v/>
      </c>
      <c r="X124" s="64">
        <f t="shared" si="9"/>
        <v>0</v>
      </c>
      <c r="Y124" s="53">
        <f t="shared" si="10"/>
        <v>0</v>
      </c>
      <c r="Z124" s="64">
        <f t="shared" si="11"/>
        <v>0</v>
      </c>
    </row>
    <row r="125" spans="1:26">
      <c r="A125" s="89" t="str">
        <f t="shared" si="6"/>
        <v/>
      </c>
      <c r="B125" s="89" t="str">
        <f t="shared" si="7"/>
        <v/>
      </c>
      <c r="S125" s="89" t="str">
        <f t="shared" si="8"/>
        <v/>
      </c>
      <c r="X125" s="64">
        <f t="shared" si="9"/>
        <v>0</v>
      </c>
      <c r="Y125" s="53">
        <f t="shared" si="10"/>
        <v>0</v>
      </c>
      <c r="Z125" s="64">
        <f t="shared" si="11"/>
        <v>0</v>
      </c>
    </row>
    <row r="126" spans="1:26">
      <c r="A126" s="89" t="str">
        <f t="shared" si="6"/>
        <v/>
      </c>
      <c r="B126" s="89" t="str">
        <f t="shared" si="7"/>
        <v/>
      </c>
      <c r="S126" s="89" t="str">
        <f t="shared" si="8"/>
        <v/>
      </c>
      <c r="X126" s="64">
        <f t="shared" si="9"/>
        <v>0</v>
      </c>
      <c r="Y126" s="53">
        <f t="shared" si="10"/>
        <v>0</v>
      </c>
      <c r="Z126" s="64">
        <f t="shared" si="11"/>
        <v>0</v>
      </c>
    </row>
    <row r="127" spans="1:26">
      <c r="A127" s="89" t="str">
        <f t="shared" si="6"/>
        <v/>
      </c>
      <c r="B127" s="89" t="str">
        <f t="shared" si="7"/>
        <v/>
      </c>
      <c r="S127" s="89" t="str">
        <f t="shared" si="8"/>
        <v/>
      </c>
      <c r="X127" s="64">
        <f t="shared" si="9"/>
        <v>0</v>
      </c>
      <c r="Y127" s="53">
        <f t="shared" si="10"/>
        <v>0</v>
      </c>
      <c r="Z127" s="64">
        <f t="shared" si="11"/>
        <v>0</v>
      </c>
    </row>
    <row r="128" spans="1:26">
      <c r="A128" s="89" t="str">
        <f t="shared" si="6"/>
        <v/>
      </c>
      <c r="B128" s="89" t="str">
        <f t="shared" si="7"/>
        <v/>
      </c>
      <c r="S128" s="89" t="str">
        <f t="shared" si="8"/>
        <v/>
      </c>
      <c r="X128" s="64">
        <f t="shared" si="9"/>
        <v>0</v>
      </c>
      <c r="Y128" s="53">
        <f t="shared" si="10"/>
        <v>0</v>
      </c>
      <c r="Z128" s="64">
        <f t="shared" si="11"/>
        <v>0</v>
      </c>
    </row>
    <row r="129" spans="1:26">
      <c r="A129" s="89" t="str">
        <f t="shared" si="6"/>
        <v/>
      </c>
      <c r="B129" s="89" t="str">
        <f t="shared" si="7"/>
        <v/>
      </c>
      <c r="S129" s="89" t="str">
        <f t="shared" si="8"/>
        <v/>
      </c>
      <c r="X129" s="64">
        <f t="shared" si="9"/>
        <v>0</v>
      </c>
      <c r="Y129" s="53">
        <f t="shared" si="10"/>
        <v>0</v>
      </c>
      <c r="Z129" s="64">
        <f t="shared" si="11"/>
        <v>0</v>
      </c>
    </row>
    <row r="130" spans="1:26">
      <c r="A130" s="89" t="str">
        <f t="shared" si="6"/>
        <v/>
      </c>
      <c r="B130" s="89" t="str">
        <f t="shared" si="7"/>
        <v/>
      </c>
      <c r="S130" s="89" t="str">
        <f t="shared" si="8"/>
        <v/>
      </c>
      <c r="X130" s="64">
        <f t="shared" si="9"/>
        <v>0</v>
      </c>
      <c r="Y130" s="53">
        <f t="shared" si="10"/>
        <v>0</v>
      </c>
      <c r="Z130" s="64">
        <f t="shared" si="11"/>
        <v>0</v>
      </c>
    </row>
    <row r="131" spans="1:26">
      <c r="A131" s="89" t="str">
        <f t="shared" ref="A131:A194" si="12">IF(G131&amp;Q131&lt;&gt;"",G131&amp;Q131,"")</f>
        <v/>
      </c>
      <c r="B131" s="89" t="str">
        <f t="shared" ref="B131:B194" si="13">IF(C131&lt;&gt;"",LEFT(C131,9),"")</f>
        <v/>
      </c>
      <c r="S131" s="89" t="str">
        <f t="shared" ref="S131:S194" si="14">IF(H131&lt;&gt;"",H131,"")</f>
        <v/>
      </c>
      <c r="X131" s="64">
        <f t="shared" ref="X131:X194" si="15">IFERROR(VALUE(MID($C131,1,2)),0)</f>
        <v>0</v>
      </c>
      <c r="Y131" s="53">
        <f t="shared" ref="Y131:Y194" si="16">IFERROR(VALUE(MID($C131,4,3)),0)</f>
        <v>0</v>
      </c>
      <c r="Z131" s="64">
        <f t="shared" ref="Z131:Z194" si="17">VALUE(RIGHT("00"&amp;X131,2)&amp;RIGHT("000"&amp;Y131,3))</f>
        <v>0</v>
      </c>
    </row>
    <row r="132" spans="1:26">
      <c r="A132" s="89" t="str">
        <f t="shared" si="12"/>
        <v/>
      </c>
      <c r="B132" s="89" t="str">
        <f t="shared" si="13"/>
        <v/>
      </c>
      <c r="S132" s="89" t="str">
        <f t="shared" si="14"/>
        <v/>
      </c>
      <c r="X132" s="64">
        <f t="shared" si="15"/>
        <v>0</v>
      </c>
      <c r="Y132" s="53">
        <f t="shared" si="16"/>
        <v>0</v>
      </c>
      <c r="Z132" s="64">
        <f t="shared" si="17"/>
        <v>0</v>
      </c>
    </row>
    <row r="133" spans="1:26">
      <c r="A133" s="89" t="str">
        <f t="shared" si="12"/>
        <v/>
      </c>
      <c r="B133" s="89" t="str">
        <f t="shared" si="13"/>
        <v/>
      </c>
      <c r="S133" s="89" t="str">
        <f t="shared" si="14"/>
        <v/>
      </c>
      <c r="X133" s="64">
        <f t="shared" si="15"/>
        <v>0</v>
      </c>
      <c r="Y133" s="53">
        <f t="shared" si="16"/>
        <v>0</v>
      </c>
      <c r="Z133" s="64">
        <f t="shared" si="17"/>
        <v>0</v>
      </c>
    </row>
    <row r="134" spans="1:26">
      <c r="A134" s="89" t="str">
        <f t="shared" si="12"/>
        <v/>
      </c>
      <c r="B134" s="89" t="str">
        <f t="shared" si="13"/>
        <v/>
      </c>
      <c r="S134" s="89" t="str">
        <f t="shared" si="14"/>
        <v/>
      </c>
      <c r="X134" s="64">
        <f t="shared" si="15"/>
        <v>0</v>
      </c>
      <c r="Y134" s="53">
        <f t="shared" si="16"/>
        <v>0</v>
      </c>
      <c r="Z134" s="64">
        <f t="shared" si="17"/>
        <v>0</v>
      </c>
    </row>
    <row r="135" spans="1:26">
      <c r="A135" s="89" t="str">
        <f t="shared" si="12"/>
        <v/>
      </c>
      <c r="B135" s="89" t="str">
        <f t="shared" si="13"/>
        <v/>
      </c>
      <c r="S135" s="89" t="str">
        <f t="shared" si="14"/>
        <v/>
      </c>
      <c r="X135" s="64">
        <f t="shared" si="15"/>
        <v>0</v>
      </c>
      <c r="Y135" s="53">
        <f t="shared" si="16"/>
        <v>0</v>
      </c>
      <c r="Z135" s="64">
        <f t="shared" si="17"/>
        <v>0</v>
      </c>
    </row>
    <row r="136" spans="1:26">
      <c r="A136" s="89" t="str">
        <f t="shared" si="12"/>
        <v/>
      </c>
      <c r="B136" s="89" t="str">
        <f t="shared" si="13"/>
        <v/>
      </c>
      <c r="S136" s="89" t="str">
        <f t="shared" si="14"/>
        <v/>
      </c>
      <c r="X136" s="64">
        <f t="shared" si="15"/>
        <v>0</v>
      </c>
      <c r="Y136" s="53">
        <f t="shared" si="16"/>
        <v>0</v>
      </c>
      <c r="Z136" s="64">
        <f t="shared" si="17"/>
        <v>0</v>
      </c>
    </row>
    <row r="137" spans="1:26">
      <c r="A137" s="89" t="str">
        <f t="shared" si="12"/>
        <v/>
      </c>
      <c r="B137" s="89" t="str">
        <f t="shared" si="13"/>
        <v/>
      </c>
      <c r="S137" s="89" t="str">
        <f t="shared" si="14"/>
        <v/>
      </c>
      <c r="X137" s="64">
        <f t="shared" si="15"/>
        <v>0</v>
      </c>
      <c r="Y137" s="53">
        <f t="shared" si="16"/>
        <v>0</v>
      </c>
      <c r="Z137" s="64">
        <f t="shared" si="17"/>
        <v>0</v>
      </c>
    </row>
    <row r="138" spans="1:26">
      <c r="A138" s="89" t="str">
        <f t="shared" si="12"/>
        <v/>
      </c>
      <c r="B138" s="89" t="str">
        <f t="shared" si="13"/>
        <v/>
      </c>
      <c r="S138" s="89" t="str">
        <f t="shared" si="14"/>
        <v/>
      </c>
      <c r="X138" s="64">
        <f t="shared" si="15"/>
        <v>0</v>
      </c>
      <c r="Y138" s="53">
        <f t="shared" si="16"/>
        <v>0</v>
      </c>
      <c r="Z138" s="64">
        <f t="shared" si="17"/>
        <v>0</v>
      </c>
    </row>
    <row r="139" spans="1:26">
      <c r="A139" s="89" t="str">
        <f t="shared" si="12"/>
        <v/>
      </c>
      <c r="B139" s="89" t="str">
        <f t="shared" si="13"/>
        <v/>
      </c>
      <c r="S139" s="89" t="str">
        <f t="shared" si="14"/>
        <v/>
      </c>
      <c r="X139" s="64">
        <f t="shared" si="15"/>
        <v>0</v>
      </c>
      <c r="Y139" s="53">
        <f t="shared" si="16"/>
        <v>0</v>
      </c>
      <c r="Z139" s="64">
        <f t="shared" si="17"/>
        <v>0</v>
      </c>
    </row>
    <row r="140" spans="1:26">
      <c r="A140" s="89" t="str">
        <f t="shared" si="12"/>
        <v/>
      </c>
      <c r="B140" s="89" t="str">
        <f t="shared" si="13"/>
        <v/>
      </c>
      <c r="S140" s="89" t="str">
        <f t="shared" si="14"/>
        <v/>
      </c>
      <c r="X140" s="64">
        <f t="shared" si="15"/>
        <v>0</v>
      </c>
      <c r="Y140" s="53">
        <f t="shared" si="16"/>
        <v>0</v>
      </c>
      <c r="Z140" s="64">
        <f t="shared" si="17"/>
        <v>0</v>
      </c>
    </row>
    <row r="141" spans="1:26">
      <c r="A141" s="89" t="str">
        <f t="shared" si="12"/>
        <v/>
      </c>
      <c r="B141" s="89" t="str">
        <f t="shared" si="13"/>
        <v/>
      </c>
      <c r="S141" s="89" t="str">
        <f t="shared" si="14"/>
        <v/>
      </c>
      <c r="X141" s="64">
        <f t="shared" si="15"/>
        <v>0</v>
      </c>
      <c r="Y141" s="53">
        <f t="shared" si="16"/>
        <v>0</v>
      </c>
      <c r="Z141" s="64">
        <f t="shared" si="17"/>
        <v>0</v>
      </c>
    </row>
    <row r="142" spans="1:26">
      <c r="A142" s="89" t="str">
        <f t="shared" si="12"/>
        <v/>
      </c>
      <c r="B142" s="89" t="str">
        <f t="shared" si="13"/>
        <v/>
      </c>
      <c r="S142" s="89" t="str">
        <f t="shared" si="14"/>
        <v/>
      </c>
      <c r="X142" s="64">
        <f t="shared" si="15"/>
        <v>0</v>
      </c>
      <c r="Y142" s="53">
        <f t="shared" si="16"/>
        <v>0</v>
      </c>
      <c r="Z142" s="64">
        <f t="shared" si="17"/>
        <v>0</v>
      </c>
    </row>
    <row r="143" spans="1:26">
      <c r="A143" s="89" t="str">
        <f t="shared" si="12"/>
        <v/>
      </c>
      <c r="B143" s="89" t="str">
        <f t="shared" si="13"/>
        <v/>
      </c>
      <c r="S143" s="89" t="str">
        <f t="shared" si="14"/>
        <v/>
      </c>
      <c r="X143" s="64">
        <f t="shared" si="15"/>
        <v>0</v>
      </c>
      <c r="Y143" s="53">
        <f t="shared" si="16"/>
        <v>0</v>
      </c>
      <c r="Z143" s="64">
        <f t="shared" si="17"/>
        <v>0</v>
      </c>
    </row>
    <row r="144" spans="1:26">
      <c r="A144" s="89" t="str">
        <f t="shared" si="12"/>
        <v/>
      </c>
      <c r="B144" s="89" t="str">
        <f t="shared" si="13"/>
        <v/>
      </c>
      <c r="S144" s="89" t="str">
        <f t="shared" si="14"/>
        <v/>
      </c>
      <c r="X144" s="64">
        <f t="shared" si="15"/>
        <v>0</v>
      </c>
      <c r="Y144" s="53">
        <f t="shared" si="16"/>
        <v>0</v>
      </c>
      <c r="Z144" s="64">
        <f t="shared" si="17"/>
        <v>0</v>
      </c>
    </row>
    <row r="145" spans="1:26">
      <c r="A145" s="89" t="str">
        <f t="shared" si="12"/>
        <v/>
      </c>
      <c r="B145" s="89" t="str">
        <f t="shared" si="13"/>
        <v/>
      </c>
      <c r="S145" s="89" t="str">
        <f t="shared" si="14"/>
        <v/>
      </c>
      <c r="X145" s="64">
        <f t="shared" si="15"/>
        <v>0</v>
      </c>
      <c r="Y145" s="53">
        <f t="shared" si="16"/>
        <v>0</v>
      </c>
      <c r="Z145" s="64">
        <f t="shared" si="17"/>
        <v>0</v>
      </c>
    </row>
    <row r="146" spans="1:26">
      <c r="A146" s="89" t="str">
        <f t="shared" si="12"/>
        <v/>
      </c>
      <c r="B146" s="89" t="str">
        <f t="shared" si="13"/>
        <v/>
      </c>
      <c r="S146" s="89" t="str">
        <f t="shared" si="14"/>
        <v/>
      </c>
      <c r="X146" s="64">
        <f t="shared" si="15"/>
        <v>0</v>
      </c>
      <c r="Y146" s="53">
        <f t="shared" si="16"/>
        <v>0</v>
      </c>
      <c r="Z146" s="64">
        <f t="shared" si="17"/>
        <v>0</v>
      </c>
    </row>
    <row r="147" spans="1:26">
      <c r="A147" s="89" t="str">
        <f t="shared" si="12"/>
        <v/>
      </c>
      <c r="B147" s="89" t="str">
        <f t="shared" si="13"/>
        <v/>
      </c>
      <c r="S147" s="89" t="str">
        <f t="shared" si="14"/>
        <v/>
      </c>
      <c r="X147" s="64">
        <f t="shared" si="15"/>
        <v>0</v>
      </c>
      <c r="Y147" s="53">
        <f t="shared" si="16"/>
        <v>0</v>
      </c>
      <c r="Z147" s="64">
        <f t="shared" si="17"/>
        <v>0</v>
      </c>
    </row>
    <row r="148" spans="1:26">
      <c r="A148" s="89" t="str">
        <f t="shared" si="12"/>
        <v/>
      </c>
      <c r="B148" s="89" t="str">
        <f t="shared" si="13"/>
        <v/>
      </c>
      <c r="S148" s="89" t="str">
        <f t="shared" si="14"/>
        <v/>
      </c>
      <c r="X148" s="64">
        <f t="shared" si="15"/>
        <v>0</v>
      </c>
      <c r="Y148" s="53">
        <f t="shared" si="16"/>
        <v>0</v>
      </c>
      <c r="Z148" s="64">
        <f t="shared" si="17"/>
        <v>0</v>
      </c>
    </row>
    <row r="149" spans="1:26">
      <c r="A149" s="89" t="str">
        <f t="shared" si="12"/>
        <v/>
      </c>
      <c r="B149" s="89" t="str">
        <f t="shared" si="13"/>
        <v/>
      </c>
      <c r="S149" s="89" t="str">
        <f t="shared" si="14"/>
        <v/>
      </c>
      <c r="X149" s="64">
        <f t="shared" si="15"/>
        <v>0</v>
      </c>
      <c r="Y149" s="53">
        <f t="shared" si="16"/>
        <v>0</v>
      </c>
      <c r="Z149" s="64">
        <f t="shared" si="17"/>
        <v>0</v>
      </c>
    </row>
    <row r="150" spans="1:26">
      <c r="A150" s="89" t="str">
        <f t="shared" si="12"/>
        <v/>
      </c>
      <c r="B150" s="89" t="str">
        <f t="shared" si="13"/>
        <v/>
      </c>
      <c r="S150" s="89" t="str">
        <f t="shared" si="14"/>
        <v/>
      </c>
      <c r="X150" s="64">
        <f t="shared" si="15"/>
        <v>0</v>
      </c>
      <c r="Y150" s="53">
        <f t="shared" si="16"/>
        <v>0</v>
      </c>
      <c r="Z150" s="64">
        <f t="shared" si="17"/>
        <v>0</v>
      </c>
    </row>
    <row r="151" spans="1:26">
      <c r="A151" s="89" t="str">
        <f t="shared" si="12"/>
        <v/>
      </c>
      <c r="B151" s="89" t="str">
        <f t="shared" si="13"/>
        <v/>
      </c>
      <c r="S151" s="89" t="str">
        <f t="shared" si="14"/>
        <v/>
      </c>
      <c r="X151" s="64">
        <f t="shared" si="15"/>
        <v>0</v>
      </c>
      <c r="Y151" s="53">
        <f t="shared" si="16"/>
        <v>0</v>
      </c>
      <c r="Z151" s="64">
        <f t="shared" si="17"/>
        <v>0</v>
      </c>
    </row>
    <row r="152" spans="1:26">
      <c r="A152" s="89" t="str">
        <f t="shared" si="12"/>
        <v/>
      </c>
      <c r="B152" s="89" t="str">
        <f t="shared" si="13"/>
        <v/>
      </c>
      <c r="S152" s="89" t="str">
        <f t="shared" si="14"/>
        <v/>
      </c>
      <c r="X152" s="64">
        <f t="shared" si="15"/>
        <v>0</v>
      </c>
      <c r="Y152" s="53">
        <f t="shared" si="16"/>
        <v>0</v>
      </c>
      <c r="Z152" s="64">
        <f t="shared" si="17"/>
        <v>0</v>
      </c>
    </row>
    <row r="153" spans="1:26">
      <c r="A153" s="89" t="str">
        <f t="shared" si="12"/>
        <v/>
      </c>
      <c r="B153" s="89" t="str">
        <f t="shared" si="13"/>
        <v/>
      </c>
      <c r="S153" s="89" t="str">
        <f t="shared" si="14"/>
        <v/>
      </c>
      <c r="X153" s="64">
        <f t="shared" si="15"/>
        <v>0</v>
      </c>
      <c r="Y153" s="53">
        <f t="shared" si="16"/>
        <v>0</v>
      </c>
      <c r="Z153" s="64">
        <f t="shared" si="17"/>
        <v>0</v>
      </c>
    </row>
    <row r="154" spans="1:26">
      <c r="A154" s="89" t="str">
        <f t="shared" si="12"/>
        <v/>
      </c>
      <c r="B154" s="89" t="str">
        <f t="shared" si="13"/>
        <v/>
      </c>
      <c r="S154" s="89" t="str">
        <f t="shared" si="14"/>
        <v/>
      </c>
      <c r="X154" s="64">
        <f t="shared" si="15"/>
        <v>0</v>
      </c>
      <c r="Y154" s="53">
        <f t="shared" si="16"/>
        <v>0</v>
      </c>
      <c r="Z154" s="64">
        <f t="shared" si="17"/>
        <v>0</v>
      </c>
    </row>
    <row r="155" spans="1:26">
      <c r="A155" s="89" t="str">
        <f t="shared" si="12"/>
        <v/>
      </c>
      <c r="B155" s="89" t="str">
        <f t="shared" si="13"/>
        <v/>
      </c>
      <c r="S155" s="89" t="str">
        <f t="shared" si="14"/>
        <v/>
      </c>
      <c r="X155" s="64">
        <f t="shared" si="15"/>
        <v>0</v>
      </c>
      <c r="Y155" s="53">
        <f t="shared" si="16"/>
        <v>0</v>
      </c>
      <c r="Z155" s="64">
        <f t="shared" si="17"/>
        <v>0</v>
      </c>
    </row>
    <row r="156" spans="1:26">
      <c r="A156" s="89" t="str">
        <f t="shared" si="12"/>
        <v/>
      </c>
      <c r="B156" s="89" t="str">
        <f t="shared" si="13"/>
        <v/>
      </c>
      <c r="S156" s="89" t="str">
        <f t="shared" si="14"/>
        <v/>
      </c>
      <c r="X156" s="64">
        <f t="shared" si="15"/>
        <v>0</v>
      </c>
      <c r="Y156" s="53">
        <f t="shared" si="16"/>
        <v>0</v>
      </c>
      <c r="Z156" s="64">
        <f t="shared" si="17"/>
        <v>0</v>
      </c>
    </row>
    <row r="157" spans="1:26">
      <c r="A157" s="89" t="str">
        <f t="shared" si="12"/>
        <v/>
      </c>
      <c r="B157" s="89" t="str">
        <f t="shared" si="13"/>
        <v/>
      </c>
      <c r="S157" s="89" t="str">
        <f t="shared" si="14"/>
        <v/>
      </c>
      <c r="X157" s="64">
        <f t="shared" si="15"/>
        <v>0</v>
      </c>
      <c r="Y157" s="53">
        <f t="shared" si="16"/>
        <v>0</v>
      </c>
      <c r="Z157" s="64">
        <f t="shared" si="17"/>
        <v>0</v>
      </c>
    </row>
    <row r="158" spans="1:26">
      <c r="A158" s="89" t="str">
        <f t="shared" si="12"/>
        <v/>
      </c>
      <c r="B158" s="89" t="str">
        <f t="shared" si="13"/>
        <v/>
      </c>
      <c r="S158" s="89" t="str">
        <f t="shared" si="14"/>
        <v/>
      </c>
      <c r="X158" s="64">
        <f t="shared" si="15"/>
        <v>0</v>
      </c>
      <c r="Y158" s="53">
        <f t="shared" si="16"/>
        <v>0</v>
      </c>
      <c r="Z158" s="64">
        <f t="shared" si="17"/>
        <v>0</v>
      </c>
    </row>
    <row r="159" spans="1:26">
      <c r="A159" s="89" t="str">
        <f t="shared" si="12"/>
        <v/>
      </c>
      <c r="B159" s="89" t="str">
        <f t="shared" si="13"/>
        <v/>
      </c>
      <c r="S159" s="89" t="str">
        <f t="shared" si="14"/>
        <v/>
      </c>
      <c r="X159" s="64">
        <f t="shared" si="15"/>
        <v>0</v>
      </c>
      <c r="Y159" s="53">
        <f t="shared" si="16"/>
        <v>0</v>
      </c>
      <c r="Z159" s="64">
        <f t="shared" si="17"/>
        <v>0</v>
      </c>
    </row>
    <row r="160" spans="1:26">
      <c r="A160" s="89" t="str">
        <f t="shared" si="12"/>
        <v/>
      </c>
      <c r="B160" s="89" t="str">
        <f t="shared" si="13"/>
        <v/>
      </c>
      <c r="S160" s="89" t="str">
        <f t="shared" si="14"/>
        <v/>
      </c>
      <c r="X160" s="64">
        <f t="shared" si="15"/>
        <v>0</v>
      </c>
      <c r="Y160" s="53">
        <f t="shared" si="16"/>
        <v>0</v>
      </c>
      <c r="Z160" s="64">
        <f t="shared" si="17"/>
        <v>0</v>
      </c>
    </row>
    <row r="161" spans="1:26">
      <c r="A161" s="89" t="str">
        <f t="shared" si="12"/>
        <v/>
      </c>
      <c r="B161" s="89" t="str">
        <f t="shared" si="13"/>
        <v/>
      </c>
      <c r="S161" s="89" t="str">
        <f t="shared" si="14"/>
        <v/>
      </c>
      <c r="X161" s="64">
        <f t="shared" si="15"/>
        <v>0</v>
      </c>
      <c r="Y161" s="53">
        <f t="shared" si="16"/>
        <v>0</v>
      </c>
      <c r="Z161" s="64">
        <f t="shared" si="17"/>
        <v>0</v>
      </c>
    </row>
    <row r="162" spans="1:26">
      <c r="A162" s="89" t="str">
        <f t="shared" si="12"/>
        <v/>
      </c>
      <c r="B162" s="89" t="str">
        <f t="shared" si="13"/>
        <v/>
      </c>
      <c r="S162" s="89" t="str">
        <f t="shared" si="14"/>
        <v/>
      </c>
      <c r="X162" s="64">
        <f t="shared" si="15"/>
        <v>0</v>
      </c>
      <c r="Y162" s="53">
        <f t="shared" si="16"/>
        <v>0</v>
      </c>
      <c r="Z162" s="64">
        <f t="shared" si="17"/>
        <v>0</v>
      </c>
    </row>
    <row r="163" spans="1:26">
      <c r="A163" s="89" t="str">
        <f t="shared" si="12"/>
        <v/>
      </c>
      <c r="B163" s="89" t="str">
        <f t="shared" si="13"/>
        <v/>
      </c>
      <c r="S163" s="89" t="str">
        <f t="shared" si="14"/>
        <v/>
      </c>
      <c r="X163" s="64">
        <f t="shared" si="15"/>
        <v>0</v>
      </c>
      <c r="Y163" s="53">
        <f t="shared" si="16"/>
        <v>0</v>
      </c>
      <c r="Z163" s="64">
        <f t="shared" si="17"/>
        <v>0</v>
      </c>
    </row>
    <row r="164" spans="1:26">
      <c r="A164" s="89" t="str">
        <f t="shared" si="12"/>
        <v/>
      </c>
      <c r="B164" s="89" t="str">
        <f t="shared" si="13"/>
        <v/>
      </c>
      <c r="S164" s="89" t="str">
        <f t="shared" si="14"/>
        <v/>
      </c>
      <c r="X164" s="64">
        <f t="shared" si="15"/>
        <v>0</v>
      </c>
      <c r="Y164" s="53">
        <f t="shared" si="16"/>
        <v>0</v>
      </c>
      <c r="Z164" s="64">
        <f t="shared" si="17"/>
        <v>0</v>
      </c>
    </row>
    <row r="165" spans="1:26">
      <c r="A165" s="89" t="str">
        <f t="shared" si="12"/>
        <v/>
      </c>
      <c r="B165" s="89" t="str">
        <f t="shared" si="13"/>
        <v/>
      </c>
      <c r="S165" s="89" t="str">
        <f t="shared" si="14"/>
        <v/>
      </c>
      <c r="X165" s="64">
        <f t="shared" si="15"/>
        <v>0</v>
      </c>
      <c r="Y165" s="53">
        <f t="shared" si="16"/>
        <v>0</v>
      </c>
      <c r="Z165" s="64">
        <f t="shared" si="17"/>
        <v>0</v>
      </c>
    </row>
    <row r="166" spans="1:26">
      <c r="A166" s="89" t="str">
        <f t="shared" si="12"/>
        <v/>
      </c>
      <c r="B166" s="89" t="str">
        <f t="shared" si="13"/>
        <v/>
      </c>
      <c r="S166" s="89" t="str">
        <f t="shared" si="14"/>
        <v/>
      </c>
      <c r="X166" s="64">
        <f t="shared" si="15"/>
        <v>0</v>
      </c>
      <c r="Y166" s="53">
        <f t="shared" si="16"/>
        <v>0</v>
      </c>
      <c r="Z166" s="64">
        <f t="shared" si="17"/>
        <v>0</v>
      </c>
    </row>
    <row r="167" spans="1:26">
      <c r="A167" s="89" t="str">
        <f t="shared" si="12"/>
        <v/>
      </c>
      <c r="B167" s="89" t="str">
        <f t="shared" si="13"/>
        <v/>
      </c>
      <c r="S167" s="89" t="str">
        <f t="shared" si="14"/>
        <v/>
      </c>
      <c r="X167" s="64">
        <f t="shared" si="15"/>
        <v>0</v>
      </c>
      <c r="Y167" s="53">
        <f t="shared" si="16"/>
        <v>0</v>
      </c>
      <c r="Z167" s="64">
        <f t="shared" si="17"/>
        <v>0</v>
      </c>
    </row>
    <row r="168" spans="1:26">
      <c r="A168" s="89" t="str">
        <f t="shared" si="12"/>
        <v/>
      </c>
      <c r="B168" s="89" t="str">
        <f t="shared" si="13"/>
        <v/>
      </c>
      <c r="S168" s="89" t="str">
        <f t="shared" si="14"/>
        <v/>
      </c>
      <c r="X168" s="64">
        <f t="shared" si="15"/>
        <v>0</v>
      </c>
      <c r="Y168" s="53">
        <f t="shared" si="16"/>
        <v>0</v>
      </c>
      <c r="Z168" s="64">
        <f t="shared" si="17"/>
        <v>0</v>
      </c>
    </row>
    <row r="169" spans="1:26">
      <c r="A169" s="89" t="str">
        <f t="shared" si="12"/>
        <v/>
      </c>
      <c r="B169" s="89" t="str">
        <f t="shared" si="13"/>
        <v/>
      </c>
      <c r="S169" s="89" t="str">
        <f t="shared" si="14"/>
        <v/>
      </c>
      <c r="X169" s="64">
        <f t="shared" si="15"/>
        <v>0</v>
      </c>
      <c r="Y169" s="53">
        <f t="shared" si="16"/>
        <v>0</v>
      </c>
      <c r="Z169" s="64">
        <f t="shared" si="17"/>
        <v>0</v>
      </c>
    </row>
    <row r="170" spans="1:26">
      <c r="A170" s="89" t="str">
        <f t="shared" si="12"/>
        <v/>
      </c>
      <c r="B170" s="89" t="str">
        <f t="shared" si="13"/>
        <v/>
      </c>
      <c r="S170" s="89" t="str">
        <f t="shared" si="14"/>
        <v/>
      </c>
      <c r="X170" s="64">
        <f t="shared" si="15"/>
        <v>0</v>
      </c>
      <c r="Y170" s="53">
        <f t="shared" si="16"/>
        <v>0</v>
      </c>
      <c r="Z170" s="64">
        <f t="shared" si="17"/>
        <v>0</v>
      </c>
    </row>
    <row r="171" spans="1:26">
      <c r="A171" s="89" t="str">
        <f t="shared" si="12"/>
        <v/>
      </c>
      <c r="B171" s="89" t="str">
        <f t="shared" si="13"/>
        <v/>
      </c>
      <c r="S171" s="89" t="str">
        <f t="shared" si="14"/>
        <v/>
      </c>
      <c r="X171" s="64">
        <f t="shared" si="15"/>
        <v>0</v>
      </c>
      <c r="Y171" s="53">
        <f t="shared" si="16"/>
        <v>0</v>
      </c>
      <c r="Z171" s="64">
        <f t="shared" si="17"/>
        <v>0</v>
      </c>
    </row>
    <row r="172" spans="1:26">
      <c r="A172" s="89" t="str">
        <f t="shared" si="12"/>
        <v/>
      </c>
      <c r="B172" s="89" t="str">
        <f t="shared" si="13"/>
        <v/>
      </c>
      <c r="S172" s="89" t="str">
        <f t="shared" si="14"/>
        <v/>
      </c>
      <c r="X172" s="64">
        <f t="shared" si="15"/>
        <v>0</v>
      </c>
      <c r="Y172" s="53">
        <f t="shared" si="16"/>
        <v>0</v>
      </c>
      <c r="Z172" s="64">
        <f t="shared" si="17"/>
        <v>0</v>
      </c>
    </row>
    <row r="173" spans="1:26">
      <c r="A173" s="89" t="str">
        <f t="shared" si="12"/>
        <v/>
      </c>
      <c r="B173" s="89" t="str">
        <f t="shared" si="13"/>
        <v/>
      </c>
      <c r="S173" s="89" t="str">
        <f t="shared" si="14"/>
        <v/>
      </c>
      <c r="X173" s="64">
        <f t="shared" si="15"/>
        <v>0</v>
      </c>
      <c r="Y173" s="53">
        <f t="shared" si="16"/>
        <v>0</v>
      </c>
      <c r="Z173" s="64">
        <f t="shared" si="17"/>
        <v>0</v>
      </c>
    </row>
    <row r="174" spans="1:26">
      <c r="A174" s="89" t="str">
        <f t="shared" si="12"/>
        <v/>
      </c>
      <c r="B174" s="89" t="str">
        <f t="shared" si="13"/>
        <v/>
      </c>
      <c r="S174" s="89" t="str">
        <f t="shared" si="14"/>
        <v/>
      </c>
      <c r="X174" s="64">
        <f t="shared" si="15"/>
        <v>0</v>
      </c>
      <c r="Y174" s="53">
        <f t="shared" si="16"/>
        <v>0</v>
      </c>
      <c r="Z174" s="64">
        <f t="shared" si="17"/>
        <v>0</v>
      </c>
    </row>
    <row r="175" spans="1:26">
      <c r="A175" s="89" t="str">
        <f t="shared" si="12"/>
        <v/>
      </c>
      <c r="B175" s="89" t="str">
        <f t="shared" si="13"/>
        <v/>
      </c>
      <c r="S175" s="89" t="str">
        <f t="shared" si="14"/>
        <v/>
      </c>
      <c r="X175" s="64">
        <f t="shared" si="15"/>
        <v>0</v>
      </c>
      <c r="Y175" s="53">
        <f t="shared" si="16"/>
        <v>0</v>
      </c>
      <c r="Z175" s="64">
        <f t="shared" si="17"/>
        <v>0</v>
      </c>
    </row>
    <row r="176" spans="1:26">
      <c r="A176" s="89" t="str">
        <f t="shared" si="12"/>
        <v/>
      </c>
      <c r="B176" s="89" t="str">
        <f t="shared" si="13"/>
        <v/>
      </c>
      <c r="S176" s="89" t="str">
        <f t="shared" si="14"/>
        <v/>
      </c>
      <c r="X176" s="64">
        <f t="shared" si="15"/>
        <v>0</v>
      </c>
      <c r="Y176" s="53">
        <f t="shared" si="16"/>
        <v>0</v>
      </c>
      <c r="Z176" s="64">
        <f t="shared" si="17"/>
        <v>0</v>
      </c>
    </row>
    <row r="177" spans="1:26">
      <c r="A177" s="89" t="str">
        <f t="shared" si="12"/>
        <v/>
      </c>
      <c r="B177" s="89" t="str">
        <f t="shared" si="13"/>
        <v/>
      </c>
      <c r="S177" s="89" t="str">
        <f t="shared" si="14"/>
        <v/>
      </c>
      <c r="X177" s="64">
        <f t="shared" si="15"/>
        <v>0</v>
      </c>
      <c r="Y177" s="53">
        <f t="shared" si="16"/>
        <v>0</v>
      </c>
      <c r="Z177" s="64">
        <f t="shared" si="17"/>
        <v>0</v>
      </c>
    </row>
    <row r="178" spans="1:26">
      <c r="A178" s="89" t="str">
        <f t="shared" si="12"/>
        <v/>
      </c>
      <c r="B178" s="89" t="str">
        <f t="shared" si="13"/>
        <v/>
      </c>
      <c r="S178" s="89" t="str">
        <f t="shared" si="14"/>
        <v/>
      </c>
      <c r="X178" s="64">
        <f t="shared" si="15"/>
        <v>0</v>
      </c>
      <c r="Y178" s="53">
        <f t="shared" si="16"/>
        <v>0</v>
      </c>
      <c r="Z178" s="64">
        <f t="shared" si="17"/>
        <v>0</v>
      </c>
    </row>
    <row r="179" spans="1:26">
      <c r="A179" s="89" t="str">
        <f t="shared" si="12"/>
        <v/>
      </c>
      <c r="B179" s="89" t="str">
        <f t="shared" si="13"/>
        <v/>
      </c>
      <c r="S179" s="89" t="str">
        <f t="shared" si="14"/>
        <v/>
      </c>
      <c r="X179" s="64">
        <f t="shared" si="15"/>
        <v>0</v>
      </c>
      <c r="Y179" s="53">
        <f t="shared" si="16"/>
        <v>0</v>
      </c>
      <c r="Z179" s="64">
        <f t="shared" si="17"/>
        <v>0</v>
      </c>
    </row>
    <row r="180" spans="1:26">
      <c r="A180" s="89" t="str">
        <f t="shared" si="12"/>
        <v/>
      </c>
      <c r="B180" s="89" t="str">
        <f t="shared" si="13"/>
        <v/>
      </c>
      <c r="S180" s="89" t="str">
        <f t="shared" si="14"/>
        <v/>
      </c>
      <c r="X180" s="64">
        <f t="shared" si="15"/>
        <v>0</v>
      </c>
      <c r="Y180" s="53">
        <f t="shared" si="16"/>
        <v>0</v>
      </c>
      <c r="Z180" s="64">
        <f t="shared" si="17"/>
        <v>0</v>
      </c>
    </row>
    <row r="181" spans="1:26">
      <c r="A181" s="89" t="str">
        <f t="shared" si="12"/>
        <v/>
      </c>
      <c r="B181" s="89" t="str">
        <f t="shared" si="13"/>
        <v/>
      </c>
      <c r="S181" s="89" t="str">
        <f t="shared" si="14"/>
        <v/>
      </c>
      <c r="X181" s="64">
        <f t="shared" si="15"/>
        <v>0</v>
      </c>
      <c r="Y181" s="53">
        <f t="shared" si="16"/>
        <v>0</v>
      </c>
      <c r="Z181" s="64">
        <f t="shared" si="17"/>
        <v>0</v>
      </c>
    </row>
    <row r="182" spans="1:26">
      <c r="A182" s="89" t="str">
        <f t="shared" si="12"/>
        <v/>
      </c>
      <c r="B182" s="89" t="str">
        <f t="shared" si="13"/>
        <v/>
      </c>
      <c r="S182" s="89" t="str">
        <f t="shared" si="14"/>
        <v/>
      </c>
      <c r="X182" s="64">
        <f t="shared" si="15"/>
        <v>0</v>
      </c>
      <c r="Y182" s="53">
        <f t="shared" si="16"/>
        <v>0</v>
      </c>
      <c r="Z182" s="64">
        <f t="shared" si="17"/>
        <v>0</v>
      </c>
    </row>
    <row r="183" spans="1:26">
      <c r="A183" s="89" t="str">
        <f t="shared" si="12"/>
        <v/>
      </c>
      <c r="B183" s="89" t="str">
        <f t="shared" si="13"/>
        <v/>
      </c>
      <c r="S183" s="89" t="str">
        <f t="shared" si="14"/>
        <v/>
      </c>
      <c r="X183" s="64">
        <f t="shared" si="15"/>
        <v>0</v>
      </c>
      <c r="Y183" s="53">
        <f t="shared" si="16"/>
        <v>0</v>
      </c>
      <c r="Z183" s="64">
        <f t="shared" si="17"/>
        <v>0</v>
      </c>
    </row>
    <row r="184" spans="1:26">
      <c r="A184" s="89" t="str">
        <f t="shared" si="12"/>
        <v/>
      </c>
      <c r="B184" s="89" t="str">
        <f t="shared" si="13"/>
        <v/>
      </c>
      <c r="S184" s="89" t="str">
        <f t="shared" si="14"/>
        <v/>
      </c>
      <c r="X184" s="64">
        <f t="shared" si="15"/>
        <v>0</v>
      </c>
      <c r="Y184" s="53">
        <f t="shared" si="16"/>
        <v>0</v>
      </c>
      <c r="Z184" s="64">
        <f t="shared" si="17"/>
        <v>0</v>
      </c>
    </row>
    <row r="185" spans="1:26">
      <c r="A185" s="89" t="str">
        <f t="shared" si="12"/>
        <v/>
      </c>
      <c r="B185" s="89" t="str">
        <f t="shared" si="13"/>
        <v/>
      </c>
      <c r="S185" s="89" t="str">
        <f t="shared" si="14"/>
        <v/>
      </c>
      <c r="X185" s="64">
        <f t="shared" si="15"/>
        <v>0</v>
      </c>
      <c r="Y185" s="53">
        <f t="shared" si="16"/>
        <v>0</v>
      </c>
      <c r="Z185" s="64">
        <f t="shared" si="17"/>
        <v>0</v>
      </c>
    </row>
    <row r="186" spans="1:26">
      <c r="A186" s="89" t="str">
        <f t="shared" si="12"/>
        <v/>
      </c>
      <c r="B186" s="89" t="str">
        <f t="shared" si="13"/>
        <v/>
      </c>
      <c r="S186" s="89" t="str">
        <f t="shared" si="14"/>
        <v/>
      </c>
      <c r="X186" s="64">
        <f t="shared" si="15"/>
        <v>0</v>
      </c>
      <c r="Y186" s="53">
        <f t="shared" si="16"/>
        <v>0</v>
      </c>
      <c r="Z186" s="64">
        <f t="shared" si="17"/>
        <v>0</v>
      </c>
    </row>
    <row r="187" spans="1:26">
      <c r="A187" s="89" t="str">
        <f t="shared" si="12"/>
        <v/>
      </c>
      <c r="B187" s="89" t="str">
        <f t="shared" si="13"/>
        <v/>
      </c>
      <c r="S187" s="89" t="str">
        <f t="shared" si="14"/>
        <v/>
      </c>
      <c r="X187" s="64">
        <f t="shared" si="15"/>
        <v>0</v>
      </c>
      <c r="Y187" s="53">
        <f t="shared" si="16"/>
        <v>0</v>
      </c>
      <c r="Z187" s="64">
        <f t="shared" si="17"/>
        <v>0</v>
      </c>
    </row>
    <row r="188" spans="1:26">
      <c r="A188" s="89" t="str">
        <f t="shared" si="12"/>
        <v/>
      </c>
      <c r="B188" s="89" t="str">
        <f t="shared" si="13"/>
        <v/>
      </c>
      <c r="S188" s="89" t="str">
        <f t="shared" si="14"/>
        <v/>
      </c>
      <c r="X188" s="64">
        <f t="shared" si="15"/>
        <v>0</v>
      </c>
      <c r="Y188" s="53">
        <f t="shared" si="16"/>
        <v>0</v>
      </c>
      <c r="Z188" s="64">
        <f t="shared" si="17"/>
        <v>0</v>
      </c>
    </row>
    <row r="189" spans="1:26">
      <c r="A189" s="89" t="str">
        <f t="shared" si="12"/>
        <v/>
      </c>
      <c r="B189" s="89" t="str">
        <f t="shared" si="13"/>
        <v/>
      </c>
      <c r="S189" s="89" t="str">
        <f t="shared" si="14"/>
        <v/>
      </c>
      <c r="X189" s="64">
        <f t="shared" si="15"/>
        <v>0</v>
      </c>
      <c r="Y189" s="53">
        <f t="shared" si="16"/>
        <v>0</v>
      </c>
      <c r="Z189" s="64">
        <f t="shared" si="17"/>
        <v>0</v>
      </c>
    </row>
    <row r="190" spans="1:26">
      <c r="A190" s="89" t="str">
        <f t="shared" si="12"/>
        <v/>
      </c>
      <c r="B190" s="89" t="str">
        <f t="shared" si="13"/>
        <v/>
      </c>
      <c r="S190" s="89" t="str">
        <f t="shared" si="14"/>
        <v/>
      </c>
      <c r="X190" s="64">
        <f t="shared" si="15"/>
        <v>0</v>
      </c>
      <c r="Y190" s="53">
        <f t="shared" si="16"/>
        <v>0</v>
      </c>
      <c r="Z190" s="64">
        <f t="shared" si="17"/>
        <v>0</v>
      </c>
    </row>
    <row r="191" spans="1:26">
      <c r="A191" s="89" t="str">
        <f t="shared" si="12"/>
        <v/>
      </c>
      <c r="B191" s="89" t="str">
        <f t="shared" si="13"/>
        <v/>
      </c>
      <c r="S191" s="89" t="str">
        <f t="shared" si="14"/>
        <v/>
      </c>
      <c r="X191" s="64">
        <f t="shared" si="15"/>
        <v>0</v>
      </c>
      <c r="Y191" s="53">
        <f t="shared" si="16"/>
        <v>0</v>
      </c>
      <c r="Z191" s="64">
        <f t="shared" si="17"/>
        <v>0</v>
      </c>
    </row>
    <row r="192" spans="1:26">
      <c r="A192" s="89" t="str">
        <f t="shared" si="12"/>
        <v/>
      </c>
      <c r="B192" s="89" t="str">
        <f t="shared" si="13"/>
        <v/>
      </c>
      <c r="S192" s="89" t="str">
        <f t="shared" si="14"/>
        <v/>
      </c>
      <c r="X192" s="64">
        <f t="shared" si="15"/>
        <v>0</v>
      </c>
      <c r="Y192" s="53">
        <f t="shared" si="16"/>
        <v>0</v>
      </c>
      <c r="Z192" s="64">
        <f t="shared" si="17"/>
        <v>0</v>
      </c>
    </row>
    <row r="193" spans="1:26">
      <c r="A193" s="89" t="str">
        <f t="shared" si="12"/>
        <v/>
      </c>
      <c r="B193" s="89" t="str">
        <f t="shared" si="13"/>
        <v/>
      </c>
      <c r="S193" s="89" t="str">
        <f t="shared" si="14"/>
        <v/>
      </c>
      <c r="X193" s="64">
        <f t="shared" si="15"/>
        <v>0</v>
      </c>
      <c r="Y193" s="53">
        <f t="shared" si="16"/>
        <v>0</v>
      </c>
      <c r="Z193" s="64">
        <f t="shared" si="17"/>
        <v>0</v>
      </c>
    </row>
    <row r="194" spans="1:26">
      <c r="A194" s="89" t="str">
        <f t="shared" si="12"/>
        <v/>
      </c>
      <c r="B194" s="89" t="str">
        <f t="shared" si="13"/>
        <v/>
      </c>
      <c r="S194" s="89" t="str">
        <f t="shared" si="14"/>
        <v/>
      </c>
      <c r="X194" s="64">
        <f t="shared" si="15"/>
        <v>0</v>
      </c>
      <c r="Y194" s="53">
        <f t="shared" si="16"/>
        <v>0</v>
      </c>
      <c r="Z194" s="64">
        <f t="shared" si="17"/>
        <v>0</v>
      </c>
    </row>
    <row r="195" spans="1:26">
      <c r="A195" s="89" t="str">
        <f t="shared" ref="A195:A258" si="18">IF(G195&amp;Q195&lt;&gt;"",G195&amp;Q195,"")</f>
        <v/>
      </c>
      <c r="B195" s="89" t="str">
        <f t="shared" ref="B195:B258" si="19">IF(C195&lt;&gt;"",LEFT(C195,9),"")</f>
        <v/>
      </c>
      <c r="S195" s="89" t="str">
        <f t="shared" ref="S195:S258" si="20">IF(H195&lt;&gt;"",H195,"")</f>
        <v/>
      </c>
      <c r="X195" s="64">
        <f t="shared" ref="X195:X258" si="21">IFERROR(VALUE(MID($C195,1,2)),0)</f>
        <v>0</v>
      </c>
      <c r="Y195" s="53">
        <f t="shared" ref="Y195:Y258" si="22">IFERROR(VALUE(MID($C195,4,3)),0)</f>
        <v>0</v>
      </c>
      <c r="Z195" s="64">
        <f t="shared" ref="Z195:Z258" si="23">VALUE(RIGHT("00"&amp;X195,2)&amp;RIGHT("000"&amp;Y195,3))</f>
        <v>0</v>
      </c>
    </row>
    <row r="196" spans="1:26">
      <c r="A196" s="89" t="str">
        <f t="shared" si="18"/>
        <v/>
      </c>
      <c r="B196" s="89" t="str">
        <f t="shared" si="19"/>
        <v/>
      </c>
      <c r="S196" s="89" t="str">
        <f t="shared" si="20"/>
        <v/>
      </c>
      <c r="X196" s="64">
        <f t="shared" si="21"/>
        <v>0</v>
      </c>
      <c r="Y196" s="53">
        <f t="shared" si="22"/>
        <v>0</v>
      </c>
      <c r="Z196" s="64">
        <f t="shared" si="23"/>
        <v>0</v>
      </c>
    </row>
    <row r="197" spans="1:26">
      <c r="A197" s="89" t="str">
        <f t="shared" si="18"/>
        <v/>
      </c>
      <c r="B197" s="89" t="str">
        <f t="shared" si="19"/>
        <v/>
      </c>
      <c r="S197" s="89" t="str">
        <f t="shared" si="20"/>
        <v/>
      </c>
      <c r="X197" s="64">
        <f t="shared" si="21"/>
        <v>0</v>
      </c>
      <c r="Y197" s="53">
        <f t="shared" si="22"/>
        <v>0</v>
      </c>
      <c r="Z197" s="64">
        <f t="shared" si="23"/>
        <v>0</v>
      </c>
    </row>
    <row r="198" spans="1:26">
      <c r="A198" s="89" t="str">
        <f t="shared" si="18"/>
        <v/>
      </c>
      <c r="B198" s="89" t="str">
        <f t="shared" si="19"/>
        <v/>
      </c>
      <c r="S198" s="89" t="str">
        <f t="shared" si="20"/>
        <v/>
      </c>
      <c r="X198" s="64">
        <f t="shared" si="21"/>
        <v>0</v>
      </c>
      <c r="Y198" s="53">
        <f t="shared" si="22"/>
        <v>0</v>
      </c>
      <c r="Z198" s="64">
        <f t="shared" si="23"/>
        <v>0</v>
      </c>
    </row>
    <row r="199" spans="1:26">
      <c r="A199" s="89" t="str">
        <f t="shared" si="18"/>
        <v/>
      </c>
      <c r="B199" s="89" t="str">
        <f t="shared" si="19"/>
        <v/>
      </c>
      <c r="S199" s="89" t="str">
        <f t="shared" si="20"/>
        <v/>
      </c>
      <c r="X199" s="64">
        <f t="shared" si="21"/>
        <v>0</v>
      </c>
      <c r="Y199" s="53">
        <f t="shared" si="22"/>
        <v>0</v>
      </c>
      <c r="Z199" s="64">
        <f t="shared" si="23"/>
        <v>0</v>
      </c>
    </row>
    <row r="200" spans="1:26">
      <c r="A200" s="89" t="str">
        <f t="shared" si="18"/>
        <v/>
      </c>
      <c r="B200" s="89" t="str">
        <f t="shared" si="19"/>
        <v/>
      </c>
      <c r="S200" s="89" t="str">
        <f t="shared" si="20"/>
        <v/>
      </c>
      <c r="X200" s="64">
        <f t="shared" si="21"/>
        <v>0</v>
      </c>
      <c r="Y200" s="53">
        <f t="shared" si="22"/>
        <v>0</v>
      </c>
      <c r="Z200" s="64">
        <f t="shared" si="23"/>
        <v>0</v>
      </c>
    </row>
    <row r="201" spans="1:26">
      <c r="A201" s="89" t="str">
        <f t="shared" si="18"/>
        <v/>
      </c>
      <c r="B201" s="89" t="str">
        <f t="shared" si="19"/>
        <v/>
      </c>
      <c r="S201" s="89" t="str">
        <f t="shared" si="20"/>
        <v/>
      </c>
      <c r="X201" s="64">
        <f t="shared" si="21"/>
        <v>0</v>
      </c>
      <c r="Y201" s="53">
        <f t="shared" si="22"/>
        <v>0</v>
      </c>
      <c r="Z201" s="64">
        <f t="shared" si="23"/>
        <v>0</v>
      </c>
    </row>
    <row r="202" spans="1:26">
      <c r="A202" s="89" t="str">
        <f t="shared" si="18"/>
        <v/>
      </c>
      <c r="B202" s="89" t="str">
        <f t="shared" si="19"/>
        <v/>
      </c>
      <c r="S202" s="89" t="str">
        <f t="shared" si="20"/>
        <v/>
      </c>
      <c r="X202" s="64">
        <f t="shared" si="21"/>
        <v>0</v>
      </c>
      <c r="Y202" s="53">
        <f t="shared" si="22"/>
        <v>0</v>
      </c>
      <c r="Z202" s="64">
        <f t="shared" si="23"/>
        <v>0</v>
      </c>
    </row>
    <row r="203" spans="1:26">
      <c r="A203" s="89" t="str">
        <f t="shared" si="18"/>
        <v/>
      </c>
      <c r="B203" s="89" t="str">
        <f t="shared" si="19"/>
        <v/>
      </c>
      <c r="S203" s="89" t="str">
        <f t="shared" si="20"/>
        <v/>
      </c>
      <c r="X203" s="64">
        <f t="shared" si="21"/>
        <v>0</v>
      </c>
      <c r="Y203" s="53">
        <f t="shared" si="22"/>
        <v>0</v>
      </c>
      <c r="Z203" s="64">
        <f t="shared" si="23"/>
        <v>0</v>
      </c>
    </row>
    <row r="204" spans="1:26">
      <c r="A204" s="89" t="str">
        <f t="shared" si="18"/>
        <v/>
      </c>
      <c r="B204" s="89" t="str">
        <f t="shared" si="19"/>
        <v/>
      </c>
      <c r="S204" s="89" t="str">
        <f t="shared" si="20"/>
        <v/>
      </c>
      <c r="X204" s="64">
        <f t="shared" si="21"/>
        <v>0</v>
      </c>
      <c r="Y204" s="53">
        <f t="shared" si="22"/>
        <v>0</v>
      </c>
      <c r="Z204" s="64">
        <f t="shared" si="23"/>
        <v>0</v>
      </c>
    </row>
    <row r="205" spans="1:26">
      <c r="A205" s="89" t="str">
        <f t="shared" si="18"/>
        <v/>
      </c>
      <c r="B205" s="89" t="str">
        <f t="shared" si="19"/>
        <v/>
      </c>
      <c r="S205" s="89" t="str">
        <f t="shared" si="20"/>
        <v/>
      </c>
      <c r="X205" s="64">
        <f t="shared" si="21"/>
        <v>0</v>
      </c>
      <c r="Y205" s="53">
        <f t="shared" si="22"/>
        <v>0</v>
      </c>
      <c r="Z205" s="64">
        <f t="shared" si="23"/>
        <v>0</v>
      </c>
    </row>
    <row r="206" spans="1:26">
      <c r="A206" s="89" t="str">
        <f t="shared" si="18"/>
        <v/>
      </c>
      <c r="B206" s="89" t="str">
        <f t="shared" si="19"/>
        <v/>
      </c>
      <c r="S206" s="89" t="str">
        <f t="shared" si="20"/>
        <v/>
      </c>
      <c r="X206" s="64">
        <f t="shared" si="21"/>
        <v>0</v>
      </c>
      <c r="Y206" s="53">
        <f t="shared" si="22"/>
        <v>0</v>
      </c>
      <c r="Z206" s="64">
        <f t="shared" si="23"/>
        <v>0</v>
      </c>
    </row>
    <row r="207" spans="1:26">
      <c r="A207" s="89" t="str">
        <f t="shared" si="18"/>
        <v/>
      </c>
      <c r="B207" s="89" t="str">
        <f t="shared" si="19"/>
        <v/>
      </c>
      <c r="S207" s="89" t="str">
        <f t="shared" si="20"/>
        <v/>
      </c>
      <c r="X207" s="64">
        <f t="shared" si="21"/>
        <v>0</v>
      </c>
      <c r="Y207" s="53">
        <f t="shared" si="22"/>
        <v>0</v>
      </c>
      <c r="Z207" s="64">
        <f t="shared" si="23"/>
        <v>0</v>
      </c>
    </row>
    <row r="208" spans="1:26">
      <c r="A208" s="89" t="str">
        <f t="shared" si="18"/>
        <v/>
      </c>
      <c r="B208" s="89" t="str">
        <f t="shared" si="19"/>
        <v/>
      </c>
      <c r="S208" s="89" t="str">
        <f t="shared" si="20"/>
        <v/>
      </c>
      <c r="X208" s="64">
        <f t="shared" si="21"/>
        <v>0</v>
      </c>
      <c r="Y208" s="53">
        <f t="shared" si="22"/>
        <v>0</v>
      </c>
      <c r="Z208" s="64">
        <f t="shared" si="23"/>
        <v>0</v>
      </c>
    </row>
    <row r="209" spans="1:26">
      <c r="A209" s="89" t="str">
        <f t="shared" si="18"/>
        <v/>
      </c>
      <c r="B209" s="89" t="str">
        <f t="shared" si="19"/>
        <v/>
      </c>
      <c r="S209" s="89" t="str">
        <f t="shared" si="20"/>
        <v/>
      </c>
      <c r="X209" s="64">
        <f t="shared" si="21"/>
        <v>0</v>
      </c>
      <c r="Y209" s="53">
        <f t="shared" si="22"/>
        <v>0</v>
      </c>
      <c r="Z209" s="64">
        <f t="shared" si="23"/>
        <v>0</v>
      </c>
    </row>
    <row r="210" spans="1:26">
      <c r="A210" s="89" t="str">
        <f t="shared" si="18"/>
        <v/>
      </c>
      <c r="B210" s="89" t="str">
        <f t="shared" si="19"/>
        <v/>
      </c>
      <c r="S210" s="89" t="str">
        <f t="shared" si="20"/>
        <v/>
      </c>
      <c r="X210" s="64">
        <f t="shared" si="21"/>
        <v>0</v>
      </c>
      <c r="Y210" s="53">
        <f t="shared" si="22"/>
        <v>0</v>
      </c>
      <c r="Z210" s="64">
        <f t="shared" si="23"/>
        <v>0</v>
      </c>
    </row>
    <row r="211" spans="1:26">
      <c r="A211" s="89" t="str">
        <f t="shared" si="18"/>
        <v/>
      </c>
      <c r="B211" s="89" t="str">
        <f t="shared" si="19"/>
        <v/>
      </c>
      <c r="S211" s="89" t="str">
        <f t="shared" si="20"/>
        <v/>
      </c>
      <c r="X211" s="64">
        <f t="shared" si="21"/>
        <v>0</v>
      </c>
      <c r="Y211" s="53">
        <f t="shared" si="22"/>
        <v>0</v>
      </c>
      <c r="Z211" s="64">
        <f t="shared" si="23"/>
        <v>0</v>
      </c>
    </row>
    <row r="212" spans="1:26">
      <c r="A212" s="89" t="str">
        <f t="shared" si="18"/>
        <v/>
      </c>
      <c r="B212" s="89" t="str">
        <f t="shared" si="19"/>
        <v/>
      </c>
      <c r="S212" s="89" t="str">
        <f t="shared" si="20"/>
        <v/>
      </c>
      <c r="X212" s="64">
        <f t="shared" si="21"/>
        <v>0</v>
      </c>
      <c r="Y212" s="53">
        <f t="shared" si="22"/>
        <v>0</v>
      </c>
      <c r="Z212" s="64">
        <f t="shared" si="23"/>
        <v>0</v>
      </c>
    </row>
    <row r="213" spans="1:26">
      <c r="A213" s="89" t="str">
        <f t="shared" si="18"/>
        <v/>
      </c>
      <c r="B213" s="89" t="str">
        <f t="shared" si="19"/>
        <v/>
      </c>
      <c r="S213" s="89" t="str">
        <f t="shared" si="20"/>
        <v/>
      </c>
      <c r="X213" s="64">
        <f t="shared" si="21"/>
        <v>0</v>
      </c>
      <c r="Y213" s="53">
        <f t="shared" si="22"/>
        <v>0</v>
      </c>
      <c r="Z213" s="64">
        <f t="shared" si="23"/>
        <v>0</v>
      </c>
    </row>
    <row r="214" spans="1:26">
      <c r="A214" s="89" t="str">
        <f t="shared" si="18"/>
        <v/>
      </c>
      <c r="B214" s="89" t="str">
        <f t="shared" si="19"/>
        <v/>
      </c>
      <c r="S214" s="89" t="str">
        <f t="shared" si="20"/>
        <v/>
      </c>
      <c r="X214" s="64">
        <f t="shared" si="21"/>
        <v>0</v>
      </c>
      <c r="Y214" s="53">
        <f t="shared" si="22"/>
        <v>0</v>
      </c>
      <c r="Z214" s="64">
        <f t="shared" si="23"/>
        <v>0</v>
      </c>
    </row>
    <row r="215" spans="1:26">
      <c r="A215" s="89" t="str">
        <f t="shared" si="18"/>
        <v/>
      </c>
      <c r="B215" s="89" t="str">
        <f t="shared" si="19"/>
        <v/>
      </c>
      <c r="S215" s="89" t="str">
        <f t="shared" si="20"/>
        <v/>
      </c>
      <c r="X215" s="64">
        <f t="shared" si="21"/>
        <v>0</v>
      </c>
      <c r="Y215" s="53">
        <f t="shared" si="22"/>
        <v>0</v>
      </c>
      <c r="Z215" s="64">
        <f t="shared" si="23"/>
        <v>0</v>
      </c>
    </row>
    <row r="216" spans="1:26">
      <c r="A216" s="89" t="str">
        <f t="shared" si="18"/>
        <v/>
      </c>
      <c r="B216" s="89" t="str">
        <f t="shared" si="19"/>
        <v/>
      </c>
      <c r="S216" s="89" t="str">
        <f t="shared" si="20"/>
        <v/>
      </c>
      <c r="X216" s="64">
        <f t="shared" si="21"/>
        <v>0</v>
      </c>
      <c r="Y216" s="53">
        <f t="shared" si="22"/>
        <v>0</v>
      </c>
      <c r="Z216" s="64">
        <f t="shared" si="23"/>
        <v>0</v>
      </c>
    </row>
    <row r="217" spans="1:26">
      <c r="A217" s="89" t="str">
        <f t="shared" si="18"/>
        <v/>
      </c>
      <c r="B217" s="89" t="str">
        <f t="shared" si="19"/>
        <v/>
      </c>
      <c r="S217" s="89" t="str">
        <f t="shared" si="20"/>
        <v/>
      </c>
      <c r="X217" s="64">
        <f t="shared" si="21"/>
        <v>0</v>
      </c>
      <c r="Y217" s="53">
        <f t="shared" si="22"/>
        <v>0</v>
      </c>
      <c r="Z217" s="64">
        <f t="shared" si="23"/>
        <v>0</v>
      </c>
    </row>
    <row r="218" spans="1:26">
      <c r="A218" s="89" t="str">
        <f t="shared" si="18"/>
        <v/>
      </c>
      <c r="B218" s="89" t="str">
        <f>IF(C218&lt;&gt;"",LEFT(C218,9),"")</f>
        <v/>
      </c>
      <c r="S218" s="89" t="str">
        <f t="shared" si="20"/>
        <v/>
      </c>
      <c r="X218" s="64">
        <f t="shared" si="21"/>
        <v>0</v>
      </c>
      <c r="Y218" s="53">
        <f t="shared" si="22"/>
        <v>0</v>
      </c>
      <c r="Z218" s="64">
        <f t="shared" si="23"/>
        <v>0</v>
      </c>
    </row>
    <row r="219" spans="1:26">
      <c r="A219" s="89" t="str">
        <f t="shared" si="18"/>
        <v/>
      </c>
      <c r="B219" s="89" t="str">
        <f t="shared" si="19"/>
        <v/>
      </c>
      <c r="S219" s="89" t="str">
        <f t="shared" si="20"/>
        <v/>
      </c>
      <c r="X219" s="64">
        <f t="shared" si="21"/>
        <v>0</v>
      </c>
      <c r="Y219" s="53">
        <f t="shared" si="22"/>
        <v>0</v>
      </c>
      <c r="Z219" s="64">
        <f t="shared" si="23"/>
        <v>0</v>
      </c>
    </row>
    <row r="220" spans="1:26">
      <c r="A220" s="89" t="str">
        <f t="shared" si="18"/>
        <v/>
      </c>
      <c r="B220" s="89" t="str">
        <f t="shared" si="19"/>
        <v/>
      </c>
      <c r="S220" s="89" t="str">
        <f t="shared" si="20"/>
        <v/>
      </c>
      <c r="X220" s="64">
        <f t="shared" si="21"/>
        <v>0</v>
      </c>
      <c r="Y220" s="53">
        <f t="shared" si="22"/>
        <v>0</v>
      </c>
      <c r="Z220" s="64">
        <f t="shared" si="23"/>
        <v>0</v>
      </c>
    </row>
    <row r="221" spans="1:26">
      <c r="A221" s="89" t="str">
        <f t="shared" si="18"/>
        <v/>
      </c>
      <c r="B221" s="89" t="str">
        <f t="shared" si="19"/>
        <v/>
      </c>
      <c r="S221" s="89" t="str">
        <f t="shared" si="20"/>
        <v/>
      </c>
      <c r="X221" s="64">
        <f t="shared" si="21"/>
        <v>0</v>
      </c>
      <c r="Y221" s="53">
        <f t="shared" si="22"/>
        <v>0</v>
      </c>
      <c r="Z221" s="64">
        <f t="shared" si="23"/>
        <v>0</v>
      </c>
    </row>
    <row r="222" spans="1:26">
      <c r="A222" s="89" t="str">
        <f t="shared" si="18"/>
        <v/>
      </c>
      <c r="B222" s="89" t="str">
        <f t="shared" si="19"/>
        <v/>
      </c>
      <c r="S222" s="89" t="str">
        <f t="shared" si="20"/>
        <v/>
      </c>
      <c r="X222" s="64">
        <f t="shared" si="21"/>
        <v>0</v>
      </c>
      <c r="Y222" s="53">
        <f t="shared" si="22"/>
        <v>0</v>
      </c>
      <c r="Z222" s="64">
        <f t="shared" si="23"/>
        <v>0</v>
      </c>
    </row>
    <row r="223" spans="1:26">
      <c r="A223" s="89" t="str">
        <f t="shared" si="18"/>
        <v/>
      </c>
      <c r="B223" s="89" t="str">
        <f t="shared" si="19"/>
        <v/>
      </c>
      <c r="S223" s="89" t="str">
        <f t="shared" si="20"/>
        <v/>
      </c>
      <c r="X223" s="64">
        <f t="shared" si="21"/>
        <v>0</v>
      </c>
      <c r="Y223" s="53">
        <f t="shared" si="22"/>
        <v>0</v>
      </c>
      <c r="Z223" s="64">
        <f t="shared" si="23"/>
        <v>0</v>
      </c>
    </row>
    <row r="224" spans="1:26">
      <c r="A224" s="89" t="str">
        <f t="shared" si="18"/>
        <v/>
      </c>
      <c r="B224" s="89" t="str">
        <f t="shared" si="19"/>
        <v/>
      </c>
      <c r="S224" s="89" t="str">
        <f t="shared" si="20"/>
        <v/>
      </c>
      <c r="X224" s="64">
        <f t="shared" si="21"/>
        <v>0</v>
      </c>
      <c r="Y224" s="53">
        <f t="shared" si="22"/>
        <v>0</v>
      </c>
      <c r="Z224" s="64">
        <f t="shared" si="23"/>
        <v>0</v>
      </c>
    </row>
    <row r="225" spans="1:26">
      <c r="A225" s="89" t="str">
        <f t="shared" si="18"/>
        <v/>
      </c>
      <c r="B225" s="89" t="str">
        <f t="shared" si="19"/>
        <v/>
      </c>
      <c r="S225" s="89" t="str">
        <f t="shared" si="20"/>
        <v/>
      </c>
      <c r="X225" s="64">
        <f t="shared" si="21"/>
        <v>0</v>
      </c>
      <c r="Y225" s="53">
        <f t="shared" si="22"/>
        <v>0</v>
      </c>
      <c r="Z225" s="64">
        <f t="shared" si="23"/>
        <v>0</v>
      </c>
    </row>
    <row r="226" spans="1:26">
      <c r="A226" s="89" t="str">
        <f t="shared" si="18"/>
        <v/>
      </c>
      <c r="B226" s="89" t="str">
        <f t="shared" si="19"/>
        <v/>
      </c>
      <c r="S226" s="89" t="str">
        <f t="shared" si="20"/>
        <v/>
      </c>
      <c r="X226" s="64">
        <f t="shared" si="21"/>
        <v>0</v>
      </c>
      <c r="Y226" s="53">
        <f t="shared" si="22"/>
        <v>0</v>
      </c>
      <c r="Z226" s="64">
        <f t="shared" si="23"/>
        <v>0</v>
      </c>
    </row>
    <row r="227" spans="1:26">
      <c r="A227" s="89" t="str">
        <f t="shared" si="18"/>
        <v/>
      </c>
      <c r="B227" s="89" t="str">
        <f t="shared" si="19"/>
        <v/>
      </c>
      <c r="S227" s="89" t="str">
        <f t="shared" si="20"/>
        <v/>
      </c>
      <c r="X227" s="64">
        <f t="shared" si="21"/>
        <v>0</v>
      </c>
      <c r="Y227" s="53">
        <f t="shared" si="22"/>
        <v>0</v>
      </c>
      <c r="Z227" s="64">
        <f t="shared" si="23"/>
        <v>0</v>
      </c>
    </row>
    <row r="228" spans="1:26">
      <c r="A228" s="89" t="str">
        <f t="shared" si="18"/>
        <v/>
      </c>
      <c r="B228" s="89" t="str">
        <f t="shared" si="19"/>
        <v/>
      </c>
      <c r="S228" s="89" t="str">
        <f t="shared" si="20"/>
        <v/>
      </c>
      <c r="X228" s="64">
        <f t="shared" si="21"/>
        <v>0</v>
      </c>
      <c r="Y228" s="53">
        <f t="shared" si="22"/>
        <v>0</v>
      </c>
      <c r="Z228" s="64">
        <f t="shared" si="23"/>
        <v>0</v>
      </c>
    </row>
    <row r="229" spans="1:26">
      <c r="A229" s="89" t="str">
        <f t="shared" si="18"/>
        <v/>
      </c>
      <c r="B229" s="89" t="str">
        <f t="shared" si="19"/>
        <v/>
      </c>
      <c r="S229" s="89" t="str">
        <f t="shared" si="20"/>
        <v/>
      </c>
      <c r="X229" s="64">
        <f t="shared" si="21"/>
        <v>0</v>
      </c>
      <c r="Y229" s="53">
        <f t="shared" si="22"/>
        <v>0</v>
      </c>
      <c r="Z229" s="64">
        <f t="shared" si="23"/>
        <v>0</v>
      </c>
    </row>
    <row r="230" spans="1:26">
      <c r="A230" s="89" t="str">
        <f t="shared" si="18"/>
        <v/>
      </c>
      <c r="B230" s="89" t="str">
        <f t="shared" si="19"/>
        <v/>
      </c>
      <c r="S230" s="89" t="str">
        <f t="shared" si="20"/>
        <v/>
      </c>
      <c r="X230" s="64">
        <f t="shared" si="21"/>
        <v>0</v>
      </c>
      <c r="Y230" s="53">
        <f t="shared" si="22"/>
        <v>0</v>
      </c>
      <c r="Z230" s="64">
        <f t="shared" si="23"/>
        <v>0</v>
      </c>
    </row>
    <row r="231" spans="1:26">
      <c r="A231" s="89" t="str">
        <f t="shared" si="18"/>
        <v/>
      </c>
      <c r="B231" s="89" t="str">
        <f t="shared" si="19"/>
        <v/>
      </c>
      <c r="S231" s="89" t="str">
        <f t="shared" si="20"/>
        <v/>
      </c>
      <c r="X231" s="64">
        <f t="shared" si="21"/>
        <v>0</v>
      </c>
      <c r="Y231" s="53">
        <f t="shared" si="22"/>
        <v>0</v>
      </c>
      <c r="Z231" s="64">
        <f t="shared" si="23"/>
        <v>0</v>
      </c>
    </row>
    <row r="232" spans="1:26">
      <c r="A232" s="89" t="str">
        <f t="shared" si="18"/>
        <v/>
      </c>
      <c r="B232" s="89" t="str">
        <f t="shared" si="19"/>
        <v/>
      </c>
      <c r="S232" s="89" t="str">
        <f t="shared" si="20"/>
        <v/>
      </c>
      <c r="X232" s="64">
        <f t="shared" si="21"/>
        <v>0</v>
      </c>
      <c r="Y232" s="53">
        <f t="shared" si="22"/>
        <v>0</v>
      </c>
      <c r="Z232" s="64">
        <f t="shared" si="23"/>
        <v>0</v>
      </c>
    </row>
    <row r="233" spans="1:26">
      <c r="A233" s="89" t="str">
        <f t="shared" si="18"/>
        <v/>
      </c>
      <c r="B233" s="89" t="str">
        <f t="shared" si="19"/>
        <v/>
      </c>
      <c r="S233" s="89" t="str">
        <f t="shared" si="20"/>
        <v/>
      </c>
      <c r="X233" s="64">
        <f t="shared" si="21"/>
        <v>0</v>
      </c>
      <c r="Y233" s="53">
        <f t="shared" si="22"/>
        <v>0</v>
      </c>
      <c r="Z233" s="64">
        <f t="shared" si="23"/>
        <v>0</v>
      </c>
    </row>
    <row r="234" spans="1:26">
      <c r="A234" s="89" t="str">
        <f t="shared" si="18"/>
        <v/>
      </c>
      <c r="B234" s="89" t="str">
        <f t="shared" si="19"/>
        <v/>
      </c>
      <c r="S234" s="89" t="str">
        <f t="shared" si="20"/>
        <v/>
      </c>
      <c r="X234" s="64">
        <f t="shared" si="21"/>
        <v>0</v>
      </c>
      <c r="Y234" s="53">
        <f t="shared" si="22"/>
        <v>0</v>
      </c>
      <c r="Z234" s="64">
        <f t="shared" si="23"/>
        <v>0</v>
      </c>
    </row>
    <row r="235" spans="1:26">
      <c r="A235" s="89" t="str">
        <f t="shared" si="18"/>
        <v/>
      </c>
      <c r="B235" s="89" t="str">
        <f t="shared" si="19"/>
        <v/>
      </c>
      <c r="S235" s="89" t="str">
        <f t="shared" si="20"/>
        <v/>
      </c>
      <c r="X235" s="64">
        <f t="shared" si="21"/>
        <v>0</v>
      </c>
      <c r="Y235" s="53">
        <f t="shared" si="22"/>
        <v>0</v>
      </c>
      <c r="Z235" s="64">
        <f t="shared" si="23"/>
        <v>0</v>
      </c>
    </row>
    <row r="236" spans="1:26">
      <c r="A236" s="89" t="str">
        <f t="shared" si="18"/>
        <v/>
      </c>
      <c r="B236" s="89" t="str">
        <f t="shared" si="19"/>
        <v/>
      </c>
      <c r="S236" s="89" t="str">
        <f t="shared" si="20"/>
        <v/>
      </c>
      <c r="X236" s="64">
        <f t="shared" si="21"/>
        <v>0</v>
      </c>
      <c r="Y236" s="53">
        <f t="shared" si="22"/>
        <v>0</v>
      </c>
      <c r="Z236" s="64">
        <f t="shared" si="23"/>
        <v>0</v>
      </c>
    </row>
    <row r="237" spans="1:26">
      <c r="A237" s="89" t="str">
        <f t="shared" si="18"/>
        <v/>
      </c>
      <c r="B237" s="89" t="str">
        <f t="shared" si="19"/>
        <v/>
      </c>
      <c r="S237" s="89" t="str">
        <f t="shared" si="20"/>
        <v/>
      </c>
      <c r="X237" s="64">
        <f t="shared" si="21"/>
        <v>0</v>
      </c>
      <c r="Y237" s="53">
        <f t="shared" si="22"/>
        <v>0</v>
      </c>
      <c r="Z237" s="64">
        <f t="shared" si="23"/>
        <v>0</v>
      </c>
    </row>
    <row r="238" spans="1:26">
      <c r="A238" s="89" t="str">
        <f t="shared" si="18"/>
        <v/>
      </c>
      <c r="B238" s="89" t="str">
        <f t="shared" si="19"/>
        <v/>
      </c>
      <c r="S238" s="89" t="str">
        <f t="shared" si="20"/>
        <v/>
      </c>
      <c r="X238" s="64">
        <f t="shared" si="21"/>
        <v>0</v>
      </c>
      <c r="Y238" s="53">
        <f t="shared" si="22"/>
        <v>0</v>
      </c>
      <c r="Z238" s="64">
        <f t="shared" si="23"/>
        <v>0</v>
      </c>
    </row>
    <row r="239" spans="1:26">
      <c r="A239" s="89" t="str">
        <f t="shared" si="18"/>
        <v/>
      </c>
      <c r="B239" s="89" t="str">
        <f t="shared" si="19"/>
        <v/>
      </c>
      <c r="S239" s="89" t="str">
        <f t="shared" si="20"/>
        <v/>
      </c>
      <c r="X239" s="64">
        <f t="shared" si="21"/>
        <v>0</v>
      </c>
      <c r="Y239" s="53">
        <f t="shared" si="22"/>
        <v>0</v>
      </c>
      <c r="Z239" s="64">
        <f t="shared" si="23"/>
        <v>0</v>
      </c>
    </row>
    <row r="240" spans="1:26">
      <c r="A240" s="89" t="str">
        <f t="shared" si="18"/>
        <v/>
      </c>
      <c r="B240" s="89" t="str">
        <f t="shared" si="19"/>
        <v/>
      </c>
      <c r="S240" s="89" t="str">
        <f t="shared" si="20"/>
        <v/>
      </c>
      <c r="X240" s="64">
        <f t="shared" si="21"/>
        <v>0</v>
      </c>
      <c r="Y240" s="53">
        <f t="shared" si="22"/>
        <v>0</v>
      </c>
      <c r="Z240" s="64">
        <f t="shared" si="23"/>
        <v>0</v>
      </c>
    </row>
    <row r="241" spans="1:26">
      <c r="A241" s="89" t="str">
        <f t="shared" si="18"/>
        <v/>
      </c>
      <c r="B241" s="89" t="str">
        <f t="shared" si="19"/>
        <v/>
      </c>
      <c r="S241" s="89" t="str">
        <f t="shared" si="20"/>
        <v/>
      </c>
      <c r="X241" s="64">
        <f t="shared" si="21"/>
        <v>0</v>
      </c>
      <c r="Y241" s="53">
        <f t="shared" si="22"/>
        <v>0</v>
      </c>
      <c r="Z241" s="64">
        <f t="shared" si="23"/>
        <v>0</v>
      </c>
    </row>
    <row r="242" spans="1:26">
      <c r="A242" s="89" t="str">
        <f t="shared" si="18"/>
        <v/>
      </c>
      <c r="B242" s="89" t="str">
        <f t="shared" si="19"/>
        <v/>
      </c>
      <c r="S242" s="89" t="str">
        <f t="shared" si="20"/>
        <v/>
      </c>
      <c r="X242" s="64">
        <f t="shared" si="21"/>
        <v>0</v>
      </c>
      <c r="Y242" s="53">
        <f t="shared" si="22"/>
        <v>0</v>
      </c>
      <c r="Z242" s="64">
        <f t="shared" si="23"/>
        <v>0</v>
      </c>
    </row>
    <row r="243" spans="1:26">
      <c r="A243" s="89" t="str">
        <f t="shared" si="18"/>
        <v/>
      </c>
      <c r="B243" s="89" t="str">
        <f t="shared" si="19"/>
        <v/>
      </c>
      <c r="S243" s="89" t="str">
        <f t="shared" si="20"/>
        <v/>
      </c>
      <c r="X243" s="64">
        <f t="shared" si="21"/>
        <v>0</v>
      </c>
      <c r="Y243" s="53">
        <f t="shared" si="22"/>
        <v>0</v>
      </c>
      <c r="Z243" s="64">
        <f t="shared" si="23"/>
        <v>0</v>
      </c>
    </row>
    <row r="244" spans="1:26">
      <c r="A244" s="89" t="str">
        <f t="shared" si="18"/>
        <v/>
      </c>
      <c r="B244" s="89" t="str">
        <f t="shared" si="19"/>
        <v/>
      </c>
      <c r="S244" s="89" t="str">
        <f t="shared" si="20"/>
        <v/>
      </c>
      <c r="X244" s="64">
        <f t="shared" si="21"/>
        <v>0</v>
      </c>
      <c r="Y244" s="53">
        <f t="shared" si="22"/>
        <v>0</v>
      </c>
      <c r="Z244" s="64">
        <f t="shared" si="23"/>
        <v>0</v>
      </c>
    </row>
    <row r="245" spans="1:26">
      <c r="A245" s="89" t="str">
        <f t="shared" si="18"/>
        <v/>
      </c>
      <c r="B245" s="89" t="str">
        <f t="shared" si="19"/>
        <v/>
      </c>
      <c r="S245" s="89" t="str">
        <f t="shared" si="20"/>
        <v/>
      </c>
      <c r="X245" s="64">
        <f t="shared" si="21"/>
        <v>0</v>
      </c>
      <c r="Y245" s="53">
        <f t="shared" si="22"/>
        <v>0</v>
      </c>
      <c r="Z245" s="64">
        <f t="shared" si="23"/>
        <v>0</v>
      </c>
    </row>
    <row r="246" spans="1:26">
      <c r="A246" s="89" t="str">
        <f t="shared" si="18"/>
        <v/>
      </c>
      <c r="B246" s="89" t="str">
        <f t="shared" si="19"/>
        <v/>
      </c>
      <c r="S246" s="89" t="str">
        <f t="shared" si="20"/>
        <v/>
      </c>
      <c r="X246" s="64">
        <f t="shared" si="21"/>
        <v>0</v>
      </c>
      <c r="Y246" s="53">
        <f t="shared" si="22"/>
        <v>0</v>
      </c>
      <c r="Z246" s="64">
        <f t="shared" si="23"/>
        <v>0</v>
      </c>
    </row>
    <row r="247" spans="1:26">
      <c r="A247" s="89" t="str">
        <f t="shared" si="18"/>
        <v/>
      </c>
      <c r="B247" s="89" t="str">
        <f t="shared" si="19"/>
        <v/>
      </c>
      <c r="S247" s="89" t="str">
        <f t="shared" si="20"/>
        <v/>
      </c>
      <c r="X247" s="64">
        <f t="shared" si="21"/>
        <v>0</v>
      </c>
      <c r="Y247" s="53">
        <f t="shared" si="22"/>
        <v>0</v>
      </c>
      <c r="Z247" s="64">
        <f t="shared" si="23"/>
        <v>0</v>
      </c>
    </row>
    <row r="248" spans="1:26">
      <c r="A248" s="89" t="str">
        <f t="shared" si="18"/>
        <v/>
      </c>
      <c r="B248" s="89" t="str">
        <f t="shared" si="19"/>
        <v/>
      </c>
      <c r="S248" s="89" t="str">
        <f t="shared" si="20"/>
        <v/>
      </c>
      <c r="X248" s="64">
        <f t="shared" si="21"/>
        <v>0</v>
      </c>
      <c r="Y248" s="53">
        <f t="shared" si="22"/>
        <v>0</v>
      </c>
      <c r="Z248" s="64">
        <f t="shared" si="23"/>
        <v>0</v>
      </c>
    </row>
    <row r="249" spans="1:26">
      <c r="A249" s="89" t="str">
        <f t="shared" si="18"/>
        <v/>
      </c>
      <c r="B249" s="89" t="str">
        <f t="shared" si="19"/>
        <v/>
      </c>
      <c r="S249" s="89" t="str">
        <f t="shared" si="20"/>
        <v/>
      </c>
      <c r="X249" s="64">
        <f t="shared" si="21"/>
        <v>0</v>
      </c>
      <c r="Y249" s="53">
        <f t="shared" si="22"/>
        <v>0</v>
      </c>
      <c r="Z249" s="64">
        <f t="shared" si="23"/>
        <v>0</v>
      </c>
    </row>
    <row r="250" spans="1:26">
      <c r="A250" s="89" t="str">
        <f t="shared" si="18"/>
        <v/>
      </c>
      <c r="B250" s="89" t="str">
        <f t="shared" si="19"/>
        <v/>
      </c>
      <c r="S250" s="89" t="str">
        <f t="shared" si="20"/>
        <v/>
      </c>
      <c r="X250" s="64">
        <f t="shared" si="21"/>
        <v>0</v>
      </c>
      <c r="Y250" s="53">
        <f t="shared" si="22"/>
        <v>0</v>
      </c>
      <c r="Z250" s="64">
        <f t="shared" si="23"/>
        <v>0</v>
      </c>
    </row>
    <row r="251" spans="1:26">
      <c r="A251" s="89" t="str">
        <f t="shared" si="18"/>
        <v/>
      </c>
      <c r="B251" s="89" t="str">
        <f t="shared" si="19"/>
        <v/>
      </c>
      <c r="S251" s="89" t="str">
        <f t="shared" si="20"/>
        <v/>
      </c>
      <c r="X251" s="64">
        <f t="shared" si="21"/>
        <v>0</v>
      </c>
      <c r="Y251" s="53">
        <f t="shared" si="22"/>
        <v>0</v>
      </c>
      <c r="Z251" s="64">
        <f t="shared" si="23"/>
        <v>0</v>
      </c>
    </row>
    <row r="252" spans="1:26">
      <c r="A252" s="89" t="str">
        <f t="shared" si="18"/>
        <v/>
      </c>
      <c r="B252" s="89" t="str">
        <f t="shared" si="19"/>
        <v/>
      </c>
      <c r="S252" s="89" t="str">
        <f t="shared" si="20"/>
        <v/>
      </c>
      <c r="X252" s="64">
        <f t="shared" si="21"/>
        <v>0</v>
      </c>
      <c r="Y252" s="53">
        <f t="shared" si="22"/>
        <v>0</v>
      </c>
      <c r="Z252" s="64">
        <f t="shared" si="23"/>
        <v>0</v>
      </c>
    </row>
    <row r="253" spans="1:26">
      <c r="A253" s="89" t="str">
        <f t="shared" si="18"/>
        <v/>
      </c>
      <c r="B253" s="89" t="str">
        <f t="shared" si="19"/>
        <v/>
      </c>
      <c r="S253" s="89" t="str">
        <f t="shared" si="20"/>
        <v/>
      </c>
      <c r="X253" s="64">
        <f t="shared" si="21"/>
        <v>0</v>
      </c>
      <c r="Y253" s="53">
        <f t="shared" si="22"/>
        <v>0</v>
      </c>
      <c r="Z253" s="64">
        <f t="shared" si="23"/>
        <v>0</v>
      </c>
    </row>
    <row r="254" spans="1:26">
      <c r="A254" s="89" t="str">
        <f t="shared" si="18"/>
        <v/>
      </c>
      <c r="B254" s="89" t="str">
        <f t="shared" si="19"/>
        <v/>
      </c>
      <c r="S254" s="89" t="str">
        <f t="shared" si="20"/>
        <v/>
      </c>
      <c r="X254" s="64">
        <f t="shared" si="21"/>
        <v>0</v>
      </c>
      <c r="Y254" s="53">
        <f t="shared" si="22"/>
        <v>0</v>
      </c>
      <c r="Z254" s="64">
        <f t="shared" si="23"/>
        <v>0</v>
      </c>
    </row>
    <row r="255" spans="1:26">
      <c r="A255" s="89" t="str">
        <f t="shared" si="18"/>
        <v/>
      </c>
      <c r="B255" s="89" t="str">
        <f t="shared" si="19"/>
        <v/>
      </c>
      <c r="S255" s="89" t="str">
        <f t="shared" si="20"/>
        <v/>
      </c>
      <c r="X255" s="64">
        <f t="shared" si="21"/>
        <v>0</v>
      </c>
      <c r="Y255" s="53">
        <f t="shared" si="22"/>
        <v>0</v>
      </c>
      <c r="Z255" s="64">
        <f t="shared" si="23"/>
        <v>0</v>
      </c>
    </row>
    <row r="256" spans="1:26">
      <c r="A256" s="89" t="str">
        <f t="shared" si="18"/>
        <v/>
      </c>
      <c r="B256" s="89" t="str">
        <f t="shared" si="19"/>
        <v/>
      </c>
      <c r="S256" s="89" t="str">
        <f t="shared" si="20"/>
        <v/>
      </c>
      <c r="X256" s="64">
        <f t="shared" si="21"/>
        <v>0</v>
      </c>
      <c r="Y256" s="53">
        <f t="shared" si="22"/>
        <v>0</v>
      </c>
      <c r="Z256" s="64">
        <f t="shared" si="23"/>
        <v>0</v>
      </c>
    </row>
    <row r="257" spans="1:26">
      <c r="A257" s="89" t="str">
        <f t="shared" si="18"/>
        <v/>
      </c>
      <c r="B257" s="89" t="str">
        <f t="shared" si="19"/>
        <v/>
      </c>
      <c r="S257" s="89" t="str">
        <f t="shared" si="20"/>
        <v/>
      </c>
      <c r="X257" s="64">
        <f t="shared" si="21"/>
        <v>0</v>
      </c>
      <c r="Y257" s="53">
        <f t="shared" si="22"/>
        <v>0</v>
      </c>
      <c r="Z257" s="64">
        <f t="shared" si="23"/>
        <v>0</v>
      </c>
    </row>
    <row r="258" spans="1:26">
      <c r="A258" s="89" t="str">
        <f t="shared" si="18"/>
        <v/>
      </c>
      <c r="B258" s="89" t="str">
        <f t="shared" si="19"/>
        <v/>
      </c>
      <c r="S258" s="89" t="str">
        <f t="shared" si="20"/>
        <v/>
      </c>
      <c r="X258" s="64">
        <f t="shared" si="21"/>
        <v>0</v>
      </c>
      <c r="Y258" s="53">
        <f t="shared" si="22"/>
        <v>0</v>
      </c>
      <c r="Z258" s="64">
        <f t="shared" si="23"/>
        <v>0</v>
      </c>
    </row>
    <row r="259" spans="1:26">
      <c r="A259" s="89" t="str">
        <f t="shared" ref="A259:A322" si="24">IF(G259&amp;Q259&lt;&gt;"",G259&amp;Q259,"")</f>
        <v/>
      </c>
      <c r="B259" s="89" t="str">
        <f t="shared" ref="B259:B322" si="25">IF(C259&lt;&gt;"",LEFT(C259,9),"")</f>
        <v/>
      </c>
      <c r="S259" s="89" t="str">
        <f t="shared" ref="S259:S322" si="26">IF(H259&lt;&gt;"",H259,"")</f>
        <v/>
      </c>
      <c r="X259" s="64">
        <f t="shared" ref="X259:X322" si="27">IFERROR(VALUE(MID($C259,1,2)),0)</f>
        <v>0</v>
      </c>
      <c r="Y259" s="53">
        <f t="shared" ref="Y259:Y322" si="28">IFERROR(VALUE(MID($C259,4,3)),0)</f>
        <v>0</v>
      </c>
      <c r="Z259" s="64">
        <f t="shared" ref="Z259:Z322" si="29">VALUE(RIGHT("00"&amp;X259,2)&amp;RIGHT("000"&amp;Y259,3))</f>
        <v>0</v>
      </c>
    </row>
    <row r="260" spans="1:26">
      <c r="A260" s="89" t="str">
        <f t="shared" si="24"/>
        <v/>
      </c>
      <c r="B260" s="89" t="str">
        <f t="shared" si="25"/>
        <v/>
      </c>
      <c r="S260" s="89" t="str">
        <f t="shared" si="26"/>
        <v/>
      </c>
      <c r="X260" s="64">
        <f t="shared" si="27"/>
        <v>0</v>
      </c>
      <c r="Y260" s="53">
        <f t="shared" si="28"/>
        <v>0</v>
      </c>
      <c r="Z260" s="64">
        <f t="shared" si="29"/>
        <v>0</v>
      </c>
    </row>
    <row r="261" spans="1:26">
      <c r="A261" s="89" t="str">
        <f t="shared" si="24"/>
        <v/>
      </c>
      <c r="B261" s="89" t="str">
        <f t="shared" si="25"/>
        <v/>
      </c>
      <c r="S261" s="89" t="str">
        <f t="shared" si="26"/>
        <v/>
      </c>
      <c r="X261" s="64">
        <f t="shared" si="27"/>
        <v>0</v>
      </c>
      <c r="Y261" s="53">
        <f t="shared" si="28"/>
        <v>0</v>
      </c>
      <c r="Z261" s="64">
        <f t="shared" si="29"/>
        <v>0</v>
      </c>
    </row>
    <row r="262" spans="1:26">
      <c r="A262" s="89" t="str">
        <f t="shared" si="24"/>
        <v/>
      </c>
      <c r="B262" s="89" t="str">
        <f t="shared" si="25"/>
        <v/>
      </c>
      <c r="S262" s="89" t="str">
        <f t="shared" si="26"/>
        <v/>
      </c>
      <c r="X262" s="64">
        <f t="shared" si="27"/>
        <v>0</v>
      </c>
      <c r="Y262" s="53">
        <f t="shared" si="28"/>
        <v>0</v>
      </c>
      <c r="Z262" s="64">
        <f t="shared" si="29"/>
        <v>0</v>
      </c>
    </row>
    <row r="263" spans="1:26">
      <c r="A263" s="89" t="str">
        <f t="shared" si="24"/>
        <v/>
      </c>
      <c r="B263" s="89" t="str">
        <f t="shared" si="25"/>
        <v/>
      </c>
      <c r="S263" s="89" t="str">
        <f t="shared" si="26"/>
        <v/>
      </c>
      <c r="X263" s="64">
        <f t="shared" si="27"/>
        <v>0</v>
      </c>
      <c r="Y263" s="53">
        <f t="shared" si="28"/>
        <v>0</v>
      </c>
      <c r="Z263" s="64">
        <f t="shared" si="29"/>
        <v>0</v>
      </c>
    </row>
    <row r="264" spans="1:26">
      <c r="A264" s="89" t="str">
        <f t="shared" si="24"/>
        <v/>
      </c>
      <c r="B264" s="89" t="str">
        <f t="shared" si="25"/>
        <v/>
      </c>
      <c r="S264" s="89" t="str">
        <f t="shared" si="26"/>
        <v/>
      </c>
      <c r="X264" s="64">
        <f t="shared" si="27"/>
        <v>0</v>
      </c>
      <c r="Y264" s="53">
        <f t="shared" si="28"/>
        <v>0</v>
      </c>
      <c r="Z264" s="64">
        <f t="shared" si="29"/>
        <v>0</v>
      </c>
    </row>
    <row r="265" spans="1:26">
      <c r="A265" s="89" t="str">
        <f t="shared" si="24"/>
        <v/>
      </c>
      <c r="B265" s="89" t="str">
        <f t="shared" si="25"/>
        <v/>
      </c>
      <c r="S265" s="89" t="str">
        <f t="shared" si="26"/>
        <v/>
      </c>
      <c r="X265" s="64">
        <f t="shared" si="27"/>
        <v>0</v>
      </c>
      <c r="Y265" s="53">
        <f t="shared" si="28"/>
        <v>0</v>
      </c>
      <c r="Z265" s="64">
        <f t="shared" si="29"/>
        <v>0</v>
      </c>
    </row>
    <row r="266" spans="1:26">
      <c r="A266" s="89" t="str">
        <f t="shared" si="24"/>
        <v/>
      </c>
      <c r="B266" s="89" t="str">
        <f t="shared" si="25"/>
        <v/>
      </c>
      <c r="S266" s="89" t="str">
        <f t="shared" si="26"/>
        <v/>
      </c>
      <c r="X266" s="64">
        <f t="shared" si="27"/>
        <v>0</v>
      </c>
      <c r="Y266" s="53">
        <f t="shared" si="28"/>
        <v>0</v>
      </c>
      <c r="Z266" s="64">
        <f t="shared" si="29"/>
        <v>0</v>
      </c>
    </row>
    <row r="267" spans="1:26">
      <c r="A267" s="89" t="str">
        <f t="shared" si="24"/>
        <v/>
      </c>
      <c r="B267" s="89" t="str">
        <f t="shared" si="25"/>
        <v/>
      </c>
      <c r="S267" s="89" t="str">
        <f t="shared" si="26"/>
        <v/>
      </c>
      <c r="X267" s="64">
        <f t="shared" si="27"/>
        <v>0</v>
      </c>
      <c r="Y267" s="53">
        <f t="shared" si="28"/>
        <v>0</v>
      </c>
      <c r="Z267" s="64">
        <f t="shared" si="29"/>
        <v>0</v>
      </c>
    </row>
    <row r="268" spans="1:26">
      <c r="A268" s="89" t="str">
        <f t="shared" si="24"/>
        <v/>
      </c>
      <c r="B268" s="89" t="str">
        <f t="shared" si="25"/>
        <v/>
      </c>
      <c r="S268" s="89" t="str">
        <f t="shared" si="26"/>
        <v/>
      </c>
      <c r="X268" s="64">
        <f t="shared" si="27"/>
        <v>0</v>
      </c>
      <c r="Y268" s="53">
        <f t="shared" si="28"/>
        <v>0</v>
      </c>
      <c r="Z268" s="64">
        <f t="shared" si="29"/>
        <v>0</v>
      </c>
    </row>
    <row r="269" spans="1:26">
      <c r="A269" s="89" t="str">
        <f t="shared" si="24"/>
        <v/>
      </c>
      <c r="B269" s="89" t="str">
        <f t="shared" si="25"/>
        <v/>
      </c>
      <c r="S269" s="89" t="str">
        <f t="shared" si="26"/>
        <v/>
      </c>
      <c r="X269" s="64">
        <f t="shared" si="27"/>
        <v>0</v>
      </c>
      <c r="Y269" s="53">
        <f t="shared" si="28"/>
        <v>0</v>
      </c>
      <c r="Z269" s="64">
        <f t="shared" si="29"/>
        <v>0</v>
      </c>
    </row>
    <row r="270" spans="1:26">
      <c r="A270" s="89" t="str">
        <f t="shared" si="24"/>
        <v/>
      </c>
      <c r="B270" s="89" t="str">
        <f t="shared" si="25"/>
        <v/>
      </c>
      <c r="S270" s="89" t="str">
        <f t="shared" si="26"/>
        <v/>
      </c>
      <c r="X270" s="64">
        <f t="shared" si="27"/>
        <v>0</v>
      </c>
      <c r="Y270" s="53">
        <f t="shared" si="28"/>
        <v>0</v>
      </c>
      <c r="Z270" s="64">
        <f t="shared" si="29"/>
        <v>0</v>
      </c>
    </row>
    <row r="271" spans="1:26">
      <c r="A271" s="89" t="str">
        <f t="shared" si="24"/>
        <v/>
      </c>
      <c r="B271" s="89" t="str">
        <f t="shared" si="25"/>
        <v/>
      </c>
      <c r="S271" s="89" t="str">
        <f t="shared" si="26"/>
        <v/>
      </c>
      <c r="X271" s="64">
        <f t="shared" si="27"/>
        <v>0</v>
      </c>
      <c r="Y271" s="53">
        <f t="shared" si="28"/>
        <v>0</v>
      </c>
      <c r="Z271" s="64">
        <f t="shared" si="29"/>
        <v>0</v>
      </c>
    </row>
    <row r="272" spans="1:26">
      <c r="A272" s="89" t="str">
        <f t="shared" si="24"/>
        <v/>
      </c>
      <c r="B272" s="89" t="str">
        <f t="shared" si="25"/>
        <v/>
      </c>
      <c r="S272" s="89" t="str">
        <f t="shared" si="26"/>
        <v/>
      </c>
      <c r="X272" s="64">
        <f t="shared" si="27"/>
        <v>0</v>
      </c>
      <c r="Y272" s="53">
        <f t="shared" si="28"/>
        <v>0</v>
      </c>
      <c r="Z272" s="64">
        <f t="shared" si="29"/>
        <v>0</v>
      </c>
    </row>
    <row r="273" spans="1:26">
      <c r="A273" s="89" t="str">
        <f t="shared" si="24"/>
        <v/>
      </c>
      <c r="B273" s="89" t="str">
        <f t="shared" si="25"/>
        <v/>
      </c>
      <c r="S273" s="89" t="str">
        <f t="shared" si="26"/>
        <v/>
      </c>
      <c r="X273" s="64">
        <f t="shared" si="27"/>
        <v>0</v>
      </c>
      <c r="Y273" s="53">
        <f t="shared" si="28"/>
        <v>0</v>
      </c>
      <c r="Z273" s="64">
        <f t="shared" si="29"/>
        <v>0</v>
      </c>
    </row>
    <row r="274" spans="1:26">
      <c r="A274" s="89" t="str">
        <f t="shared" si="24"/>
        <v/>
      </c>
      <c r="B274" s="89" t="str">
        <f t="shared" si="25"/>
        <v/>
      </c>
      <c r="S274" s="89" t="str">
        <f t="shared" si="26"/>
        <v/>
      </c>
      <c r="X274" s="64">
        <f t="shared" si="27"/>
        <v>0</v>
      </c>
      <c r="Y274" s="53">
        <f t="shared" si="28"/>
        <v>0</v>
      </c>
      <c r="Z274" s="64">
        <f t="shared" si="29"/>
        <v>0</v>
      </c>
    </row>
    <row r="275" spans="1:26">
      <c r="A275" s="89" t="str">
        <f t="shared" si="24"/>
        <v/>
      </c>
      <c r="B275" s="89" t="str">
        <f t="shared" si="25"/>
        <v/>
      </c>
      <c r="S275" s="89" t="str">
        <f t="shared" si="26"/>
        <v/>
      </c>
      <c r="X275" s="64">
        <f t="shared" si="27"/>
        <v>0</v>
      </c>
      <c r="Y275" s="53">
        <f t="shared" si="28"/>
        <v>0</v>
      </c>
      <c r="Z275" s="64">
        <f t="shared" si="29"/>
        <v>0</v>
      </c>
    </row>
    <row r="276" spans="1:26">
      <c r="A276" s="89" t="str">
        <f t="shared" si="24"/>
        <v/>
      </c>
      <c r="B276" s="89" t="str">
        <f t="shared" si="25"/>
        <v/>
      </c>
      <c r="S276" s="89" t="str">
        <f t="shared" si="26"/>
        <v/>
      </c>
      <c r="X276" s="64">
        <f t="shared" si="27"/>
        <v>0</v>
      </c>
      <c r="Y276" s="53">
        <f t="shared" si="28"/>
        <v>0</v>
      </c>
      <c r="Z276" s="64">
        <f t="shared" si="29"/>
        <v>0</v>
      </c>
    </row>
    <row r="277" spans="1:26">
      <c r="A277" s="89" t="str">
        <f t="shared" si="24"/>
        <v/>
      </c>
      <c r="B277" s="89" t="str">
        <f t="shared" si="25"/>
        <v/>
      </c>
      <c r="S277" s="89" t="str">
        <f t="shared" si="26"/>
        <v/>
      </c>
      <c r="X277" s="64">
        <f t="shared" si="27"/>
        <v>0</v>
      </c>
      <c r="Y277" s="53">
        <f t="shared" si="28"/>
        <v>0</v>
      </c>
      <c r="Z277" s="64">
        <f t="shared" si="29"/>
        <v>0</v>
      </c>
    </row>
    <row r="278" spans="1:26">
      <c r="A278" s="89" t="str">
        <f t="shared" si="24"/>
        <v/>
      </c>
      <c r="B278" s="89" t="str">
        <f t="shared" si="25"/>
        <v/>
      </c>
      <c r="S278" s="89" t="str">
        <f t="shared" si="26"/>
        <v/>
      </c>
      <c r="X278" s="64">
        <f t="shared" si="27"/>
        <v>0</v>
      </c>
      <c r="Y278" s="53">
        <f t="shared" si="28"/>
        <v>0</v>
      </c>
      <c r="Z278" s="64">
        <f t="shared" si="29"/>
        <v>0</v>
      </c>
    </row>
    <row r="279" spans="1:26">
      <c r="A279" s="89" t="str">
        <f t="shared" si="24"/>
        <v/>
      </c>
      <c r="B279" s="89" t="str">
        <f t="shared" si="25"/>
        <v/>
      </c>
      <c r="S279" s="89" t="str">
        <f t="shared" si="26"/>
        <v/>
      </c>
      <c r="X279" s="64">
        <f t="shared" si="27"/>
        <v>0</v>
      </c>
      <c r="Y279" s="53">
        <f t="shared" si="28"/>
        <v>0</v>
      </c>
      <c r="Z279" s="64">
        <f t="shared" si="29"/>
        <v>0</v>
      </c>
    </row>
    <row r="280" spans="1:26">
      <c r="A280" s="89" t="str">
        <f t="shared" si="24"/>
        <v/>
      </c>
      <c r="B280" s="89" t="str">
        <f t="shared" si="25"/>
        <v/>
      </c>
      <c r="S280" s="89" t="str">
        <f t="shared" si="26"/>
        <v/>
      </c>
      <c r="X280" s="64">
        <f t="shared" si="27"/>
        <v>0</v>
      </c>
      <c r="Y280" s="53">
        <f t="shared" si="28"/>
        <v>0</v>
      </c>
      <c r="Z280" s="64">
        <f t="shared" si="29"/>
        <v>0</v>
      </c>
    </row>
    <row r="281" spans="1:26">
      <c r="A281" s="89" t="str">
        <f t="shared" si="24"/>
        <v/>
      </c>
      <c r="B281" s="89" t="str">
        <f t="shared" si="25"/>
        <v/>
      </c>
      <c r="S281" s="89" t="str">
        <f t="shared" si="26"/>
        <v/>
      </c>
      <c r="X281" s="64">
        <f t="shared" si="27"/>
        <v>0</v>
      </c>
      <c r="Y281" s="53">
        <f t="shared" si="28"/>
        <v>0</v>
      </c>
      <c r="Z281" s="64">
        <f t="shared" si="29"/>
        <v>0</v>
      </c>
    </row>
    <row r="282" spans="1:26">
      <c r="A282" s="89" t="str">
        <f t="shared" si="24"/>
        <v/>
      </c>
      <c r="B282" s="89" t="str">
        <f t="shared" si="25"/>
        <v/>
      </c>
      <c r="S282" s="89" t="str">
        <f t="shared" si="26"/>
        <v/>
      </c>
      <c r="X282" s="64">
        <f t="shared" si="27"/>
        <v>0</v>
      </c>
      <c r="Y282" s="53">
        <f t="shared" si="28"/>
        <v>0</v>
      </c>
      <c r="Z282" s="64">
        <f t="shared" si="29"/>
        <v>0</v>
      </c>
    </row>
    <row r="283" spans="1:26">
      <c r="A283" s="89" t="str">
        <f t="shared" si="24"/>
        <v/>
      </c>
      <c r="B283" s="89" t="str">
        <f t="shared" si="25"/>
        <v/>
      </c>
      <c r="S283" s="89" t="str">
        <f t="shared" si="26"/>
        <v/>
      </c>
      <c r="X283" s="64">
        <f t="shared" si="27"/>
        <v>0</v>
      </c>
      <c r="Y283" s="53">
        <f t="shared" si="28"/>
        <v>0</v>
      </c>
      <c r="Z283" s="64">
        <f t="shared" si="29"/>
        <v>0</v>
      </c>
    </row>
    <row r="284" spans="1:26">
      <c r="A284" s="89" t="str">
        <f t="shared" si="24"/>
        <v/>
      </c>
      <c r="B284" s="89" t="str">
        <f t="shared" si="25"/>
        <v/>
      </c>
      <c r="S284" s="89" t="str">
        <f t="shared" si="26"/>
        <v/>
      </c>
      <c r="X284" s="64">
        <f t="shared" si="27"/>
        <v>0</v>
      </c>
      <c r="Y284" s="53">
        <f t="shared" si="28"/>
        <v>0</v>
      </c>
      <c r="Z284" s="64">
        <f t="shared" si="29"/>
        <v>0</v>
      </c>
    </row>
    <row r="285" spans="1:26">
      <c r="A285" s="89" t="str">
        <f t="shared" si="24"/>
        <v/>
      </c>
      <c r="B285" s="89" t="str">
        <f t="shared" si="25"/>
        <v/>
      </c>
      <c r="S285" s="89" t="str">
        <f t="shared" si="26"/>
        <v/>
      </c>
      <c r="X285" s="64">
        <f t="shared" si="27"/>
        <v>0</v>
      </c>
      <c r="Y285" s="53">
        <f t="shared" si="28"/>
        <v>0</v>
      </c>
      <c r="Z285" s="64">
        <f t="shared" si="29"/>
        <v>0</v>
      </c>
    </row>
    <row r="286" spans="1:26">
      <c r="A286" s="89" t="str">
        <f t="shared" si="24"/>
        <v/>
      </c>
      <c r="B286" s="89" t="str">
        <f t="shared" si="25"/>
        <v/>
      </c>
      <c r="S286" s="89" t="str">
        <f t="shared" si="26"/>
        <v/>
      </c>
      <c r="X286" s="64">
        <f t="shared" si="27"/>
        <v>0</v>
      </c>
      <c r="Y286" s="53">
        <f t="shared" si="28"/>
        <v>0</v>
      </c>
      <c r="Z286" s="64">
        <f t="shared" si="29"/>
        <v>0</v>
      </c>
    </row>
    <row r="287" spans="1:26">
      <c r="A287" s="89" t="str">
        <f t="shared" si="24"/>
        <v/>
      </c>
      <c r="B287" s="89" t="str">
        <f t="shared" si="25"/>
        <v/>
      </c>
      <c r="S287" s="89" t="str">
        <f t="shared" si="26"/>
        <v/>
      </c>
      <c r="X287" s="64">
        <f t="shared" si="27"/>
        <v>0</v>
      </c>
      <c r="Y287" s="53">
        <f t="shared" si="28"/>
        <v>0</v>
      </c>
      <c r="Z287" s="64">
        <f t="shared" si="29"/>
        <v>0</v>
      </c>
    </row>
    <row r="288" spans="1:26">
      <c r="A288" s="89" t="str">
        <f t="shared" si="24"/>
        <v/>
      </c>
      <c r="B288" s="89" t="str">
        <f t="shared" si="25"/>
        <v/>
      </c>
      <c r="S288" s="89" t="str">
        <f t="shared" si="26"/>
        <v/>
      </c>
      <c r="X288" s="64">
        <f t="shared" si="27"/>
        <v>0</v>
      </c>
      <c r="Y288" s="53">
        <f t="shared" si="28"/>
        <v>0</v>
      </c>
      <c r="Z288" s="64">
        <f t="shared" si="29"/>
        <v>0</v>
      </c>
    </row>
    <row r="289" spans="1:26">
      <c r="A289" s="89" t="str">
        <f t="shared" si="24"/>
        <v/>
      </c>
      <c r="B289" s="89" t="str">
        <f t="shared" si="25"/>
        <v/>
      </c>
      <c r="S289" s="89" t="str">
        <f t="shared" si="26"/>
        <v/>
      </c>
      <c r="X289" s="64">
        <f t="shared" si="27"/>
        <v>0</v>
      </c>
      <c r="Y289" s="53">
        <f t="shared" si="28"/>
        <v>0</v>
      </c>
      <c r="Z289" s="64">
        <f t="shared" si="29"/>
        <v>0</v>
      </c>
    </row>
    <row r="290" spans="1:26">
      <c r="A290" s="89" t="str">
        <f t="shared" si="24"/>
        <v/>
      </c>
      <c r="B290" s="89" t="str">
        <f t="shared" si="25"/>
        <v/>
      </c>
      <c r="S290" s="89" t="str">
        <f t="shared" si="26"/>
        <v/>
      </c>
      <c r="X290" s="64">
        <f t="shared" si="27"/>
        <v>0</v>
      </c>
      <c r="Y290" s="53">
        <f t="shared" si="28"/>
        <v>0</v>
      </c>
      <c r="Z290" s="64">
        <f t="shared" si="29"/>
        <v>0</v>
      </c>
    </row>
    <row r="291" spans="1:26">
      <c r="A291" s="89" t="str">
        <f t="shared" si="24"/>
        <v/>
      </c>
      <c r="B291" s="89" t="str">
        <f t="shared" si="25"/>
        <v/>
      </c>
      <c r="S291" s="89" t="str">
        <f t="shared" si="26"/>
        <v/>
      </c>
      <c r="X291" s="64">
        <f t="shared" si="27"/>
        <v>0</v>
      </c>
      <c r="Y291" s="53">
        <f t="shared" si="28"/>
        <v>0</v>
      </c>
      <c r="Z291" s="64">
        <f t="shared" si="29"/>
        <v>0</v>
      </c>
    </row>
    <row r="292" spans="1:26">
      <c r="A292" s="89" t="str">
        <f t="shared" si="24"/>
        <v/>
      </c>
      <c r="B292" s="89" t="str">
        <f t="shared" si="25"/>
        <v/>
      </c>
      <c r="S292" s="89" t="str">
        <f t="shared" si="26"/>
        <v/>
      </c>
      <c r="X292" s="64">
        <f t="shared" si="27"/>
        <v>0</v>
      </c>
      <c r="Y292" s="53">
        <f t="shared" si="28"/>
        <v>0</v>
      </c>
      <c r="Z292" s="64">
        <f t="shared" si="29"/>
        <v>0</v>
      </c>
    </row>
    <row r="293" spans="1:26">
      <c r="A293" s="89" t="str">
        <f t="shared" si="24"/>
        <v/>
      </c>
      <c r="B293" s="89" t="str">
        <f t="shared" si="25"/>
        <v/>
      </c>
      <c r="S293" s="89" t="str">
        <f t="shared" si="26"/>
        <v/>
      </c>
      <c r="X293" s="64">
        <f t="shared" si="27"/>
        <v>0</v>
      </c>
      <c r="Y293" s="53">
        <f t="shared" si="28"/>
        <v>0</v>
      </c>
      <c r="Z293" s="64">
        <f t="shared" si="29"/>
        <v>0</v>
      </c>
    </row>
    <row r="294" spans="1:26">
      <c r="A294" s="89" t="str">
        <f t="shared" si="24"/>
        <v/>
      </c>
      <c r="B294" s="89" t="str">
        <f t="shared" si="25"/>
        <v/>
      </c>
      <c r="S294" s="89" t="str">
        <f t="shared" si="26"/>
        <v/>
      </c>
      <c r="X294" s="64">
        <f t="shared" si="27"/>
        <v>0</v>
      </c>
      <c r="Y294" s="53">
        <f t="shared" si="28"/>
        <v>0</v>
      </c>
      <c r="Z294" s="64">
        <f t="shared" si="29"/>
        <v>0</v>
      </c>
    </row>
    <row r="295" spans="1:26">
      <c r="A295" s="89" t="str">
        <f t="shared" si="24"/>
        <v/>
      </c>
      <c r="B295" s="89" t="str">
        <f t="shared" si="25"/>
        <v/>
      </c>
      <c r="S295" s="89" t="str">
        <f t="shared" si="26"/>
        <v/>
      </c>
      <c r="X295" s="64">
        <f t="shared" si="27"/>
        <v>0</v>
      </c>
      <c r="Y295" s="53">
        <f t="shared" si="28"/>
        <v>0</v>
      </c>
      <c r="Z295" s="64">
        <f t="shared" si="29"/>
        <v>0</v>
      </c>
    </row>
    <row r="296" spans="1:26">
      <c r="A296" s="89" t="str">
        <f t="shared" si="24"/>
        <v/>
      </c>
      <c r="B296" s="89" t="str">
        <f t="shared" si="25"/>
        <v/>
      </c>
      <c r="S296" s="89" t="str">
        <f t="shared" si="26"/>
        <v/>
      </c>
      <c r="X296" s="64">
        <f t="shared" si="27"/>
        <v>0</v>
      </c>
      <c r="Y296" s="53">
        <f t="shared" si="28"/>
        <v>0</v>
      </c>
      <c r="Z296" s="64">
        <f t="shared" si="29"/>
        <v>0</v>
      </c>
    </row>
    <row r="297" spans="1:26">
      <c r="A297" s="89" t="str">
        <f t="shared" si="24"/>
        <v/>
      </c>
      <c r="B297" s="89" t="str">
        <f t="shared" si="25"/>
        <v/>
      </c>
      <c r="S297" s="89" t="str">
        <f t="shared" si="26"/>
        <v/>
      </c>
      <c r="X297" s="64">
        <f t="shared" si="27"/>
        <v>0</v>
      </c>
      <c r="Y297" s="53">
        <f t="shared" si="28"/>
        <v>0</v>
      </c>
      <c r="Z297" s="64">
        <f t="shared" si="29"/>
        <v>0</v>
      </c>
    </row>
    <row r="298" spans="1:26">
      <c r="A298" s="89" t="str">
        <f t="shared" si="24"/>
        <v/>
      </c>
      <c r="B298" s="89" t="str">
        <f t="shared" si="25"/>
        <v/>
      </c>
      <c r="S298" s="89" t="str">
        <f t="shared" si="26"/>
        <v/>
      </c>
      <c r="X298" s="64">
        <f t="shared" si="27"/>
        <v>0</v>
      </c>
      <c r="Y298" s="53">
        <f t="shared" si="28"/>
        <v>0</v>
      </c>
      <c r="Z298" s="64">
        <f t="shared" si="29"/>
        <v>0</v>
      </c>
    </row>
    <row r="299" spans="1:26">
      <c r="A299" s="89" t="str">
        <f t="shared" si="24"/>
        <v/>
      </c>
      <c r="B299" s="89" t="str">
        <f t="shared" si="25"/>
        <v/>
      </c>
      <c r="S299" s="89" t="str">
        <f t="shared" si="26"/>
        <v/>
      </c>
      <c r="X299" s="64">
        <f t="shared" si="27"/>
        <v>0</v>
      </c>
      <c r="Y299" s="53">
        <f t="shared" si="28"/>
        <v>0</v>
      </c>
      <c r="Z299" s="64">
        <f t="shared" si="29"/>
        <v>0</v>
      </c>
    </row>
    <row r="300" spans="1:26">
      <c r="A300" s="89" t="str">
        <f t="shared" si="24"/>
        <v/>
      </c>
      <c r="B300" s="89" t="str">
        <f t="shared" si="25"/>
        <v/>
      </c>
      <c r="S300" s="89" t="str">
        <f t="shared" si="26"/>
        <v/>
      </c>
      <c r="X300" s="64">
        <f t="shared" si="27"/>
        <v>0</v>
      </c>
      <c r="Y300" s="53">
        <f t="shared" si="28"/>
        <v>0</v>
      </c>
      <c r="Z300" s="64">
        <f t="shared" si="29"/>
        <v>0</v>
      </c>
    </row>
    <row r="301" spans="1:26">
      <c r="A301" s="89" t="str">
        <f t="shared" si="24"/>
        <v/>
      </c>
      <c r="B301" s="89" t="str">
        <f t="shared" si="25"/>
        <v/>
      </c>
      <c r="S301" s="89" t="str">
        <f t="shared" si="26"/>
        <v/>
      </c>
      <c r="X301" s="64">
        <f t="shared" si="27"/>
        <v>0</v>
      </c>
      <c r="Y301" s="53">
        <f t="shared" si="28"/>
        <v>0</v>
      </c>
      <c r="Z301" s="64">
        <f t="shared" si="29"/>
        <v>0</v>
      </c>
    </row>
    <row r="302" spans="1:26">
      <c r="A302" s="89" t="str">
        <f t="shared" si="24"/>
        <v/>
      </c>
      <c r="B302" s="89" t="str">
        <f t="shared" si="25"/>
        <v/>
      </c>
      <c r="S302" s="89" t="str">
        <f t="shared" si="26"/>
        <v/>
      </c>
      <c r="X302" s="64">
        <f t="shared" si="27"/>
        <v>0</v>
      </c>
      <c r="Y302" s="53">
        <f t="shared" si="28"/>
        <v>0</v>
      </c>
      <c r="Z302" s="64">
        <f t="shared" si="29"/>
        <v>0</v>
      </c>
    </row>
    <row r="303" spans="1:26">
      <c r="A303" s="89" t="str">
        <f t="shared" si="24"/>
        <v/>
      </c>
      <c r="B303" s="89" t="str">
        <f t="shared" si="25"/>
        <v/>
      </c>
      <c r="S303" s="89" t="str">
        <f t="shared" si="26"/>
        <v/>
      </c>
      <c r="X303" s="64">
        <f t="shared" si="27"/>
        <v>0</v>
      </c>
      <c r="Y303" s="53">
        <f t="shared" si="28"/>
        <v>0</v>
      </c>
      <c r="Z303" s="64">
        <f t="shared" si="29"/>
        <v>0</v>
      </c>
    </row>
    <row r="304" spans="1:26">
      <c r="A304" s="89" t="str">
        <f t="shared" si="24"/>
        <v/>
      </c>
      <c r="B304" s="89" t="str">
        <f t="shared" si="25"/>
        <v/>
      </c>
      <c r="S304" s="89" t="str">
        <f t="shared" si="26"/>
        <v/>
      </c>
      <c r="X304" s="64">
        <f t="shared" si="27"/>
        <v>0</v>
      </c>
      <c r="Y304" s="53">
        <f t="shared" si="28"/>
        <v>0</v>
      </c>
      <c r="Z304" s="64">
        <f t="shared" si="29"/>
        <v>0</v>
      </c>
    </row>
    <row r="305" spans="1:26">
      <c r="A305" s="89" t="str">
        <f t="shared" si="24"/>
        <v/>
      </c>
      <c r="B305" s="89" t="str">
        <f t="shared" si="25"/>
        <v/>
      </c>
      <c r="S305" s="89" t="str">
        <f t="shared" si="26"/>
        <v/>
      </c>
      <c r="X305" s="64">
        <f t="shared" si="27"/>
        <v>0</v>
      </c>
      <c r="Y305" s="53">
        <f t="shared" si="28"/>
        <v>0</v>
      </c>
      <c r="Z305" s="64">
        <f t="shared" si="29"/>
        <v>0</v>
      </c>
    </row>
    <row r="306" spans="1:26">
      <c r="A306" s="89" t="str">
        <f t="shared" si="24"/>
        <v/>
      </c>
      <c r="B306" s="89" t="str">
        <f t="shared" si="25"/>
        <v/>
      </c>
      <c r="S306" s="89" t="str">
        <f t="shared" si="26"/>
        <v/>
      </c>
      <c r="X306" s="64">
        <f t="shared" si="27"/>
        <v>0</v>
      </c>
      <c r="Y306" s="53">
        <f t="shared" si="28"/>
        <v>0</v>
      </c>
      <c r="Z306" s="64">
        <f t="shared" si="29"/>
        <v>0</v>
      </c>
    </row>
    <row r="307" spans="1:26">
      <c r="A307" s="89" t="str">
        <f t="shared" si="24"/>
        <v/>
      </c>
      <c r="B307" s="89" t="str">
        <f t="shared" si="25"/>
        <v/>
      </c>
      <c r="S307" s="89" t="str">
        <f t="shared" si="26"/>
        <v/>
      </c>
      <c r="X307" s="64">
        <f t="shared" si="27"/>
        <v>0</v>
      </c>
      <c r="Y307" s="53">
        <f t="shared" si="28"/>
        <v>0</v>
      </c>
      <c r="Z307" s="64">
        <f t="shared" si="29"/>
        <v>0</v>
      </c>
    </row>
    <row r="308" spans="1:26">
      <c r="A308" s="89" t="str">
        <f t="shared" si="24"/>
        <v/>
      </c>
      <c r="B308" s="89" t="str">
        <f t="shared" si="25"/>
        <v/>
      </c>
      <c r="S308" s="89" t="str">
        <f t="shared" si="26"/>
        <v/>
      </c>
      <c r="X308" s="64">
        <f t="shared" si="27"/>
        <v>0</v>
      </c>
      <c r="Y308" s="53">
        <f t="shared" si="28"/>
        <v>0</v>
      </c>
      <c r="Z308" s="64">
        <f t="shared" si="29"/>
        <v>0</v>
      </c>
    </row>
    <row r="309" spans="1:26">
      <c r="A309" s="89" t="str">
        <f t="shared" si="24"/>
        <v/>
      </c>
      <c r="B309" s="89" t="str">
        <f t="shared" si="25"/>
        <v/>
      </c>
      <c r="S309" s="89" t="str">
        <f t="shared" si="26"/>
        <v/>
      </c>
      <c r="X309" s="64">
        <f t="shared" si="27"/>
        <v>0</v>
      </c>
      <c r="Y309" s="53">
        <f t="shared" si="28"/>
        <v>0</v>
      </c>
      <c r="Z309" s="64">
        <f t="shared" si="29"/>
        <v>0</v>
      </c>
    </row>
    <row r="310" spans="1:26">
      <c r="A310" s="89" t="str">
        <f t="shared" si="24"/>
        <v/>
      </c>
      <c r="B310" s="89" t="str">
        <f t="shared" si="25"/>
        <v/>
      </c>
      <c r="S310" s="89" t="str">
        <f t="shared" si="26"/>
        <v/>
      </c>
      <c r="X310" s="64">
        <f t="shared" si="27"/>
        <v>0</v>
      </c>
      <c r="Y310" s="53">
        <f t="shared" si="28"/>
        <v>0</v>
      </c>
      <c r="Z310" s="64">
        <f t="shared" si="29"/>
        <v>0</v>
      </c>
    </row>
    <row r="311" spans="1:26">
      <c r="A311" s="89" t="str">
        <f t="shared" si="24"/>
        <v/>
      </c>
      <c r="B311" s="89" t="str">
        <f t="shared" si="25"/>
        <v/>
      </c>
      <c r="S311" s="89" t="str">
        <f t="shared" si="26"/>
        <v/>
      </c>
      <c r="X311" s="64">
        <f t="shared" si="27"/>
        <v>0</v>
      </c>
      <c r="Y311" s="53">
        <f t="shared" si="28"/>
        <v>0</v>
      </c>
      <c r="Z311" s="64">
        <f t="shared" si="29"/>
        <v>0</v>
      </c>
    </row>
    <row r="312" spans="1:26">
      <c r="A312" s="89" t="str">
        <f t="shared" si="24"/>
        <v/>
      </c>
      <c r="B312" s="89" t="str">
        <f t="shared" si="25"/>
        <v/>
      </c>
      <c r="S312" s="89" t="str">
        <f t="shared" si="26"/>
        <v/>
      </c>
      <c r="X312" s="64">
        <f t="shared" si="27"/>
        <v>0</v>
      </c>
      <c r="Y312" s="53">
        <f t="shared" si="28"/>
        <v>0</v>
      </c>
      <c r="Z312" s="64">
        <f t="shared" si="29"/>
        <v>0</v>
      </c>
    </row>
    <row r="313" spans="1:26">
      <c r="A313" s="89" t="str">
        <f t="shared" si="24"/>
        <v/>
      </c>
      <c r="B313" s="89" t="str">
        <f t="shared" si="25"/>
        <v/>
      </c>
      <c r="S313" s="89" t="str">
        <f t="shared" si="26"/>
        <v/>
      </c>
      <c r="X313" s="64">
        <f t="shared" si="27"/>
        <v>0</v>
      </c>
      <c r="Y313" s="53">
        <f t="shared" si="28"/>
        <v>0</v>
      </c>
      <c r="Z313" s="64">
        <f t="shared" si="29"/>
        <v>0</v>
      </c>
    </row>
    <row r="314" spans="1:26">
      <c r="A314" s="89" t="str">
        <f t="shared" si="24"/>
        <v/>
      </c>
      <c r="B314" s="89" t="str">
        <f t="shared" si="25"/>
        <v/>
      </c>
      <c r="S314" s="89" t="str">
        <f t="shared" si="26"/>
        <v/>
      </c>
      <c r="X314" s="64">
        <f t="shared" si="27"/>
        <v>0</v>
      </c>
      <c r="Y314" s="53">
        <f t="shared" si="28"/>
        <v>0</v>
      </c>
      <c r="Z314" s="64">
        <f t="shared" si="29"/>
        <v>0</v>
      </c>
    </row>
    <row r="315" spans="1:26">
      <c r="A315" s="89" t="str">
        <f t="shared" si="24"/>
        <v/>
      </c>
      <c r="B315" s="89" t="str">
        <f t="shared" si="25"/>
        <v/>
      </c>
      <c r="S315" s="89" t="str">
        <f t="shared" si="26"/>
        <v/>
      </c>
      <c r="X315" s="64">
        <f t="shared" si="27"/>
        <v>0</v>
      </c>
      <c r="Y315" s="53">
        <f t="shared" si="28"/>
        <v>0</v>
      </c>
      <c r="Z315" s="64">
        <f t="shared" si="29"/>
        <v>0</v>
      </c>
    </row>
    <row r="316" spans="1:26">
      <c r="A316" s="89" t="str">
        <f t="shared" si="24"/>
        <v/>
      </c>
      <c r="B316" s="89" t="str">
        <f t="shared" si="25"/>
        <v/>
      </c>
      <c r="S316" s="89" t="str">
        <f t="shared" si="26"/>
        <v/>
      </c>
      <c r="X316" s="64">
        <f t="shared" si="27"/>
        <v>0</v>
      </c>
      <c r="Y316" s="53">
        <f t="shared" si="28"/>
        <v>0</v>
      </c>
      <c r="Z316" s="64">
        <f t="shared" si="29"/>
        <v>0</v>
      </c>
    </row>
    <row r="317" spans="1:26">
      <c r="A317" s="89" t="str">
        <f t="shared" si="24"/>
        <v/>
      </c>
      <c r="B317" s="89" t="str">
        <f t="shared" si="25"/>
        <v/>
      </c>
      <c r="S317" s="89" t="str">
        <f t="shared" si="26"/>
        <v/>
      </c>
      <c r="X317" s="64">
        <f t="shared" si="27"/>
        <v>0</v>
      </c>
      <c r="Y317" s="53">
        <f t="shared" si="28"/>
        <v>0</v>
      </c>
      <c r="Z317" s="64">
        <f t="shared" si="29"/>
        <v>0</v>
      </c>
    </row>
    <row r="318" spans="1:26">
      <c r="A318" s="89" t="str">
        <f t="shared" si="24"/>
        <v/>
      </c>
      <c r="B318" s="89" t="str">
        <f t="shared" si="25"/>
        <v/>
      </c>
      <c r="S318" s="89" t="str">
        <f t="shared" si="26"/>
        <v/>
      </c>
      <c r="X318" s="64">
        <f t="shared" si="27"/>
        <v>0</v>
      </c>
      <c r="Y318" s="53">
        <f t="shared" si="28"/>
        <v>0</v>
      </c>
      <c r="Z318" s="64">
        <f t="shared" si="29"/>
        <v>0</v>
      </c>
    </row>
    <row r="319" spans="1:26">
      <c r="A319" s="89" t="str">
        <f t="shared" si="24"/>
        <v/>
      </c>
      <c r="B319" s="89" t="str">
        <f t="shared" si="25"/>
        <v/>
      </c>
      <c r="S319" s="89" t="str">
        <f t="shared" si="26"/>
        <v/>
      </c>
      <c r="X319" s="64">
        <f t="shared" si="27"/>
        <v>0</v>
      </c>
      <c r="Y319" s="53">
        <f t="shared" si="28"/>
        <v>0</v>
      </c>
      <c r="Z319" s="64">
        <f t="shared" si="29"/>
        <v>0</v>
      </c>
    </row>
    <row r="320" spans="1:26">
      <c r="A320" s="89" t="str">
        <f t="shared" si="24"/>
        <v/>
      </c>
      <c r="B320" s="89" t="str">
        <f t="shared" si="25"/>
        <v/>
      </c>
      <c r="S320" s="89" t="str">
        <f t="shared" si="26"/>
        <v/>
      </c>
      <c r="X320" s="64">
        <f t="shared" si="27"/>
        <v>0</v>
      </c>
      <c r="Y320" s="53">
        <f t="shared" si="28"/>
        <v>0</v>
      </c>
      <c r="Z320" s="64">
        <f t="shared" si="29"/>
        <v>0</v>
      </c>
    </row>
    <row r="321" spans="1:26">
      <c r="A321" s="89" t="str">
        <f t="shared" si="24"/>
        <v/>
      </c>
      <c r="B321" s="89" t="str">
        <f t="shared" si="25"/>
        <v/>
      </c>
      <c r="S321" s="89" t="str">
        <f t="shared" si="26"/>
        <v/>
      </c>
      <c r="X321" s="64">
        <f t="shared" si="27"/>
        <v>0</v>
      </c>
      <c r="Y321" s="53">
        <f t="shared" si="28"/>
        <v>0</v>
      </c>
      <c r="Z321" s="64">
        <f t="shared" si="29"/>
        <v>0</v>
      </c>
    </row>
    <row r="322" spans="1:26">
      <c r="A322" s="89" t="str">
        <f t="shared" si="24"/>
        <v/>
      </c>
      <c r="B322" s="89" t="str">
        <f t="shared" si="25"/>
        <v/>
      </c>
      <c r="S322" s="89" t="str">
        <f t="shared" si="26"/>
        <v/>
      </c>
      <c r="X322" s="64">
        <f t="shared" si="27"/>
        <v>0</v>
      </c>
      <c r="Y322" s="53">
        <f t="shared" si="28"/>
        <v>0</v>
      </c>
      <c r="Z322" s="64">
        <f t="shared" si="29"/>
        <v>0</v>
      </c>
    </row>
    <row r="323" spans="1:26">
      <c r="A323" s="89" t="str">
        <f t="shared" ref="A323:A386" si="30">IF(G323&amp;Q323&lt;&gt;"",G323&amp;Q323,"")</f>
        <v/>
      </c>
      <c r="B323" s="89" t="str">
        <f t="shared" ref="B323:B386" si="31">IF(C323&lt;&gt;"",LEFT(C323,9),"")</f>
        <v/>
      </c>
      <c r="S323" s="89" t="str">
        <f t="shared" ref="S323:S386" si="32">IF(H323&lt;&gt;"",H323,"")</f>
        <v/>
      </c>
      <c r="X323" s="64">
        <f t="shared" ref="X323:X386" si="33">IFERROR(VALUE(MID($C323,1,2)),0)</f>
        <v>0</v>
      </c>
      <c r="Y323" s="53">
        <f t="shared" ref="Y323:Y386" si="34">IFERROR(VALUE(MID($C323,4,3)),0)</f>
        <v>0</v>
      </c>
      <c r="Z323" s="64">
        <f t="shared" ref="Z323:Z386" si="35">VALUE(RIGHT("00"&amp;X323,2)&amp;RIGHT("000"&amp;Y323,3))</f>
        <v>0</v>
      </c>
    </row>
    <row r="324" spans="1:26">
      <c r="A324" s="89" t="str">
        <f t="shared" si="30"/>
        <v/>
      </c>
      <c r="B324" s="89" t="str">
        <f t="shared" si="31"/>
        <v/>
      </c>
      <c r="S324" s="89" t="str">
        <f t="shared" si="32"/>
        <v/>
      </c>
      <c r="X324" s="64">
        <f t="shared" si="33"/>
        <v>0</v>
      </c>
      <c r="Y324" s="53">
        <f t="shared" si="34"/>
        <v>0</v>
      </c>
      <c r="Z324" s="64">
        <f t="shared" si="35"/>
        <v>0</v>
      </c>
    </row>
    <row r="325" spans="1:26">
      <c r="A325" s="89" t="str">
        <f t="shared" si="30"/>
        <v/>
      </c>
      <c r="B325" s="89" t="str">
        <f t="shared" si="31"/>
        <v/>
      </c>
      <c r="S325" s="89" t="str">
        <f t="shared" si="32"/>
        <v/>
      </c>
      <c r="X325" s="64">
        <f t="shared" si="33"/>
        <v>0</v>
      </c>
      <c r="Y325" s="53">
        <f t="shared" si="34"/>
        <v>0</v>
      </c>
      <c r="Z325" s="64">
        <f t="shared" si="35"/>
        <v>0</v>
      </c>
    </row>
    <row r="326" spans="1:26">
      <c r="A326" s="89" t="str">
        <f t="shared" si="30"/>
        <v/>
      </c>
      <c r="B326" s="89" t="str">
        <f t="shared" si="31"/>
        <v/>
      </c>
      <c r="S326" s="89" t="str">
        <f t="shared" si="32"/>
        <v/>
      </c>
      <c r="X326" s="64">
        <f t="shared" si="33"/>
        <v>0</v>
      </c>
      <c r="Y326" s="53">
        <f t="shared" si="34"/>
        <v>0</v>
      </c>
      <c r="Z326" s="64">
        <f t="shared" si="35"/>
        <v>0</v>
      </c>
    </row>
    <row r="327" spans="1:26">
      <c r="A327" s="89" t="str">
        <f t="shared" si="30"/>
        <v/>
      </c>
      <c r="B327" s="89" t="str">
        <f t="shared" si="31"/>
        <v/>
      </c>
      <c r="S327" s="89" t="str">
        <f t="shared" si="32"/>
        <v/>
      </c>
      <c r="X327" s="64">
        <f t="shared" si="33"/>
        <v>0</v>
      </c>
      <c r="Y327" s="53">
        <f t="shared" si="34"/>
        <v>0</v>
      </c>
      <c r="Z327" s="64">
        <f t="shared" si="35"/>
        <v>0</v>
      </c>
    </row>
    <row r="328" spans="1:26">
      <c r="A328" s="89" t="str">
        <f t="shared" si="30"/>
        <v/>
      </c>
      <c r="B328" s="89" t="str">
        <f t="shared" si="31"/>
        <v/>
      </c>
      <c r="S328" s="89" t="str">
        <f t="shared" si="32"/>
        <v/>
      </c>
      <c r="X328" s="64">
        <f t="shared" si="33"/>
        <v>0</v>
      </c>
      <c r="Y328" s="53">
        <f t="shared" si="34"/>
        <v>0</v>
      </c>
      <c r="Z328" s="64">
        <f t="shared" si="35"/>
        <v>0</v>
      </c>
    </row>
    <row r="329" spans="1:26">
      <c r="A329" s="89" t="str">
        <f t="shared" si="30"/>
        <v/>
      </c>
      <c r="B329" s="89" t="str">
        <f t="shared" si="31"/>
        <v/>
      </c>
      <c r="S329" s="89" t="str">
        <f t="shared" si="32"/>
        <v/>
      </c>
      <c r="X329" s="64">
        <f t="shared" si="33"/>
        <v>0</v>
      </c>
      <c r="Y329" s="53">
        <f t="shared" si="34"/>
        <v>0</v>
      </c>
      <c r="Z329" s="64">
        <f t="shared" si="35"/>
        <v>0</v>
      </c>
    </row>
    <row r="330" spans="1:26">
      <c r="A330" s="89" t="str">
        <f t="shared" si="30"/>
        <v/>
      </c>
      <c r="B330" s="89" t="str">
        <f t="shared" si="31"/>
        <v/>
      </c>
      <c r="S330" s="89" t="str">
        <f t="shared" si="32"/>
        <v/>
      </c>
      <c r="X330" s="64">
        <f t="shared" si="33"/>
        <v>0</v>
      </c>
      <c r="Y330" s="53">
        <f t="shared" si="34"/>
        <v>0</v>
      </c>
      <c r="Z330" s="64">
        <f t="shared" si="35"/>
        <v>0</v>
      </c>
    </row>
    <row r="331" spans="1:26">
      <c r="A331" s="89" t="str">
        <f t="shared" si="30"/>
        <v/>
      </c>
      <c r="B331" s="89" t="str">
        <f t="shared" si="31"/>
        <v/>
      </c>
      <c r="S331" s="89" t="str">
        <f t="shared" si="32"/>
        <v/>
      </c>
      <c r="X331" s="64">
        <f t="shared" si="33"/>
        <v>0</v>
      </c>
      <c r="Y331" s="53">
        <f t="shared" si="34"/>
        <v>0</v>
      </c>
      <c r="Z331" s="64">
        <f t="shared" si="35"/>
        <v>0</v>
      </c>
    </row>
    <row r="332" spans="1:26">
      <c r="A332" s="89" t="str">
        <f t="shared" si="30"/>
        <v/>
      </c>
      <c r="B332" s="89" t="str">
        <f t="shared" si="31"/>
        <v/>
      </c>
      <c r="S332" s="89" t="str">
        <f t="shared" si="32"/>
        <v/>
      </c>
      <c r="X332" s="64">
        <f t="shared" si="33"/>
        <v>0</v>
      </c>
      <c r="Y332" s="53">
        <f t="shared" si="34"/>
        <v>0</v>
      </c>
      <c r="Z332" s="64">
        <f t="shared" si="35"/>
        <v>0</v>
      </c>
    </row>
    <row r="333" spans="1:26">
      <c r="A333" s="89" t="str">
        <f t="shared" si="30"/>
        <v/>
      </c>
      <c r="B333" s="89" t="str">
        <f t="shared" si="31"/>
        <v/>
      </c>
      <c r="S333" s="89" t="str">
        <f t="shared" si="32"/>
        <v/>
      </c>
      <c r="X333" s="64">
        <f t="shared" si="33"/>
        <v>0</v>
      </c>
      <c r="Y333" s="53">
        <f t="shared" si="34"/>
        <v>0</v>
      </c>
      <c r="Z333" s="64">
        <f t="shared" si="35"/>
        <v>0</v>
      </c>
    </row>
    <row r="334" spans="1:26">
      <c r="A334" s="89" t="str">
        <f t="shared" si="30"/>
        <v/>
      </c>
      <c r="B334" s="89" t="str">
        <f t="shared" si="31"/>
        <v/>
      </c>
      <c r="S334" s="89" t="str">
        <f t="shared" si="32"/>
        <v/>
      </c>
      <c r="X334" s="64">
        <f t="shared" si="33"/>
        <v>0</v>
      </c>
      <c r="Y334" s="53">
        <f t="shared" si="34"/>
        <v>0</v>
      </c>
      <c r="Z334" s="64">
        <f t="shared" si="35"/>
        <v>0</v>
      </c>
    </row>
    <row r="335" spans="1:26">
      <c r="A335" s="89" t="str">
        <f t="shared" si="30"/>
        <v/>
      </c>
      <c r="B335" s="89" t="str">
        <f t="shared" si="31"/>
        <v/>
      </c>
      <c r="S335" s="89" t="str">
        <f t="shared" si="32"/>
        <v/>
      </c>
      <c r="X335" s="64">
        <f t="shared" si="33"/>
        <v>0</v>
      </c>
      <c r="Y335" s="53">
        <f t="shared" si="34"/>
        <v>0</v>
      </c>
      <c r="Z335" s="64">
        <f t="shared" si="35"/>
        <v>0</v>
      </c>
    </row>
    <row r="336" spans="1:26">
      <c r="A336" s="89" t="str">
        <f t="shared" si="30"/>
        <v/>
      </c>
      <c r="B336" s="89" t="str">
        <f t="shared" si="31"/>
        <v/>
      </c>
      <c r="S336" s="89" t="str">
        <f t="shared" si="32"/>
        <v/>
      </c>
      <c r="X336" s="64">
        <f t="shared" si="33"/>
        <v>0</v>
      </c>
      <c r="Y336" s="53">
        <f t="shared" si="34"/>
        <v>0</v>
      </c>
      <c r="Z336" s="64">
        <f t="shared" si="35"/>
        <v>0</v>
      </c>
    </row>
    <row r="337" spans="1:26">
      <c r="A337" s="89" t="str">
        <f t="shared" si="30"/>
        <v/>
      </c>
      <c r="B337" s="89" t="str">
        <f t="shared" si="31"/>
        <v/>
      </c>
      <c r="S337" s="89" t="str">
        <f t="shared" si="32"/>
        <v/>
      </c>
      <c r="X337" s="64">
        <f t="shared" si="33"/>
        <v>0</v>
      </c>
      <c r="Y337" s="53">
        <f t="shared" si="34"/>
        <v>0</v>
      </c>
      <c r="Z337" s="64">
        <f t="shared" si="35"/>
        <v>0</v>
      </c>
    </row>
    <row r="338" spans="1:26">
      <c r="A338" s="89" t="str">
        <f t="shared" si="30"/>
        <v/>
      </c>
      <c r="B338" s="89" t="str">
        <f t="shared" si="31"/>
        <v/>
      </c>
      <c r="S338" s="89" t="str">
        <f t="shared" si="32"/>
        <v/>
      </c>
      <c r="X338" s="64">
        <f t="shared" si="33"/>
        <v>0</v>
      </c>
      <c r="Y338" s="53">
        <f t="shared" si="34"/>
        <v>0</v>
      </c>
      <c r="Z338" s="64">
        <f t="shared" si="35"/>
        <v>0</v>
      </c>
    </row>
    <row r="339" spans="1:26">
      <c r="A339" s="89" t="str">
        <f t="shared" si="30"/>
        <v/>
      </c>
      <c r="B339" s="89" t="str">
        <f t="shared" si="31"/>
        <v/>
      </c>
      <c r="S339" s="89" t="str">
        <f t="shared" si="32"/>
        <v/>
      </c>
      <c r="X339" s="64">
        <f t="shared" si="33"/>
        <v>0</v>
      </c>
      <c r="Y339" s="53">
        <f t="shared" si="34"/>
        <v>0</v>
      </c>
      <c r="Z339" s="64">
        <f t="shared" si="35"/>
        <v>0</v>
      </c>
    </row>
    <row r="340" spans="1:26">
      <c r="A340" s="89" t="str">
        <f t="shared" si="30"/>
        <v/>
      </c>
      <c r="B340" s="89" t="str">
        <f t="shared" si="31"/>
        <v/>
      </c>
      <c r="S340" s="89" t="str">
        <f t="shared" si="32"/>
        <v/>
      </c>
      <c r="X340" s="64">
        <f t="shared" si="33"/>
        <v>0</v>
      </c>
      <c r="Y340" s="53">
        <f t="shared" si="34"/>
        <v>0</v>
      </c>
      <c r="Z340" s="64">
        <f t="shared" si="35"/>
        <v>0</v>
      </c>
    </row>
    <row r="341" spans="1:26">
      <c r="A341" s="89" t="str">
        <f t="shared" si="30"/>
        <v/>
      </c>
      <c r="B341" s="89" t="str">
        <f t="shared" si="31"/>
        <v/>
      </c>
      <c r="S341" s="89" t="str">
        <f t="shared" si="32"/>
        <v/>
      </c>
      <c r="X341" s="64">
        <f t="shared" si="33"/>
        <v>0</v>
      </c>
      <c r="Y341" s="53">
        <f t="shared" si="34"/>
        <v>0</v>
      </c>
      <c r="Z341" s="64">
        <f t="shared" si="35"/>
        <v>0</v>
      </c>
    </row>
    <row r="342" spans="1:26">
      <c r="A342" s="89" t="str">
        <f t="shared" si="30"/>
        <v/>
      </c>
      <c r="B342" s="89" t="str">
        <f t="shared" si="31"/>
        <v/>
      </c>
      <c r="S342" s="89" t="str">
        <f t="shared" si="32"/>
        <v/>
      </c>
      <c r="X342" s="64">
        <f t="shared" si="33"/>
        <v>0</v>
      </c>
      <c r="Y342" s="53">
        <f t="shared" si="34"/>
        <v>0</v>
      </c>
      <c r="Z342" s="64">
        <f t="shared" si="35"/>
        <v>0</v>
      </c>
    </row>
    <row r="343" spans="1:26">
      <c r="A343" s="89" t="str">
        <f t="shared" si="30"/>
        <v/>
      </c>
      <c r="B343" s="89" t="str">
        <f t="shared" si="31"/>
        <v/>
      </c>
      <c r="S343" s="89" t="str">
        <f t="shared" si="32"/>
        <v/>
      </c>
      <c r="X343" s="64">
        <f t="shared" si="33"/>
        <v>0</v>
      </c>
      <c r="Y343" s="53">
        <f t="shared" si="34"/>
        <v>0</v>
      </c>
      <c r="Z343" s="64">
        <f t="shared" si="35"/>
        <v>0</v>
      </c>
    </row>
    <row r="344" spans="1:26">
      <c r="A344" s="89" t="str">
        <f t="shared" si="30"/>
        <v/>
      </c>
      <c r="B344" s="89" t="str">
        <f t="shared" si="31"/>
        <v/>
      </c>
      <c r="S344" s="89" t="str">
        <f t="shared" si="32"/>
        <v/>
      </c>
      <c r="X344" s="64">
        <f t="shared" si="33"/>
        <v>0</v>
      </c>
      <c r="Y344" s="53">
        <f t="shared" si="34"/>
        <v>0</v>
      </c>
      <c r="Z344" s="64">
        <f t="shared" si="35"/>
        <v>0</v>
      </c>
    </row>
    <row r="345" spans="1:26">
      <c r="A345" s="89" t="str">
        <f t="shared" si="30"/>
        <v/>
      </c>
      <c r="B345" s="89" t="str">
        <f t="shared" si="31"/>
        <v/>
      </c>
      <c r="S345" s="89" t="str">
        <f t="shared" si="32"/>
        <v/>
      </c>
      <c r="X345" s="64">
        <f t="shared" si="33"/>
        <v>0</v>
      </c>
      <c r="Y345" s="53">
        <f t="shared" si="34"/>
        <v>0</v>
      </c>
      <c r="Z345" s="64">
        <f t="shared" si="35"/>
        <v>0</v>
      </c>
    </row>
    <row r="346" spans="1:26">
      <c r="A346" s="89" t="str">
        <f t="shared" si="30"/>
        <v/>
      </c>
      <c r="B346" s="89" t="str">
        <f t="shared" si="31"/>
        <v/>
      </c>
      <c r="S346" s="89" t="str">
        <f t="shared" si="32"/>
        <v/>
      </c>
      <c r="X346" s="64">
        <f t="shared" si="33"/>
        <v>0</v>
      </c>
      <c r="Y346" s="53">
        <f t="shared" si="34"/>
        <v>0</v>
      </c>
      <c r="Z346" s="64">
        <f t="shared" si="35"/>
        <v>0</v>
      </c>
    </row>
    <row r="347" spans="1:26">
      <c r="A347" s="89" t="str">
        <f t="shared" si="30"/>
        <v/>
      </c>
      <c r="B347" s="89" t="str">
        <f t="shared" si="31"/>
        <v/>
      </c>
      <c r="S347" s="89" t="str">
        <f t="shared" si="32"/>
        <v/>
      </c>
      <c r="X347" s="64">
        <f t="shared" si="33"/>
        <v>0</v>
      </c>
      <c r="Y347" s="53">
        <f t="shared" si="34"/>
        <v>0</v>
      </c>
      <c r="Z347" s="64">
        <f t="shared" si="35"/>
        <v>0</v>
      </c>
    </row>
    <row r="348" spans="1:26">
      <c r="A348" s="89" t="str">
        <f t="shared" si="30"/>
        <v/>
      </c>
      <c r="B348" s="89" t="str">
        <f t="shared" si="31"/>
        <v/>
      </c>
      <c r="S348" s="89" t="str">
        <f t="shared" si="32"/>
        <v/>
      </c>
      <c r="X348" s="64">
        <f t="shared" si="33"/>
        <v>0</v>
      </c>
      <c r="Y348" s="53">
        <f t="shared" si="34"/>
        <v>0</v>
      </c>
      <c r="Z348" s="64">
        <f t="shared" si="35"/>
        <v>0</v>
      </c>
    </row>
    <row r="349" spans="1:26">
      <c r="A349" s="89" t="str">
        <f t="shared" si="30"/>
        <v/>
      </c>
      <c r="B349" s="89" t="str">
        <f t="shared" si="31"/>
        <v/>
      </c>
      <c r="S349" s="89" t="str">
        <f t="shared" si="32"/>
        <v/>
      </c>
      <c r="X349" s="64">
        <f t="shared" si="33"/>
        <v>0</v>
      </c>
      <c r="Y349" s="53">
        <f t="shared" si="34"/>
        <v>0</v>
      </c>
      <c r="Z349" s="64">
        <f t="shared" si="35"/>
        <v>0</v>
      </c>
    </row>
    <row r="350" spans="1:26">
      <c r="A350" s="89" t="str">
        <f t="shared" si="30"/>
        <v/>
      </c>
      <c r="B350" s="89" t="str">
        <f t="shared" si="31"/>
        <v/>
      </c>
      <c r="S350" s="89" t="str">
        <f t="shared" si="32"/>
        <v/>
      </c>
      <c r="X350" s="64">
        <f t="shared" si="33"/>
        <v>0</v>
      </c>
      <c r="Y350" s="53">
        <f t="shared" si="34"/>
        <v>0</v>
      </c>
      <c r="Z350" s="64">
        <f t="shared" si="35"/>
        <v>0</v>
      </c>
    </row>
    <row r="351" spans="1:26">
      <c r="A351" s="89" t="str">
        <f t="shared" si="30"/>
        <v/>
      </c>
      <c r="B351" s="89" t="str">
        <f t="shared" si="31"/>
        <v/>
      </c>
      <c r="S351" s="89" t="str">
        <f t="shared" si="32"/>
        <v/>
      </c>
      <c r="X351" s="64">
        <f t="shared" si="33"/>
        <v>0</v>
      </c>
      <c r="Y351" s="53">
        <f t="shared" si="34"/>
        <v>0</v>
      </c>
      <c r="Z351" s="64">
        <f t="shared" si="35"/>
        <v>0</v>
      </c>
    </row>
    <row r="352" spans="1:26">
      <c r="A352" s="89" t="str">
        <f t="shared" si="30"/>
        <v/>
      </c>
      <c r="B352" s="89" t="str">
        <f t="shared" si="31"/>
        <v/>
      </c>
      <c r="S352" s="89" t="str">
        <f t="shared" si="32"/>
        <v/>
      </c>
      <c r="X352" s="64">
        <f t="shared" si="33"/>
        <v>0</v>
      </c>
      <c r="Y352" s="53">
        <f t="shared" si="34"/>
        <v>0</v>
      </c>
      <c r="Z352" s="64">
        <f t="shared" si="35"/>
        <v>0</v>
      </c>
    </row>
    <row r="353" spans="1:26">
      <c r="A353" s="89" t="str">
        <f t="shared" si="30"/>
        <v/>
      </c>
      <c r="B353" s="89" t="str">
        <f t="shared" si="31"/>
        <v/>
      </c>
      <c r="S353" s="89" t="str">
        <f t="shared" si="32"/>
        <v/>
      </c>
      <c r="X353" s="64">
        <f t="shared" si="33"/>
        <v>0</v>
      </c>
      <c r="Y353" s="53">
        <f t="shared" si="34"/>
        <v>0</v>
      </c>
      <c r="Z353" s="64">
        <f t="shared" si="35"/>
        <v>0</v>
      </c>
    </row>
    <row r="354" spans="1:26">
      <c r="A354" s="89" t="str">
        <f t="shared" si="30"/>
        <v/>
      </c>
      <c r="B354" s="89" t="str">
        <f t="shared" si="31"/>
        <v/>
      </c>
      <c r="S354" s="89" t="str">
        <f t="shared" si="32"/>
        <v/>
      </c>
      <c r="X354" s="64">
        <f t="shared" si="33"/>
        <v>0</v>
      </c>
      <c r="Y354" s="53">
        <f t="shared" si="34"/>
        <v>0</v>
      </c>
      <c r="Z354" s="64">
        <f t="shared" si="35"/>
        <v>0</v>
      </c>
    </row>
    <row r="355" spans="1:26">
      <c r="A355" s="89" t="str">
        <f t="shared" si="30"/>
        <v/>
      </c>
      <c r="B355" s="89" t="str">
        <f t="shared" si="31"/>
        <v/>
      </c>
      <c r="S355" s="89" t="str">
        <f t="shared" si="32"/>
        <v/>
      </c>
      <c r="X355" s="64">
        <f t="shared" si="33"/>
        <v>0</v>
      </c>
      <c r="Y355" s="53">
        <f t="shared" si="34"/>
        <v>0</v>
      </c>
      <c r="Z355" s="64">
        <f t="shared" si="35"/>
        <v>0</v>
      </c>
    </row>
    <row r="356" spans="1:26">
      <c r="A356" s="89" t="str">
        <f t="shared" si="30"/>
        <v/>
      </c>
      <c r="B356" s="89" t="str">
        <f t="shared" si="31"/>
        <v/>
      </c>
      <c r="S356" s="89" t="str">
        <f t="shared" si="32"/>
        <v/>
      </c>
      <c r="X356" s="64">
        <f t="shared" si="33"/>
        <v>0</v>
      </c>
      <c r="Y356" s="53">
        <f t="shared" si="34"/>
        <v>0</v>
      </c>
      <c r="Z356" s="64">
        <f t="shared" si="35"/>
        <v>0</v>
      </c>
    </row>
    <row r="357" spans="1:26">
      <c r="A357" s="89" t="str">
        <f t="shared" si="30"/>
        <v/>
      </c>
      <c r="B357" s="89" t="str">
        <f t="shared" si="31"/>
        <v/>
      </c>
      <c r="S357" s="89" t="str">
        <f t="shared" si="32"/>
        <v/>
      </c>
      <c r="X357" s="64">
        <f t="shared" si="33"/>
        <v>0</v>
      </c>
      <c r="Y357" s="53">
        <f t="shared" si="34"/>
        <v>0</v>
      </c>
      <c r="Z357" s="64">
        <f t="shared" si="35"/>
        <v>0</v>
      </c>
    </row>
    <row r="358" spans="1:26">
      <c r="A358" s="89" t="str">
        <f t="shared" si="30"/>
        <v/>
      </c>
      <c r="B358" s="89" t="str">
        <f t="shared" si="31"/>
        <v/>
      </c>
      <c r="S358" s="89" t="str">
        <f t="shared" si="32"/>
        <v/>
      </c>
      <c r="X358" s="64">
        <f t="shared" si="33"/>
        <v>0</v>
      </c>
      <c r="Y358" s="53">
        <f t="shared" si="34"/>
        <v>0</v>
      </c>
      <c r="Z358" s="64">
        <f t="shared" si="35"/>
        <v>0</v>
      </c>
    </row>
    <row r="359" spans="1:26">
      <c r="A359" s="89" t="str">
        <f t="shared" si="30"/>
        <v/>
      </c>
      <c r="B359" s="89" t="str">
        <f t="shared" si="31"/>
        <v/>
      </c>
      <c r="S359" s="89" t="str">
        <f t="shared" si="32"/>
        <v/>
      </c>
      <c r="X359" s="64">
        <f t="shared" si="33"/>
        <v>0</v>
      </c>
      <c r="Y359" s="53">
        <f t="shared" si="34"/>
        <v>0</v>
      </c>
      <c r="Z359" s="64">
        <f t="shared" si="35"/>
        <v>0</v>
      </c>
    </row>
    <row r="360" spans="1:26">
      <c r="A360" s="89" t="str">
        <f t="shared" si="30"/>
        <v/>
      </c>
      <c r="B360" s="89" t="str">
        <f t="shared" si="31"/>
        <v/>
      </c>
      <c r="S360" s="89" t="str">
        <f t="shared" si="32"/>
        <v/>
      </c>
      <c r="X360" s="64">
        <f t="shared" si="33"/>
        <v>0</v>
      </c>
      <c r="Y360" s="53">
        <f t="shared" si="34"/>
        <v>0</v>
      </c>
      <c r="Z360" s="64">
        <f t="shared" si="35"/>
        <v>0</v>
      </c>
    </row>
    <row r="361" spans="1:26">
      <c r="A361" s="89" t="str">
        <f t="shared" si="30"/>
        <v/>
      </c>
      <c r="B361" s="89" t="str">
        <f t="shared" si="31"/>
        <v/>
      </c>
      <c r="S361" s="89" t="str">
        <f t="shared" si="32"/>
        <v/>
      </c>
      <c r="X361" s="64">
        <f t="shared" si="33"/>
        <v>0</v>
      </c>
      <c r="Y361" s="53">
        <f t="shared" si="34"/>
        <v>0</v>
      </c>
      <c r="Z361" s="64">
        <f t="shared" si="35"/>
        <v>0</v>
      </c>
    </row>
    <row r="362" spans="1:26">
      <c r="A362" s="89" t="str">
        <f t="shared" si="30"/>
        <v/>
      </c>
      <c r="B362" s="89" t="str">
        <f t="shared" si="31"/>
        <v/>
      </c>
      <c r="S362" s="89" t="str">
        <f t="shared" si="32"/>
        <v/>
      </c>
      <c r="X362" s="64">
        <f t="shared" si="33"/>
        <v>0</v>
      </c>
      <c r="Y362" s="53">
        <f t="shared" si="34"/>
        <v>0</v>
      </c>
      <c r="Z362" s="64">
        <f t="shared" si="35"/>
        <v>0</v>
      </c>
    </row>
    <row r="363" spans="1:26">
      <c r="A363" s="89" t="str">
        <f t="shared" si="30"/>
        <v/>
      </c>
      <c r="B363" s="89" t="str">
        <f t="shared" si="31"/>
        <v/>
      </c>
      <c r="S363" s="89" t="str">
        <f t="shared" si="32"/>
        <v/>
      </c>
      <c r="X363" s="64">
        <f t="shared" si="33"/>
        <v>0</v>
      </c>
      <c r="Y363" s="53">
        <f t="shared" si="34"/>
        <v>0</v>
      </c>
      <c r="Z363" s="64">
        <f t="shared" si="35"/>
        <v>0</v>
      </c>
    </row>
    <row r="364" spans="1:26">
      <c r="A364" s="89" t="str">
        <f t="shared" si="30"/>
        <v/>
      </c>
      <c r="B364" s="89" t="str">
        <f t="shared" si="31"/>
        <v/>
      </c>
      <c r="S364" s="89" t="str">
        <f t="shared" si="32"/>
        <v/>
      </c>
      <c r="X364" s="64">
        <f t="shared" si="33"/>
        <v>0</v>
      </c>
      <c r="Y364" s="53">
        <f t="shared" si="34"/>
        <v>0</v>
      </c>
      <c r="Z364" s="64">
        <f t="shared" si="35"/>
        <v>0</v>
      </c>
    </row>
    <row r="365" spans="1:26">
      <c r="A365" s="89" t="str">
        <f t="shared" si="30"/>
        <v/>
      </c>
      <c r="B365" s="89" t="str">
        <f t="shared" si="31"/>
        <v/>
      </c>
      <c r="S365" s="89" t="str">
        <f t="shared" si="32"/>
        <v/>
      </c>
      <c r="X365" s="64">
        <f t="shared" si="33"/>
        <v>0</v>
      </c>
      <c r="Y365" s="53">
        <f t="shared" si="34"/>
        <v>0</v>
      </c>
      <c r="Z365" s="64">
        <f t="shared" si="35"/>
        <v>0</v>
      </c>
    </row>
    <row r="366" spans="1:26">
      <c r="A366" s="89" t="str">
        <f t="shared" si="30"/>
        <v/>
      </c>
      <c r="B366" s="89" t="str">
        <f t="shared" si="31"/>
        <v/>
      </c>
      <c r="S366" s="89" t="str">
        <f t="shared" si="32"/>
        <v/>
      </c>
      <c r="X366" s="64">
        <f t="shared" si="33"/>
        <v>0</v>
      </c>
      <c r="Y366" s="53">
        <f t="shared" si="34"/>
        <v>0</v>
      </c>
      <c r="Z366" s="64">
        <f t="shared" si="35"/>
        <v>0</v>
      </c>
    </row>
    <row r="367" spans="1:26">
      <c r="A367" s="89" t="str">
        <f t="shared" si="30"/>
        <v/>
      </c>
      <c r="B367" s="89" t="str">
        <f t="shared" si="31"/>
        <v/>
      </c>
      <c r="S367" s="89" t="str">
        <f t="shared" si="32"/>
        <v/>
      </c>
      <c r="X367" s="64">
        <f t="shared" si="33"/>
        <v>0</v>
      </c>
      <c r="Y367" s="53">
        <f t="shared" si="34"/>
        <v>0</v>
      </c>
      <c r="Z367" s="64">
        <f t="shared" si="35"/>
        <v>0</v>
      </c>
    </row>
    <row r="368" spans="1:26">
      <c r="A368" s="89" t="str">
        <f t="shared" si="30"/>
        <v/>
      </c>
      <c r="B368" s="89" t="str">
        <f t="shared" si="31"/>
        <v/>
      </c>
      <c r="S368" s="89" t="str">
        <f t="shared" si="32"/>
        <v/>
      </c>
      <c r="X368" s="64">
        <f t="shared" si="33"/>
        <v>0</v>
      </c>
      <c r="Y368" s="53">
        <f t="shared" si="34"/>
        <v>0</v>
      </c>
      <c r="Z368" s="64">
        <f t="shared" si="35"/>
        <v>0</v>
      </c>
    </row>
    <row r="369" spans="1:26">
      <c r="A369" s="89" t="str">
        <f t="shared" si="30"/>
        <v/>
      </c>
      <c r="B369" s="89" t="str">
        <f t="shared" si="31"/>
        <v/>
      </c>
      <c r="S369" s="89" t="str">
        <f t="shared" si="32"/>
        <v/>
      </c>
      <c r="X369" s="64">
        <f t="shared" si="33"/>
        <v>0</v>
      </c>
      <c r="Y369" s="53">
        <f t="shared" si="34"/>
        <v>0</v>
      </c>
      <c r="Z369" s="64">
        <f t="shared" si="35"/>
        <v>0</v>
      </c>
    </row>
    <row r="370" spans="1:26">
      <c r="A370" s="89" t="str">
        <f t="shared" si="30"/>
        <v/>
      </c>
      <c r="B370" s="89" t="str">
        <f t="shared" si="31"/>
        <v/>
      </c>
      <c r="S370" s="89" t="str">
        <f t="shared" si="32"/>
        <v/>
      </c>
      <c r="X370" s="64">
        <f t="shared" si="33"/>
        <v>0</v>
      </c>
      <c r="Y370" s="53">
        <f t="shared" si="34"/>
        <v>0</v>
      </c>
      <c r="Z370" s="64">
        <f t="shared" si="35"/>
        <v>0</v>
      </c>
    </row>
    <row r="371" spans="1:26">
      <c r="A371" s="89" t="str">
        <f t="shared" si="30"/>
        <v/>
      </c>
      <c r="B371" s="89" t="str">
        <f t="shared" si="31"/>
        <v/>
      </c>
      <c r="S371" s="89" t="str">
        <f t="shared" si="32"/>
        <v/>
      </c>
      <c r="X371" s="64">
        <f t="shared" si="33"/>
        <v>0</v>
      </c>
      <c r="Y371" s="53">
        <f t="shared" si="34"/>
        <v>0</v>
      </c>
      <c r="Z371" s="64">
        <f t="shared" si="35"/>
        <v>0</v>
      </c>
    </row>
    <row r="372" spans="1:26">
      <c r="A372" s="89" t="str">
        <f t="shared" si="30"/>
        <v/>
      </c>
      <c r="B372" s="89" t="str">
        <f t="shared" si="31"/>
        <v/>
      </c>
      <c r="S372" s="89" t="str">
        <f t="shared" si="32"/>
        <v/>
      </c>
      <c r="X372" s="64">
        <f t="shared" si="33"/>
        <v>0</v>
      </c>
      <c r="Y372" s="53">
        <f t="shared" si="34"/>
        <v>0</v>
      </c>
      <c r="Z372" s="64">
        <f t="shared" si="35"/>
        <v>0</v>
      </c>
    </row>
    <row r="373" spans="1:26">
      <c r="A373" s="89" t="str">
        <f t="shared" si="30"/>
        <v/>
      </c>
      <c r="B373" s="89" t="str">
        <f t="shared" si="31"/>
        <v/>
      </c>
      <c r="S373" s="89" t="str">
        <f t="shared" si="32"/>
        <v/>
      </c>
      <c r="X373" s="64">
        <f t="shared" si="33"/>
        <v>0</v>
      </c>
      <c r="Y373" s="53">
        <f t="shared" si="34"/>
        <v>0</v>
      </c>
      <c r="Z373" s="64">
        <f t="shared" si="35"/>
        <v>0</v>
      </c>
    </row>
    <row r="374" spans="1:26">
      <c r="A374" s="89" t="str">
        <f t="shared" si="30"/>
        <v/>
      </c>
      <c r="B374" s="89" t="str">
        <f t="shared" si="31"/>
        <v/>
      </c>
      <c r="S374" s="89" t="str">
        <f t="shared" si="32"/>
        <v/>
      </c>
      <c r="X374" s="64">
        <f t="shared" si="33"/>
        <v>0</v>
      </c>
      <c r="Y374" s="53">
        <f t="shared" si="34"/>
        <v>0</v>
      </c>
      <c r="Z374" s="64">
        <f t="shared" si="35"/>
        <v>0</v>
      </c>
    </row>
    <row r="375" spans="1:26">
      <c r="A375" s="89" t="str">
        <f t="shared" si="30"/>
        <v/>
      </c>
      <c r="B375" s="89" t="str">
        <f t="shared" si="31"/>
        <v/>
      </c>
      <c r="S375" s="89" t="str">
        <f t="shared" si="32"/>
        <v/>
      </c>
      <c r="X375" s="64">
        <f t="shared" si="33"/>
        <v>0</v>
      </c>
      <c r="Y375" s="53">
        <f t="shared" si="34"/>
        <v>0</v>
      </c>
      <c r="Z375" s="64">
        <f t="shared" si="35"/>
        <v>0</v>
      </c>
    </row>
    <row r="376" spans="1:26">
      <c r="A376" s="89" t="str">
        <f t="shared" si="30"/>
        <v/>
      </c>
      <c r="B376" s="89" t="str">
        <f t="shared" si="31"/>
        <v/>
      </c>
      <c r="S376" s="89" t="str">
        <f t="shared" si="32"/>
        <v/>
      </c>
      <c r="X376" s="64">
        <f t="shared" si="33"/>
        <v>0</v>
      </c>
      <c r="Y376" s="53">
        <f t="shared" si="34"/>
        <v>0</v>
      </c>
      <c r="Z376" s="64">
        <f t="shared" si="35"/>
        <v>0</v>
      </c>
    </row>
    <row r="377" spans="1:26">
      <c r="A377" s="89" t="str">
        <f t="shared" si="30"/>
        <v/>
      </c>
      <c r="B377" s="89" t="str">
        <f t="shared" si="31"/>
        <v/>
      </c>
      <c r="S377" s="89" t="str">
        <f t="shared" si="32"/>
        <v/>
      </c>
      <c r="X377" s="64">
        <f t="shared" si="33"/>
        <v>0</v>
      </c>
      <c r="Y377" s="53">
        <f t="shared" si="34"/>
        <v>0</v>
      </c>
      <c r="Z377" s="64">
        <f t="shared" si="35"/>
        <v>0</v>
      </c>
    </row>
    <row r="378" spans="1:26">
      <c r="A378" s="89" t="str">
        <f t="shared" si="30"/>
        <v/>
      </c>
      <c r="B378" s="89" t="str">
        <f t="shared" si="31"/>
        <v/>
      </c>
      <c r="S378" s="89" t="str">
        <f t="shared" si="32"/>
        <v/>
      </c>
      <c r="X378" s="64">
        <f t="shared" si="33"/>
        <v>0</v>
      </c>
      <c r="Y378" s="53">
        <f t="shared" si="34"/>
        <v>0</v>
      </c>
      <c r="Z378" s="64">
        <f t="shared" si="35"/>
        <v>0</v>
      </c>
    </row>
    <row r="379" spans="1:26">
      <c r="A379" s="89" t="str">
        <f t="shared" si="30"/>
        <v/>
      </c>
      <c r="B379" s="89" t="str">
        <f t="shared" si="31"/>
        <v/>
      </c>
      <c r="S379" s="89" t="str">
        <f t="shared" si="32"/>
        <v/>
      </c>
      <c r="X379" s="64">
        <f t="shared" si="33"/>
        <v>0</v>
      </c>
      <c r="Y379" s="53">
        <f t="shared" si="34"/>
        <v>0</v>
      </c>
      <c r="Z379" s="64">
        <f t="shared" si="35"/>
        <v>0</v>
      </c>
    </row>
    <row r="380" spans="1:26">
      <c r="A380" s="89" t="str">
        <f t="shared" si="30"/>
        <v/>
      </c>
      <c r="B380" s="89" t="str">
        <f t="shared" si="31"/>
        <v/>
      </c>
      <c r="S380" s="89" t="str">
        <f t="shared" si="32"/>
        <v/>
      </c>
      <c r="X380" s="64">
        <f t="shared" si="33"/>
        <v>0</v>
      </c>
      <c r="Y380" s="53">
        <f t="shared" si="34"/>
        <v>0</v>
      </c>
      <c r="Z380" s="64">
        <f t="shared" si="35"/>
        <v>0</v>
      </c>
    </row>
    <row r="381" spans="1:26">
      <c r="A381" s="89" t="str">
        <f t="shared" si="30"/>
        <v/>
      </c>
      <c r="B381" s="89" t="str">
        <f t="shared" si="31"/>
        <v/>
      </c>
      <c r="S381" s="89" t="str">
        <f t="shared" si="32"/>
        <v/>
      </c>
      <c r="X381" s="64">
        <f t="shared" si="33"/>
        <v>0</v>
      </c>
      <c r="Y381" s="53">
        <f t="shared" si="34"/>
        <v>0</v>
      </c>
      <c r="Z381" s="64">
        <f t="shared" si="35"/>
        <v>0</v>
      </c>
    </row>
    <row r="382" spans="1:26">
      <c r="A382" s="89" t="str">
        <f t="shared" si="30"/>
        <v/>
      </c>
      <c r="B382" s="89" t="str">
        <f t="shared" si="31"/>
        <v/>
      </c>
      <c r="S382" s="89" t="str">
        <f t="shared" si="32"/>
        <v/>
      </c>
      <c r="X382" s="64">
        <f t="shared" si="33"/>
        <v>0</v>
      </c>
      <c r="Y382" s="53">
        <f t="shared" si="34"/>
        <v>0</v>
      </c>
      <c r="Z382" s="64">
        <f t="shared" si="35"/>
        <v>0</v>
      </c>
    </row>
    <row r="383" spans="1:26">
      <c r="A383" s="89" t="str">
        <f t="shared" si="30"/>
        <v/>
      </c>
      <c r="B383" s="89" t="str">
        <f t="shared" si="31"/>
        <v/>
      </c>
      <c r="S383" s="89" t="str">
        <f t="shared" si="32"/>
        <v/>
      </c>
      <c r="X383" s="64">
        <f t="shared" si="33"/>
        <v>0</v>
      </c>
      <c r="Y383" s="53">
        <f t="shared" si="34"/>
        <v>0</v>
      </c>
      <c r="Z383" s="64">
        <f t="shared" si="35"/>
        <v>0</v>
      </c>
    </row>
    <row r="384" spans="1:26">
      <c r="A384" s="89" t="str">
        <f t="shared" si="30"/>
        <v/>
      </c>
      <c r="B384" s="89" t="str">
        <f t="shared" si="31"/>
        <v/>
      </c>
      <c r="S384" s="89" t="str">
        <f t="shared" si="32"/>
        <v/>
      </c>
      <c r="X384" s="64">
        <f t="shared" si="33"/>
        <v>0</v>
      </c>
      <c r="Y384" s="53">
        <f t="shared" si="34"/>
        <v>0</v>
      </c>
      <c r="Z384" s="64">
        <f t="shared" si="35"/>
        <v>0</v>
      </c>
    </row>
    <row r="385" spans="1:26">
      <c r="A385" s="89" t="str">
        <f t="shared" si="30"/>
        <v/>
      </c>
      <c r="B385" s="89" t="str">
        <f t="shared" si="31"/>
        <v/>
      </c>
      <c r="S385" s="89" t="str">
        <f t="shared" si="32"/>
        <v/>
      </c>
      <c r="X385" s="64">
        <f t="shared" si="33"/>
        <v>0</v>
      </c>
      <c r="Y385" s="53">
        <f t="shared" si="34"/>
        <v>0</v>
      </c>
      <c r="Z385" s="64">
        <f t="shared" si="35"/>
        <v>0</v>
      </c>
    </row>
    <row r="386" spans="1:26">
      <c r="A386" s="89" t="str">
        <f t="shared" si="30"/>
        <v/>
      </c>
      <c r="B386" s="89" t="str">
        <f t="shared" si="31"/>
        <v/>
      </c>
      <c r="S386" s="89" t="str">
        <f t="shared" si="32"/>
        <v/>
      </c>
      <c r="X386" s="64">
        <f t="shared" si="33"/>
        <v>0</v>
      </c>
      <c r="Y386" s="53">
        <f t="shared" si="34"/>
        <v>0</v>
      </c>
      <c r="Z386" s="64">
        <f t="shared" si="35"/>
        <v>0</v>
      </c>
    </row>
    <row r="387" spans="1:26">
      <c r="A387" s="89" t="str">
        <f t="shared" ref="A387:A450" si="36">IF(G387&amp;Q387&lt;&gt;"",G387&amp;Q387,"")</f>
        <v/>
      </c>
      <c r="B387" s="89" t="str">
        <f t="shared" ref="B387:B450" si="37">IF(C387&lt;&gt;"",LEFT(C387,9),"")</f>
        <v/>
      </c>
      <c r="S387" s="89" t="str">
        <f t="shared" ref="S387:S450" si="38">IF(H387&lt;&gt;"",H387,"")</f>
        <v/>
      </c>
      <c r="X387" s="64">
        <f t="shared" ref="X387:X450" si="39">IFERROR(VALUE(MID($C387,1,2)),0)</f>
        <v>0</v>
      </c>
      <c r="Y387" s="53">
        <f t="shared" ref="Y387:Y450" si="40">IFERROR(VALUE(MID($C387,4,3)),0)</f>
        <v>0</v>
      </c>
      <c r="Z387" s="64">
        <f t="shared" ref="Z387:Z450" si="41">VALUE(RIGHT("00"&amp;X387,2)&amp;RIGHT("000"&amp;Y387,3))</f>
        <v>0</v>
      </c>
    </row>
    <row r="388" spans="1:26">
      <c r="A388" s="89" t="str">
        <f t="shared" si="36"/>
        <v/>
      </c>
      <c r="B388" s="89" t="str">
        <f t="shared" si="37"/>
        <v/>
      </c>
      <c r="S388" s="89" t="str">
        <f t="shared" si="38"/>
        <v/>
      </c>
      <c r="X388" s="64">
        <f t="shared" si="39"/>
        <v>0</v>
      </c>
      <c r="Y388" s="53">
        <f t="shared" si="40"/>
        <v>0</v>
      </c>
      <c r="Z388" s="64">
        <f t="shared" si="41"/>
        <v>0</v>
      </c>
    </row>
    <row r="389" spans="1:26">
      <c r="A389" s="89" t="str">
        <f t="shared" si="36"/>
        <v/>
      </c>
      <c r="B389" s="89" t="str">
        <f t="shared" si="37"/>
        <v/>
      </c>
      <c r="S389" s="89" t="str">
        <f t="shared" si="38"/>
        <v/>
      </c>
      <c r="X389" s="64">
        <f t="shared" si="39"/>
        <v>0</v>
      </c>
      <c r="Y389" s="53">
        <f t="shared" si="40"/>
        <v>0</v>
      </c>
      <c r="Z389" s="64">
        <f t="shared" si="41"/>
        <v>0</v>
      </c>
    </row>
    <row r="390" spans="1:26">
      <c r="A390" s="89" t="str">
        <f t="shared" si="36"/>
        <v/>
      </c>
      <c r="B390" s="89" t="str">
        <f t="shared" si="37"/>
        <v/>
      </c>
      <c r="S390" s="89" t="str">
        <f t="shared" si="38"/>
        <v/>
      </c>
      <c r="X390" s="64">
        <f t="shared" si="39"/>
        <v>0</v>
      </c>
      <c r="Y390" s="53">
        <f t="shared" si="40"/>
        <v>0</v>
      </c>
      <c r="Z390" s="64">
        <f t="shared" si="41"/>
        <v>0</v>
      </c>
    </row>
    <row r="391" spans="1:26">
      <c r="A391" s="89" t="str">
        <f t="shared" si="36"/>
        <v/>
      </c>
      <c r="B391" s="89" t="str">
        <f t="shared" si="37"/>
        <v/>
      </c>
      <c r="S391" s="89" t="str">
        <f t="shared" si="38"/>
        <v/>
      </c>
      <c r="X391" s="64">
        <f t="shared" si="39"/>
        <v>0</v>
      </c>
      <c r="Y391" s="53">
        <f t="shared" si="40"/>
        <v>0</v>
      </c>
      <c r="Z391" s="64">
        <f t="shared" si="41"/>
        <v>0</v>
      </c>
    </row>
    <row r="392" spans="1:26">
      <c r="A392" s="89" t="str">
        <f t="shared" si="36"/>
        <v/>
      </c>
      <c r="B392" s="89" t="str">
        <f t="shared" si="37"/>
        <v/>
      </c>
      <c r="S392" s="89" t="str">
        <f t="shared" si="38"/>
        <v/>
      </c>
      <c r="X392" s="64">
        <f t="shared" si="39"/>
        <v>0</v>
      </c>
      <c r="Y392" s="53">
        <f t="shared" si="40"/>
        <v>0</v>
      </c>
      <c r="Z392" s="64">
        <f t="shared" si="41"/>
        <v>0</v>
      </c>
    </row>
    <row r="393" spans="1:26">
      <c r="A393" s="89" t="str">
        <f t="shared" si="36"/>
        <v/>
      </c>
      <c r="B393" s="89" t="str">
        <f t="shared" si="37"/>
        <v/>
      </c>
      <c r="S393" s="89" t="str">
        <f t="shared" si="38"/>
        <v/>
      </c>
      <c r="X393" s="64">
        <f t="shared" si="39"/>
        <v>0</v>
      </c>
      <c r="Y393" s="53">
        <f t="shared" si="40"/>
        <v>0</v>
      </c>
      <c r="Z393" s="64">
        <f t="shared" si="41"/>
        <v>0</v>
      </c>
    </row>
    <row r="394" spans="1:26">
      <c r="A394" s="89" t="str">
        <f t="shared" si="36"/>
        <v/>
      </c>
      <c r="B394" s="89" t="str">
        <f t="shared" si="37"/>
        <v/>
      </c>
      <c r="S394" s="89" t="str">
        <f t="shared" si="38"/>
        <v/>
      </c>
      <c r="X394" s="64">
        <f t="shared" si="39"/>
        <v>0</v>
      </c>
      <c r="Y394" s="53">
        <f t="shared" si="40"/>
        <v>0</v>
      </c>
      <c r="Z394" s="64">
        <f t="shared" si="41"/>
        <v>0</v>
      </c>
    </row>
    <row r="395" spans="1:26">
      <c r="A395" s="89" t="str">
        <f t="shared" si="36"/>
        <v/>
      </c>
      <c r="B395" s="89" t="str">
        <f t="shared" si="37"/>
        <v/>
      </c>
      <c r="S395" s="89" t="str">
        <f t="shared" si="38"/>
        <v/>
      </c>
      <c r="X395" s="64">
        <f t="shared" si="39"/>
        <v>0</v>
      </c>
      <c r="Y395" s="53">
        <f t="shared" si="40"/>
        <v>0</v>
      </c>
      <c r="Z395" s="64">
        <f t="shared" si="41"/>
        <v>0</v>
      </c>
    </row>
    <row r="396" spans="1:26">
      <c r="A396" s="89" t="str">
        <f t="shared" si="36"/>
        <v/>
      </c>
      <c r="B396" s="89" t="str">
        <f t="shared" si="37"/>
        <v/>
      </c>
      <c r="S396" s="89" t="str">
        <f t="shared" si="38"/>
        <v/>
      </c>
      <c r="X396" s="64">
        <f t="shared" si="39"/>
        <v>0</v>
      </c>
      <c r="Y396" s="53">
        <f t="shared" si="40"/>
        <v>0</v>
      </c>
      <c r="Z396" s="64">
        <f t="shared" si="41"/>
        <v>0</v>
      </c>
    </row>
    <row r="397" spans="1:26">
      <c r="A397" s="89" t="str">
        <f t="shared" si="36"/>
        <v/>
      </c>
      <c r="B397" s="89" t="str">
        <f t="shared" si="37"/>
        <v/>
      </c>
      <c r="S397" s="89" t="str">
        <f t="shared" si="38"/>
        <v/>
      </c>
      <c r="X397" s="64">
        <f t="shared" si="39"/>
        <v>0</v>
      </c>
      <c r="Y397" s="53">
        <f t="shared" si="40"/>
        <v>0</v>
      </c>
      <c r="Z397" s="64">
        <f t="shared" si="41"/>
        <v>0</v>
      </c>
    </row>
    <row r="398" spans="1:26">
      <c r="A398" s="89" t="str">
        <f t="shared" si="36"/>
        <v/>
      </c>
      <c r="B398" s="89" t="str">
        <f t="shared" si="37"/>
        <v/>
      </c>
      <c r="S398" s="89" t="str">
        <f t="shared" si="38"/>
        <v/>
      </c>
      <c r="X398" s="64">
        <f t="shared" si="39"/>
        <v>0</v>
      </c>
      <c r="Y398" s="53">
        <f t="shared" si="40"/>
        <v>0</v>
      </c>
      <c r="Z398" s="64">
        <f t="shared" si="41"/>
        <v>0</v>
      </c>
    </row>
    <row r="399" spans="1:26">
      <c r="A399" s="89" t="str">
        <f t="shared" si="36"/>
        <v/>
      </c>
      <c r="B399" s="89" t="str">
        <f t="shared" si="37"/>
        <v/>
      </c>
      <c r="S399" s="89" t="str">
        <f t="shared" si="38"/>
        <v/>
      </c>
      <c r="X399" s="64">
        <f t="shared" si="39"/>
        <v>0</v>
      </c>
      <c r="Y399" s="53">
        <f t="shared" si="40"/>
        <v>0</v>
      </c>
      <c r="Z399" s="64">
        <f t="shared" si="41"/>
        <v>0</v>
      </c>
    </row>
    <row r="400" spans="1:26">
      <c r="A400" s="89" t="str">
        <f t="shared" si="36"/>
        <v/>
      </c>
      <c r="B400" s="89" t="str">
        <f t="shared" si="37"/>
        <v/>
      </c>
      <c r="S400" s="89" t="str">
        <f t="shared" si="38"/>
        <v/>
      </c>
      <c r="X400" s="64">
        <f t="shared" si="39"/>
        <v>0</v>
      </c>
      <c r="Y400" s="53">
        <f t="shared" si="40"/>
        <v>0</v>
      </c>
      <c r="Z400" s="64">
        <f t="shared" si="41"/>
        <v>0</v>
      </c>
    </row>
    <row r="401" spans="1:26">
      <c r="A401" s="89" t="str">
        <f t="shared" si="36"/>
        <v/>
      </c>
      <c r="B401" s="89" t="str">
        <f t="shared" si="37"/>
        <v/>
      </c>
      <c r="S401" s="89" t="str">
        <f t="shared" si="38"/>
        <v/>
      </c>
      <c r="X401" s="64">
        <f t="shared" si="39"/>
        <v>0</v>
      </c>
      <c r="Y401" s="53">
        <f t="shared" si="40"/>
        <v>0</v>
      </c>
      <c r="Z401" s="64">
        <f t="shared" si="41"/>
        <v>0</v>
      </c>
    </row>
    <row r="402" spans="1:26">
      <c r="A402" s="89" t="str">
        <f t="shared" si="36"/>
        <v/>
      </c>
      <c r="B402" s="89" t="str">
        <f t="shared" si="37"/>
        <v/>
      </c>
      <c r="S402" s="89" t="str">
        <f t="shared" si="38"/>
        <v/>
      </c>
      <c r="X402" s="64">
        <f t="shared" si="39"/>
        <v>0</v>
      </c>
      <c r="Y402" s="53">
        <f t="shared" si="40"/>
        <v>0</v>
      </c>
      <c r="Z402" s="64">
        <f t="shared" si="41"/>
        <v>0</v>
      </c>
    </row>
    <row r="403" spans="1:26">
      <c r="A403" s="89" t="str">
        <f t="shared" si="36"/>
        <v/>
      </c>
      <c r="B403" s="89" t="str">
        <f t="shared" si="37"/>
        <v/>
      </c>
      <c r="S403" s="89" t="str">
        <f t="shared" si="38"/>
        <v/>
      </c>
      <c r="X403" s="64">
        <f t="shared" si="39"/>
        <v>0</v>
      </c>
      <c r="Y403" s="53">
        <f t="shared" si="40"/>
        <v>0</v>
      </c>
      <c r="Z403" s="64">
        <f t="shared" si="41"/>
        <v>0</v>
      </c>
    </row>
    <row r="404" spans="1:26">
      <c r="A404" s="89" t="str">
        <f t="shared" si="36"/>
        <v/>
      </c>
      <c r="B404" s="89" t="str">
        <f t="shared" si="37"/>
        <v/>
      </c>
      <c r="S404" s="89" t="str">
        <f t="shared" si="38"/>
        <v/>
      </c>
      <c r="X404" s="64">
        <f t="shared" si="39"/>
        <v>0</v>
      </c>
      <c r="Y404" s="53">
        <f t="shared" si="40"/>
        <v>0</v>
      </c>
      <c r="Z404" s="64">
        <f t="shared" si="41"/>
        <v>0</v>
      </c>
    </row>
    <row r="405" spans="1:26">
      <c r="A405" s="89" t="str">
        <f t="shared" si="36"/>
        <v/>
      </c>
      <c r="B405" s="89" t="str">
        <f t="shared" si="37"/>
        <v/>
      </c>
      <c r="S405" s="89" t="str">
        <f t="shared" si="38"/>
        <v/>
      </c>
      <c r="X405" s="64">
        <f t="shared" si="39"/>
        <v>0</v>
      </c>
      <c r="Y405" s="53">
        <f t="shared" si="40"/>
        <v>0</v>
      </c>
      <c r="Z405" s="64">
        <f t="shared" si="41"/>
        <v>0</v>
      </c>
    </row>
    <row r="406" spans="1:26">
      <c r="A406" s="89" t="str">
        <f t="shared" si="36"/>
        <v/>
      </c>
      <c r="B406" s="89" t="str">
        <f t="shared" si="37"/>
        <v/>
      </c>
      <c r="S406" s="89" t="str">
        <f t="shared" si="38"/>
        <v/>
      </c>
      <c r="X406" s="64">
        <f t="shared" si="39"/>
        <v>0</v>
      </c>
      <c r="Y406" s="53">
        <f t="shared" si="40"/>
        <v>0</v>
      </c>
      <c r="Z406" s="64">
        <f t="shared" si="41"/>
        <v>0</v>
      </c>
    </row>
    <row r="407" spans="1:26">
      <c r="A407" s="89" t="str">
        <f t="shared" si="36"/>
        <v/>
      </c>
      <c r="B407" s="89" t="str">
        <f t="shared" si="37"/>
        <v/>
      </c>
      <c r="S407" s="89" t="str">
        <f t="shared" si="38"/>
        <v/>
      </c>
      <c r="X407" s="64">
        <f t="shared" si="39"/>
        <v>0</v>
      </c>
      <c r="Y407" s="53">
        <f t="shared" si="40"/>
        <v>0</v>
      </c>
      <c r="Z407" s="64">
        <f t="shared" si="41"/>
        <v>0</v>
      </c>
    </row>
    <row r="408" spans="1:26">
      <c r="A408" s="89" t="str">
        <f t="shared" si="36"/>
        <v/>
      </c>
      <c r="B408" s="89" t="str">
        <f t="shared" si="37"/>
        <v/>
      </c>
      <c r="S408" s="89" t="str">
        <f t="shared" si="38"/>
        <v/>
      </c>
      <c r="X408" s="64">
        <f t="shared" si="39"/>
        <v>0</v>
      </c>
      <c r="Y408" s="53">
        <f t="shared" si="40"/>
        <v>0</v>
      </c>
      <c r="Z408" s="64">
        <f t="shared" si="41"/>
        <v>0</v>
      </c>
    </row>
    <row r="409" spans="1:26">
      <c r="A409" s="89" t="str">
        <f t="shared" si="36"/>
        <v/>
      </c>
      <c r="B409" s="89" t="str">
        <f t="shared" si="37"/>
        <v/>
      </c>
      <c r="S409" s="89" t="str">
        <f t="shared" si="38"/>
        <v/>
      </c>
      <c r="X409" s="64">
        <f t="shared" si="39"/>
        <v>0</v>
      </c>
      <c r="Y409" s="53">
        <f t="shared" si="40"/>
        <v>0</v>
      </c>
      <c r="Z409" s="64">
        <f t="shared" si="41"/>
        <v>0</v>
      </c>
    </row>
    <row r="410" spans="1:26">
      <c r="A410" s="89" t="str">
        <f t="shared" si="36"/>
        <v/>
      </c>
      <c r="B410" s="89" t="str">
        <f t="shared" si="37"/>
        <v/>
      </c>
      <c r="S410" s="89" t="str">
        <f t="shared" si="38"/>
        <v/>
      </c>
      <c r="X410" s="64">
        <f t="shared" si="39"/>
        <v>0</v>
      </c>
      <c r="Y410" s="53">
        <f t="shared" si="40"/>
        <v>0</v>
      </c>
      <c r="Z410" s="64">
        <f t="shared" si="41"/>
        <v>0</v>
      </c>
    </row>
    <row r="411" spans="1:26">
      <c r="A411" s="89" t="str">
        <f t="shared" si="36"/>
        <v/>
      </c>
      <c r="B411" s="89" t="str">
        <f t="shared" si="37"/>
        <v/>
      </c>
      <c r="S411" s="89" t="str">
        <f t="shared" si="38"/>
        <v/>
      </c>
      <c r="X411" s="64">
        <f t="shared" si="39"/>
        <v>0</v>
      </c>
      <c r="Y411" s="53">
        <f t="shared" si="40"/>
        <v>0</v>
      </c>
      <c r="Z411" s="64">
        <f t="shared" si="41"/>
        <v>0</v>
      </c>
    </row>
    <row r="412" spans="1:26">
      <c r="A412" s="89" t="str">
        <f t="shared" si="36"/>
        <v/>
      </c>
      <c r="B412" s="89" t="str">
        <f t="shared" si="37"/>
        <v/>
      </c>
      <c r="S412" s="89" t="str">
        <f t="shared" si="38"/>
        <v/>
      </c>
      <c r="X412" s="64">
        <f t="shared" si="39"/>
        <v>0</v>
      </c>
      <c r="Y412" s="53">
        <f t="shared" si="40"/>
        <v>0</v>
      </c>
      <c r="Z412" s="64">
        <f t="shared" si="41"/>
        <v>0</v>
      </c>
    </row>
    <row r="413" spans="1:26">
      <c r="A413" s="89" t="str">
        <f t="shared" si="36"/>
        <v/>
      </c>
      <c r="B413" s="89" t="str">
        <f t="shared" si="37"/>
        <v/>
      </c>
      <c r="S413" s="89" t="str">
        <f t="shared" si="38"/>
        <v/>
      </c>
      <c r="X413" s="64">
        <f t="shared" si="39"/>
        <v>0</v>
      </c>
      <c r="Y413" s="53">
        <f t="shared" si="40"/>
        <v>0</v>
      </c>
      <c r="Z413" s="64">
        <f t="shared" si="41"/>
        <v>0</v>
      </c>
    </row>
    <row r="414" spans="1:26">
      <c r="A414" s="89" t="str">
        <f t="shared" si="36"/>
        <v/>
      </c>
      <c r="B414" s="89" t="str">
        <f t="shared" si="37"/>
        <v/>
      </c>
      <c r="S414" s="89" t="str">
        <f t="shared" si="38"/>
        <v/>
      </c>
      <c r="X414" s="64">
        <f t="shared" si="39"/>
        <v>0</v>
      </c>
      <c r="Y414" s="53">
        <f t="shared" si="40"/>
        <v>0</v>
      </c>
      <c r="Z414" s="64">
        <f t="shared" si="41"/>
        <v>0</v>
      </c>
    </row>
    <row r="415" spans="1:26">
      <c r="A415" s="89" t="str">
        <f t="shared" si="36"/>
        <v/>
      </c>
      <c r="B415" s="89" t="str">
        <f t="shared" si="37"/>
        <v/>
      </c>
      <c r="S415" s="89" t="str">
        <f t="shared" si="38"/>
        <v/>
      </c>
      <c r="X415" s="64">
        <f t="shared" si="39"/>
        <v>0</v>
      </c>
      <c r="Y415" s="53">
        <f t="shared" si="40"/>
        <v>0</v>
      </c>
      <c r="Z415" s="64">
        <f t="shared" si="41"/>
        <v>0</v>
      </c>
    </row>
    <row r="416" spans="1:26">
      <c r="A416" s="89" t="str">
        <f t="shared" si="36"/>
        <v/>
      </c>
      <c r="B416" s="89" t="str">
        <f t="shared" si="37"/>
        <v/>
      </c>
      <c r="S416" s="89" t="str">
        <f t="shared" si="38"/>
        <v/>
      </c>
      <c r="X416" s="64">
        <f t="shared" si="39"/>
        <v>0</v>
      </c>
      <c r="Y416" s="53">
        <f t="shared" si="40"/>
        <v>0</v>
      </c>
      <c r="Z416" s="64">
        <f t="shared" si="41"/>
        <v>0</v>
      </c>
    </row>
    <row r="417" spans="1:26">
      <c r="A417" s="89" t="str">
        <f t="shared" si="36"/>
        <v/>
      </c>
      <c r="B417" s="89" t="str">
        <f t="shared" si="37"/>
        <v/>
      </c>
      <c r="S417" s="89" t="str">
        <f t="shared" si="38"/>
        <v/>
      </c>
      <c r="X417" s="64">
        <f t="shared" si="39"/>
        <v>0</v>
      </c>
      <c r="Y417" s="53">
        <f t="shared" si="40"/>
        <v>0</v>
      </c>
      <c r="Z417" s="64">
        <f t="shared" si="41"/>
        <v>0</v>
      </c>
    </row>
    <row r="418" spans="1:26">
      <c r="A418" s="89" t="str">
        <f t="shared" si="36"/>
        <v/>
      </c>
      <c r="B418" s="89" t="str">
        <f t="shared" si="37"/>
        <v/>
      </c>
      <c r="S418" s="89" t="str">
        <f t="shared" si="38"/>
        <v/>
      </c>
      <c r="X418" s="64">
        <f t="shared" si="39"/>
        <v>0</v>
      </c>
      <c r="Y418" s="53">
        <f t="shared" si="40"/>
        <v>0</v>
      </c>
      <c r="Z418" s="64">
        <f t="shared" si="41"/>
        <v>0</v>
      </c>
    </row>
    <row r="419" spans="1:26">
      <c r="A419" s="89" t="str">
        <f t="shared" si="36"/>
        <v/>
      </c>
      <c r="B419" s="89" t="str">
        <f t="shared" si="37"/>
        <v/>
      </c>
      <c r="S419" s="89" t="str">
        <f t="shared" si="38"/>
        <v/>
      </c>
      <c r="X419" s="64">
        <f t="shared" si="39"/>
        <v>0</v>
      </c>
      <c r="Y419" s="53">
        <f t="shared" si="40"/>
        <v>0</v>
      </c>
      <c r="Z419" s="64">
        <f t="shared" si="41"/>
        <v>0</v>
      </c>
    </row>
    <row r="420" spans="1:26">
      <c r="A420" s="89" t="str">
        <f t="shared" si="36"/>
        <v/>
      </c>
      <c r="B420" s="89" t="str">
        <f t="shared" si="37"/>
        <v/>
      </c>
      <c r="S420" s="89" t="str">
        <f t="shared" si="38"/>
        <v/>
      </c>
      <c r="X420" s="64">
        <f t="shared" si="39"/>
        <v>0</v>
      </c>
      <c r="Y420" s="53">
        <f t="shared" si="40"/>
        <v>0</v>
      </c>
      <c r="Z420" s="64">
        <f t="shared" si="41"/>
        <v>0</v>
      </c>
    </row>
    <row r="421" spans="1:26">
      <c r="A421" s="89" t="str">
        <f t="shared" si="36"/>
        <v/>
      </c>
      <c r="B421" s="89" t="str">
        <f t="shared" si="37"/>
        <v/>
      </c>
      <c r="S421" s="89" t="str">
        <f t="shared" si="38"/>
        <v/>
      </c>
      <c r="X421" s="64">
        <f t="shared" si="39"/>
        <v>0</v>
      </c>
      <c r="Y421" s="53">
        <f t="shared" si="40"/>
        <v>0</v>
      </c>
      <c r="Z421" s="64">
        <f t="shared" si="41"/>
        <v>0</v>
      </c>
    </row>
    <row r="422" spans="1:26">
      <c r="A422" s="89" t="str">
        <f t="shared" si="36"/>
        <v/>
      </c>
      <c r="B422" s="89" t="str">
        <f t="shared" si="37"/>
        <v/>
      </c>
      <c r="S422" s="89" t="str">
        <f t="shared" si="38"/>
        <v/>
      </c>
      <c r="X422" s="64">
        <f t="shared" si="39"/>
        <v>0</v>
      </c>
      <c r="Y422" s="53">
        <f t="shared" si="40"/>
        <v>0</v>
      </c>
      <c r="Z422" s="64">
        <f t="shared" si="41"/>
        <v>0</v>
      </c>
    </row>
    <row r="423" spans="1:26">
      <c r="A423" s="89" t="str">
        <f t="shared" si="36"/>
        <v/>
      </c>
      <c r="B423" s="89" t="str">
        <f t="shared" si="37"/>
        <v/>
      </c>
      <c r="S423" s="89" t="str">
        <f t="shared" si="38"/>
        <v/>
      </c>
      <c r="X423" s="64">
        <f t="shared" si="39"/>
        <v>0</v>
      </c>
      <c r="Y423" s="53">
        <f t="shared" si="40"/>
        <v>0</v>
      </c>
      <c r="Z423" s="64">
        <f t="shared" si="41"/>
        <v>0</v>
      </c>
    </row>
    <row r="424" spans="1:26">
      <c r="A424" s="89" t="str">
        <f t="shared" si="36"/>
        <v/>
      </c>
      <c r="B424" s="89" t="str">
        <f t="shared" si="37"/>
        <v/>
      </c>
      <c r="S424" s="89" t="str">
        <f t="shared" si="38"/>
        <v/>
      </c>
      <c r="X424" s="64">
        <f t="shared" si="39"/>
        <v>0</v>
      </c>
      <c r="Y424" s="53">
        <f t="shared" si="40"/>
        <v>0</v>
      </c>
      <c r="Z424" s="64">
        <f t="shared" si="41"/>
        <v>0</v>
      </c>
    </row>
    <row r="425" spans="1:26">
      <c r="A425" s="89" t="str">
        <f t="shared" si="36"/>
        <v/>
      </c>
      <c r="B425" s="89" t="str">
        <f t="shared" si="37"/>
        <v/>
      </c>
      <c r="S425" s="89" t="str">
        <f t="shared" si="38"/>
        <v/>
      </c>
      <c r="X425" s="64">
        <f t="shared" si="39"/>
        <v>0</v>
      </c>
      <c r="Y425" s="53">
        <f t="shared" si="40"/>
        <v>0</v>
      </c>
      <c r="Z425" s="64">
        <f t="shared" si="41"/>
        <v>0</v>
      </c>
    </row>
    <row r="426" spans="1:26">
      <c r="A426" s="89" t="str">
        <f t="shared" si="36"/>
        <v/>
      </c>
      <c r="B426" s="89" t="str">
        <f t="shared" si="37"/>
        <v/>
      </c>
      <c r="S426" s="89" t="str">
        <f t="shared" si="38"/>
        <v/>
      </c>
      <c r="X426" s="64">
        <f t="shared" si="39"/>
        <v>0</v>
      </c>
      <c r="Y426" s="53">
        <f t="shared" si="40"/>
        <v>0</v>
      </c>
      <c r="Z426" s="64">
        <f t="shared" si="41"/>
        <v>0</v>
      </c>
    </row>
    <row r="427" spans="1:26">
      <c r="A427" s="89" t="str">
        <f t="shared" si="36"/>
        <v/>
      </c>
      <c r="B427" s="89" t="str">
        <f t="shared" si="37"/>
        <v/>
      </c>
      <c r="S427" s="89" t="str">
        <f t="shared" si="38"/>
        <v/>
      </c>
      <c r="X427" s="64">
        <f t="shared" si="39"/>
        <v>0</v>
      </c>
      <c r="Y427" s="53">
        <f t="shared" si="40"/>
        <v>0</v>
      </c>
      <c r="Z427" s="64">
        <f t="shared" si="41"/>
        <v>0</v>
      </c>
    </row>
    <row r="428" spans="1:26">
      <c r="A428" s="89" t="str">
        <f t="shared" si="36"/>
        <v/>
      </c>
      <c r="B428" s="89" t="str">
        <f t="shared" si="37"/>
        <v/>
      </c>
      <c r="S428" s="89" t="str">
        <f t="shared" si="38"/>
        <v/>
      </c>
      <c r="X428" s="64">
        <f t="shared" si="39"/>
        <v>0</v>
      </c>
      <c r="Y428" s="53">
        <f t="shared" si="40"/>
        <v>0</v>
      </c>
      <c r="Z428" s="64">
        <f t="shared" si="41"/>
        <v>0</v>
      </c>
    </row>
    <row r="429" spans="1:26">
      <c r="A429" s="89" t="str">
        <f t="shared" si="36"/>
        <v/>
      </c>
      <c r="B429" s="89" t="str">
        <f t="shared" si="37"/>
        <v/>
      </c>
      <c r="S429" s="89" t="str">
        <f t="shared" si="38"/>
        <v/>
      </c>
      <c r="X429" s="64">
        <f t="shared" si="39"/>
        <v>0</v>
      </c>
      <c r="Y429" s="53">
        <f t="shared" si="40"/>
        <v>0</v>
      </c>
      <c r="Z429" s="64">
        <f t="shared" si="41"/>
        <v>0</v>
      </c>
    </row>
    <row r="430" spans="1:26">
      <c r="A430" s="89" t="str">
        <f t="shared" si="36"/>
        <v/>
      </c>
      <c r="B430" s="89" t="str">
        <f t="shared" si="37"/>
        <v/>
      </c>
      <c r="S430" s="89" t="str">
        <f t="shared" si="38"/>
        <v/>
      </c>
      <c r="X430" s="64">
        <f t="shared" si="39"/>
        <v>0</v>
      </c>
      <c r="Y430" s="53">
        <f t="shared" si="40"/>
        <v>0</v>
      </c>
      <c r="Z430" s="64">
        <f t="shared" si="41"/>
        <v>0</v>
      </c>
    </row>
    <row r="431" spans="1:26">
      <c r="A431" s="89" t="str">
        <f t="shared" si="36"/>
        <v/>
      </c>
      <c r="B431" s="89" t="str">
        <f t="shared" si="37"/>
        <v/>
      </c>
      <c r="S431" s="89" t="str">
        <f t="shared" si="38"/>
        <v/>
      </c>
      <c r="X431" s="64">
        <f t="shared" si="39"/>
        <v>0</v>
      </c>
      <c r="Y431" s="53">
        <f t="shared" si="40"/>
        <v>0</v>
      </c>
      <c r="Z431" s="64">
        <f t="shared" si="41"/>
        <v>0</v>
      </c>
    </row>
    <row r="432" spans="1:26">
      <c r="A432" s="89" t="str">
        <f t="shared" si="36"/>
        <v/>
      </c>
      <c r="B432" s="89" t="str">
        <f t="shared" si="37"/>
        <v/>
      </c>
      <c r="S432" s="89" t="str">
        <f t="shared" si="38"/>
        <v/>
      </c>
      <c r="X432" s="64">
        <f t="shared" si="39"/>
        <v>0</v>
      </c>
      <c r="Y432" s="53">
        <f t="shared" si="40"/>
        <v>0</v>
      </c>
      <c r="Z432" s="64">
        <f t="shared" si="41"/>
        <v>0</v>
      </c>
    </row>
    <row r="433" spans="1:26">
      <c r="A433" s="89" t="str">
        <f t="shared" si="36"/>
        <v/>
      </c>
      <c r="B433" s="89" t="str">
        <f t="shared" si="37"/>
        <v/>
      </c>
      <c r="S433" s="89" t="str">
        <f t="shared" si="38"/>
        <v/>
      </c>
      <c r="X433" s="64">
        <f t="shared" si="39"/>
        <v>0</v>
      </c>
      <c r="Y433" s="53">
        <f t="shared" si="40"/>
        <v>0</v>
      </c>
      <c r="Z433" s="64">
        <f t="shared" si="41"/>
        <v>0</v>
      </c>
    </row>
    <row r="434" spans="1:26">
      <c r="A434" s="89" t="str">
        <f t="shared" si="36"/>
        <v/>
      </c>
      <c r="B434" s="89" t="str">
        <f t="shared" si="37"/>
        <v/>
      </c>
      <c r="S434" s="89" t="str">
        <f t="shared" si="38"/>
        <v/>
      </c>
      <c r="X434" s="64">
        <f t="shared" si="39"/>
        <v>0</v>
      </c>
      <c r="Y434" s="53">
        <f t="shared" si="40"/>
        <v>0</v>
      </c>
      <c r="Z434" s="64">
        <f t="shared" si="41"/>
        <v>0</v>
      </c>
    </row>
    <row r="435" spans="1:26">
      <c r="A435" s="89" t="str">
        <f t="shared" si="36"/>
        <v/>
      </c>
      <c r="B435" s="89" t="str">
        <f t="shared" si="37"/>
        <v/>
      </c>
      <c r="S435" s="89" t="str">
        <f t="shared" si="38"/>
        <v/>
      </c>
      <c r="X435" s="64">
        <f t="shared" si="39"/>
        <v>0</v>
      </c>
      <c r="Y435" s="53">
        <f t="shared" si="40"/>
        <v>0</v>
      </c>
      <c r="Z435" s="64">
        <f t="shared" si="41"/>
        <v>0</v>
      </c>
    </row>
    <row r="436" spans="1:26">
      <c r="A436" s="89" t="str">
        <f t="shared" si="36"/>
        <v/>
      </c>
      <c r="B436" s="89" t="str">
        <f t="shared" si="37"/>
        <v/>
      </c>
      <c r="S436" s="89" t="str">
        <f t="shared" si="38"/>
        <v/>
      </c>
      <c r="X436" s="64">
        <f t="shared" si="39"/>
        <v>0</v>
      </c>
      <c r="Y436" s="53">
        <f t="shared" si="40"/>
        <v>0</v>
      </c>
      <c r="Z436" s="64">
        <f t="shared" si="41"/>
        <v>0</v>
      </c>
    </row>
    <row r="437" spans="1:26">
      <c r="A437" s="89" t="str">
        <f t="shared" si="36"/>
        <v/>
      </c>
      <c r="B437" s="89" t="str">
        <f t="shared" si="37"/>
        <v/>
      </c>
      <c r="S437" s="89" t="str">
        <f t="shared" si="38"/>
        <v/>
      </c>
      <c r="X437" s="64">
        <f t="shared" si="39"/>
        <v>0</v>
      </c>
      <c r="Y437" s="53">
        <f t="shared" si="40"/>
        <v>0</v>
      </c>
      <c r="Z437" s="64">
        <f t="shared" si="41"/>
        <v>0</v>
      </c>
    </row>
    <row r="438" spans="1:26">
      <c r="A438" s="89" t="str">
        <f t="shared" si="36"/>
        <v/>
      </c>
      <c r="B438" s="89" t="str">
        <f t="shared" si="37"/>
        <v/>
      </c>
      <c r="S438" s="89" t="str">
        <f t="shared" si="38"/>
        <v/>
      </c>
      <c r="X438" s="64">
        <f t="shared" si="39"/>
        <v>0</v>
      </c>
      <c r="Y438" s="53">
        <f t="shared" si="40"/>
        <v>0</v>
      </c>
      <c r="Z438" s="64">
        <f t="shared" si="41"/>
        <v>0</v>
      </c>
    </row>
    <row r="439" spans="1:26">
      <c r="A439" s="89" t="str">
        <f t="shared" si="36"/>
        <v/>
      </c>
      <c r="B439" s="89" t="str">
        <f t="shared" si="37"/>
        <v/>
      </c>
      <c r="S439" s="89" t="str">
        <f t="shared" si="38"/>
        <v/>
      </c>
      <c r="X439" s="64">
        <f t="shared" si="39"/>
        <v>0</v>
      </c>
      <c r="Y439" s="53">
        <f t="shared" si="40"/>
        <v>0</v>
      </c>
      <c r="Z439" s="64">
        <f t="shared" si="41"/>
        <v>0</v>
      </c>
    </row>
    <row r="440" spans="1:26">
      <c r="A440" s="89" t="str">
        <f t="shared" si="36"/>
        <v/>
      </c>
      <c r="B440" s="89" t="str">
        <f t="shared" si="37"/>
        <v/>
      </c>
      <c r="S440" s="89" t="str">
        <f t="shared" si="38"/>
        <v/>
      </c>
      <c r="X440" s="64">
        <f t="shared" si="39"/>
        <v>0</v>
      </c>
      <c r="Y440" s="53">
        <f t="shared" si="40"/>
        <v>0</v>
      </c>
      <c r="Z440" s="64">
        <f t="shared" si="41"/>
        <v>0</v>
      </c>
    </row>
    <row r="441" spans="1:26">
      <c r="A441" s="89" t="str">
        <f t="shared" si="36"/>
        <v/>
      </c>
      <c r="B441" s="89" t="str">
        <f t="shared" si="37"/>
        <v/>
      </c>
      <c r="S441" s="89" t="str">
        <f t="shared" si="38"/>
        <v/>
      </c>
      <c r="X441" s="64">
        <f t="shared" si="39"/>
        <v>0</v>
      </c>
      <c r="Y441" s="53">
        <f t="shared" si="40"/>
        <v>0</v>
      </c>
      <c r="Z441" s="64">
        <f t="shared" si="41"/>
        <v>0</v>
      </c>
    </row>
    <row r="442" spans="1:26">
      <c r="A442" s="89" t="str">
        <f t="shared" si="36"/>
        <v/>
      </c>
      <c r="B442" s="89" t="str">
        <f t="shared" si="37"/>
        <v/>
      </c>
      <c r="S442" s="89" t="str">
        <f t="shared" si="38"/>
        <v/>
      </c>
      <c r="X442" s="64">
        <f t="shared" si="39"/>
        <v>0</v>
      </c>
      <c r="Y442" s="53">
        <f t="shared" si="40"/>
        <v>0</v>
      </c>
      <c r="Z442" s="64">
        <f t="shared" si="41"/>
        <v>0</v>
      </c>
    </row>
    <row r="443" spans="1:26">
      <c r="A443" s="89" t="str">
        <f t="shared" si="36"/>
        <v/>
      </c>
      <c r="B443" s="89" t="str">
        <f t="shared" si="37"/>
        <v/>
      </c>
      <c r="S443" s="89" t="str">
        <f t="shared" si="38"/>
        <v/>
      </c>
      <c r="X443" s="64">
        <f t="shared" si="39"/>
        <v>0</v>
      </c>
      <c r="Y443" s="53">
        <f t="shared" si="40"/>
        <v>0</v>
      </c>
      <c r="Z443" s="64">
        <f t="shared" si="41"/>
        <v>0</v>
      </c>
    </row>
    <row r="444" spans="1:26">
      <c r="A444" s="89" t="str">
        <f t="shared" si="36"/>
        <v/>
      </c>
      <c r="B444" s="89" t="str">
        <f t="shared" si="37"/>
        <v/>
      </c>
      <c r="S444" s="89" t="str">
        <f t="shared" si="38"/>
        <v/>
      </c>
      <c r="X444" s="64">
        <f t="shared" si="39"/>
        <v>0</v>
      </c>
      <c r="Y444" s="53">
        <f t="shared" si="40"/>
        <v>0</v>
      </c>
      <c r="Z444" s="64">
        <f t="shared" si="41"/>
        <v>0</v>
      </c>
    </row>
    <row r="445" spans="1:26">
      <c r="A445" s="89" t="str">
        <f t="shared" si="36"/>
        <v/>
      </c>
      <c r="B445" s="89" t="str">
        <f t="shared" si="37"/>
        <v/>
      </c>
      <c r="S445" s="89" t="str">
        <f t="shared" si="38"/>
        <v/>
      </c>
      <c r="X445" s="64">
        <f t="shared" si="39"/>
        <v>0</v>
      </c>
      <c r="Y445" s="53">
        <f t="shared" si="40"/>
        <v>0</v>
      </c>
      <c r="Z445" s="64">
        <f t="shared" si="41"/>
        <v>0</v>
      </c>
    </row>
    <row r="446" spans="1:26">
      <c r="A446" s="89" t="str">
        <f t="shared" si="36"/>
        <v/>
      </c>
      <c r="B446" s="89" t="str">
        <f t="shared" si="37"/>
        <v/>
      </c>
      <c r="S446" s="89" t="str">
        <f t="shared" si="38"/>
        <v/>
      </c>
      <c r="X446" s="64">
        <f t="shared" si="39"/>
        <v>0</v>
      </c>
      <c r="Y446" s="53">
        <f t="shared" si="40"/>
        <v>0</v>
      </c>
      <c r="Z446" s="64">
        <f t="shared" si="41"/>
        <v>0</v>
      </c>
    </row>
    <row r="447" spans="1:26">
      <c r="A447" s="89" t="str">
        <f t="shared" si="36"/>
        <v/>
      </c>
      <c r="B447" s="89" t="str">
        <f t="shared" si="37"/>
        <v/>
      </c>
      <c r="S447" s="89" t="str">
        <f t="shared" si="38"/>
        <v/>
      </c>
      <c r="X447" s="64">
        <f t="shared" si="39"/>
        <v>0</v>
      </c>
      <c r="Y447" s="53">
        <f t="shared" si="40"/>
        <v>0</v>
      </c>
      <c r="Z447" s="64">
        <f t="shared" si="41"/>
        <v>0</v>
      </c>
    </row>
    <row r="448" spans="1:26">
      <c r="A448" s="89" t="str">
        <f t="shared" si="36"/>
        <v/>
      </c>
      <c r="B448" s="89" t="str">
        <f t="shared" si="37"/>
        <v/>
      </c>
      <c r="S448" s="89" t="str">
        <f t="shared" si="38"/>
        <v/>
      </c>
      <c r="X448" s="64">
        <f t="shared" si="39"/>
        <v>0</v>
      </c>
      <c r="Y448" s="53">
        <f t="shared" si="40"/>
        <v>0</v>
      </c>
      <c r="Z448" s="64">
        <f t="shared" si="41"/>
        <v>0</v>
      </c>
    </row>
    <row r="449" spans="1:26">
      <c r="A449" s="89" t="str">
        <f t="shared" si="36"/>
        <v/>
      </c>
      <c r="B449" s="89" t="str">
        <f t="shared" si="37"/>
        <v/>
      </c>
      <c r="S449" s="89" t="str">
        <f t="shared" si="38"/>
        <v/>
      </c>
      <c r="X449" s="64">
        <f t="shared" si="39"/>
        <v>0</v>
      </c>
      <c r="Y449" s="53">
        <f t="shared" si="40"/>
        <v>0</v>
      </c>
      <c r="Z449" s="64">
        <f t="shared" si="41"/>
        <v>0</v>
      </c>
    </row>
    <row r="450" spans="1:26">
      <c r="A450" s="89" t="str">
        <f t="shared" si="36"/>
        <v/>
      </c>
      <c r="B450" s="89" t="str">
        <f t="shared" si="37"/>
        <v/>
      </c>
      <c r="S450" s="89" t="str">
        <f t="shared" si="38"/>
        <v/>
      </c>
      <c r="X450" s="64">
        <f t="shared" si="39"/>
        <v>0</v>
      </c>
      <c r="Y450" s="53">
        <f t="shared" si="40"/>
        <v>0</v>
      </c>
      <c r="Z450" s="64">
        <f t="shared" si="41"/>
        <v>0</v>
      </c>
    </row>
    <row r="451" spans="1:26">
      <c r="A451" s="89" t="str">
        <f t="shared" ref="A451:A514" si="42">IF(G451&amp;Q451&lt;&gt;"",G451&amp;Q451,"")</f>
        <v/>
      </c>
      <c r="B451" s="89" t="str">
        <f t="shared" ref="B451:B514" si="43">IF(C451&lt;&gt;"",LEFT(C451,9),"")</f>
        <v/>
      </c>
      <c r="S451" s="89" t="str">
        <f t="shared" ref="S451:S514" si="44">IF(H451&lt;&gt;"",H451,"")</f>
        <v/>
      </c>
      <c r="X451" s="64">
        <f t="shared" ref="X451:X514" si="45">IFERROR(VALUE(MID($C451,1,2)),0)</f>
        <v>0</v>
      </c>
      <c r="Y451" s="53">
        <f t="shared" ref="Y451:Y514" si="46">IFERROR(VALUE(MID($C451,4,3)),0)</f>
        <v>0</v>
      </c>
      <c r="Z451" s="64">
        <f t="shared" ref="Z451:Z514" si="47">VALUE(RIGHT("00"&amp;X451,2)&amp;RIGHT("000"&amp;Y451,3))</f>
        <v>0</v>
      </c>
    </row>
    <row r="452" spans="1:26">
      <c r="A452" s="89" t="str">
        <f t="shared" si="42"/>
        <v/>
      </c>
      <c r="B452" s="89" t="str">
        <f t="shared" si="43"/>
        <v/>
      </c>
      <c r="S452" s="89" t="str">
        <f t="shared" si="44"/>
        <v/>
      </c>
      <c r="X452" s="64">
        <f t="shared" si="45"/>
        <v>0</v>
      </c>
      <c r="Y452" s="53">
        <f t="shared" si="46"/>
        <v>0</v>
      </c>
      <c r="Z452" s="64">
        <f t="shared" si="47"/>
        <v>0</v>
      </c>
    </row>
    <row r="453" spans="1:26">
      <c r="A453" s="89" t="str">
        <f t="shared" si="42"/>
        <v/>
      </c>
      <c r="B453" s="89" t="str">
        <f t="shared" si="43"/>
        <v/>
      </c>
      <c r="S453" s="89" t="str">
        <f t="shared" si="44"/>
        <v/>
      </c>
      <c r="X453" s="64">
        <f t="shared" si="45"/>
        <v>0</v>
      </c>
      <c r="Y453" s="53">
        <f t="shared" si="46"/>
        <v>0</v>
      </c>
      <c r="Z453" s="64">
        <f t="shared" si="47"/>
        <v>0</v>
      </c>
    </row>
    <row r="454" spans="1:26">
      <c r="A454" s="89" t="str">
        <f t="shared" si="42"/>
        <v/>
      </c>
      <c r="B454" s="89" t="str">
        <f t="shared" si="43"/>
        <v/>
      </c>
      <c r="S454" s="89" t="str">
        <f t="shared" si="44"/>
        <v/>
      </c>
      <c r="X454" s="64">
        <f t="shared" si="45"/>
        <v>0</v>
      </c>
      <c r="Y454" s="53">
        <f t="shared" si="46"/>
        <v>0</v>
      </c>
      <c r="Z454" s="64">
        <f t="shared" si="47"/>
        <v>0</v>
      </c>
    </row>
    <row r="455" spans="1:26">
      <c r="A455" s="89" t="str">
        <f t="shared" si="42"/>
        <v/>
      </c>
      <c r="B455" s="89" t="str">
        <f t="shared" si="43"/>
        <v/>
      </c>
      <c r="S455" s="89" t="str">
        <f t="shared" si="44"/>
        <v/>
      </c>
      <c r="X455" s="64">
        <f t="shared" si="45"/>
        <v>0</v>
      </c>
      <c r="Y455" s="53">
        <f t="shared" si="46"/>
        <v>0</v>
      </c>
      <c r="Z455" s="64">
        <f t="shared" si="47"/>
        <v>0</v>
      </c>
    </row>
    <row r="456" spans="1:26">
      <c r="A456" s="89" t="str">
        <f t="shared" si="42"/>
        <v/>
      </c>
      <c r="B456" s="89" t="str">
        <f t="shared" si="43"/>
        <v/>
      </c>
      <c r="S456" s="89" t="str">
        <f t="shared" si="44"/>
        <v/>
      </c>
      <c r="X456" s="64">
        <f t="shared" si="45"/>
        <v>0</v>
      </c>
      <c r="Y456" s="53">
        <f t="shared" si="46"/>
        <v>0</v>
      </c>
      <c r="Z456" s="64">
        <f t="shared" si="47"/>
        <v>0</v>
      </c>
    </row>
    <row r="457" spans="1:26">
      <c r="A457" s="89" t="str">
        <f t="shared" si="42"/>
        <v/>
      </c>
      <c r="B457" s="89" t="str">
        <f t="shared" si="43"/>
        <v/>
      </c>
      <c r="S457" s="89" t="str">
        <f t="shared" si="44"/>
        <v/>
      </c>
      <c r="X457" s="64">
        <f t="shared" si="45"/>
        <v>0</v>
      </c>
      <c r="Y457" s="53">
        <f t="shared" si="46"/>
        <v>0</v>
      </c>
      <c r="Z457" s="64">
        <f t="shared" si="47"/>
        <v>0</v>
      </c>
    </row>
    <row r="458" spans="1:26">
      <c r="A458" s="89" t="str">
        <f t="shared" si="42"/>
        <v/>
      </c>
      <c r="B458" s="89" t="str">
        <f t="shared" si="43"/>
        <v/>
      </c>
      <c r="S458" s="89" t="str">
        <f t="shared" si="44"/>
        <v/>
      </c>
      <c r="X458" s="64">
        <f t="shared" si="45"/>
        <v>0</v>
      </c>
      <c r="Y458" s="53">
        <f t="shared" si="46"/>
        <v>0</v>
      </c>
      <c r="Z458" s="64">
        <f t="shared" si="47"/>
        <v>0</v>
      </c>
    </row>
    <row r="459" spans="1:26">
      <c r="A459" s="89" t="str">
        <f t="shared" si="42"/>
        <v/>
      </c>
      <c r="B459" s="89" t="str">
        <f t="shared" si="43"/>
        <v/>
      </c>
      <c r="S459" s="89" t="str">
        <f t="shared" si="44"/>
        <v/>
      </c>
      <c r="X459" s="64">
        <f t="shared" si="45"/>
        <v>0</v>
      </c>
      <c r="Y459" s="53">
        <f t="shared" si="46"/>
        <v>0</v>
      </c>
      <c r="Z459" s="64">
        <f t="shared" si="47"/>
        <v>0</v>
      </c>
    </row>
    <row r="460" spans="1:26">
      <c r="A460" s="89" t="str">
        <f t="shared" si="42"/>
        <v/>
      </c>
      <c r="B460" s="89" t="str">
        <f t="shared" si="43"/>
        <v/>
      </c>
      <c r="S460" s="89" t="str">
        <f t="shared" si="44"/>
        <v/>
      </c>
      <c r="X460" s="64">
        <f t="shared" si="45"/>
        <v>0</v>
      </c>
      <c r="Y460" s="53">
        <f t="shared" si="46"/>
        <v>0</v>
      </c>
      <c r="Z460" s="64">
        <f t="shared" si="47"/>
        <v>0</v>
      </c>
    </row>
    <row r="461" spans="1:26">
      <c r="A461" s="89" t="str">
        <f t="shared" si="42"/>
        <v/>
      </c>
      <c r="B461" s="89" t="str">
        <f t="shared" si="43"/>
        <v/>
      </c>
      <c r="S461" s="89" t="str">
        <f t="shared" si="44"/>
        <v/>
      </c>
      <c r="X461" s="64">
        <f t="shared" si="45"/>
        <v>0</v>
      </c>
      <c r="Y461" s="53">
        <f t="shared" si="46"/>
        <v>0</v>
      </c>
      <c r="Z461" s="64">
        <f t="shared" si="47"/>
        <v>0</v>
      </c>
    </row>
    <row r="462" spans="1:26">
      <c r="A462" s="89" t="str">
        <f t="shared" si="42"/>
        <v/>
      </c>
      <c r="B462" s="89" t="str">
        <f t="shared" si="43"/>
        <v/>
      </c>
      <c r="S462" s="89" t="str">
        <f t="shared" si="44"/>
        <v/>
      </c>
      <c r="X462" s="64">
        <f t="shared" si="45"/>
        <v>0</v>
      </c>
      <c r="Y462" s="53">
        <f t="shared" si="46"/>
        <v>0</v>
      </c>
      <c r="Z462" s="64">
        <f t="shared" si="47"/>
        <v>0</v>
      </c>
    </row>
    <row r="463" spans="1:26">
      <c r="A463" s="89" t="str">
        <f t="shared" si="42"/>
        <v/>
      </c>
      <c r="B463" s="89" t="str">
        <f t="shared" si="43"/>
        <v/>
      </c>
      <c r="S463" s="89" t="str">
        <f t="shared" si="44"/>
        <v/>
      </c>
      <c r="X463" s="64">
        <f t="shared" si="45"/>
        <v>0</v>
      </c>
      <c r="Y463" s="53">
        <f t="shared" si="46"/>
        <v>0</v>
      </c>
      <c r="Z463" s="64">
        <f t="shared" si="47"/>
        <v>0</v>
      </c>
    </row>
    <row r="464" spans="1:26">
      <c r="A464" s="89" t="str">
        <f t="shared" si="42"/>
        <v/>
      </c>
      <c r="B464" s="89" t="str">
        <f t="shared" si="43"/>
        <v/>
      </c>
      <c r="S464" s="89" t="str">
        <f t="shared" si="44"/>
        <v/>
      </c>
      <c r="X464" s="64">
        <f t="shared" si="45"/>
        <v>0</v>
      </c>
      <c r="Y464" s="53">
        <f t="shared" si="46"/>
        <v>0</v>
      </c>
      <c r="Z464" s="64">
        <f t="shared" si="47"/>
        <v>0</v>
      </c>
    </row>
    <row r="465" spans="1:26">
      <c r="A465" s="89" t="str">
        <f t="shared" si="42"/>
        <v/>
      </c>
      <c r="B465" s="89" t="str">
        <f t="shared" si="43"/>
        <v/>
      </c>
      <c r="S465" s="89" t="str">
        <f t="shared" si="44"/>
        <v/>
      </c>
      <c r="X465" s="64">
        <f t="shared" si="45"/>
        <v>0</v>
      </c>
      <c r="Y465" s="53">
        <f t="shared" si="46"/>
        <v>0</v>
      </c>
      <c r="Z465" s="64">
        <f t="shared" si="47"/>
        <v>0</v>
      </c>
    </row>
    <row r="466" spans="1:26">
      <c r="A466" s="89" t="str">
        <f t="shared" si="42"/>
        <v/>
      </c>
      <c r="B466" s="89" t="str">
        <f t="shared" si="43"/>
        <v/>
      </c>
      <c r="S466" s="89" t="str">
        <f t="shared" si="44"/>
        <v/>
      </c>
      <c r="X466" s="64">
        <f t="shared" si="45"/>
        <v>0</v>
      </c>
      <c r="Y466" s="53">
        <f t="shared" si="46"/>
        <v>0</v>
      </c>
      <c r="Z466" s="64">
        <f t="shared" si="47"/>
        <v>0</v>
      </c>
    </row>
    <row r="467" spans="1:26">
      <c r="A467" s="89" t="str">
        <f t="shared" si="42"/>
        <v/>
      </c>
      <c r="B467" s="89" t="str">
        <f t="shared" si="43"/>
        <v/>
      </c>
      <c r="S467" s="89" t="str">
        <f t="shared" si="44"/>
        <v/>
      </c>
      <c r="X467" s="64">
        <f t="shared" si="45"/>
        <v>0</v>
      </c>
      <c r="Y467" s="53">
        <f t="shared" si="46"/>
        <v>0</v>
      </c>
      <c r="Z467" s="64">
        <f t="shared" si="47"/>
        <v>0</v>
      </c>
    </row>
    <row r="468" spans="1:26">
      <c r="A468" s="89" t="str">
        <f t="shared" si="42"/>
        <v/>
      </c>
      <c r="B468" s="89" t="str">
        <f t="shared" si="43"/>
        <v/>
      </c>
      <c r="S468" s="89" t="str">
        <f t="shared" si="44"/>
        <v/>
      </c>
      <c r="X468" s="64">
        <f t="shared" si="45"/>
        <v>0</v>
      </c>
      <c r="Y468" s="53">
        <f t="shared" si="46"/>
        <v>0</v>
      </c>
      <c r="Z468" s="64">
        <f t="shared" si="47"/>
        <v>0</v>
      </c>
    </row>
    <row r="469" spans="1:26">
      <c r="A469" s="89" t="str">
        <f t="shared" si="42"/>
        <v/>
      </c>
      <c r="B469" s="89" t="str">
        <f t="shared" si="43"/>
        <v/>
      </c>
      <c r="S469" s="89" t="str">
        <f t="shared" si="44"/>
        <v/>
      </c>
      <c r="X469" s="64">
        <f t="shared" si="45"/>
        <v>0</v>
      </c>
      <c r="Y469" s="53">
        <f t="shared" si="46"/>
        <v>0</v>
      </c>
      <c r="Z469" s="64">
        <f t="shared" si="47"/>
        <v>0</v>
      </c>
    </row>
    <row r="470" spans="1:26">
      <c r="A470" s="89" t="str">
        <f t="shared" si="42"/>
        <v/>
      </c>
      <c r="B470" s="89" t="str">
        <f t="shared" si="43"/>
        <v/>
      </c>
      <c r="S470" s="89" t="str">
        <f t="shared" si="44"/>
        <v/>
      </c>
      <c r="X470" s="64">
        <f t="shared" si="45"/>
        <v>0</v>
      </c>
      <c r="Y470" s="53">
        <f t="shared" si="46"/>
        <v>0</v>
      </c>
      <c r="Z470" s="64">
        <f t="shared" si="47"/>
        <v>0</v>
      </c>
    </row>
    <row r="471" spans="1:26">
      <c r="A471" s="89" t="str">
        <f t="shared" si="42"/>
        <v/>
      </c>
      <c r="B471" s="89" t="str">
        <f t="shared" si="43"/>
        <v/>
      </c>
      <c r="S471" s="89" t="str">
        <f t="shared" si="44"/>
        <v/>
      </c>
      <c r="X471" s="64">
        <f t="shared" si="45"/>
        <v>0</v>
      </c>
      <c r="Y471" s="53">
        <f t="shared" si="46"/>
        <v>0</v>
      </c>
      <c r="Z471" s="64">
        <f t="shared" si="47"/>
        <v>0</v>
      </c>
    </row>
    <row r="472" spans="1:26">
      <c r="A472" s="89" t="str">
        <f t="shared" si="42"/>
        <v/>
      </c>
      <c r="B472" s="89" t="str">
        <f t="shared" si="43"/>
        <v/>
      </c>
      <c r="S472" s="89" t="str">
        <f t="shared" si="44"/>
        <v/>
      </c>
      <c r="X472" s="64">
        <f t="shared" si="45"/>
        <v>0</v>
      </c>
      <c r="Y472" s="53">
        <f t="shared" si="46"/>
        <v>0</v>
      </c>
      <c r="Z472" s="64">
        <f t="shared" si="47"/>
        <v>0</v>
      </c>
    </row>
    <row r="473" spans="1:26">
      <c r="A473" s="89" t="str">
        <f t="shared" si="42"/>
        <v/>
      </c>
      <c r="B473" s="89" t="str">
        <f t="shared" si="43"/>
        <v/>
      </c>
      <c r="S473" s="89" t="str">
        <f t="shared" si="44"/>
        <v/>
      </c>
      <c r="X473" s="64">
        <f t="shared" si="45"/>
        <v>0</v>
      </c>
      <c r="Y473" s="53">
        <f t="shared" si="46"/>
        <v>0</v>
      </c>
      <c r="Z473" s="64">
        <f t="shared" si="47"/>
        <v>0</v>
      </c>
    </row>
    <row r="474" spans="1:26">
      <c r="A474" s="89" t="str">
        <f t="shared" si="42"/>
        <v/>
      </c>
      <c r="B474" s="89" t="str">
        <f t="shared" si="43"/>
        <v/>
      </c>
      <c r="S474" s="89" t="str">
        <f t="shared" si="44"/>
        <v/>
      </c>
      <c r="X474" s="64">
        <f t="shared" si="45"/>
        <v>0</v>
      </c>
      <c r="Y474" s="53">
        <f t="shared" si="46"/>
        <v>0</v>
      </c>
      <c r="Z474" s="64">
        <f t="shared" si="47"/>
        <v>0</v>
      </c>
    </row>
    <row r="475" spans="1:26">
      <c r="A475" s="89" t="str">
        <f t="shared" si="42"/>
        <v/>
      </c>
      <c r="B475" s="89" t="str">
        <f t="shared" si="43"/>
        <v/>
      </c>
      <c r="S475" s="89" t="str">
        <f t="shared" si="44"/>
        <v/>
      </c>
      <c r="X475" s="64">
        <f t="shared" si="45"/>
        <v>0</v>
      </c>
      <c r="Y475" s="53">
        <f t="shared" si="46"/>
        <v>0</v>
      </c>
      <c r="Z475" s="64">
        <f t="shared" si="47"/>
        <v>0</v>
      </c>
    </row>
    <row r="476" spans="1:26">
      <c r="A476" s="89" t="str">
        <f t="shared" si="42"/>
        <v/>
      </c>
      <c r="B476" s="89" t="str">
        <f t="shared" si="43"/>
        <v/>
      </c>
      <c r="S476" s="89" t="str">
        <f t="shared" si="44"/>
        <v/>
      </c>
      <c r="X476" s="64">
        <f t="shared" si="45"/>
        <v>0</v>
      </c>
      <c r="Y476" s="53">
        <f t="shared" si="46"/>
        <v>0</v>
      </c>
      <c r="Z476" s="64">
        <f t="shared" si="47"/>
        <v>0</v>
      </c>
    </row>
    <row r="477" spans="1:26">
      <c r="A477" s="89" t="str">
        <f t="shared" si="42"/>
        <v/>
      </c>
      <c r="B477" s="89" t="str">
        <f t="shared" si="43"/>
        <v/>
      </c>
      <c r="S477" s="89" t="str">
        <f t="shared" si="44"/>
        <v/>
      </c>
      <c r="X477" s="64">
        <f t="shared" si="45"/>
        <v>0</v>
      </c>
      <c r="Y477" s="53">
        <f t="shared" si="46"/>
        <v>0</v>
      </c>
      <c r="Z477" s="64">
        <f t="shared" si="47"/>
        <v>0</v>
      </c>
    </row>
    <row r="478" spans="1:26">
      <c r="A478" s="89" t="str">
        <f t="shared" si="42"/>
        <v/>
      </c>
      <c r="B478" s="89" t="str">
        <f t="shared" si="43"/>
        <v/>
      </c>
      <c r="S478" s="89" t="str">
        <f t="shared" si="44"/>
        <v/>
      </c>
      <c r="X478" s="64">
        <f t="shared" si="45"/>
        <v>0</v>
      </c>
      <c r="Y478" s="53">
        <f t="shared" si="46"/>
        <v>0</v>
      </c>
      <c r="Z478" s="64">
        <f t="shared" si="47"/>
        <v>0</v>
      </c>
    </row>
    <row r="479" spans="1:26">
      <c r="A479" s="89" t="str">
        <f t="shared" si="42"/>
        <v/>
      </c>
      <c r="B479" s="89" t="str">
        <f t="shared" si="43"/>
        <v/>
      </c>
      <c r="S479" s="89" t="str">
        <f t="shared" si="44"/>
        <v/>
      </c>
      <c r="X479" s="64">
        <f t="shared" si="45"/>
        <v>0</v>
      </c>
      <c r="Y479" s="53">
        <f t="shared" si="46"/>
        <v>0</v>
      </c>
      <c r="Z479" s="64">
        <f t="shared" si="47"/>
        <v>0</v>
      </c>
    </row>
    <row r="480" spans="1:26">
      <c r="A480" s="89" t="str">
        <f t="shared" si="42"/>
        <v/>
      </c>
      <c r="B480" s="89" t="str">
        <f t="shared" si="43"/>
        <v/>
      </c>
      <c r="S480" s="89" t="str">
        <f t="shared" si="44"/>
        <v/>
      </c>
      <c r="X480" s="64">
        <f t="shared" si="45"/>
        <v>0</v>
      </c>
      <c r="Y480" s="53">
        <f t="shared" si="46"/>
        <v>0</v>
      </c>
      <c r="Z480" s="64">
        <f t="shared" si="47"/>
        <v>0</v>
      </c>
    </row>
    <row r="481" spans="1:26">
      <c r="A481" s="89" t="str">
        <f t="shared" si="42"/>
        <v/>
      </c>
      <c r="B481" s="89" t="str">
        <f t="shared" si="43"/>
        <v/>
      </c>
      <c r="S481" s="89" t="str">
        <f t="shared" si="44"/>
        <v/>
      </c>
      <c r="X481" s="64">
        <f t="shared" si="45"/>
        <v>0</v>
      </c>
      <c r="Y481" s="53">
        <f t="shared" si="46"/>
        <v>0</v>
      </c>
      <c r="Z481" s="64">
        <f t="shared" si="47"/>
        <v>0</v>
      </c>
    </row>
    <row r="482" spans="1:26">
      <c r="A482" s="89" t="str">
        <f t="shared" si="42"/>
        <v/>
      </c>
      <c r="B482" s="89" t="str">
        <f t="shared" si="43"/>
        <v/>
      </c>
      <c r="S482" s="89" t="str">
        <f t="shared" si="44"/>
        <v/>
      </c>
      <c r="X482" s="64">
        <f t="shared" si="45"/>
        <v>0</v>
      </c>
      <c r="Y482" s="53">
        <f t="shared" si="46"/>
        <v>0</v>
      </c>
      <c r="Z482" s="64">
        <f t="shared" si="47"/>
        <v>0</v>
      </c>
    </row>
    <row r="483" spans="1:26">
      <c r="A483" s="89" t="str">
        <f t="shared" si="42"/>
        <v/>
      </c>
      <c r="B483" s="89" t="str">
        <f t="shared" si="43"/>
        <v/>
      </c>
      <c r="S483" s="89" t="str">
        <f t="shared" si="44"/>
        <v/>
      </c>
      <c r="X483" s="64">
        <f t="shared" si="45"/>
        <v>0</v>
      </c>
      <c r="Y483" s="53">
        <f t="shared" si="46"/>
        <v>0</v>
      </c>
      <c r="Z483" s="64">
        <f t="shared" si="47"/>
        <v>0</v>
      </c>
    </row>
    <row r="484" spans="1:26">
      <c r="A484" s="89" t="str">
        <f t="shared" si="42"/>
        <v/>
      </c>
      <c r="B484" s="89" t="str">
        <f t="shared" si="43"/>
        <v/>
      </c>
      <c r="S484" s="89" t="str">
        <f t="shared" si="44"/>
        <v/>
      </c>
      <c r="X484" s="64">
        <f t="shared" si="45"/>
        <v>0</v>
      </c>
      <c r="Y484" s="53">
        <f t="shared" si="46"/>
        <v>0</v>
      </c>
      <c r="Z484" s="64">
        <f t="shared" si="47"/>
        <v>0</v>
      </c>
    </row>
    <row r="485" spans="1:26">
      <c r="A485" s="89" t="str">
        <f t="shared" si="42"/>
        <v/>
      </c>
      <c r="B485" s="89" t="str">
        <f t="shared" si="43"/>
        <v/>
      </c>
      <c r="S485" s="89" t="str">
        <f t="shared" si="44"/>
        <v/>
      </c>
      <c r="X485" s="64">
        <f t="shared" si="45"/>
        <v>0</v>
      </c>
      <c r="Y485" s="53">
        <f t="shared" si="46"/>
        <v>0</v>
      </c>
      <c r="Z485" s="64">
        <f t="shared" si="47"/>
        <v>0</v>
      </c>
    </row>
    <row r="486" spans="1:26">
      <c r="A486" s="89" t="str">
        <f t="shared" si="42"/>
        <v/>
      </c>
      <c r="B486" s="89" t="str">
        <f t="shared" si="43"/>
        <v/>
      </c>
      <c r="S486" s="89" t="str">
        <f t="shared" si="44"/>
        <v/>
      </c>
      <c r="X486" s="64">
        <f t="shared" si="45"/>
        <v>0</v>
      </c>
      <c r="Y486" s="53">
        <f t="shared" si="46"/>
        <v>0</v>
      </c>
      <c r="Z486" s="64">
        <f t="shared" si="47"/>
        <v>0</v>
      </c>
    </row>
    <row r="487" spans="1:26">
      <c r="A487" s="89" t="str">
        <f t="shared" si="42"/>
        <v/>
      </c>
      <c r="B487" s="89" t="str">
        <f t="shared" si="43"/>
        <v/>
      </c>
      <c r="S487" s="89" t="str">
        <f t="shared" si="44"/>
        <v/>
      </c>
      <c r="X487" s="64">
        <f t="shared" si="45"/>
        <v>0</v>
      </c>
      <c r="Y487" s="53">
        <f t="shared" si="46"/>
        <v>0</v>
      </c>
      <c r="Z487" s="64">
        <f t="shared" si="47"/>
        <v>0</v>
      </c>
    </row>
    <row r="488" spans="1:26">
      <c r="A488" s="89" t="str">
        <f t="shared" si="42"/>
        <v/>
      </c>
      <c r="B488" s="89" t="str">
        <f t="shared" si="43"/>
        <v/>
      </c>
      <c r="S488" s="89" t="str">
        <f t="shared" si="44"/>
        <v/>
      </c>
      <c r="X488" s="64">
        <f t="shared" si="45"/>
        <v>0</v>
      </c>
      <c r="Y488" s="53">
        <f t="shared" si="46"/>
        <v>0</v>
      </c>
      <c r="Z488" s="64">
        <f t="shared" si="47"/>
        <v>0</v>
      </c>
    </row>
    <row r="489" spans="1:26">
      <c r="A489" s="89" t="str">
        <f t="shared" si="42"/>
        <v/>
      </c>
      <c r="B489" s="89" t="str">
        <f t="shared" si="43"/>
        <v/>
      </c>
      <c r="S489" s="89" t="str">
        <f t="shared" si="44"/>
        <v/>
      </c>
      <c r="X489" s="64">
        <f t="shared" si="45"/>
        <v>0</v>
      </c>
      <c r="Y489" s="53">
        <f t="shared" si="46"/>
        <v>0</v>
      </c>
      <c r="Z489" s="64">
        <f t="shared" si="47"/>
        <v>0</v>
      </c>
    </row>
    <row r="490" spans="1:26">
      <c r="A490" s="89" t="str">
        <f t="shared" si="42"/>
        <v/>
      </c>
      <c r="B490" s="89" t="str">
        <f t="shared" si="43"/>
        <v/>
      </c>
      <c r="S490" s="89" t="str">
        <f t="shared" si="44"/>
        <v/>
      </c>
      <c r="X490" s="64">
        <f t="shared" si="45"/>
        <v>0</v>
      </c>
      <c r="Y490" s="53">
        <f t="shared" si="46"/>
        <v>0</v>
      </c>
      <c r="Z490" s="64">
        <f t="shared" si="47"/>
        <v>0</v>
      </c>
    </row>
    <row r="491" spans="1:26">
      <c r="A491" s="89" t="str">
        <f t="shared" si="42"/>
        <v/>
      </c>
      <c r="B491" s="89" t="str">
        <f t="shared" si="43"/>
        <v/>
      </c>
      <c r="S491" s="89" t="str">
        <f t="shared" si="44"/>
        <v/>
      </c>
      <c r="X491" s="64">
        <f t="shared" si="45"/>
        <v>0</v>
      </c>
      <c r="Y491" s="53">
        <f t="shared" si="46"/>
        <v>0</v>
      </c>
      <c r="Z491" s="64">
        <f t="shared" si="47"/>
        <v>0</v>
      </c>
    </row>
    <row r="492" spans="1:26">
      <c r="A492" s="89" t="str">
        <f t="shared" si="42"/>
        <v/>
      </c>
      <c r="B492" s="89" t="str">
        <f t="shared" si="43"/>
        <v/>
      </c>
      <c r="S492" s="89" t="str">
        <f t="shared" si="44"/>
        <v/>
      </c>
      <c r="X492" s="64">
        <f t="shared" si="45"/>
        <v>0</v>
      </c>
      <c r="Y492" s="53">
        <f t="shared" si="46"/>
        <v>0</v>
      </c>
      <c r="Z492" s="64">
        <f t="shared" si="47"/>
        <v>0</v>
      </c>
    </row>
    <row r="493" spans="1:26">
      <c r="A493" s="89" t="str">
        <f t="shared" si="42"/>
        <v/>
      </c>
      <c r="B493" s="89" t="str">
        <f t="shared" si="43"/>
        <v/>
      </c>
      <c r="S493" s="89" t="str">
        <f t="shared" si="44"/>
        <v/>
      </c>
      <c r="X493" s="64">
        <f t="shared" si="45"/>
        <v>0</v>
      </c>
      <c r="Y493" s="53">
        <f t="shared" si="46"/>
        <v>0</v>
      </c>
      <c r="Z493" s="64">
        <f t="shared" si="47"/>
        <v>0</v>
      </c>
    </row>
    <row r="494" spans="1:26">
      <c r="A494" s="89" t="str">
        <f t="shared" si="42"/>
        <v/>
      </c>
      <c r="B494" s="89" t="str">
        <f t="shared" si="43"/>
        <v/>
      </c>
      <c r="S494" s="89" t="str">
        <f t="shared" si="44"/>
        <v/>
      </c>
      <c r="X494" s="64">
        <f t="shared" si="45"/>
        <v>0</v>
      </c>
      <c r="Y494" s="53">
        <f t="shared" si="46"/>
        <v>0</v>
      </c>
      <c r="Z494" s="64">
        <f t="shared" si="47"/>
        <v>0</v>
      </c>
    </row>
    <row r="495" spans="1:26">
      <c r="A495" s="89" t="str">
        <f t="shared" si="42"/>
        <v/>
      </c>
      <c r="B495" s="89" t="str">
        <f t="shared" si="43"/>
        <v/>
      </c>
      <c r="S495" s="89" t="str">
        <f t="shared" si="44"/>
        <v/>
      </c>
      <c r="X495" s="64">
        <f t="shared" si="45"/>
        <v>0</v>
      </c>
      <c r="Y495" s="53">
        <f t="shared" si="46"/>
        <v>0</v>
      </c>
      <c r="Z495" s="64">
        <f t="shared" si="47"/>
        <v>0</v>
      </c>
    </row>
    <row r="496" spans="1:26">
      <c r="A496" s="89" t="str">
        <f t="shared" si="42"/>
        <v/>
      </c>
      <c r="B496" s="89" t="str">
        <f t="shared" si="43"/>
        <v/>
      </c>
      <c r="S496" s="89" t="str">
        <f t="shared" si="44"/>
        <v/>
      </c>
      <c r="X496" s="64">
        <f t="shared" si="45"/>
        <v>0</v>
      </c>
      <c r="Y496" s="53">
        <f t="shared" si="46"/>
        <v>0</v>
      </c>
      <c r="Z496" s="64">
        <f t="shared" si="47"/>
        <v>0</v>
      </c>
    </row>
    <row r="497" spans="1:26">
      <c r="A497" s="89" t="str">
        <f t="shared" si="42"/>
        <v/>
      </c>
      <c r="B497" s="89" t="str">
        <f t="shared" si="43"/>
        <v/>
      </c>
      <c r="S497" s="89" t="str">
        <f t="shared" si="44"/>
        <v/>
      </c>
      <c r="X497" s="64">
        <f t="shared" si="45"/>
        <v>0</v>
      </c>
      <c r="Y497" s="53">
        <f t="shared" si="46"/>
        <v>0</v>
      </c>
      <c r="Z497" s="64">
        <f t="shared" si="47"/>
        <v>0</v>
      </c>
    </row>
    <row r="498" spans="1:26">
      <c r="A498" s="89" t="str">
        <f t="shared" si="42"/>
        <v/>
      </c>
      <c r="B498" s="89" t="str">
        <f t="shared" si="43"/>
        <v/>
      </c>
      <c r="S498" s="89" t="str">
        <f t="shared" si="44"/>
        <v/>
      </c>
      <c r="X498" s="64">
        <f t="shared" si="45"/>
        <v>0</v>
      </c>
      <c r="Y498" s="53">
        <f t="shared" si="46"/>
        <v>0</v>
      </c>
      <c r="Z498" s="64">
        <f t="shared" si="47"/>
        <v>0</v>
      </c>
    </row>
    <row r="499" spans="1:26">
      <c r="A499" s="89" t="str">
        <f t="shared" si="42"/>
        <v/>
      </c>
      <c r="B499" s="89" t="str">
        <f t="shared" si="43"/>
        <v/>
      </c>
      <c r="S499" s="89" t="str">
        <f t="shared" si="44"/>
        <v/>
      </c>
      <c r="X499" s="64">
        <f t="shared" si="45"/>
        <v>0</v>
      </c>
      <c r="Y499" s="53">
        <f t="shared" si="46"/>
        <v>0</v>
      </c>
      <c r="Z499" s="64">
        <f t="shared" si="47"/>
        <v>0</v>
      </c>
    </row>
    <row r="500" spans="1:26">
      <c r="A500" s="89" t="str">
        <f t="shared" si="42"/>
        <v/>
      </c>
      <c r="B500" s="89" t="str">
        <f t="shared" si="43"/>
        <v/>
      </c>
      <c r="S500" s="89" t="str">
        <f t="shared" si="44"/>
        <v/>
      </c>
      <c r="X500" s="64">
        <f t="shared" si="45"/>
        <v>0</v>
      </c>
      <c r="Y500" s="53">
        <f t="shared" si="46"/>
        <v>0</v>
      </c>
      <c r="Z500" s="64">
        <f t="shared" si="47"/>
        <v>0</v>
      </c>
    </row>
    <row r="501" spans="1:26">
      <c r="A501" s="89" t="str">
        <f t="shared" si="42"/>
        <v/>
      </c>
      <c r="B501" s="89" t="str">
        <f t="shared" si="43"/>
        <v/>
      </c>
      <c r="S501" s="89" t="str">
        <f t="shared" si="44"/>
        <v/>
      </c>
      <c r="X501" s="64">
        <f t="shared" si="45"/>
        <v>0</v>
      </c>
      <c r="Y501" s="53">
        <f t="shared" si="46"/>
        <v>0</v>
      </c>
      <c r="Z501" s="64">
        <f t="shared" si="47"/>
        <v>0</v>
      </c>
    </row>
    <row r="502" spans="1:26">
      <c r="A502" s="89" t="str">
        <f t="shared" si="42"/>
        <v/>
      </c>
      <c r="B502" s="89" t="str">
        <f t="shared" si="43"/>
        <v/>
      </c>
      <c r="S502" s="89" t="str">
        <f t="shared" si="44"/>
        <v/>
      </c>
      <c r="X502" s="64">
        <f t="shared" si="45"/>
        <v>0</v>
      </c>
      <c r="Y502" s="53">
        <f t="shared" si="46"/>
        <v>0</v>
      </c>
      <c r="Z502" s="64">
        <f t="shared" si="47"/>
        <v>0</v>
      </c>
    </row>
    <row r="503" spans="1:26">
      <c r="A503" s="89" t="str">
        <f t="shared" si="42"/>
        <v/>
      </c>
      <c r="B503" s="89" t="str">
        <f t="shared" si="43"/>
        <v/>
      </c>
      <c r="S503" s="89" t="str">
        <f t="shared" si="44"/>
        <v/>
      </c>
      <c r="X503" s="64">
        <f t="shared" si="45"/>
        <v>0</v>
      </c>
      <c r="Y503" s="53">
        <f t="shared" si="46"/>
        <v>0</v>
      </c>
      <c r="Z503" s="64">
        <f t="shared" si="47"/>
        <v>0</v>
      </c>
    </row>
    <row r="504" spans="1:26">
      <c r="A504" s="89" t="str">
        <f t="shared" si="42"/>
        <v/>
      </c>
      <c r="B504" s="89" t="str">
        <f t="shared" si="43"/>
        <v/>
      </c>
      <c r="S504" s="89" t="str">
        <f t="shared" si="44"/>
        <v/>
      </c>
      <c r="X504" s="64">
        <f t="shared" si="45"/>
        <v>0</v>
      </c>
      <c r="Y504" s="53">
        <f t="shared" si="46"/>
        <v>0</v>
      </c>
      <c r="Z504" s="64">
        <f t="shared" si="47"/>
        <v>0</v>
      </c>
    </row>
    <row r="505" spans="1:26">
      <c r="A505" s="89" t="str">
        <f t="shared" si="42"/>
        <v/>
      </c>
      <c r="B505" s="89" t="str">
        <f t="shared" si="43"/>
        <v/>
      </c>
      <c r="S505" s="89" t="str">
        <f t="shared" si="44"/>
        <v/>
      </c>
      <c r="X505" s="64">
        <f t="shared" si="45"/>
        <v>0</v>
      </c>
      <c r="Y505" s="53">
        <f t="shared" si="46"/>
        <v>0</v>
      </c>
      <c r="Z505" s="64">
        <f t="shared" si="47"/>
        <v>0</v>
      </c>
    </row>
    <row r="506" spans="1:26">
      <c r="A506" s="89" t="str">
        <f t="shared" si="42"/>
        <v/>
      </c>
      <c r="B506" s="89" t="str">
        <f t="shared" si="43"/>
        <v/>
      </c>
      <c r="S506" s="89" t="str">
        <f t="shared" si="44"/>
        <v/>
      </c>
      <c r="X506" s="64">
        <f t="shared" si="45"/>
        <v>0</v>
      </c>
      <c r="Y506" s="53">
        <f t="shared" si="46"/>
        <v>0</v>
      </c>
      <c r="Z506" s="64">
        <f t="shared" si="47"/>
        <v>0</v>
      </c>
    </row>
    <row r="507" spans="1:26">
      <c r="A507" s="89" t="str">
        <f t="shared" si="42"/>
        <v/>
      </c>
      <c r="B507" s="89" t="str">
        <f t="shared" si="43"/>
        <v/>
      </c>
      <c r="S507" s="89" t="str">
        <f t="shared" si="44"/>
        <v/>
      </c>
      <c r="X507" s="64">
        <f t="shared" si="45"/>
        <v>0</v>
      </c>
      <c r="Y507" s="53">
        <f t="shared" si="46"/>
        <v>0</v>
      </c>
      <c r="Z507" s="64">
        <f t="shared" si="47"/>
        <v>0</v>
      </c>
    </row>
    <row r="508" spans="1:26">
      <c r="A508" s="89" t="str">
        <f t="shared" si="42"/>
        <v/>
      </c>
      <c r="B508" s="89" t="str">
        <f t="shared" si="43"/>
        <v/>
      </c>
      <c r="S508" s="89" t="str">
        <f t="shared" si="44"/>
        <v/>
      </c>
      <c r="X508" s="64">
        <f t="shared" si="45"/>
        <v>0</v>
      </c>
      <c r="Y508" s="53">
        <f t="shared" si="46"/>
        <v>0</v>
      </c>
      <c r="Z508" s="64">
        <f t="shared" si="47"/>
        <v>0</v>
      </c>
    </row>
    <row r="509" spans="1:26">
      <c r="A509" s="89" t="str">
        <f t="shared" si="42"/>
        <v/>
      </c>
      <c r="B509" s="89" t="str">
        <f t="shared" si="43"/>
        <v/>
      </c>
      <c r="S509" s="89" t="str">
        <f t="shared" si="44"/>
        <v/>
      </c>
      <c r="X509" s="64">
        <f t="shared" si="45"/>
        <v>0</v>
      </c>
      <c r="Y509" s="53">
        <f t="shared" si="46"/>
        <v>0</v>
      </c>
      <c r="Z509" s="64">
        <f t="shared" si="47"/>
        <v>0</v>
      </c>
    </row>
    <row r="510" spans="1:26">
      <c r="A510" s="89" t="str">
        <f t="shared" si="42"/>
        <v/>
      </c>
      <c r="B510" s="89" t="str">
        <f t="shared" si="43"/>
        <v/>
      </c>
      <c r="S510" s="89" t="str">
        <f t="shared" si="44"/>
        <v/>
      </c>
      <c r="X510" s="64">
        <f t="shared" si="45"/>
        <v>0</v>
      </c>
      <c r="Y510" s="53">
        <f t="shared" si="46"/>
        <v>0</v>
      </c>
      <c r="Z510" s="64">
        <f t="shared" si="47"/>
        <v>0</v>
      </c>
    </row>
    <row r="511" spans="1:26">
      <c r="A511" s="89" t="str">
        <f t="shared" si="42"/>
        <v/>
      </c>
      <c r="B511" s="89" t="str">
        <f t="shared" si="43"/>
        <v/>
      </c>
      <c r="S511" s="89" t="str">
        <f t="shared" si="44"/>
        <v/>
      </c>
      <c r="X511" s="64">
        <f t="shared" si="45"/>
        <v>0</v>
      </c>
      <c r="Y511" s="53">
        <f t="shared" si="46"/>
        <v>0</v>
      </c>
      <c r="Z511" s="64">
        <f t="shared" si="47"/>
        <v>0</v>
      </c>
    </row>
    <row r="512" spans="1:26">
      <c r="A512" s="89" t="str">
        <f t="shared" si="42"/>
        <v/>
      </c>
      <c r="B512" s="89" t="str">
        <f t="shared" si="43"/>
        <v/>
      </c>
      <c r="S512" s="89" t="str">
        <f t="shared" si="44"/>
        <v/>
      </c>
      <c r="X512" s="64">
        <f t="shared" si="45"/>
        <v>0</v>
      </c>
      <c r="Y512" s="53">
        <f t="shared" si="46"/>
        <v>0</v>
      </c>
      <c r="Z512" s="64">
        <f t="shared" si="47"/>
        <v>0</v>
      </c>
    </row>
    <row r="513" spans="1:26">
      <c r="A513" s="89" t="str">
        <f t="shared" si="42"/>
        <v/>
      </c>
      <c r="B513" s="89" t="str">
        <f t="shared" si="43"/>
        <v/>
      </c>
      <c r="S513" s="89" t="str">
        <f t="shared" si="44"/>
        <v/>
      </c>
      <c r="X513" s="64">
        <f t="shared" si="45"/>
        <v>0</v>
      </c>
      <c r="Y513" s="53">
        <f t="shared" si="46"/>
        <v>0</v>
      </c>
      <c r="Z513" s="64">
        <f t="shared" si="47"/>
        <v>0</v>
      </c>
    </row>
    <row r="514" spans="1:26">
      <c r="A514" s="89" t="str">
        <f t="shared" si="42"/>
        <v/>
      </c>
      <c r="B514" s="89" t="str">
        <f t="shared" si="43"/>
        <v/>
      </c>
      <c r="S514" s="89" t="str">
        <f t="shared" si="44"/>
        <v/>
      </c>
      <c r="X514" s="64">
        <f t="shared" si="45"/>
        <v>0</v>
      </c>
      <c r="Y514" s="53">
        <f t="shared" si="46"/>
        <v>0</v>
      </c>
      <c r="Z514" s="64">
        <f t="shared" si="47"/>
        <v>0</v>
      </c>
    </row>
    <row r="515" spans="1:26">
      <c r="A515" s="89" t="str">
        <f t="shared" ref="A515:A578" si="48">IF(G515&amp;Q515&lt;&gt;"",G515&amp;Q515,"")</f>
        <v/>
      </c>
      <c r="B515" s="89" t="str">
        <f t="shared" ref="B515:B578" si="49">IF(C515&lt;&gt;"",LEFT(C515,9),"")</f>
        <v/>
      </c>
      <c r="S515" s="89" t="str">
        <f t="shared" ref="S515:S578" si="50">IF(H515&lt;&gt;"",H515,"")</f>
        <v/>
      </c>
      <c r="X515" s="64">
        <f t="shared" ref="X515:X578" si="51">IFERROR(VALUE(MID($C515,1,2)),0)</f>
        <v>0</v>
      </c>
      <c r="Y515" s="53">
        <f t="shared" ref="Y515:Y578" si="52">IFERROR(VALUE(MID($C515,4,3)),0)</f>
        <v>0</v>
      </c>
      <c r="Z515" s="64">
        <f t="shared" ref="Z515:Z578" si="53">VALUE(RIGHT("00"&amp;X515,2)&amp;RIGHT("000"&amp;Y515,3))</f>
        <v>0</v>
      </c>
    </row>
    <row r="516" spans="1:26">
      <c r="A516" s="89" t="str">
        <f t="shared" si="48"/>
        <v/>
      </c>
      <c r="B516" s="89" t="str">
        <f t="shared" si="49"/>
        <v/>
      </c>
      <c r="S516" s="89" t="str">
        <f t="shared" si="50"/>
        <v/>
      </c>
      <c r="X516" s="64">
        <f t="shared" si="51"/>
        <v>0</v>
      </c>
      <c r="Y516" s="53">
        <f t="shared" si="52"/>
        <v>0</v>
      </c>
      <c r="Z516" s="64">
        <f t="shared" si="53"/>
        <v>0</v>
      </c>
    </row>
    <row r="517" spans="1:26">
      <c r="A517" s="89" t="str">
        <f t="shared" si="48"/>
        <v/>
      </c>
      <c r="B517" s="89" t="str">
        <f t="shared" si="49"/>
        <v/>
      </c>
      <c r="S517" s="89" t="str">
        <f t="shared" si="50"/>
        <v/>
      </c>
      <c r="X517" s="64">
        <f t="shared" si="51"/>
        <v>0</v>
      </c>
      <c r="Y517" s="53">
        <f t="shared" si="52"/>
        <v>0</v>
      </c>
      <c r="Z517" s="64">
        <f t="shared" si="53"/>
        <v>0</v>
      </c>
    </row>
    <row r="518" spans="1:26">
      <c r="A518" s="89" t="str">
        <f t="shared" si="48"/>
        <v/>
      </c>
      <c r="B518" s="89" t="str">
        <f t="shared" si="49"/>
        <v/>
      </c>
      <c r="S518" s="89" t="str">
        <f t="shared" si="50"/>
        <v/>
      </c>
      <c r="X518" s="64">
        <f t="shared" si="51"/>
        <v>0</v>
      </c>
      <c r="Y518" s="53">
        <f t="shared" si="52"/>
        <v>0</v>
      </c>
      <c r="Z518" s="64">
        <f t="shared" si="53"/>
        <v>0</v>
      </c>
    </row>
    <row r="519" spans="1:26">
      <c r="A519" s="89" t="str">
        <f t="shared" si="48"/>
        <v/>
      </c>
      <c r="B519" s="89" t="str">
        <f t="shared" si="49"/>
        <v/>
      </c>
      <c r="S519" s="89" t="str">
        <f t="shared" si="50"/>
        <v/>
      </c>
      <c r="X519" s="64">
        <f t="shared" si="51"/>
        <v>0</v>
      </c>
      <c r="Y519" s="53">
        <f t="shared" si="52"/>
        <v>0</v>
      </c>
      <c r="Z519" s="64">
        <f t="shared" si="53"/>
        <v>0</v>
      </c>
    </row>
    <row r="520" spans="1:26">
      <c r="A520" s="89" t="str">
        <f t="shared" si="48"/>
        <v/>
      </c>
      <c r="B520" s="89" t="str">
        <f t="shared" si="49"/>
        <v/>
      </c>
      <c r="S520" s="89" t="str">
        <f t="shared" si="50"/>
        <v/>
      </c>
      <c r="X520" s="64">
        <f t="shared" si="51"/>
        <v>0</v>
      </c>
      <c r="Y520" s="53">
        <f t="shared" si="52"/>
        <v>0</v>
      </c>
      <c r="Z520" s="64">
        <f t="shared" si="53"/>
        <v>0</v>
      </c>
    </row>
    <row r="521" spans="1:26">
      <c r="A521" s="89" t="str">
        <f t="shared" si="48"/>
        <v/>
      </c>
      <c r="B521" s="89" t="str">
        <f t="shared" si="49"/>
        <v/>
      </c>
      <c r="S521" s="89" t="str">
        <f t="shared" si="50"/>
        <v/>
      </c>
      <c r="X521" s="64">
        <f t="shared" si="51"/>
        <v>0</v>
      </c>
      <c r="Y521" s="53">
        <f t="shared" si="52"/>
        <v>0</v>
      </c>
      <c r="Z521" s="64">
        <f t="shared" si="53"/>
        <v>0</v>
      </c>
    </row>
    <row r="522" spans="1:26">
      <c r="A522" s="89" t="str">
        <f t="shared" si="48"/>
        <v/>
      </c>
      <c r="B522" s="89" t="str">
        <f t="shared" si="49"/>
        <v/>
      </c>
      <c r="S522" s="89" t="str">
        <f t="shared" si="50"/>
        <v/>
      </c>
      <c r="X522" s="64">
        <f t="shared" si="51"/>
        <v>0</v>
      </c>
      <c r="Y522" s="53">
        <f t="shared" si="52"/>
        <v>0</v>
      </c>
      <c r="Z522" s="64">
        <f t="shared" si="53"/>
        <v>0</v>
      </c>
    </row>
    <row r="523" spans="1:26">
      <c r="A523" s="89" t="str">
        <f t="shared" si="48"/>
        <v/>
      </c>
      <c r="B523" s="89" t="str">
        <f t="shared" si="49"/>
        <v/>
      </c>
      <c r="S523" s="89" t="str">
        <f t="shared" si="50"/>
        <v/>
      </c>
      <c r="X523" s="64">
        <f t="shared" si="51"/>
        <v>0</v>
      </c>
      <c r="Y523" s="53">
        <f t="shared" si="52"/>
        <v>0</v>
      </c>
      <c r="Z523" s="64">
        <f t="shared" si="53"/>
        <v>0</v>
      </c>
    </row>
    <row r="524" spans="1:26">
      <c r="A524" s="89" t="str">
        <f t="shared" si="48"/>
        <v/>
      </c>
      <c r="B524" s="89" t="str">
        <f t="shared" si="49"/>
        <v/>
      </c>
      <c r="S524" s="89" t="str">
        <f t="shared" si="50"/>
        <v/>
      </c>
      <c r="X524" s="64">
        <f t="shared" si="51"/>
        <v>0</v>
      </c>
      <c r="Y524" s="53">
        <f t="shared" si="52"/>
        <v>0</v>
      </c>
      <c r="Z524" s="64">
        <f t="shared" si="53"/>
        <v>0</v>
      </c>
    </row>
    <row r="525" spans="1:26">
      <c r="A525" s="89" t="str">
        <f t="shared" si="48"/>
        <v/>
      </c>
      <c r="B525" s="89" t="str">
        <f t="shared" si="49"/>
        <v/>
      </c>
      <c r="S525" s="89" t="str">
        <f t="shared" si="50"/>
        <v/>
      </c>
      <c r="X525" s="64">
        <f t="shared" si="51"/>
        <v>0</v>
      </c>
      <c r="Y525" s="53">
        <f t="shared" si="52"/>
        <v>0</v>
      </c>
      <c r="Z525" s="64">
        <f t="shared" si="53"/>
        <v>0</v>
      </c>
    </row>
    <row r="526" spans="1:26">
      <c r="A526" s="89" t="str">
        <f t="shared" si="48"/>
        <v/>
      </c>
      <c r="B526" s="89" t="str">
        <f t="shared" si="49"/>
        <v/>
      </c>
      <c r="S526" s="89" t="str">
        <f t="shared" si="50"/>
        <v/>
      </c>
      <c r="X526" s="64">
        <f t="shared" si="51"/>
        <v>0</v>
      </c>
      <c r="Y526" s="53">
        <f t="shared" si="52"/>
        <v>0</v>
      </c>
      <c r="Z526" s="64">
        <f t="shared" si="53"/>
        <v>0</v>
      </c>
    </row>
    <row r="527" spans="1:26">
      <c r="A527" s="89" t="str">
        <f t="shared" si="48"/>
        <v/>
      </c>
      <c r="B527" s="89" t="str">
        <f t="shared" si="49"/>
        <v/>
      </c>
      <c r="S527" s="89" t="str">
        <f t="shared" si="50"/>
        <v/>
      </c>
      <c r="X527" s="64">
        <f t="shared" si="51"/>
        <v>0</v>
      </c>
      <c r="Y527" s="53">
        <f t="shared" si="52"/>
        <v>0</v>
      </c>
      <c r="Z527" s="64">
        <f t="shared" si="53"/>
        <v>0</v>
      </c>
    </row>
    <row r="528" spans="1:26">
      <c r="A528" s="89" t="str">
        <f t="shared" si="48"/>
        <v/>
      </c>
      <c r="B528" s="89" t="str">
        <f t="shared" si="49"/>
        <v/>
      </c>
      <c r="S528" s="89" t="str">
        <f t="shared" si="50"/>
        <v/>
      </c>
      <c r="X528" s="64">
        <f t="shared" si="51"/>
        <v>0</v>
      </c>
      <c r="Y528" s="53">
        <f t="shared" si="52"/>
        <v>0</v>
      </c>
      <c r="Z528" s="64">
        <f t="shared" si="53"/>
        <v>0</v>
      </c>
    </row>
    <row r="529" spans="1:26">
      <c r="A529" s="89" t="str">
        <f t="shared" si="48"/>
        <v/>
      </c>
      <c r="B529" s="89" t="str">
        <f t="shared" si="49"/>
        <v/>
      </c>
      <c r="S529" s="89" t="str">
        <f t="shared" si="50"/>
        <v/>
      </c>
      <c r="X529" s="64">
        <f t="shared" si="51"/>
        <v>0</v>
      </c>
      <c r="Y529" s="53">
        <f t="shared" si="52"/>
        <v>0</v>
      </c>
      <c r="Z529" s="64">
        <f t="shared" si="53"/>
        <v>0</v>
      </c>
    </row>
    <row r="530" spans="1:26">
      <c r="A530" s="89" t="str">
        <f t="shared" si="48"/>
        <v/>
      </c>
      <c r="B530" s="89" t="str">
        <f t="shared" si="49"/>
        <v/>
      </c>
      <c r="S530" s="89" t="str">
        <f t="shared" si="50"/>
        <v/>
      </c>
      <c r="X530" s="64">
        <f t="shared" si="51"/>
        <v>0</v>
      </c>
      <c r="Y530" s="53">
        <f t="shared" si="52"/>
        <v>0</v>
      </c>
      <c r="Z530" s="64">
        <f t="shared" si="53"/>
        <v>0</v>
      </c>
    </row>
    <row r="531" spans="1:26">
      <c r="A531" s="89" t="str">
        <f t="shared" si="48"/>
        <v/>
      </c>
      <c r="B531" s="89" t="str">
        <f t="shared" si="49"/>
        <v/>
      </c>
      <c r="S531" s="89" t="str">
        <f t="shared" si="50"/>
        <v/>
      </c>
      <c r="X531" s="64">
        <f t="shared" si="51"/>
        <v>0</v>
      </c>
      <c r="Y531" s="53">
        <f t="shared" si="52"/>
        <v>0</v>
      </c>
      <c r="Z531" s="64">
        <f t="shared" si="53"/>
        <v>0</v>
      </c>
    </row>
    <row r="532" spans="1:26">
      <c r="A532" s="89" t="str">
        <f t="shared" si="48"/>
        <v/>
      </c>
      <c r="B532" s="89" t="str">
        <f t="shared" si="49"/>
        <v/>
      </c>
      <c r="S532" s="89" t="str">
        <f t="shared" si="50"/>
        <v/>
      </c>
      <c r="X532" s="64">
        <f t="shared" si="51"/>
        <v>0</v>
      </c>
      <c r="Y532" s="53">
        <f t="shared" si="52"/>
        <v>0</v>
      </c>
      <c r="Z532" s="64">
        <f t="shared" si="53"/>
        <v>0</v>
      </c>
    </row>
    <row r="533" spans="1:26">
      <c r="A533" s="89" t="str">
        <f t="shared" si="48"/>
        <v/>
      </c>
      <c r="B533" s="89" t="str">
        <f t="shared" si="49"/>
        <v/>
      </c>
      <c r="S533" s="89" t="str">
        <f t="shared" si="50"/>
        <v/>
      </c>
      <c r="X533" s="64">
        <f t="shared" si="51"/>
        <v>0</v>
      </c>
      <c r="Y533" s="53">
        <f t="shared" si="52"/>
        <v>0</v>
      </c>
      <c r="Z533" s="64">
        <f t="shared" si="53"/>
        <v>0</v>
      </c>
    </row>
    <row r="534" spans="1:26">
      <c r="A534" s="89" t="str">
        <f t="shared" si="48"/>
        <v/>
      </c>
      <c r="B534" s="89" t="str">
        <f t="shared" si="49"/>
        <v/>
      </c>
      <c r="S534" s="89" t="str">
        <f t="shared" si="50"/>
        <v/>
      </c>
      <c r="X534" s="64">
        <f t="shared" si="51"/>
        <v>0</v>
      </c>
      <c r="Y534" s="53">
        <f t="shared" si="52"/>
        <v>0</v>
      </c>
      <c r="Z534" s="64">
        <f t="shared" si="53"/>
        <v>0</v>
      </c>
    </row>
    <row r="535" spans="1:26">
      <c r="A535" s="89" t="str">
        <f t="shared" si="48"/>
        <v/>
      </c>
      <c r="B535" s="89" t="str">
        <f t="shared" si="49"/>
        <v/>
      </c>
      <c r="S535" s="89" t="str">
        <f t="shared" si="50"/>
        <v/>
      </c>
      <c r="X535" s="64">
        <f t="shared" si="51"/>
        <v>0</v>
      </c>
      <c r="Y535" s="53">
        <f t="shared" si="52"/>
        <v>0</v>
      </c>
      <c r="Z535" s="64">
        <f t="shared" si="53"/>
        <v>0</v>
      </c>
    </row>
    <row r="536" spans="1:26">
      <c r="A536" s="89" t="str">
        <f t="shared" si="48"/>
        <v/>
      </c>
      <c r="B536" s="89" t="str">
        <f t="shared" si="49"/>
        <v/>
      </c>
      <c r="S536" s="89" t="str">
        <f t="shared" si="50"/>
        <v/>
      </c>
      <c r="X536" s="64">
        <f t="shared" si="51"/>
        <v>0</v>
      </c>
      <c r="Y536" s="53">
        <f t="shared" si="52"/>
        <v>0</v>
      </c>
      <c r="Z536" s="64">
        <f t="shared" si="53"/>
        <v>0</v>
      </c>
    </row>
    <row r="537" spans="1:26">
      <c r="A537" s="89" t="str">
        <f t="shared" si="48"/>
        <v/>
      </c>
      <c r="B537" s="89" t="str">
        <f t="shared" si="49"/>
        <v/>
      </c>
      <c r="S537" s="89" t="str">
        <f t="shared" si="50"/>
        <v/>
      </c>
      <c r="X537" s="64">
        <f t="shared" si="51"/>
        <v>0</v>
      </c>
      <c r="Y537" s="53">
        <f t="shared" si="52"/>
        <v>0</v>
      </c>
      <c r="Z537" s="64">
        <f t="shared" si="53"/>
        <v>0</v>
      </c>
    </row>
    <row r="538" spans="1:26">
      <c r="A538" s="89" t="str">
        <f t="shared" si="48"/>
        <v/>
      </c>
      <c r="B538" s="89" t="str">
        <f t="shared" si="49"/>
        <v/>
      </c>
      <c r="S538" s="89" t="str">
        <f t="shared" si="50"/>
        <v/>
      </c>
      <c r="X538" s="64">
        <f t="shared" si="51"/>
        <v>0</v>
      </c>
      <c r="Y538" s="53">
        <f t="shared" si="52"/>
        <v>0</v>
      </c>
      <c r="Z538" s="64">
        <f t="shared" si="53"/>
        <v>0</v>
      </c>
    </row>
    <row r="539" spans="1:26">
      <c r="A539" s="89" t="str">
        <f t="shared" si="48"/>
        <v/>
      </c>
      <c r="B539" s="89" t="str">
        <f t="shared" si="49"/>
        <v/>
      </c>
      <c r="S539" s="89" t="str">
        <f t="shared" si="50"/>
        <v/>
      </c>
      <c r="X539" s="64">
        <f t="shared" si="51"/>
        <v>0</v>
      </c>
      <c r="Y539" s="53">
        <f t="shared" si="52"/>
        <v>0</v>
      </c>
      <c r="Z539" s="64">
        <f t="shared" si="53"/>
        <v>0</v>
      </c>
    </row>
    <row r="540" spans="1:26">
      <c r="A540" s="89" t="str">
        <f t="shared" si="48"/>
        <v/>
      </c>
      <c r="B540" s="89" t="str">
        <f t="shared" si="49"/>
        <v/>
      </c>
      <c r="S540" s="89" t="str">
        <f t="shared" si="50"/>
        <v/>
      </c>
      <c r="X540" s="64">
        <f t="shared" si="51"/>
        <v>0</v>
      </c>
      <c r="Y540" s="53">
        <f t="shared" si="52"/>
        <v>0</v>
      </c>
      <c r="Z540" s="64">
        <f t="shared" si="53"/>
        <v>0</v>
      </c>
    </row>
    <row r="541" spans="1:26">
      <c r="A541" s="89" t="str">
        <f t="shared" si="48"/>
        <v/>
      </c>
      <c r="B541" s="89" t="str">
        <f t="shared" si="49"/>
        <v/>
      </c>
      <c r="S541" s="89" t="str">
        <f t="shared" si="50"/>
        <v/>
      </c>
      <c r="X541" s="64">
        <f t="shared" si="51"/>
        <v>0</v>
      </c>
      <c r="Y541" s="53">
        <f t="shared" si="52"/>
        <v>0</v>
      </c>
      <c r="Z541" s="64">
        <f t="shared" si="53"/>
        <v>0</v>
      </c>
    </row>
    <row r="542" spans="1:26">
      <c r="A542" s="89" t="str">
        <f t="shared" si="48"/>
        <v/>
      </c>
      <c r="B542" s="89" t="str">
        <f t="shared" si="49"/>
        <v/>
      </c>
      <c r="S542" s="89" t="str">
        <f t="shared" si="50"/>
        <v/>
      </c>
      <c r="X542" s="64">
        <f t="shared" si="51"/>
        <v>0</v>
      </c>
      <c r="Y542" s="53">
        <f t="shared" si="52"/>
        <v>0</v>
      </c>
      <c r="Z542" s="64">
        <f t="shared" si="53"/>
        <v>0</v>
      </c>
    </row>
    <row r="543" spans="1:26">
      <c r="A543" s="89" t="str">
        <f t="shared" si="48"/>
        <v/>
      </c>
      <c r="B543" s="89" t="str">
        <f t="shared" si="49"/>
        <v/>
      </c>
      <c r="S543" s="89" t="str">
        <f t="shared" si="50"/>
        <v/>
      </c>
      <c r="X543" s="64">
        <f t="shared" si="51"/>
        <v>0</v>
      </c>
      <c r="Y543" s="53">
        <f t="shared" si="52"/>
        <v>0</v>
      </c>
      <c r="Z543" s="64">
        <f t="shared" si="53"/>
        <v>0</v>
      </c>
    </row>
    <row r="544" spans="1:26">
      <c r="A544" s="89" t="str">
        <f t="shared" si="48"/>
        <v/>
      </c>
      <c r="B544" s="89" t="str">
        <f t="shared" si="49"/>
        <v/>
      </c>
      <c r="S544" s="89" t="str">
        <f t="shared" si="50"/>
        <v/>
      </c>
      <c r="X544" s="64">
        <f t="shared" si="51"/>
        <v>0</v>
      </c>
      <c r="Y544" s="53">
        <f t="shared" si="52"/>
        <v>0</v>
      </c>
      <c r="Z544" s="64">
        <f t="shared" si="53"/>
        <v>0</v>
      </c>
    </row>
    <row r="545" spans="1:26">
      <c r="A545" s="89" t="str">
        <f t="shared" si="48"/>
        <v/>
      </c>
      <c r="B545" s="89" t="str">
        <f t="shared" si="49"/>
        <v/>
      </c>
      <c r="S545" s="89" t="str">
        <f t="shared" si="50"/>
        <v/>
      </c>
      <c r="X545" s="64">
        <f t="shared" si="51"/>
        <v>0</v>
      </c>
      <c r="Y545" s="53">
        <f t="shared" si="52"/>
        <v>0</v>
      </c>
      <c r="Z545" s="64">
        <f t="shared" si="53"/>
        <v>0</v>
      </c>
    </row>
    <row r="546" spans="1:26">
      <c r="A546" s="89" t="str">
        <f t="shared" si="48"/>
        <v/>
      </c>
      <c r="B546" s="89" t="str">
        <f t="shared" si="49"/>
        <v/>
      </c>
      <c r="S546" s="89" t="str">
        <f t="shared" si="50"/>
        <v/>
      </c>
      <c r="X546" s="64">
        <f t="shared" si="51"/>
        <v>0</v>
      </c>
      <c r="Y546" s="53">
        <f t="shared" si="52"/>
        <v>0</v>
      </c>
      <c r="Z546" s="64">
        <f t="shared" si="53"/>
        <v>0</v>
      </c>
    </row>
    <row r="547" spans="1:26">
      <c r="A547" s="89" t="str">
        <f t="shared" si="48"/>
        <v/>
      </c>
      <c r="B547" s="89" t="str">
        <f t="shared" si="49"/>
        <v/>
      </c>
      <c r="S547" s="89" t="str">
        <f t="shared" si="50"/>
        <v/>
      </c>
      <c r="X547" s="64">
        <f t="shared" si="51"/>
        <v>0</v>
      </c>
      <c r="Y547" s="53">
        <f t="shared" si="52"/>
        <v>0</v>
      </c>
      <c r="Z547" s="64">
        <f t="shared" si="53"/>
        <v>0</v>
      </c>
    </row>
    <row r="548" spans="1:26">
      <c r="A548" s="89" t="str">
        <f t="shared" si="48"/>
        <v/>
      </c>
      <c r="B548" s="89" t="str">
        <f t="shared" si="49"/>
        <v/>
      </c>
      <c r="S548" s="89" t="str">
        <f t="shared" si="50"/>
        <v/>
      </c>
      <c r="X548" s="64">
        <f t="shared" si="51"/>
        <v>0</v>
      </c>
      <c r="Y548" s="53">
        <f t="shared" si="52"/>
        <v>0</v>
      </c>
      <c r="Z548" s="64">
        <f t="shared" si="53"/>
        <v>0</v>
      </c>
    </row>
    <row r="549" spans="1:26">
      <c r="A549" s="89" t="str">
        <f t="shared" si="48"/>
        <v/>
      </c>
      <c r="B549" s="89" t="str">
        <f t="shared" si="49"/>
        <v/>
      </c>
      <c r="S549" s="89" t="str">
        <f t="shared" si="50"/>
        <v/>
      </c>
      <c r="X549" s="64">
        <f t="shared" si="51"/>
        <v>0</v>
      </c>
      <c r="Y549" s="53">
        <f t="shared" si="52"/>
        <v>0</v>
      </c>
      <c r="Z549" s="64">
        <f t="shared" si="53"/>
        <v>0</v>
      </c>
    </row>
    <row r="550" spans="1:26">
      <c r="A550" s="89" t="str">
        <f t="shared" si="48"/>
        <v/>
      </c>
      <c r="B550" s="89" t="str">
        <f t="shared" si="49"/>
        <v/>
      </c>
      <c r="S550" s="89" t="str">
        <f t="shared" si="50"/>
        <v/>
      </c>
      <c r="X550" s="64">
        <f t="shared" si="51"/>
        <v>0</v>
      </c>
      <c r="Y550" s="53">
        <f t="shared" si="52"/>
        <v>0</v>
      </c>
      <c r="Z550" s="64">
        <f t="shared" si="53"/>
        <v>0</v>
      </c>
    </row>
    <row r="551" spans="1:26">
      <c r="A551" s="89" t="str">
        <f t="shared" si="48"/>
        <v/>
      </c>
      <c r="B551" s="89" t="str">
        <f t="shared" si="49"/>
        <v/>
      </c>
      <c r="S551" s="89" t="str">
        <f t="shared" si="50"/>
        <v/>
      </c>
      <c r="X551" s="64">
        <f t="shared" si="51"/>
        <v>0</v>
      </c>
      <c r="Y551" s="53">
        <f t="shared" si="52"/>
        <v>0</v>
      </c>
      <c r="Z551" s="64">
        <f t="shared" si="53"/>
        <v>0</v>
      </c>
    </row>
    <row r="552" spans="1:26">
      <c r="A552" s="89" t="str">
        <f t="shared" si="48"/>
        <v/>
      </c>
      <c r="B552" s="89" t="str">
        <f t="shared" si="49"/>
        <v/>
      </c>
      <c r="S552" s="89" t="str">
        <f t="shared" si="50"/>
        <v/>
      </c>
      <c r="X552" s="64">
        <f t="shared" si="51"/>
        <v>0</v>
      </c>
      <c r="Y552" s="53">
        <f t="shared" si="52"/>
        <v>0</v>
      </c>
      <c r="Z552" s="64">
        <f t="shared" si="53"/>
        <v>0</v>
      </c>
    </row>
    <row r="553" spans="1:26">
      <c r="A553" s="89" t="str">
        <f t="shared" si="48"/>
        <v/>
      </c>
      <c r="B553" s="89" t="str">
        <f t="shared" si="49"/>
        <v/>
      </c>
      <c r="S553" s="89" t="str">
        <f t="shared" si="50"/>
        <v/>
      </c>
      <c r="X553" s="64">
        <f t="shared" si="51"/>
        <v>0</v>
      </c>
      <c r="Y553" s="53">
        <f t="shared" si="52"/>
        <v>0</v>
      </c>
      <c r="Z553" s="64">
        <f t="shared" si="53"/>
        <v>0</v>
      </c>
    </row>
    <row r="554" spans="1:26">
      <c r="A554" s="89" t="str">
        <f t="shared" si="48"/>
        <v/>
      </c>
      <c r="B554" s="89" t="str">
        <f t="shared" si="49"/>
        <v/>
      </c>
      <c r="S554" s="89" t="str">
        <f t="shared" si="50"/>
        <v/>
      </c>
      <c r="X554" s="64">
        <f t="shared" si="51"/>
        <v>0</v>
      </c>
      <c r="Y554" s="53">
        <f t="shared" si="52"/>
        <v>0</v>
      </c>
      <c r="Z554" s="64">
        <f t="shared" si="53"/>
        <v>0</v>
      </c>
    </row>
    <row r="555" spans="1:26">
      <c r="A555" s="89" t="str">
        <f t="shared" si="48"/>
        <v/>
      </c>
      <c r="B555" s="89" t="str">
        <f t="shared" si="49"/>
        <v/>
      </c>
      <c r="S555" s="89" t="str">
        <f t="shared" si="50"/>
        <v/>
      </c>
      <c r="X555" s="64">
        <f t="shared" si="51"/>
        <v>0</v>
      </c>
      <c r="Y555" s="53">
        <f t="shared" si="52"/>
        <v>0</v>
      </c>
      <c r="Z555" s="64">
        <f t="shared" si="53"/>
        <v>0</v>
      </c>
    </row>
    <row r="556" spans="1:26">
      <c r="A556" s="89" t="str">
        <f t="shared" si="48"/>
        <v/>
      </c>
      <c r="B556" s="89" t="str">
        <f t="shared" si="49"/>
        <v/>
      </c>
      <c r="S556" s="89" t="str">
        <f t="shared" si="50"/>
        <v/>
      </c>
      <c r="X556" s="64">
        <f t="shared" si="51"/>
        <v>0</v>
      </c>
      <c r="Y556" s="53">
        <f t="shared" si="52"/>
        <v>0</v>
      </c>
      <c r="Z556" s="64">
        <f t="shared" si="53"/>
        <v>0</v>
      </c>
    </row>
    <row r="557" spans="1:26">
      <c r="A557" s="89" t="str">
        <f t="shared" si="48"/>
        <v/>
      </c>
      <c r="B557" s="89" t="str">
        <f t="shared" si="49"/>
        <v/>
      </c>
      <c r="S557" s="89" t="str">
        <f t="shared" si="50"/>
        <v/>
      </c>
      <c r="X557" s="64">
        <f t="shared" si="51"/>
        <v>0</v>
      </c>
      <c r="Y557" s="53">
        <f t="shared" si="52"/>
        <v>0</v>
      </c>
      <c r="Z557" s="64">
        <f t="shared" si="53"/>
        <v>0</v>
      </c>
    </row>
    <row r="558" spans="1:26">
      <c r="A558" s="89" t="str">
        <f t="shared" si="48"/>
        <v/>
      </c>
      <c r="B558" s="89" t="str">
        <f t="shared" si="49"/>
        <v/>
      </c>
      <c r="S558" s="89" t="str">
        <f t="shared" si="50"/>
        <v/>
      </c>
      <c r="X558" s="64">
        <f t="shared" si="51"/>
        <v>0</v>
      </c>
      <c r="Y558" s="53">
        <f t="shared" si="52"/>
        <v>0</v>
      </c>
      <c r="Z558" s="64">
        <f t="shared" si="53"/>
        <v>0</v>
      </c>
    </row>
    <row r="559" spans="1:26">
      <c r="A559" s="89" t="str">
        <f t="shared" si="48"/>
        <v/>
      </c>
      <c r="B559" s="89" t="str">
        <f t="shared" si="49"/>
        <v/>
      </c>
      <c r="S559" s="89" t="str">
        <f t="shared" si="50"/>
        <v/>
      </c>
      <c r="X559" s="64">
        <f t="shared" si="51"/>
        <v>0</v>
      </c>
      <c r="Y559" s="53">
        <f t="shared" si="52"/>
        <v>0</v>
      </c>
      <c r="Z559" s="64">
        <f t="shared" si="53"/>
        <v>0</v>
      </c>
    </row>
    <row r="560" spans="1:26">
      <c r="A560" s="89" t="str">
        <f t="shared" si="48"/>
        <v/>
      </c>
      <c r="B560" s="89" t="str">
        <f t="shared" si="49"/>
        <v/>
      </c>
      <c r="S560" s="89" t="str">
        <f t="shared" si="50"/>
        <v/>
      </c>
      <c r="X560" s="64">
        <f t="shared" si="51"/>
        <v>0</v>
      </c>
      <c r="Y560" s="53">
        <f t="shared" si="52"/>
        <v>0</v>
      </c>
      <c r="Z560" s="64">
        <f t="shared" si="53"/>
        <v>0</v>
      </c>
    </row>
    <row r="561" spans="1:26">
      <c r="A561" s="89" t="str">
        <f t="shared" si="48"/>
        <v/>
      </c>
      <c r="B561" s="89" t="str">
        <f t="shared" si="49"/>
        <v/>
      </c>
      <c r="S561" s="89" t="str">
        <f t="shared" si="50"/>
        <v/>
      </c>
      <c r="X561" s="64">
        <f t="shared" si="51"/>
        <v>0</v>
      </c>
      <c r="Y561" s="53">
        <f t="shared" si="52"/>
        <v>0</v>
      </c>
      <c r="Z561" s="64">
        <f t="shared" si="53"/>
        <v>0</v>
      </c>
    </row>
    <row r="562" spans="1:26">
      <c r="A562" s="89" t="str">
        <f t="shared" si="48"/>
        <v/>
      </c>
      <c r="B562" s="89" t="str">
        <f t="shared" si="49"/>
        <v/>
      </c>
      <c r="S562" s="89" t="str">
        <f t="shared" si="50"/>
        <v/>
      </c>
      <c r="X562" s="64">
        <f t="shared" si="51"/>
        <v>0</v>
      </c>
      <c r="Y562" s="53">
        <f t="shared" si="52"/>
        <v>0</v>
      </c>
      <c r="Z562" s="64">
        <f t="shared" si="53"/>
        <v>0</v>
      </c>
    </row>
    <row r="563" spans="1:26">
      <c r="A563" s="89" t="str">
        <f t="shared" si="48"/>
        <v/>
      </c>
      <c r="B563" s="89" t="str">
        <f t="shared" si="49"/>
        <v/>
      </c>
      <c r="S563" s="89" t="str">
        <f t="shared" si="50"/>
        <v/>
      </c>
      <c r="X563" s="64">
        <f t="shared" si="51"/>
        <v>0</v>
      </c>
      <c r="Y563" s="53">
        <f t="shared" si="52"/>
        <v>0</v>
      </c>
      <c r="Z563" s="64">
        <f t="shared" si="53"/>
        <v>0</v>
      </c>
    </row>
    <row r="564" spans="1:26">
      <c r="A564" s="89" t="str">
        <f t="shared" si="48"/>
        <v/>
      </c>
      <c r="B564" s="89" t="str">
        <f t="shared" si="49"/>
        <v/>
      </c>
      <c r="S564" s="89" t="str">
        <f t="shared" si="50"/>
        <v/>
      </c>
      <c r="X564" s="64">
        <f t="shared" si="51"/>
        <v>0</v>
      </c>
      <c r="Y564" s="53">
        <f t="shared" si="52"/>
        <v>0</v>
      </c>
      <c r="Z564" s="64">
        <f t="shared" si="53"/>
        <v>0</v>
      </c>
    </row>
    <row r="565" spans="1:26">
      <c r="A565" s="89" t="str">
        <f t="shared" si="48"/>
        <v/>
      </c>
      <c r="B565" s="89" t="str">
        <f t="shared" si="49"/>
        <v/>
      </c>
      <c r="S565" s="89" t="str">
        <f t="shared" si="50"/>
        <v/>
      </c>
      <c r="X565" s="64">
        <f t="shared" si="51"/>
        <v>0</v>
      </c>
      <c r="Y565" s="53">
        <f t="shared" si="52"/>
        <v>0</v>
      </c>
      <c r="Z565" s="64">
        <f t="shared" si="53"/>
        <v>0</v>
      </c>
    </row>
    <row r="566" spans="1:26">
      <c r="A566" s="89" t="str">
        <f t="shared" si="48"/>
        <v/>
      </c>
      <c r="B566" s="89" t="str">
        <f t="shared" si="49"/>
        <v/>
      </c>
      <c r="S566" s="89" t="str">
        <f t="shared" si="50"/>
        <v/>
      </c>
      <c r="X566" s="64">
        <f t="shared" si="51"/>
        <v>0</v>
      </c>
      <c r="Y566" s="53">
        <f t="shared" si="52"/>
        <v>0</v>
      </c>
      <c r="Z566" s="64">
        <f t="shared" si="53"/>
        <v>0</v>
      </c>
    </row>
    <row r="567" spans="1:26">
      <c r="A567" s="89" t="str">
        <f t="shared" si="48"/>
        <v/>
      </c>
      <c r="B567" s="89" t="str">
        <f t="shared" si="49"/>
        <v/>
      </c>
      <c r="S567" s="89" t="str">
        <f t="shared" si="50"/>
        <v/>
      </c>
      <c r="X567" s="64">
        <f t="shared" si="51"/>
        <v>0</v>
      </c>
      <c r="Y567" s="53">
        <f t="shared" si="52"/>
        <v>0</v>
      </c>
      <c r="Z567" s="64">
        <f t="shared" si="53"/>
        <v>0</v>
      </c>
    </row>
    <row r="568" spans="1:26">
      <c r="A568" s="89" t="str">
        <f t="shared" si="48"/>
        <v/>
      </c>
      <c r="B568" s="89" t="str">
        <f t="shared" si="49"/>
        <v/>
      </c>
      <c r="S568" s="89" t="str">
        <f t="shared" si="50"/>
        <v/>
      </c>
      <c r="X568" s="64">
        <f t="shared" si="51"/>
        <v>0</v>
      </c>
      <c r="Y568" s="53">
        <f t="shared" si="52"/>
        <v>0</v>
      </c>
      <c r="Z568" s="64">
        <f t="shared" si="53"/>
        <v>0</v>
      </c>
    </row>
    <row r="569" spans="1:26">
      <c r="A569" s="89" t="str">
        <f t="shared" si="48"/>
        <v/>
      </c>
      <c r="B569" s="89" t="str">
        <f t="shared" si="49"/>
        <v/>
      </c>
      <c r="S569" s="89" t="str">
        <f t="shared" si="50"/>
        <v/>
      </c>
      <c r="X569" s="64">
        <f t="shared" si="51"/>
        <v>0</v>
      </c>
      <c r="Y569" s="53">
        <f t="shared" si="52"/>
        <v>0</v>
      </c>
      <c r="Z569" s="64">
        <f t="shared" si="53"/>
        <v>0</v>
      </c>
    </row>
    <row r="570" spans="1:26">
      <c r="A570" s="89" t="str">
        <f t="shared" si="48"/>
        <v/>
      </c>
      <c r="B570" s="89" t="str">
        <f t="shared" si="49"/>
        <v/>
      </c>
      <c r="S570" s="89" t="str">
        <f t="shared" si="50"/>
        <v/>
      </c>
      <c r="X570" s="64">
        <f t="shared" si="51"/>
        <v>0</v>
      </c>
      <c r="Y570" s="53">
        <f t="shared" si="52"/>
        <v>0</v>
      </c>
      <c r="Z570" s="64">
        <f t="shared" si="53"/>
        <v>0</v>
      </c>
    </row>
    <row r="571" spans="1:26">
      <c r="A571" s="89" t="str">
        <f t="shared" si="48"/>
        <v/>
      </c>
      <c r="B571" s="89" t="str">
        <f t="shared" si="49"/>
        <v/>
      </c>
      <c r="S571" s="89" t="str">
        <f t="shared" si="50"/>
        <v/>
      </c>
      <c r="X571" s="64">
        <f t="shared" si="51"/>
        <v>0</v>
      </c>
      <c r="Y571" s="53">
        <f t="shared" si="52"/>
        <v>0</v>
      </c>
      <c r="Z571" s="64">
        <f t="shared" si="53"/>
        <v>0</v>
      </c>
    </row>
    <row r="572" spans="1:26">
      <c r="A572" s="89" t="str">
        <f t="shared" si="48"/>
        <v/>
      </c>
      <c r="B572" s="89" t="str">
        <f t="shared" si="49"/>
        <v/>
      </c>
      <c r="S572" s="89" t="str">
        <f t="shared" si="50"/>
        <v/>
      </c>
      <c r="X572" s="64">
        <f t="shared" si="51"/>
        <v>0</v>
      </c>
      <c r="Y572" s="53">
        <f t="shared" si="52"/>
        <v>0</v>
      </c>
      <c r="Z572" s="64">
        <f t="shared" si="53"/>
        <v>0</v>
      </c>
    </row>
    <row r="573" spans="1:26">
      <c r="A573" s="89" t="str">
        <f t="shared" si="48"/>
        <v/>
      </c>
      <c r="B573" s="89" t="str">
        <f t="shared" si="49"/>
        <v/>
      </c>
      <c r="S573" s="89" t="str">
        <f t="shared" si="50"/>
        <v/>
      </c>
      <c r="X573" s="64">
        <f t="shared" si="51"/>
        <v>0</v>
      </c>
      <c r="Y573" s="53">
        <f t="shared" si="52"/>
        <v>0</v>
      </c>
      <c r="Z573" s="64">
        <f t="shared" si="53"/>
        <v>0</v>
      </c>
    </row>
    <row r="574" spans="1:26">
      <c r="A574" s="89" t="str">
        <f t="shared" si="48"/>
        <v/>
      </c>
      <c r="B574" s="89" t="str">
        <f t="shared" si="49"/>
        <v/>
      </c>
      <c r="S574" s="89" t="str">
        <f t="shared" si="50"/>
        <v/>
      </c>
      <c r="X574" s="64">
        <f t="shared" si="51"/>
        <v>0</v>
      </c>
      <c r="Y574" s="53">
        <f t="shared" si="52"/>
        <v>0</v>
      </c>
      <c r="Z574" s="64">
        <f t="shared" si="53"/>
        <v>0</v>
      </c>
    </row>
    <row r="575" spans="1:26">
      <c r="A575" s="89" t="str">
        <f t="shared" si="48"/>
        <v/>
      </c>
      <c r="B575" s="89" t="str">
        <f t="shared" si="49"/>
        <v/>
      </c>
      <c r="S575" s="89" t="str">
        <f t="shared" si="50"/>
        <v/>
      </c>
      <c r="X575" s="64">
        <f t="shared" si="51"/>
        <v>0</v>
      </c>
      <c r="Y575" s="53">
        <f t="shared" si="52"/>
        <v>0</v>
      </c>
      <c r="Z575" s="64">
        <f t="shared" si="53"/>
        <v>0</v>
      </c>
    </row>
    <row r="576" spans="1:26">
      <c r="A576" s="89" t="str">
        <f t="shared" si="48"/>
        <v/>
      </c>
      <c r="B576" s="89" t="str">
        <f t="shared" si="49"/>
        <v/>
      </c>
      <c r="S576" s="89" t="str">
        <f t="shared" si="50"/>
        <v/>
      </c>
      <c r="X576" s="64">
        <f t="shared" si="51"/>
        <v>0</v>
      </c>
      <c r="Y576" s="53">
        <f t="shared" si="52"/>
        <v>0</v>
      </c>
      <c r="Z576" s="64">
        <f t="shared" si="53"/>
        <v>0</v>
      </c>
    </row>
    <row r="577" spans="1:26">
      <c r="A577" s="89" t="str">
        <f t="shared" si="48"/>
        <v/>
      </c>
      <c r="B577" s="89" t="str">
        <f t="shared" si="49"/>
        <v/>
      </c>
      <c r="S577" s="89" t="str">
        <f t="shared" si="50"/>
        <v/>
      </c>
      <c r="X577" s="64">
        <f t="shared" si="51"/>
        <v>0</v>
      </c>
      <c r="Y577" s="53">
        <f t="shared" si="52"/>
        <v>0</v>
      </c>
      <c r="Z577" s="64">
        <f t="shared" si="53"/>
        <v>0</v>
      </c>
    </row>
    <row r="578" spans="1:26">
      <c r="A578" s="89" t="str">
        <f t="shared" si="48"/>
        <v/>
      </c>
      <c r="B578" s="89" t="str">
        <f t="shared" si="49"/>
        <v/>
      </c>
      <c r="S578" s="89" t="str">
        <f t="shared" si="50"/>
        <v/>
      </c>
      <c r="X578" s="64">
        <f t="shared" si="51"/>
        <v>0</v>
      </c>
      <c r="Y578" s="53">
        <f t="shared" si="52"/>
        <v>0</v>
      </c>
      <c r="Z578" s="64">
        <f t="shared" si="53"/>
        <v>0</v>
      </c>
    </row>
    <row r="579" spans="1:26">
      <c r="A579" s="89" t="str">
        <f t="shared" ref="A579:A642" si="54">IF(G579&amp;Q579&lt;&gt;"",G579&amp;Q579,"")</f>
        <v/>
      </c>
      <c r="B579" s="89" t="str">
        <f t="shared" ref="B579:B642" si="55">IF(C579&lt;&gt;"",LEFT(C579,9),"")</f>
        <v/>
      </c>
      <c r="S579" s="89" t="str">
        <f t="shared" ref="S579:S642" si="56">IF(H579&lt;&gt;"",H579,"")</f>
        <v/>
      </c>
      <c r="X579" s="64">
        <f t="shared" ref="X579:X642" si="57">IFERROR(VALUE(MID($C579,1,2)),0)</f>
        <v>0</v>
      </c>
      <c r="Y579" s="53">
        <f t="shared" ref="Y579:Y642" si="58">IFERROR(VALUE(MID($C579,4,3)),0)</f>
        <v>0</v>
      </c>
      <c r="Z579" s="64">
        <f t="shared" ref="Z579:Z642" si="59">VALUE(RIGHT("00"&amp;X579,2)&amp;RIGHT("000"&amp;Y579,3))</f>
        <v>0</v>
      </c>
    </row>
    <row r="580" spans="1:26">
      <c r="A580" s="89" t="str">
        <f t="shared" si="54"/>
        <v/>
      </c>
      <c r="B580" s="89" t="str">
        <f t="shared" si="55"/>
        <v/>
      </c>
      <c r="S580" s="89" t="str">
        <f t="shared" si="56"/>
        <v/>
      </c>
      <c r="X580" s="64">
        <f t="shared" si="57"/>
        <v>0</v>
      </c>
      <c r="Y580" s="53">
        <f t="shared" si="58"/>
        <v>0</v>
      </c>
      <c r="Z580" s="64">
        <f t="shared" si="59"/>
        <v>0</v>
      </c>
    </row>
    <row r="581" spans="1:26">
      <c r="A581" s="89" t="str">
        <f t="shared" si="54"/>
        <v/>
      </c>
      <c r="B581" s="89" t="str">
        <f t="shared" si="55"/>
        <v/>
      </c>
      <c r="S581" s="89" t="str">
        <f t="shared" si="56"/>
        <v/>
      </c>
      <c r="X581" s="64">
        <f t="shared" si="57"/>
        <v>0</v>
      </c>
      <c r="Y581" s="53">
        <f t="shared" si="58"/>
        <v>0</v>
      </c>
      <c r="Z581" s="64">
        <f t="shared" si="59"/>
        <v>0</v>
      </c>
    </row>
    <row r="582" spans="1:26">
      <c r="A582" s="89" t="str">
        <f t="shared" si="54"/>
        <v/>
      </c>
      <c r="B582" s="89" t="str">
        <f t="shared" si="55"/>
        <v/>
      </c>
      <c r="S582" s="89" t="str">
        <f t="shared" si="56"/>
        <v/>
      </c>
      <c r="X582" s="64">
        <f t="shared" si="57"/>
        <v>0</v>
      </c>
      <c r="Y582" s="53">
        <f t="shared" si="58"/>
        <v>0</v>
      </c>
      <c r="Z582" s="64">
        <f t="shared" si="59"/>
        <v>0</v>
      </c>
    </row>
    <row r="583" spans="1:26">
      <c r="A583" s="89" t="str">
        <f t="shared" si="54"/>
        <v/>
      </c>
      <c r="B583" s="89" t="str">
        <f t="shared" si="55"/>
        <v/>
      </c>
      <c r="S583" s="89" t="str">
        <f t="shared" si="56"/>
        <v/>
      </c>
      <c r="X583" s="64">
        <f t="shared" si="57"/>
        <v>0</v>
      </c>
      <c r="Y583" s="53">
        <f t="shared" si="58"/>
        <v>0</v>
      </c>
      <c r="Z583" s="64">
        <f t="shared" si="59"/>
        <v>0</v>
      </c>
    </row>
    <row r="584" spans="1:26">
      <c r="A584" s="89" t="str">
        <f t="shared" si="54"/>
        <v/>
      </c>
      <c r="B584" s="89" t="str">
        <f t="shared" si="55"/>
        <v/>
      </c>
      <c r="S584" s="89" t="str">
        <f t="shared" si="56"/>
        <v/>
      </c>
      <c r="X584" s="64">
        <f t="shared" si="57"/>
        <v>0</v>
      </c>
      <c r="Y584" s="53">
        <f t="shared" si="58"/>
        <v>0</v>
      </c>
      <c r="Z584" s="64">
        <f t="shared" si="59"/>
        <v>0</v>
      </c>
    </row>
    <row r="585" spans="1:26">
      <c r="A585" s="89" t="str">
        <f t="shared" si="54"/>
        <v/>
      </c>
      <c r="B585" s="89" t="str">
        <f t="shared" si="55"/>
        <v/>
      </c>
      <c r="S585" s="89" t="str">
        <f t="shared" si="56"/>
        <v/>
      </c>
      <c r="X585" s="64">
        <f t="shared" si="57"/>
        <v>0</v>
      </c>
      <c r="Y585" s="53">
        <f t="shared" si="58"/>
        <v>0</v>
      </c>
      <c r="Z585" s="64">
        <f t="shared" si="59"/>
        <v>0</v>
      </c>
    </row>
    <row r="586" spans="1:26">
      <c r="A586" s="89" t="str">
        <f t="shared" si="54"/>
        <v/>
      </c>
      <c r="B586" s="89" t="str">
        <f t="shared" si="55"/>
        <v/>
      </c>
      <c r="S586" s="89" t="str">
        <f t="shared" si="56"/>
        <v/>
      </c>
      <c r="X586" s="64">
        <f t="shared" si="57"/>
        <v>0</v>
      </c>
      <c r="Y586" s="53">
        <f t="shared" si="58"/>
        <v>0</v>
      </c>
      <c r="Z586" s="64">
        <f t="shared" si="59"/>
        <v>0</v>
      </c>
    </row>
    <row r="587" spans="1:26">
      <c r="A587" s="89" t="str">
        <f t="shared" si="54"/>
        <v/>
      </c>
      <c r="B587" s="89" t="str">
        <f t="shared" si="55"/>
        <v/>
      </c>
      <c r="S587" s="89" t="str">
        <f t="shared" si="56"/>
        <v/>
      </c>
      <c r="X587" s="64">
        <f t="shared" si="57"/>
        <v>0</v>
      </c>
      <c r="Y587" s="53">
        <f t="shared" si="58"/>
        <v>0</v>
      </c>
      <c r="Z587" s="64">
        <f t="shared" si="59"/>
        <v>0</v>
      </c>
    </row>
    <row r="588" spans="1:26">
      <c r="A588" s="89" t="str">
        <f t="shared" si="54"/>
        <v/>
      </c>
      <c r="B588" s="89" t="str">
        <f t="shared" si="55"/>
        <v/>
      </c>
      <c r="S588" s="89" t="str">
        <f t="shared" si="56"/>
        <v/>
      </c>
      <c r="X588" s="64">
        <f t="shared" si="57"/>
        <v>0</v>
      </c>
      <c r="Y588" s="53">
        <f t="shared" si="58"/>
        <v>0</v>
      </c>
      <c r="Z588" s="64">
        <f t="shared" si="59"/>
        <v>0</v>
      </c>
    </row>
    <row r="589" spans="1:26">
      <c r="A589" s="89" t="str">
        <f t="shared" si="54"/>
        <v/>
      </c>
      <c r="B589" s="89" t="str">
        <f t="shared" si="55"/>
        <v/>
      </c>
      <c r="S589" s="89" t="str">
        <f t="shared" si="56"/>
        <v/>
      </c>
      <c r="X589" s="64">
        <f t="shared" si="57"/>
        <v>0</v>
      </c>
      <c r="Y589" s="53">
        <f t="shared" si="58"/>
        <v>0</v>
      </c>
      <c r="Z589" s="64">
        <f t="shared" si="59"/>
        <v>0</v>
      </c>
    </row>
    <row r="590" spans="1:26">
      <c r="A590" s="89" t="str">
        <f t="shared" si="54"/>
        <v/>
      </c>
      <c r="B590" s="89" t="str">
        <f t="shared" si="55"/>
        <v/>
      </c>
      <c r="S590" s="89" t="str">
        <f t="shared" si="56"/>
        <v/>
      </c>
      <c r="X590" s="64">
        <f t="shared" si="57"/>
        <v>0</v>
      </c>
      <c r="Y590" s="53">
        <f t="shared" si="58"/>
        <v>0</v>
      </c>
      <c r="Z590" s="64">
        <f t="shared" si="59"/>
        <v>0</v>
      </c>
    </row>
    <row r="591" spans="1:26">
      <c r="A591" s="89" t="str">
        <f t="shared" si="54"/>
        <v/>
      </c>
      <c r="B591" s="89" t="str">
        <f t="shared" si="55"/>
        <v/>
      </c>
      <c r="S591" s="89" t="str">
        <f t="shared" si="56"/>
        <v/>
      </c>
      <c r="X591" s="64">
        <f t="shared" si="57"/>
        <v>0</v>
      </c>
      <c r="Y591" s="53">
        <f t="shared" si="58"/>
        <v>0</v>
      </c>
      <c r="Z591" s="64">
        <f t="shared" si="59"/>
        <v>0</v>
      </c>
    </row>
    <row r="592" spans="1:26">
      <c r="A592" s="89" t="str">
        <f t="shared" si="54"/>
        <v/>
      </c>
      <c r="B592" s="89" t="str">
        <f t="shared" si="55"/>
        <v/>
      </c>
      <c r="S592" s="89" t="str">
        <f t="shared" si="56"/>
        <v/>
      </c>
      <c r="X592" s="64">
        <f t="shared" si="57"/>
        <v>0</v>
      </c>
      <c r="Y592" s="53">
        <f t="shared" si="58"/>
        <v>0</v>
      </c>
      <c r="Z592" s="64">
        <f t="shared" si="59"/>
        <v>0</v>
      </c>
    </row>
    <row r="593" spans="1:26">
      <c r="A593" s="89" t="str">
        <f t="shared" si="54"/>
        <v/>
      </c>
      <c r="B593" s="89" t="str">
        <f t="shared" si="55"/>
        <v/>
      </c>
      <c r="S593" s="89" t="str">
        <f t="shared" si="56"/>
        <v/>
      </c>
      <c r="X593" s="64">
        <f t="shared" si="57"/>
        <v>0</v>
      </c>
      <c r="Y593" s="53">
        <f t="shared" si="58"/>
        <v>0</v>
      </c>
      <c r="Z593" s="64">
        <f t="shared" si="59"/>
        <v>0</v>
      </c>
    </row>
    <row r="594" spans="1:26">
      <c r="A594" s="89" t="str">
        <f t="shared" si="54"/>
        <v/>
      </c>
      <c r="B594" s="89" t="str">
        <f t="shared" si="55"/>
        <v/>
      </c>
      <c r="S594" s="89" t="str">
        <f t="shared" si="56"/>
        <v/>
      </c>
      <c r="X594" s="64">
        <f t="shared" si="57"/>
        <v>0</v>
      </c>
      <c r="Y594" s="53">
        <f t="shared" si="58"/>
        <v>0</v>
      </c>
      <c r="Z594" s="64">
        <f t="shared" si="59"/>
        <v>0</v>
      </c>
    </row>
    <row r="595" spans="1:26">
      <c r="A595" s="89" t="str">
        <f t="shared" si="54"/>
        <v/>
      </c>
      <c r="B595" s="89" t="str">
        <f t="shared" si="55"/>
        <v/>
      </c>
      <c r="S595" s="89" t="str">
        <f t="shared" si="56"/>
        <v/>
      </c>
      <c r="X595" s="64">
        <f t="shared" si="57"/>
        <v>0</v>
      </c>
      <c r="Y595" s="53">
        <f t="shared" si="58"/>
        <v>0</v>
      </c>
      <c r="Z595" s="64">
        <f t="shared" si="59"/>
        <v>0</v>
      </c>
    </row>
    <row r="596" spans="1:26">
      <c r="A596" s="89" t="str">
        <f t="shared" si="54"/>
        <v/>
      </c>
      <c r="B596" s="89" t="str">
        <f t="shared" si="55"/>
        <v/>
      </c>
      <c r="S596" s="89" t="str">
        <f t="shared" si="56"/>
        <v/>
      </c>
      <c r="X596" s="64">
        <f t="shared" si="57"/>
        <v>0</v>
      </c>
      <c r="Y596" s="53">
        <f t="shared" si="58"/>
        <v>0</v>
      </c>
      <c r="Z596" s="64">
        <f t="shared" si="59"/>
        <v>0</v>
      </c>
    </row>
    <row r="597" spans="1:26">
      <c r="A597" s="89" t="str">
        <f t="shared" si="54"/>
        <v/>
      </c>
      <c r="B597" s="89" t="str">
        <f t="shared" si="55"/>
        <v/>
      </c>
      <c r="S597" s="89" t="str">
        <f t="shared" si="56"/>
        <v/>
      </c>
      <c r="X597" s="64">
        <f t="shared" si="57"/>
        <v>0</v>
      </c>
      <c r="Y597" s="53">
        <f t="shared" si="58"/>
        <v>0</v>
      </c>
      <c r="Z597" s="64">
        <f t="shared" si="59"/>
        <v>0</v>
      </c>
    </row>
    <row r="598" spans="1:26">
      <c r="A598" s="89" t="str">
        <f t="shared" si="54"/>
        <v/>
      </c>
      <c r="B598" s="89" t="str">
        <f t="shared" si="55"/>
        <v/>
      </c>
      <c r="S598" s="89" t="str">
        <f t="shared" si="56"/>
        <v/>
      </c>
      <c r="X598" s="64">
        <f t="shared" si="57"/>
        <v>0</v>
      </c>
      <c r="Y598" s="53">
        <f t="shared" si="58"/>
        <v>0</v>
      </c>
      <c r="Z598" s="64">
        <f t="shared" si="59"/>
        <v>0</v>
      </c>
    </row>
    <row r="599" spans="1:26">
      <c r="A599" s="89" t="str">
        <f t="shared" si="54"/>
        <v/>
      </c>
      <c r="B599" s="89" t="str">
        <f t="shared" si="55"/>
        <v/>
      </c>
      <c r="S599" s="89" t="str">
        <f t="shared" si="56"/>
        <v/>
      </c>
      <c r="X599" s="64">
        <f t="shared" si="57"/>
        <v>0</v>
      </c>
      <c r="Y599" s="53">
        <f t="shared" si="58"/>
        <v>0</v>
      </c>
      <c r="Z599" s="64">
        <f t="shared" si="59"/>
        <v>0</v>
      </c>
    </row>
    <row r="600" spans="1:26">
      <c r="A600" s="89" t="str">
        <f t="shared" si="54"/>
        <v/>
      </c>
      <c r="B600" s="89" t="str">
        <f t="shared" si="55"/>
        <v/>
      </c>
      <c r="S600" s="89" t="str">
        <f t="shared" si="56"/>
        <v/>
      </c>
      <c r="X600" s="64">
        <f t="shared" si="57"/>
        <v>0</v>
      </c>
      <c r="Y600" s="53">
        <f t="shared" si="58"/>
        <v>0</v>
      </c>
      <c r="Z600" s="64">
        <f t="shared" si="59"/>
        <v>0</v>
      </c>
    </row>
    <row r="601" spans="1:26">
      <c r="A601" s="89" t="str">
        <f t="shared" si="54"/>
        <v/>
      </c>
      <c r="B601" s="89" t="str">
        <f t="shared" si="55"/>
        <v/>
      </c>
      <c r="S601" s="89" t="str">
        <f t="shared" si="56"/>
        <v/>
      </c>
      <c r="X601" s="64">
        <f t="shared" si="57"/>
        <v>0</v>
      </c>
      <c r="Y601" s="53">
        <f t="shared" si="58"/>
        <v>0</v>
      </c>
      <c r="Z601" s="64">
        <f t="shared" si="59"/>
        <v>0</v>
      </c>
    </row>
    <row r="602" spans="1:26">
      <c r="A602" s="89" t="str">
        <f t="shared" si="54"/>
        <v/>
      </c>
      <c r="B602" s="89" t="str">
        <f t="shared" si="55"/>
        <v/>
      </c>
      <c r="S602" s="89" t="str">
        <f t="shared" si="56"/>
        <v/>
      </c>
      <c r="X602" s="64">
        <f t="shared" si="57"/>
        <v>0</v>
      </c>
      <c r="Y602" s="53">
        <f t="shared" si="58"/>
        <v>0</v>
      </c>
      <c r="Z602" s="64">
        <f t="shared" si="59"/>
        <v>0</v>
      </c>
    </row>
    <row r="603" spans="1:26">
      <c r="A603" s="89" t="str">
        <f t="shared" si="54"/>
        <v/>
      </c>
      <c r="B603" s="89" t="str">
        <f t="shared" si="55"/>
        <v/>
      </c>
      <c r="S603" s="89" t="str">
        <f t="shared" si="56"/>
        <v/>
      </c>
      <c r="X603" s="64">
        <f t="shared" si="57"/>
        <v>0</v>
      </c>
      <c r="Y603" s="53">
        <f t="shared" si="58"/>
        <v>0</v>
      </c>
      <c r="Z603" s="64">
        <f t="shared" si="59"/>
        <v>0</v>
      </c>
    </row>
    <row r="604" spans="1:26">
      <c r="A604" s="89" t="str">
        <f t="shared" si="54"/>
        <v/>
      </c>
      <c r="B604" s="89" t="str">
        <f t="shared" si="55"/>
        <v/>
      </c>
      <c r="S604" s="89" t="str">
        <f t="shared" si="56"/>
        <v/>
      </c>
      <c r="X604" s="64">
        <f t="shared" si="57"/>
        <v>0</v>
      </c>
      <c r="Y604" s="53">
        <f t="shared" si="58"/>
        <v>0</v>
      </c>
      <c r="Z604" s="64">
        <f t="shared" si="59"/>
        <v>0</v>
      </c>
    </row>
    <row r="605" spans="1:26">
      <c r="A605" s="89" t="str">
        <f t="shared" si="54"/>
        <v/>
      </c>
      <c r="B605" s="89" t="str">
        <f t="shared" si="55"/>
        <v/>
      </c>
      <c r="S605" s="89" t="str">
        <f t="shared" si="56"/>
        <v/>
      </c>
      <c r="X605" s="64">
        <f t="shared" si="57"/>
        <v>0</v>
      </c>
      <c r="Y605" s="53">
        <f t="shared" si="58"/>
        <v>0</v>
      </c>
      <c r="Z605" s="64">
        <f t="shared" si="59"/>
        <v>0</v>
      </c>
    </row>
    <row r="606" spans="1:26">
      <c r="A606" s="89" t="str">
        <f t="shared" si="54"/>
        <v/>
      </c>
      <c r="B606" s="89" t="str">
        <f t="shared" si="55"/>
        <v/>
      </c>
      <c r="S606" s="89" t="str">
        <f t="shared" si="56"/>
        <v/>
      </c>
      <c r="X606" s="64">
        <f t="shared" si="57"/>
        <v>0</v>
      </c>
      <c r="Y606" s="53">
        <f t="shared" si="58"/>
        <v>0</v>
      </c>
      <c r="Z606" s="64">
        <f t="shared" si="59"/>
        <v>0</v>
      </c>
    </row>
    <row r="607" spans="1:26">
      <c r="A607" s="89" t="str">
        <f t="shared" si="54"/>
        <v/>
      </c>
      <c r="B607" s="89" t="str">
        <f t="shared" si="55"/>
        <v/>
      </c>
      <c r="S607" s="89" t="str">
        <f t="shared" si="56"/>
        <v/>
      </c>
      <c r="X607" s="64">
        <f t="shared" si="57"/>
        <v>0</v>
      </c>
      <c r="Y607" s="53">
        <f t="shared" si="58"/>
        <v>0</v>
      </c>
      <c r="Z607" s="64">
        <f t="shared" si="59"/>
        <v>0</v>
      </c>
    </row>
    <row r="608" spans="1:26">
      <c r="A608" s="89" t="str">
        <f t="shared" si="54"/>
        <v/>
      </c>
      <c r="B608" s="89" t="str">
        <f t="shared" si="55"/>
        <v/>
      </c>
      <c r="S608" s="89" t="str">
        <f t="shared" si="56"/>
        <v/>
      </c>
      <c r="X608" s="64">
        <f t="shared" si="57"/>
        <v>0</v>
      </c>
      <c r="Y608" s="53">
        <f t="shared" si="58"/>
        <v>0</v>
      </c>
      <c r="Z608" s="64">
        <f t="shared" si="59"/>
        <v>0</v>
      </c>
    </row>
    <row r="609" spans="1:26">
      <c r="A609" s="89" t="str">
        <f t="shared" si="54"/>
        <v/>
      </c>
      <c r="B609" s="89" t="str">
        <f t="shared" si="55"/>
        <v/>
      </c>
      <c r="S609" s="89" t="str">
        <f t="shared" si="56"/>
        <v/>
      </c>
      <c r="X609" s="64">
        <f t="shared" si="57"/>
        <v>0</v>
      </c>
      <c r="Y609" s="53">
        <f t="shared" si="58"/>
        <v>0</v>
      </c>
      <c r="Z609" s="64">
        <f t="shared" si="59"/>
        <v>0</v>
      </c>
    </row>
    <row r="610" spans="1:26">
      <c r="A610" s="89" t="str">
        <f t="shared" si="54"/>
        <v/>
      </c>
      <c r="B610" s="89" t="str">
        <f t="shared" si="55"/>
        <v/>
      </c>
      <c r="S610" s="89" t="str">
        <f t="shared" si="56"/>
        <v/>
      </c>
      <c r="X610" s="64">
        <f t="shared" si="57"/>
        <v>0</v>
      </c>
      <c r="Y610" s="53">
        <f t="shared" si="58"/>
        <v>0</v>
      </c>
      <c r="Z610" s="64">
        <f t="shared" si="59"/>
        <v>0</v>
      </c>
    </row>
    <row r="611" spans="1:26">
      <c r="A611" s="89" t="str">
        <f t="shared" si="54"/>
        <v/>
      </c>
      <c r="B611" s="89" t="str">
        <f t="shared" si="55"/>
        <v/>
      </c>
      <c r="S611" s="89" t="str">
        <f t="shared" si="56"/>
        <v/>
      </c>
      <c r="X611" s="64">
        <f t="shared" si="57"/>
        <v>0</v>
      </c>
      <c r="Y611" s="53">
        <f t="shared" si="58"/>
        <v>0</v>
      </c>
      <c r="Z611" s="64">
        <f t="shared" si="59"/>
        <v>0</v>
      </c>
    </row>
    <row r="612" spans="1:26">
      <c r="A612" s="89" t="str">
        <f t="shared" si="54"/>
        <v/>
      </c>
      <c r="B612" s="89" t="str">
        <f t="shared" si="55"/>
        <v/>
      </c>
      <c r="S612" s="89" t="str">
        <f t="shared" si="56"/>
        <v/>
      </c>
      <c r="X612" s="64">
        <f t="shared" si="57"/>
        <v>0</v>
      </c>
      <c r="Y612" s="53">
        <f t="shared" si="58"/>
        <v>0</v>
      </c>
      <c r="Z612" s="64">
        <f t="shared" si="59"/>
        <v>0</v>
      </c>
    </row>
    <row r="613" spans="1:26">
      <c r="A613" s="89" t="str">
        <f t="shared" si="54"/>
        <v/>
      </c>
      <c r="B613" s="89" t="str">
        <f t="shared" si="55"/>
        <v/>
      </c>
      <c r="S613" s="89" t="str">
        <f t="shared" si="56"/>
        <v/>
      </c>
      <c r="X613" s="64">
        <f t="shared" si="57"/>
        <v>0</v>
      </c>
      <c r="Y613" s="53">
        <f t="shared" si="58"/>
        <v>0</v>
      </c>
      <c r="Z613" s="64">
        <f t="shared" si="59"/>
        <v>0</v>
      </c>
    </row>
    <row r="614" spans="1:26">
      <c r="A614" s="89" t="str">
        <f t="shared" si="54"/>
        <v/>
      </c>
      <c r="B614" s="89" t="str">
        <f t="shared" si="55"/>
        <v/>
      </c>
      <c r="S614" s="89" t="str">
        <f t="shared" si="56"/>
        <v/>
      </c>
      <c r="X614" s="64">
        <f t="shared" si="57"/>
        <v>0</v>
      </c>
      <c r="Y614" s="53">
        <f t="shared" si="58"/>
        <v>0</v>
      </c>
      <c r="Z614" s="64">
        <f t="shared" si="59"/>
        <v>0</v>
      </c>
    </row>
    <row r="615" spans="1:26">
      <c r="A615" s="89" t="str">
        <f t="shared" si="54"/>
        <v/>
      </c>
      <c r="B615" s="89" t="str">
        <f t="shared" si="55"/>
        <v/>
      </c>
      <c r="S615" s="89" t="str">
        <f t="shared" si="56"/>
        <v/>
      </c>
      <c r="X615" s="64">
        <f t="shared" si="57"/>
        <v>0</v>
      </c>
      <c r="Y615" s="53">
        <f t="shared" si="58"/>
        <v>0</v>
      </c>
      <c r="Z615" s="64">
        <f t="shared" si="59"/>
        <v>0</v>
      </c>
    </row>
    <row r="616" spans="1:26">
      <c r="A616" s="89" t="str">
        <f t="shared" si="54"/>
        <v/>
      </c>
      <c r="B616" s="89" t="str">
        <f t="shared" si="55"/>
        <v/>
      </c>
      <c r="S616" s="89" t="str">
        <f t="shared" si="56"/>
        <v/>
      </c>
      <c r="X616" s="64">
        <f t="shared" si="57"/>
        <v>0</v>
      </c>
      <c r="Y616" s="53">
        <f t="shared" si="58"/>
        <v>0</v>
      </c>
      <c r="Z616" s="64">
        <f t="shared" si="59"/>
        <v>0</v>
      </c>
    </row>
    <row r="617" spans="1:26">
      <c r="A617" s="89" t="str">
        <f t="shared" si="54"/>
        <v/>
      </c>
      <c r="B617" s="89" t="str">
        <f t="shared" si="55"/>
        <v/>
      </c>
      <c r="S617" s="89" t="str">
        <f t="shared" si="56"/>
        <v/>
      </c>
      <c r="X617" s="64">
        <f t="shared" si="57"/>
        <v>0</v>
      </c>
      <c r="Y617" s="53">
        <f t="shared" si="58"/>
        <v>0</v>
      </c>
      <c r="Z617" s="64">
        <f t="shared" si="59"/>
        <v>0</v>
      </c>
    </row>
    <row r="618" spans="1:26">
      <c r="A618" s="89" t="str">
        <f t="shared" si="54"/>
        <v/>
      </c>
      <c r="B618" s="89" t="str">
        <f t="shared" si="55"/>
        <v/>
      </c>
      <c r="S618" s="89" t="str">
        <f t="shared" si="56"/>
        <v/>
      </c>
      <c r="X618" s="64">
        <f t="shared" si="57"/>
        <v>0</v>
      </c>
      <c r="Y618" s="53">
        <f t="shared" si="58"/>
        <v>0</v>
      </c>
      <c r="Z618" s="64">
        <f t="shared" si="59"/>
        <v>0</v>
      </c>
    </row>
    <row r="619" spans="1:26">
      <c r="A619" s="89" t="str">
        <f t="shared" si="54"/>
        <v/>
      </c>
      <c r="B619" s="89" t="str">
        <f t="shared" si="55"/>
        <v/>
      </c>
      <c r="S619" s="89" t="str">
        <f t="shared" si="56"/>
        <v/>
      </c>
      <c r="X619" s="64">
        <f t="shared" si="57"/>
        <v>0</v>
      </c>
      <c r="Y619" s="53">
        <f t="shared" si="58"/>
        <v>0</v>
      </c>
      <c r="Z619" s="64">
        <f t="shared" si="59"/>
        <v>0</v>
      </c>
    </row>
    <row r="620" spans="1:26">
      <c r="A620" s="89" t="str">
        <f t="shared" si="54"/>
        <v/>
      </c>
      <c r="B620" s="89" t="str">
        <f t="shared" si="55"/>
        <v/>
      </c>
      <c r="S620" s="89" t="str">
        <f t="shared" si="56"/>
        <v/>
      </c>
      <c r="X620" s="64">
        <f t="shared" si="57"/>
        <v>0</v>
      </c>
      <c r="Y620" s="53">
        <f t="shared" si="58"/>
        <v>0</v>
      </c>
      <c r="Z620" s="64">
        <f t="shared" si="59"/>
        <v>0</v>
      </c>
    </row>
    <row r="621" spans="1:26">
      <c r="A621" s="89" t="str">
        <f t="shared" si="54"/>
        <v/>
      </c>
      <c r="B621" s="89" t="str">
        <f t="shared" si="55"/>
        <v/>
      </c>
      <c r="S621" s="89" t="str">
        <f t="shared" si="56"/>
        <v/>
      </c>
      <c r="X621" s="64">
        <f t="shared" si="57"/>
        <v>0</v>
      </c>
      <c r="Y621" s="53">
        <f t="shared" si="58"/>
        <v>0</v>
      </c>
      <c r="Z621" s="64">
        <f t="shared" si="59"/>
        <v>0</v>
      </c>
    </row>
    <row r="622" spans="1:26">
      <c r="A622" s="89" t="str">
        <f t="shared" si="54"/>
        <v/>
      </c>
      <c r="B622" s="89" t="str">
        <f t="shared" si="55"/>
        <v/>
      </c>
      <c r="S622" s="89" t="str">
        <f t="shared" si="56"/>
        <v/>
      </c>
      <c r="X622" s="64">
        <f t="shared" si="57"/>
        <v>0</v>
      </c>
      <c r="Y622" s="53">
        <f t="shared" si="58"/>
        <v>0</v>
      </c>
      <c r="Z622" s="64">
        <f t="shared" si="59"/>
        <v>0</v>
      </c>
    </row>
    <row r="623" spans="1:26">
      <c r="A623" s="89" t="str">
        <f t="shared" si="54"/>
        <v/>
      </c>
      <c r="B623" s="89" t="str">
        <f t="shared" si="55"/>
        <v/>
      </c>
      <c r="S623" s="89" t="str">
        <f t="shared" si="56"/>
        <v/>
      </c>
      <c r="X623" s="64">
        <f t="shared" si="57"/>
        <v>0</v>
      </c>
      <c r="Y623" s="53">
        <f t="shared" si="58"/>
        <v>0</v>
      </c>
      <c r="Z623" s="64">
        <f t="shared" si="59"/>
        <v>0</v>
      </c>
    </row>
    <row r="624" spans="1:26">
      <c r="A624" s="89" t="str">
        <f t="shared" si="54"/>
        <v/>
      </c>
      <c r="B624" s="89" t="str">
        <f t="shared" si="55"/>
        <v/>
      </c>
      <c r="S624" s="89" t="str">
        <f t="shared" si="56"/>
        <v/>
      </c>
      <c r="X624" s="64">
        <f t="shared" si="57"/>
        <v>0</v>
      </c>
      <c r="Y624" s="53">
        <f t="shared" si="58"/>
        <v>0</v>
      </c>
      <c r="Z624" s="64">
        <f t="shared" si="59"/>
        <v>0</v>
      </c>
    </row>
    <row r="625" spans="1:26">
      <c r="A625" s="89" t="str">
        <f t="shared" si="54"/>
        <v/>
      </c>
      <c r="B625" s="89" t="str">
        <f t="shared" si="55"/>
        <v/>
      </c>
      <c r="S625" s="89" t="str">
        <f t="shared" si="56"/>
        <v/>
      </c>
      <c r="X625" s="64">
        <f t="shared" si="57"/>
        <v>0</v>
      </c>
      <c r="Y625" s="53">
        <f t="shared" si="58"/>
        <v>0</v>
      </c>
      <c r="Z625" s="64">
        <f t="shared" si="59"/>
        <v>0</v>
      </c>
    </row>
    <row r="626" spans="1:26">
      <c r="A626" s="89" t="str">
        <f t="shared" si="54"/>
        <v/>
      </c>
      <c r="B626" s="89" t="str">
        <f t="shared" si="55"/>
        <v/>
      </c>
      <c r="S626" s="89" t="str">
        <f t="shared" si="56"/>
        <v/>
      </c>
      <c r="X626" s="64">
        <f t="shared" si="57"/>
        <v>0</v>
      </c>
      <c r="Y626" s="53">
        <f t="shared" si="58"/>
        <v>0</v>
      </c>
      <c r="Z626" s="64">
        <f t="shared" si="59"/>
        <v>0</v>
      </c>
    </row>
    <row r="627" spans="1:26">
      <c r="A627" s="89" t="str">
        <f t="shared" si="54"/>
        <v/>
      </c>
      <c r="B627" s="89" t="str">
        <f t="shared" si="55"/>
        <v/>
      </c>
      <c r="S627" s="89" t="str">
        <f t="shared" si="56"/>
        <v/>
      </c>
      <c r="X627" s="64">
        <f t="shared" si="57"/>
        <v>0</v>
      </c>
      <c r="Y627" s="53">
        <f t="shared" si="58"/>
        <v>0</v>
      </c>
      <c r="Z627" s="64">
        <f t="shared" si="59"/>
        <v>0</v>
      </c>
    </row>
    <row r="628" spans="1:26">
      <c r="A628" s="89" t="str">
        <f t="shared" si="54"/>
        <v/>
      </c>
      <c r="B628" s="89" t="str">
        <f t="shared" si="55"/>
        <v/>
      </c>
      <c r="S628" s="89" t="str">
        <f t="shared" si="56"/>
        <v/>
      </c>
      <c r="X628" s="64">
        <f t="shared" si="57"/>
        <v>0</v>
      </c>
      <c r="Y628" s="53">
        <f t="shared" si="58"/>
        <v>0</v>
      </c>
      <c r="Z628" s="64">
        <f t="shared" si="59"/>
        <v>0</v>
      </c>
    </row>
    <row r="629" spans="1:26">
      <c r="A629" s="89" t="str">
        <f t="shared" si="54"/>
        <v/>
      </c>
      <c r="B629" s="89" t="str">
        <f t="shared" si="55"/>
        <v/>
      </c>
      <c r="S629" s="89" t="str">
        <f t="shared" si="56"/>
        <v/>
      </c>
      <c r="X629" s="64">
        <f t="shared" si="57"/>
        <v>0</v>
      </c>
      <c r="Y629" s="53">
        <f t="shared" si="58"/>
        <v>0</v>
      </c>
      <c r="Z629" s="64">
        <f t="shared" si="59"/>
        <v>0</v>
      </c>
    </row>
    <row r="630" spans="1:26">
      <c r="A630" s="89" t="str">
        <f t="shared" si="54"/>
        <v/>
      </c>
      <c r="B630" s="89" t="str">
        <f t="shared" si="55"/>
        <v/>
      </c>
      <c r="S630" s="89" t="str">
        <f t="shared" si="56"/>
        <v/>
      </c>
      <c r="X630" s="64">
        <f t="shared" si="57"/>
        <v>0</v>
      </c>
      <c r="Y630" s="53">
        <f t="shared" si="58"/>
        <v>0</v>
      </c>
      <c r="Z630" s="64">
        <f t="shared" si="59"/>
        <v>0</v>
      </c>
    </row>
    <row r="631" spans="1:26">
      <c r="A631" s="89" t="str">
        <f t="shared" si="54"/>
        <v/>
      </c>
      <c r="B631" s="89" t="str">
        <f t="shared" si="55"/>
        <v/>
      </c>
      <c r="S631" s="89" t="str">
        <f t="shared" si="56"/>
        <v/>
      </c>
      <c r="X631" s="64">
        <f t="shared" si="57"/>
        <v>0</v>
      </c>
      <c r="Y631" s="53">
        <f t="shared" si="58"/>
        <v>0</v>
      </c>
      <c r="Z631" s="64">
        <f t="shared" si="59"/>
        <v>0</v>
      </c>
    </row>
    <row r="632" spans="1:26">
      <c r="A632" s="89" t="str">
        <f t="shared" si="54"/>
        <v/>
      </c>
      <c r="B632" s="89" t="str">
        <f t="shared" si="55"/>
        <v/>
      </c>
      <c r="S632" s="89" t="str">
        <f t="shared" si="56"/>
        <v/>
      </c>
      <c r="X632" s="64">
        <f t="shared" si="57"/>
        <v>0</v>
      </c>
      <c r="Y632" s="53">
        <f t="shared" si="58"/>
        <v>0</v>
      </c>
      <c r="Z632" s="64">
        <f t="shared" si="59"/>
        <v>0</v>
      </c>
    </row>
    <row r="633" spans="1:26">
      <c r="A633" s="89" t="str">
        <f t="shared" si="54"/>
        <v/>
      </c>
      <c r="B633" s="89" t="str">
        <f t="shared" si="55"/>
        <v/>
      </c>
      <c r="S633" s="89" t="str">
        <f t="shared" si="56"/>
        <v/>
      </c>
      <c r="X633" s="64">
        <f t="shared" si="57"/>
        <v>0</v>
      </c>
      <c r="Y633" s="53">
        <f t="shared" si="58"/>
        <v>0</v>
      </c>
      <c r="Z633" s="64">
        <f t="shared" si="59"/>
        <v>0</v>
      </c>
    </row>
    <row r="634" spans="1:26">
      <c r="A634" s="89" t="str">
        <f t="shared" si="54"/>
        <v/>
      </c>
      <c r="B634" s="89" t="str">
        <f t="shared" si="55"/>
        <v/>
      </c>
      <c r="S634" s="89" t="str">
        <f t="shared" si="56"/>
        <v/>
      </c>
      <c r="X634" s="64">
        <f t="shared" si="57"/>
        <v>0</v>
      </c>
      <c r="Y634" s="53">
        <f t="shared" si="58"/>
        <v>0</v>
      </c>
      <c r="Z634" s="64">
        <f t="shared" si="59"/>
        <v>0</v>
      </c>
    </row>
    <row r="635" spans="1:26">
      <c r="A635" s="89" t="str">
        <f t="shared" si="54"/>
        <v/>
      </c>
      <c r="B635" s="89" t="str">
        <f t="shared" si="55"/>
        <v/>
      </c>
      <c r="S635" s="89" t="str">
        <f t="shared" si="56"/>
        <v/>
      </c>
      <c r="X635" s="64">
        <f t="shared" si="57"/>
        <v>0</v>
      </c>
      <c r="Y635" s="53">
        <f t="shared" si="58"/>
        <v>0</v>
      </c>
      <c r="Z635" s="64">
        <f t="shared" si="59"/>
        <v>0</v>
      </c>
    </row>
    <row r="636" spans="1:26">
      <c r="A636" s="89" t="str">
        <f t="shared" si="54"/>
        <v/>
      </c>
      <c r="B636" s="89" t="str">
        <f t="shared" si="55"/>
        <v/>
      </c>
      <c r="S636" s="89" t="str">
        <f t="shared" si="56"/>
        <v/>
      </c>
      <c r="X636" s="64">
        <f t="shared" si="57"/>
        <v>0</v>
      </c>
      <c r="Y636" s="53">
        <f t="shared" si="58"/>
        <v>0</v>
      </c>
      <c r="Z636" s="64">
        <f t="shared" si="59"/>
        <v>0</v>
      </c>
    </row>
    <row r="637" spans="1:26">
      <c r="A637" s="89" t="str">
        <f t="shared" si="54"/>
        <v/>
      </c>
      <c r="B637" s="89" t="str">
        <f t="shared" si="55"/>
        <v/>
      </c>
      <c r="S637" s="89" t="str">
        <f t="shared" si="56"/>
        <v/>
      </c>
      <c r="X637" s="64">
        <f t="shared" si="57"/>
        <v>0</v>
      </c>
      <c r="Y637" s="53">
        <f t="shared" si="58"/>
        <v>0</v>
      </c>
      <c r="Z637" s="64">
        <f t="shared" si="59"/>
        <v>0</v>
      </c>
    </row>
    <row r="638" spans="1:26">
      <c r="A638" s="89" t="str">
        <f t="shared" si="54"/>
        <v/>
      </c>
      <c r="B638" s="89" t="str">
        <f t="shared" si="55"/>
        <v/>
      </c>
      <c r="S638" s="89" t="str">
        <f t="shared" si="56"/>
        <v/>
      </c>
      <c r="X638" s="64">
        <f t="shared" si="57"/>
        <v>0</v>
      </c>
      <c r="Y638" s="53">
        <f t="shared" si="58"/>
        <v>0</v>
      </c>
      <c r="Z638" s="64">
        <f t="shared" si="59"/>
        <v>0</v>
      </c>
    </row>
    <row r="639" spans="1:26">
      <c r="A639" s="89" t="str">
        <f t="shared" si="54"/>
        <v/>
      </c>
      <c r="B639" s="89" t="str">
        <f t="shared" si="55"/>
        <v/>
      </c>
      <c r="S639" s="89" t="str">
        <f t="shared" si="56"/>
        <v/>
      </c>
      <c r="X639" s="64">
        <f t="shared" si="57"/>
        <v>0</v>
      </c>
      <c r="Y639" s="53">
        <f t="shared" si="58"/>
        <v>0</v>
      </c>
      <c r="Z639" s="64">
        <f t="shared" si="59"/>
        <v>0</v>
      </c>
    </row>
    <row r="640" spans="1:26">
      <c r="A640" s="89" t="str">
        <f t="shared" si="54"/>
        <v/>
      </c>
      <c r="B640" s="89" t="str">
        <f t="shared" si="55"/>
        <v/>
      </c>
      <c r="S640" s="89" t="str">
        <f t="shared" si="56"/>
        <v/>
      </c>
      <c r="X640" s="64">
        <f t="shared" si="57"/>
        <v>0</v>
      </c>
      <c r="Y640" s="53">
        <f t="shared" si="58"/>
        <v>0</v>
      </c>
      <c r="Z640" s="64">
        <f t="shared" si="59"/>
        <v>0</v>
      </c>
    </row>
    <row r="641" spans="1:26">
      <c r="A641" s="89" t="str">
        <f t="shared" si="54"/>
        <v/>
      </c>
      <c r="B641" s="89" t="str">
        <f t="shared" si="55"/>
        <v/>
      </c>
      <c r="S641" s="89" t="str">
        <f t="shared" si="56"/>
        <v/>
      </c>
      <c r="X641" s="64">
        <f t="shared" si="57"/>
        <v>0</v>
      </c>
      <c r="Y641" s="53">
        <f t="shared" si="58"/>
        <v>0</v>
      </c>
      <c r="Z641" s="64">
        <f t="shared" si="59"/>
        <v>0</v>
      </c>
    </row>
    <row r="642" spans="1:26">
      <c r="A642" s="89" t="str">
        <f t="shared" si="54"/>
        <v/>
      </c>
      <c r="B642" s="89" t="str">
        <f t="shared" si="55"/>
        <v/>
      </c>
      <c r="S642" s="89" t="str">
        <f t="shared" si="56"/>
        <v/>
      </c>
      <c r="X642" s="64">
        <f t="shared" si="57"/>
        <v>0</v>
      </c>
      <c r="Y642" s="53">
        <f t="shared" si="58"/>
        <v>0</v>
      </c>
      <c r="Z642" s="64">
        <f t="shared" si="59"/>
        <v>0</v>
      </c>
    </row>
    <row r="643" spans="1:26">
      <c r="A643" s="89" t="str">
        <f t="shared" ref="A643:A706" si="60">IF(G643&amp;Q643&lt;&gt;"",G643&amp;Q643,"")</f>
        <v/>
      </c>
      <c r="B643" s="89" t="str">
        <f t="shared" ref="B643:B706" si="61">IF(C643&lt;&gt;"",LEFT(C643,9),"")</f>
        <v/>
      </c>
      <c r="S643" s="89" t="str">
        <f t="shared" ref="S643:S706" si="62">IF(H643&lt;&gt;"",H643,"")</f>
        <v/>
      </c>
      <c r="X643" s="64">
        <f t="shared" ref="X643:X706" si="63">IFERROR(VALUE(MID($C643,1,2)),0)</f>
        <v>0</v>
      </c>
      <c r="Y643" s="53">
        <f t="shared" ref="Y643:Y706" si="64">IFERROR(VALUE(MID($C643,4,3)),0)</f>
        <v>0</v>
      </c>
      <c r="Z643" s="64">
        <f t="shared" ref="Z643:Z706" si="65">VALUE(RIGHT("00"&amp;X643,2)&amp;RIGHT("000"&amp;Y643,3))</f>
        <v>0</v>
      </c>
    </row>
    <row r="644" spans="1:26">
      <c r="A644" s="89" t="str">
        <f t="shared" si="60"/>
        <v/>
      </c>
      <c r="B644" s="89" t="str">
        <f t="shared" si="61"/>
        <v/>
      </c>
      <c r="S644" s="89" t="str">
        <f t="shared" si="62"/>
        <v/>
      </c>
      <c r="X644" s="64">
        <f t="shared" si="63"/>
        <v>0</v>
      </c>
      <c r="Y644" s="53">
        <f t="shared" si="64"/>
        <v>0</v>
      </c>
      <c r="Z644" s="64">
        <f t="shared" si="65"/>
        <v>0</v>
      </c>
    </row>
    <row r="645" spans="1:26">
      <c r="A645" s="89" t="str">
        <f t="shared" si="60"/>
        <v/>
      </c>
      <c r="B645" s="89" t="str">
        <f t="shared" si="61"/>
        <v/>
      </c>
      <c r="S645" s="89" t="str">
        <f t="shared" si="62"/>
        <v/>
      </c>
      <c r="X645" s="64">
        <f t="shared" si="63"/>
        <v>0</v>
      </c>
      <c r="Y645" s="53">
        <f t="shared" si="64"/>
        <v>0</v>
      </c>
      <c r="Z645" s="64">
        <f t="shared" si="65"/>
        <v>0</v>
      </c>
    </row>
    <row r="646" spans="1:26">
      <c r="A646" s="89" t="str">
        <f t="shared" si="60"/>
        <v/>
      </c>
      <c r="B646" s="89" t="str">
        <f t="shared" si="61"/>
        <v/>
      </c>
      <c r="S646" s="89" t="str">
        <f t="shared" si="62"/>
        <v/>
      </c>
      <c r="X646" s="64">
        <f t="shared" si="63"/>
        <v>0</v>
      </c>
      <c r="Y646" s="53">
        <f t="shared" si="64"/>
        <v>0</v>
      </c>
      <c r="Z646" s="64">
        <f t="shared" si="65"/>
        <v>0</v>
      </c>
    </row>
    <row r="647" spans="1:26">
      <c r="A647" s="89" t="str">
        <f t="shared" si="60"/>
        <v/>
      </c>
      <c r="B647" s="89" t="str">
        <f t="shared" si="61"/>
        <v/>
      </c>
      <c r="S647" s="89" t="str">
        <f t="shared" si="62"/>
        <v/>
      </c>
      <c r="X647" s="64">
        <f t="shared" si="63"/>
        <v>0</v>
      </c>
      <c r="Y647" s="53">
        <f t="shared" si="64"/>
        <v>0</v>
      </c>
      <c r="Z647" s="64">
        <f t="shared" si="65"/>
        <v>0</v>
      </c>
    </row>
    <row r="648" spans="1:26">
      <c r="A648" s="89" t="str">
        <f t="shared" si="60"/>
        <v/>
      </c>
      <c r="B648" s="89" t="str">
        <f t="shared" si="61"/>
        <v/>
      </c>
      <c r="S648" s="89" t="str">
        <f t="shared" si="62"/>
        <v/>
      </c>
      <c r="X648" s="64">
        <f t="shared" si="63"/>
        <v>0</v>
      </c>
      <c r="Y648" s="53">
        <f t="shared" si="64"/>
        <v>0</v>
      </c>
      <c r="Z648" s="64">
        <f t="shared" si="65"/>
        <v>0</v>
      </c>
    </row>
    <row r="649" spans="1:26">
      <c r="A649" s="89" t="str">
        <f t="shared" si="60"/>
        <v/>
      </c>
      <c r="B649" s="89" t="str">
        <f t="shared" si="61"/>
        <v/>
      </c>
      <c r="S649" s="89" t="str">
        <f t="shared" si="62"/>
        <v/>
      </c>
      <c r="X649" s="64">
        <f t="shared" si="63"/>
        <v>0</v>
      </c>
      <c r="Y649" s="53">
        <f t="shared" si="64"/>
        <v>0</v>
      </c>
      <c r="Z649" s="64">
        <f t="shared" si="65"/>
        <v>0</v>
      </c>
    </row>
    <row r="650" spans="1:26">
      <c r="A650" s="89" t="str">
        <f t="shared" si="60"/>
        <v/>
      </c>
      <c r="B650" s="89" t="str">
        <f t="shared" si="61"/>
        <v/>
      </c>
      <c r="S650" s="89" t="str">
        <f t="shared" si="62"/>
        <v/>
      </c>
      <c r="X650" s="64">
        <f t="shared" si="63"/>
        <v>0</v>
      </c>
      <c r="Y650" s="53">
        <f t="shared" si="64"/>
        <v>0</v>
      </c>
      <c r="Z650" s="64">
        <f t="shared" si="65"/>
        <v>0</v>
      </c>
    </row>
    <row r="651" spans="1:26">
      <c r="A651" s="89" t="str">
        <f t="shared" si="60"/>
        <v/>
      </c>
      <c r="B651" s="89" t="str">
        <f t="shared" si="61"/>
        <v/>
      </c>
      <c r="S651" s="89" t="str">
        <f t="shared" si="62"/>
        <v/>
      </c>
      <c r="X651" s="64">
        <f t="shared" si="63"/>
        <v>0</v>
      </c>
      <c r="Y651" s="53">
        <f t="shared" si="64"/>
        <v>0</v>
      </c>
      <c r="Z651" s="64">
        <f t="shared" si="65"/>
        <v>0</v>
      </c>
    </row>
    <row r="652" spans="1:26">
      <c r="A652" s="89" t="str">
        <f t="shared" si="60"/>
        <v/>
      </c>
      <c r="B652" s="89" t="str">
        <f t="shared" si="61"/>
        <v/>
      </c>
      <c r="S652" s="89" t="str">
        <f t="shared" si="62"/>
        <v/>
      </c>
      <c r="X652" s="64">
        <f t="shared" si="63"/>
        <v>0</v>
      </c>
      <c r="Y652" s="53">
        <f t="shared" si="64"/>
        <v>0</v>
      </c>
      <c r="Z652" s="64">
        <f t="shared" si="65"/>
        <v>0</v>
      </c>
    </row>
    <row r="653" spans="1:26">
      <c r="A653" s="89" t="str">
        <f t="shared" si="60"/>
        <v/>
      </c>
      <c r="B653" s="89" t="str">
        <f t="shared" si="61"/>
        <v/>
      </c>
      <c r="S653" s="89" t="str">
        <f t="shared" si="62"/>
        <v/>
      </c>
      <c r="X653" s="64">
        <f t="shared" si="63"/>
        <v>0</v>
      </c>
      <c r="Y653" s="53">
        <f t="shared" si="64"/>
        <v>0</v>
      </c>
      <c r="Z653" s="64">
        <f t="shared" si="65"/>
        <v>0</v>
      </c>
    </row>
    <row r="654" spans="1:26">
      <c r="A654" s="89" t="str">
        <f t="shared" si="60"/>
        <v/>
      </c>
      <c r="B654" s="89" t="str">
        <f t="shared" si="61"/>
        <v/>
      </c>
      <c r="S654" s="89" t="str">
        <f t="shared" si="62"/>
        <v/>
      </c>
      <c r="X654" s="64">
        <f t="shared" si="63"/>
        <v>0</v>
      </c>
      <c r="Y654" s="53">
        <f t="shared" si="64"/>
        <v>0</v>
      </c>
      <c r="Z654" s="64">
        <f t="shared" si="65"/>
        <v>0</v>
      </c>
    </row>
    <row r="655" spans="1:26">
      <c r="A655" s="89" t="str">
        <f t="shared" si="60"/>
        <v/>
      </c>
      <c r="B655" s="89" t="str">
        <f t="shared" si="61"/>
        <v/>
      </c>
      <c r="S655" s="89" t="str">
        <f t="shared" si="62"/>
        <v/>
      </c>
      <c r="X655" s="64">
        <f t="shared" si="63"/>
        <v>0</v>
      </c>
      <c r="Y655" s="53">
        <f t="shared" si="64"/>
        <v>0</v>
      </c>
      <c r="Z655" s="64">
        <f t="shared" si="65"/>
        <v>0</v>
      </c>
    </row>
    <row r="656" spans="1:26">
      <c r="A656" s="89" t="str">
        <f t="shared" si="60"/>
        <v/>
      </c>
      <c r="B656" s="89" t="str">
        <f t="shared" si="61"/>
        <v/>
      </c>
      <c r="S656" s="89" t="str">
        <f t="shared" si="62"/>
        <v/>
      </c>
      <c r="X656" s="64">
        <f t="shared" si="63"/>
        <v>0</v>
      </c>
      <c r="Y656" s="53">
        <f t="shared" si="64"/>
        <v>0</v>
      </c>
      <c r="Z656" s="64">
        <f t="shared" si="65"/>
        <v>0</v>
      </c>
    </row>
    <row r="657" spans="1:26">
      <c r="A657" s="89" t="str">
        <f t="shared" si="60"/>
        <v/>
      </c>
      <c r="B657" s="89" t="str">
        <f t="shared" si="61"/>
        <v/>
      </c>
      <c r="S657" s="89" t="str">
        <f t="shared" si="62"/>
        <v/>
      </c>
      <c r="X657" s="64">
        <f t="shared" si="63"/>
        <v>0</v>
      </c>
      <c r="Y657" s="53">
        <f t="shared" si="64"/>
        <v>0</v>
      </c>
      <c r="Z657" s="64">
        <f t="shared" si="65"/>
        <v>0</v>
      </c>
    </row>
    <row r="658" spans="1:26">
      <c r="A658" s="89" t="str">
        <f t="shared" si="60"/>
        <v/>
      </c>
      <c r="B658" s="89" t="str">
        <f t="shared" si="61"/>
        <v/>
      </c>
      <c r="S658" s="89" t="str">
        <f t="shared" si="62"/>
        <v/>
      </c>
      <c r="X658" s="64">
        <f t="shared" si="63"/>
        <v>0</v>
      </c>
      <c r="Y658" s="53">
        <f t="shared" si="64"/>
        <v>0</v>
      </c>
      <c r="Z658" s="64">
        <f t="shared" si="65"/>
        <v>0</v>
      </c>
    </row>
    <row r="659" spans="1:26">
      <c r="A659" s="89" t="str">
        <f t="shared" si="60"/>
        <v/>
      </c>
      <c r="B659" s="89" t="str">
        <f t="shared" si="61"/>
        <v/>
      </c>
      <c r="S659" s="89" t="str">
        <f t="shared" si="62"/>
        <v/>
      </c>
      <c r="X659" s="64">
        <f t="shared" si="63"/>
        <v>0</v>
      </c>
      <c r="Y659" s="53">
        <f t="shared" si="64"/>
        <v>0</v>
      </c>
      <c r="Z659" s="64">
        <f t="shared" si="65"/>
        <v>0</v>
      </c>
    </row>
    <row r="660" spans="1:26">
      <c r="A660" s="89" t="str">
        <f t="shared" si="60"/>
        <v/>
      </c>
      <c r="B660" s="89" t="str">
        <f t="shared" si="61"/>
        <v/>
      </c>
      <c r="S660" s="89" t="str">
        <f t="shared" si="62"/>
        <v/>
      </c>
      <c r="X660" s="64">
        <f t="shared" si="63"/>
        <v>0</v>
      </c>
      <c r="Y660" s="53">
        <f t="shared" si="64"/>
        <v>0</v>
      </c>
      <c r="Z660" s="64">
        <f t="shared" si="65"/>
        <v>0</v>
      </c>
    </row>
    <row r="661" spans="1:26">
      <c r="A661" s="89" t="str">
        <f t="shared" si="60"/>
        <v/>
      </c>
      <c r="B661" s="89" t="str">
        <f t="shared" si="61"/>
        <v/>
      </c>
      <c r="S661" s="89" t="str">
        <f t="shared" si="62"/>
        <v/>
      </c>
      <c r="X661" s="64">
        <f t="shared" si="63"/>
        <v>0</v>
      </c>
      <c r="Y661" s="53">
        <f t="shared" si="64"/>
        <v>0</v>
      </c>
      <c r="Z661" s="64">
        <f t="shared" si="65"/>
        <v>0</v>
      </c>
    </row>
    <row r="662" spans="1:26">
      <c r="A662" s="89" t="str">
        <f t="shared" si="60"/>
        <v/>
      </c>
      <c r="B662" s="89" t="str">
        <f t="shared" si="61"/>
        <v/>
      </c>
      <c r="S662" s="89" t="str">
        <f t="shared" si="62"/>
        <v/>
      </c>
      <c r="X662" s="64">
        <f t="shared" si="63"/>
        <v>0</v>
      </c>
      <c r="Y662" s="53">
        <f t="shared" si="64"/>
        <v>0</v>
      </c>
      <c r="Z662" s="64">
        <f t="shared" si="65"/>
        <v>0</v>
      </c>
    </row>
    <row r="663" spans="1:26">
      <c r="A663" s="89" t="str">
        <f t="shared" si="60"/>
        <v/>
      </c>
      <c r="B663" s="89" t="str">
        <f t="shared" si="61"/>
        <v/>
      </c>
      <c r="S663" s="89" t="str">
        <f t="shared" si="62"/>
        <v/>
      </c>
      <c r="X663" s="64">
        <f t="shared" si="63"/>
        <v>0</v>
      </c>
      <c r="Y663" s="53">
        <f t="shared" si="64"/>
        <v>0</v>
      </c>
      <c r="Z663" s="64">
        <f t="shared" si="65"/>
        <v>0</v>
      </c>
    </row>
    <row r="664" spans="1:26">
      <c r="A664" s="89" t="str">
        <f t="shared" si="60"/>
        <v/>
      </c>
      <c r="B664" s="89" t="str">
        <f t="shared" si="61"/>
        <v/>
      </c>
      <c r="S664" s="89" t="str">
        <f t="shared" si="62"/>
        <v/>
      </c>
      <c r="X664" s="64">
        <f t="shared" si="63"/>
        <v>0</v>
      </c>
      <c r="Y664" s="53">
        <f t="shared" si="64"/>
        <v>0</v>
      </c>
      <c r="Z664" s="64">
        <f t="shared" si="65"/>
        <v>0</v>
      </c>
    </row>
    <row r="665" spans="1:26">
      <c r="A665" s="89" t="str">
        <f t="shared" si="60"/>
        <v/>
      </c>
      <c r="B665" s="89" t="str">
        <f t="shared" si="61"/>
        <v/>
      </c>
      <c r="S665" s="89" t="str">
        <f t="shared" si="62"/>
        <v/>
      </c>
      <c r="X665" s="64">
        <f t="shared" si="63"/>
        <v>0</v>
      </c>
      <c r="Y665" s="53">
        <f t="shared" si="64"/>
        <v>0</v>
      </c>
      <c r="Z665" s="64">
        <f t="shared" si="65"/>
        <v>0</v>
      </c>
    </row>
    <row r="666" spans="1:26">
      <c r="A666" s="89" t="str">
        <f t="shared" si="60"/>
        <v/>
      </c>
      <c r="B666" s="89" t="str">
        <f t="shared" si="61"/>
        <v/>
      </c>
      <c r="S666" s="89" t="str">
        <f t="shared" si="62"/>
        <v/>
      </c>
      <c r="X666" s="64">
        <f t="shared" si="63"/>
        <v>0</v>
      </c>
      <c r="Y666" s="53">
        <f t="shared" si="64"/>
        <v>0</v>
      </c>
      <c r="Z666" s="64">
        <f t="shared" si="65"/>
        <v>0</v>
      </c>
    </row>
    <row r="667" spans="1:26">
      <c r="A667" s="89" t="str">
        <f t="shared" si="60"/>
        <v/>
      </c>
      <c r="B667" s="89" t="str">
        <f t="shared" si="61"/>
        <v/>
      </c>
      <c r="S667" s="89" t="str">
        <f t="shared" si="62"/>
        <v/>
      </c>
      <c r="X667" s="64">
        <f t="shared" si="63"/>
        <v>0</v>
      </c>
      <c r="Y667" s="53">
        <f t="shared" si="64"/>
        <v>0</v>
      </c>
      <c r="Z667" s="64">
        <f t="shared" si="65"/>
        <v>0</v>
      </c>
    </row>
    <row r="668" spans="1:26">
      <c r="A668" s="89" t="str">
        <f t="shared" si="60"/>
        <v/>
      </c>
      <c r="B668" s="89" t="str">
        <f t="shared" si="61"/>
        <v/>
      </c>
      <c r="S668" s="89" t="str">
        <f t="shared" si="62"/>
        <v/>
      </c>
      <c r="X668" s="64">
        <f t="shared" si="63"/>
        <v>0</v>
      </c>
      <c r="Y668" s="53">
        <f t="shared" si="64"/>
        <v>0</v>
      </c>
      <c r="Z668" s="64">
        <f t="shared" si="65"/>
        <v>0</v>
      </c>
    </row>
    <row r="669" spans="1:26">
      <c r="A669" s="89" t="str">
        <f t="shared" si="60"/>
        <v/>
      </c>
      <c r="B669" s="89" t="str">
        <f t="shared" si="61"/>
        <v/>
      </c>
      <c r="S669" s="89" t="str">
        <f t="shared" si="62"/>
        <v/>
      </c>
      <c r="X669" s="64">
        <f t="shared" si="63"/>
        <v>0</v>
      </c>
      <c r="Y669" s="53">
        <f t="shared" si="64"/>
        <v>0</v>
      </c>
      <c r="Z669" s="64">
        <f t="shared" si="65"/>
        <v>0</v>
      </c>
    </row>
    <row r="670" spans="1:26">
      <c r="A670" s="89" t="str">
        <f t="shared" si="60"/>
        <v/>
      </c>
      <c r="B670" s="89" t="str">
        <f t="shared" si="61"/>
        <v/>
      </c>
      <c r="S670" s="89" t="str">
        <f t="shared" si="62"/>
        <v/>
      </c>
      <c r="X670" s="64">
        <f t="shared" si="63"/>
        <v>0</v>
      </c>
      <c r="Y670" s="53">
        <f t="shared" si="64"/>
        <v>0</v>
      </c>
      <c r="Z670" s="64">
        <f t="shared" si="65"/>
        <v>0</v>
      </c>
    </row>
    <row r="671" spans="1:26">
      <c r="A671" s="89" t="str">
        <f t="shared" si="60"/>
        <v/>
      </c>
      <c r="B671" s="89" t="str">
        <f t="shared" si="61"/>
        <v/>
      </c>
      <c r="S671" s="89" t="str">
        <f t="shared" si="62"/>
        <v/>
      </c>
      <c r="X671" s="64">
        <f t="shared" si="63"/>
        <v>0</v>
      </c>
      <c r="Y671" s="53">
        <f t="shared" si="64"/>
        <v>0</v>
      </c>
      <c r="Z671" s="64">
        <f t="shared" si="65"/>
        <v>0</v>
      </c>
    </row>
    <row r="672" spans="1:26">
      <c r="A672" s="89" t="str">
        <f t="shared" si="60"/>
        <v/>
      </c>
      <c r="B672" s="89" t="str">
        <f t="shared" si="61"/>
        <v/>
      </c>
      <c r="S672" s="89" t="str">
        <f t="shared" si="62"/>
        <v/>
      </c>
      <c r="X672" s="64">
        <f t="shared" si="63"/>
        <v>0</v>
      </c>
      <c r="Y672" s="53">
        <f t="shared" si="64"/>
        <v>0</v>
      </c>
      <c r="Z672" s="64">
        <f t="shared" si="65"/>
        <v>0</v>
      </c>
    </row>
    <row r="673" spans="1:26">
      <c r="A673" s="89" t="str">
        <f t="shared" si="60"/>
        <v/>
      </c>
      <c r="B673" s="89" t="str">
        <f t="shared" si="61"/>
        <v/>
      </c>
      <c r="S673" s="89" t="str">
        <f t="shared" si="62"/>
        <v/>
      </c>
      <c r="X673" s="64">
        <f t="shared" si="63"/>
        <v>0</v>
      </c>
      <c r="Y673" s="53">
        <f t="shared" si="64"/>
        <v>0</v>
      </c>
      <c r="Z673" s="64">
        <f t="shared" si="65"/>
        <v>0</v>
      </c>
    </row>
    <row r="674" spans="1:26">
      <c r="A674" s="89" t="str">
        <f t="shared" si="60"/>
        <v/>
      </c>
      <c r="B674" s="89" t="str">
        <f t="shared" si="61"/>
        <v/>
      </c>
      <c r="S674" s="89" t="str">
        <f t="shared" si="62"/>
        <v/>
      </c>
      <c r="X674" s="64">
        <f t="shared" si="63"/>
        <v>0</v>
      </c>
      <c r="Y674" s="53">
        <f t="shared" si="64"/>
        <v>0</v>
      </c>
      <c r="Z674" s="64">
        <f t="shared" si="65"/>
        <v>0</v>
      </c>
    </row>
    <row r="675" spans="1:26">
      <c r="A675" s="89" t="str">
        <f t="shared" si="60"/>
        <v/>
      </c>
      <c r="B675" s="89" t="str">
        <f t="shared" si="61"/>
        <v/>
      </c>
      <c r="S675" s="89" t="str">
        <f t="shared" si="62"/>
        <v/>
      </c>
      <c r="X675" s="64">
        <f t="shared" si="63"/>
        <v>0</v>
      </c>
      <c r="Y675" s="53">
        <f t="shared" si="64"/>
        <v>0</v>
      </c>
      <c r="Z675" s="64">
        <f t="shared" si="65"/>
        <v>0</v>
      </c>
    </row>
    <row r="676" spans="1:26">
      <c r="A676" s="89" t="str">
        <f t="shared" si="60"/>
        <v/>
      </c>
      <c r="B676" s="89" t="str">
        <f t="shared" si="61"/>
        <v/>
      </c>
      <c r="S676" s="89" t="str">
        <f t="shared" si="62"/>
        <v/>
      </c>
      <c r="X676" s="64">
        <f t="shared" si="63"/>
        <v>0</v>
      </c>
      <c r="Y676" s="53">
        <f t="shared" si="64"/>
        <v>0</v>
      </c>
      <c r="Z676" s="64">
        <f t="shared" si="65"/>
        <v>0</v>
      </c>
    </row>
    <row r="677" spans="1:26">
      <c r="A677" s="89" t="str">
        <f t="shared" si="60"/>
        <v/>
      </c>
      <c r="B677" s="89" t="str">
        <f t="shared" si="61"/>
        <v/>
      </c>
      <c r="S677" s="89" t="str">
        <f t="shared" si="62"/>
        <v/>
      </c>
      <c r="X677" s="64">
        <f t="shared" si="63"/>
        <v>0</v>
      </c>
      <c r="Y677" s="53">
        <f t="shared" si="64"/>
        <v>0</v>
      </c>
      <c r="Z677" s="64">
        <f t="shared" si="65"/>
        <v>0</v>
      </c>
    </row>
    <row r="678" spans="1:26">
      <c r="A678" s="89" t="str">
        <f t="shared" si="60"/>
        <v/>
      </c>
      <c r="B678" s="89" t="str">
        <f t="shared" si="61"/>
        <v/>
      </c>
      <c r="S678" s="89" t="str">
        <f t="shared" si="62"/>
        <v/>
      </c>
      <c r="X678" s="64">
        <f t="shared" si="63"/>
        <v>0</v>
      </c>
      <c r="Y678" s="53">
        <f t="shared" si="64"/>
        <v>0</v>
      </c>
      <c r="Z678" s="64">
        <f t="shared" si="65"/>
        <v>0</v>
      </c>
    </row>
    <row r="679" spans="1:26">
      <c r="A679" s="89" t="str">
        <f t="shared" si="60"/>
        <v/>
      </c>
      <c r="B679" s="89" t="str">
        <f t="shared" si="61"/>
        <v/>
      </c>
      <c r="S679" s="89" t="str">
        <f t="shared" si="62"/>
        <v/>
      </c>
      <c r="X679" s="64">
        <f t="shared" si="63"/>
        <v>0</v>
      </c>
      <c r="Y679" s="53">
        <f t="shared" si="64"/>
        <v>0</v>
      </c>
      <c r="Z679" s="64">
        <f t="shared" si="65"/>
        <v>0</v>
      </c>
    </row>
    <row r="680" spans="1:26">
      <c r="A680" s="89" t="str">
        <f t="shared" si="60"/>
        <v/>
      </c>
      <c r="B680" s="89" t="str">
        <f t="shared" si="61"/>
        <v/>
      </c>
      <c r="S680" s="89" t="str">
        <f t="shared" si="62"/>
        <v/>
      </c>
      <c r="X680" s="64">
        <f t="shared" si="63"/>
        <v>0</v>
      </c>
      <c r="Y680" s="53">
        <f t="shared" si="64"/>
        <v>0</v>
      </c>
      <c r="Z680" s="64">
        <f t="shared" si="65"/>
        <v>0</v>
      </c>
    </row>
    <row r="681" spans="1:26">
      <c r="A681" s="89" t="str">
        <f t="shared" si="60"/>
        <v/>
      </c>
      <c r="B681" s="89" t="str">
        <f t="shared" si="61"/>
        <v/>
      </c>
      <c r="S681" s="89" t="str">
        <f t="shared" si="62"/>
        <v/>
      </c>
      <c r="X681" s="64">
        <f t="shared" si="63"/>
        <v>0</v>
      </c>
      <c r="Y681" s="53">
        <f t="shared" si="64"/>
        <v>0</v>
      </c>
      <c r="Z681" s="64">
        <f t="shared" si="65"/>
        <v>0</v>
      </c>
    </row>
    <row r="682" spans="1:26">
      <c r="A682" s="89" t="str">
        <f t="shared" si="60"/>
        <v/>
      </c>
      <c r="B682" s="89" t="str">
        <f t="shared" si="61"/>
        <v/>
      </c>
      <c r="S682" s="89" t="str">
        <f t="shared" si="62"/>
        <v/>
      </c>
      <c r="X682" s="64">
        <f t="shared" si="63"/>
        <v>0</v>
      </c>
      <c r="Y682" s="53">
        <f t="shared" si="64"/>
        <v>0</v>
      </c>
      <c r="Z682" s="64">
        <f t="shared" si="65"/>
        <v>0</v>
      </c>
    </row>
    <row r="683" spans="1:26">
      <c r="A683" s="89" t="str">
        <f t="shared" si="60"/>
        <v/>
      </c>
      <c r="B683" s="89" t="str">
        <f t="shared" si="61"/>
        <v/>
      </c>
      <c r="S683" s="89" t="str">
        <f t="shared" si="62"/>
        <v/>
      </c>
      <c r="X683" s="64">
        <f t="shared" si="63"/>
        <v>0</v>
      </c>
      <c r="Y683" s="53">
        <f t="shared" si="64"/>
        <v>0</v>
      </c>
      <c r="Z683" s="64">
        <f t="shared" si="65"/>
        <v>0</v>
      </c>
    </row>
    <row r="684" spans="1:26">
      <c r="A684" s="89" t="str">
        <f t="shared" si="60"/>
        <v/>
      </c>
      <c r="B684" s="89" t="str">
        <f t="shared" si="61"/>
        <v/>
      </c>
      <c r="S684" s="89" t="str">
        <f t="shared" si="62"/>
        <v/>
      </c>
      <c r="X684" s="64">
        <f t="shared" si="63"/>
        <v>0</v>
      </c>
      <c r="Y684" s="53">
        <f t="shared" si="64"/>
        <v>0</v>
      </c>
      <c r="Z684" s="64">
        <f t="shared" si="65"/>
        <v>0</v>
      </c>
    </row>
    <row r="685" spans="1:26">
      <c r="A685" s="89" t="str">
        <f t="shared" si="60"/>
        <v/>
      </c>
      <c r="B685" s="89" t="str">
        <f t="shared" si="61"/>
        <v/>
      </c>
      <c r="S685" s="89" t="str">
        <f t="shared" si="62"/>
        <v/>
      </c>
      <c r="X685" s="64">
        <f t="shared" si="63"/>
        <v>0</v>
      </c>
      <c r="Y685" s="53">
        <f t="shared" si="64"/>
        <v>0</v>
      </c>
      <c r="Z685" s="64">
        <f t="shared" si="65"/>
        <v>0</v>
      </c>
    </row>
    <row r="686" spans="1:26">
      <c r="A686" s="89" t="str">
        <f t="shared" si="60"/>
        <v/>
      </c>
      <c r="B686" s="89" t="str">
        <f t="shared" si="61"/>
        <v/>
      </c>
      <c r="S686" s="89" t="str">
        <f t="shared" si="62"/>
        <v/>
      </c>
      <c r="X686" s="64">
        <f t="shared" si="63"/>
        <v>0</v>
      </c>
      <c r="Y686" s="53">
        <f t="shared" si="64"/>
        <v>0</v>
      </c>
      <c r="Z686" s="64">
        <f t="shared" si="65"/>
        <v>0</v>
      </c>
    </row>
    <row r="687" spans="1:26">
      <c r="A687" s="89" t="str">
        <f t="shared" si="60"/>
        <v/>
      </c>
      <c r="B687" s="89" t="str">
        <f t="shared" si="61"/>
        <v/>
      </c>
      <c r="S687" s="89" t="str">
        <f t="shared" si="62"/>
        <v/>
      </c>
      <c r="X687" s="64">
        <f t="shared" si="63"/>
        <v>0</v>
      </c>
      <c r="Y687" s="53">
        <f t="shared" si="64"/>
        <v>0</v>
      </c>
      <c r="Z687" s="64">
        <f t="shared" si="65"/>
        <v>0</v>
      </c>
    </row>
    <row r="688" spans="1:26">
      <c r="A688" s="89" t="str">
        <f t="shared" si="60"/>
        <v/>
      </c>
      <c r="B688" s="89" t="str">
        <f t="shared" si="61"/>
        <v/>
      </c>
      <c r="S688" s="89" t="str">
        <f t="shared" si="62"/>
        <v/>
      </c>
      <c r="X688" s="64">
        <f t="shared" si="63"/>
        <v>0</v>
      </c>
      <c r="Y688" s="53">
        <f t="shared" si="64"/>
        <v>0</v>
      </c>
      <c r="Z688" s="64">
        <f t="shared" si="65"/>
        <v>0</v>
      </c>
    </row>
    <row r="689" spans="1:26">
      <c r="A689" s="89" t="str">
        <f t="shared" si="60"/>
        <v/>
      </c>
      <c r="B689" s="89" t="str">
        <f t="shared" si="61"/>
        <v/>
      </c>
      <c r="S689" s="89" t="str">
        <f t="shared" si="62"/>
        <v/>
      </c>
      <c r="X689" s="64">
        <f t="shared" si="63"/>
        <v>0</v>
      </c>
      <c r="Y689" s="53">
        <f t="shared" si="64"/>
        <v>0</v>
      </c>
      <c r="Z689" s="64">
        <f t="shared" si="65"/>
        <v>0</v>
      </c>
    </row>
    <row r="690" spans="1:26">
      <c r="A690" s="89" t="str">
        <f t="shared" si="60"/>
        <v/>
      </c>
      <c r="B690" s="89" t="str">
        <f t="shared" si="61"/>
        <v/>
      </c>
      <c r="S690" s="89" t="str">
        <f t="shared" si="62"/>
        <v/>
      </c>
      <c r="X690" s="64">
        <f t="shared" si="63"/>
        <v>0</v>
      </c>
      <c r="Y690" s="53">
        <f t="shared" si="64"/>
        <v>0</v>
      </c>
      <c r="Z690" s="64">
        <f t="shared" si="65"/>
        <v>0</v>
      </c>
    </row>
    <row r="691" spans="1:26">
      <c r="A691" s="89" t="str">
        <f t="shared" si="60"/>
        <v/>
      </c>
      <c r="B691" s="89" t="str">
        <f t="shared" si="61"/>
        <v/>
      </c>
      <c r="S691" s="89" t="str">
        <f t="shared" si="62"/>
        <v/>
      </c>
      <c r="X691" s="64">
        <f t="shared" si="63"/>
        <v>0</v>
      </c>
      <c r="Y691" s="53">
        <f t="shared" si="64"/>
        <v>0</v>
      </c>
      <c r="Z691" s="64">
        <f t="shared" si="65"/>
        <v>0</v>
      </c>
    </row>
    <row r="692" spans="1:26">
      <c r="A692" s="89" t="str">
        <f t="shared" si="60"/>
        <v/>
      </c>
      <c r="B692" s="89" t="str">
        <f t="shared" si="61"/>
        <v/>
      </c>
      <c r="S692" s="89" t="str">
        <f t="shared" si="62"/>
        <v/>
      </c>
      <c r="X692" s="64">
        <f t="shared" si="63"/>
        <v>0</v>
      </c>
      <c r="Y692" s="53">
        <f t="shared" si="64"/>
        <v>0</v>
      </c>
      <c r="Z692" s="64">
        <f t="shared" si="65"/>
        <v>0</v>
      </c>
    </row>
    <row r="693" spans="1:26">
      <c r="A693" s="89" t="str">
        <f t="shared" si="60"/>
        <v/>
      </c>
      <c r="B693" s="89" t="str">
        <f t="shared" si="61"/>
        <v/>
      </c>
      <c r="S693" s="89" t="str">
        <f t="shared" si="62"/>
        <v/>
      </c>
      <c r="X693" s="64">
        <f t="shared" si="63"/>
        <v>0</v>
      </c>
      <c r="Y693" s="53">
        <f t="shared" si="64"/>
        <v>0</v>
      </c>
      <c r="Z693" s="64">
        <f t="shared" si="65"/>
        <v>0</v>
      </c>
    </row>
    <row r="694" spans="1:26">
      <c r="A694" s="89" t="str">
        <f t="shared" si="60"/>
        <v/>
      </c>
      <c r="B694" s="89" t="str">
        <f t="shared" si="61"/>
        <v/>
      </c>
      <c r="S694" s="89" t="str">
        <f t="shared" si="62"/>
        <v/>
      </c>
      <c r="X694" s="64">
        <f t="shared" si="63"/>
        <v>0</v>
      </c>
      <c r="Y694" s="53">
        <f t="shared" si="64"/>
        <v>0</v>
      </c>
      <c r="Z694" s="64">
        <f t="shared" si="65"/>
        <v>0</v>
      </c>
    </row>
    <row r="695" spans="1:26">
      <c r="A695" s="89" t="str">
        <f t="shared" si="60"/>
        <v/>
      </c>
      <c r="B695" s="89" t="str">
        <f t="shared" si="61"/>
        <v/>
      </c>
      <c r="S695" s="89" t="str">
        <f t="shared" si="62"/>
        <v/>
      </c>
      <c r="X695" s="64">
        <f t="shared" si="63"/>
        <v>0</v>
      </c>
      <c r="Y695" s="53">
        <f t="shared" si="64"/>
        <v>0</v>
      </c>
      <c r="Z695" s="64">
        <f t="shared" si="65"/>
        <v>0</v>
      </c>
    </row>
    <row r="696" spans="1:26">
      <c r="A696" s="89" t="str">
        <f t="shared" si="60"/>
        <v/>
      </c>
      <c r="B696" s="89" t="str">
        <f t="shared" si="61"/>
        <v/>
      </c>
      <c r="S696" s="89" t="str">
        <f t="shared" si="62"/>
        <v/>
      </c>
      <c r="X696" s="64">
        <f t="shared" si="63"/>
        <v>0</v>
      </c>
      <c r="Y696" s="53">
        <f t="shared" si="64"/>
        <v>0</v>
      </c>
      <c r="Z696" s="64">
        <f t="shared" si="65"/>
        <v>0</v>
      </c>
    </row>
    <row r="697" spans="1:26">
      <c r="A697" s="89" t="str">
        <f t="shared" si="60"/>
        <v/>
      </c>
      <c r="B697" s="89" t="str">
        <f t="shared" si="61"/>
        <v/>
      </c>
      <c r="S697" s="89" t="str">
        <f t="shared" si="62"/>
        <v/>
      </c>
      <c r="X697" s="64">
        <f t="shared" si="63"/>
        <v>0</v>
      </c>
      <c r="Y697" s="53">
        <f t="shared" si="64"/>
        <v>0</v>
      </c>
      <c r="Z697" s="64">
        <f t="shared" si="65"/>
        <v>0</v>
      </c>
    </row>
    <row r="698" spans="1:26">
      <c r="A698" s="89" t="str">
        <f t="shared" si="60"/>
        <v/>
      </c>
      <c r="B698" s="89" t="str">
        <f t="shared" si="61"/>
        <v/>
      </c>
      <c r="S698" s="89" t="str">
        <f t="shared" si="62"/>
        <v/>
      </c>
      <c r="X698" s="64">
        <f t="shared" si="63"/>
        <v>0</v>
      </c>
      <c r="Y698" s="53">
        <f t="shared" si="64"/>
        <v>0</v>
      </c>
      <c r="Z698" s="64">
        <f t="shared" si="65"/>
        <v>0</v>
      </c>
    </row>
    <row r="699" spans="1:26">
      <c r="A699" s="89" t="str">
        <f t="shared" si="60"/>
        <v/>
      </c>
      <c r="B699" s="89" t="str">
        <f t="shared" si="61"/>
        <v/>
      </c>
      <c r="S699" s="89" t="str">
        <f t="shared" si="62"/>
        <v/>
      </c>
      <c r="X699" s="64">
        <f t="shared" si="63"/>
        <v>0</v>
      </c>
      <c r="Y699" s="53">
        <f t="shared" si="64"/>
        <v>0</v>
      </c>
      <c r="Z699" s="64">
        <f t="shared" si="65"/>
        <v>0</v>
      </c>
    </row>
    <row r="700" spans="1:26">
      <c r="A700" s="89" t="str">
        <f t="shared" si="60"/>
        <v/>
      </c>
      <c r="B700" s="89" t="str">
        <f t="shared" si="61"/>
        <v/>
      </c>
      <c r="S700" s="89" t="str">
        <f t="shared" si="62"/>
        <v/>
      </c>
      <c r="X700" s="64">
        <f t="shared" si="63"/>
        <v>0</v>
      </c>
      <c r="Y700" s="53">
        <f t="shared" si="64"/>
        <v>0</v>
      </c>
      <c r="Z700" s="64">
        <f t="shared" si="65"/>
        <v>0</v>
      </c>
    </row>
    <row r="701" spans="1:26">
      <c r="A701" s="89" t="str">
        <f t="shared" si="60"/>
        <v/>
      </c>
      <c r="B701" s="89" t="str">
        <f t="shared" si="61"/>
        <v/>
      </c>
      <c r="S701" s="89" t="str">
        <f t="shared" si="62"/>
        <v/>
      </c>
      <c r="X701" s="64">
        <f t="shared" si="63"/>
        <v>0</v>
      </c>
      <c r="Y701" s="53">
        <f t="shared" si="64"/>
        <v>0</v>
      </c>
      <c r="Z701" s="64">
        <f t="shared" si="65"/>
        <v>0</v>
      </c>
    </row>
    <row r="702" spans="1:26">
      <c r="A702" s="89" t="str">
        <f t="shared" si="60"/>
        <v/>
      </c>
      <c r="B702" s="89" t="str">
        <f t="shared" si="61"/>
        <v/>
      </c>
      <c r="S702" s="89" t="str">
        <f t="shared" si="62"/>
        <v/>
      </c>
      <c r="X702" s="64">
        <f t="shared" si="63"/>
        <v>0</v>
      </c>
      <c r="Y702" s="53">
        <f t="shared" si="64"/>
        <v>0</v>
      </c>
      <c r="Z702" s="64">
        <f t="shared" si="65"/>
        <v>0</v>
      </c>
    </row>
    <row r="703" spans="1:26">
      <c r="A703" s="89" t="str">
        <f t="shared" si="60"/>
        <v/>
      </c>
      <c r="B703" s="89" t="str">
        <f t="shared" si="61"/>
        <v/>
      </c>
      <c r="S703" s="89" t="str">
        <f t="shared" si="62"/>
        <v/>
      </c>
      <c r="X703" s="64">
        <f t="shared" si="63"/>
        <v>0</v>
      </c>
      <c r="Y703" s="53">
        <f t="shared" si="64"/>
        <v>0</v>
      </c>
      <c r="Z703" s="64">
        <f t="shared" si="65"/>
        <v>0</v>
      </c>
    </row>
    <row r="704" spans="1:26">
      <c r="A704" s="89" t="str">
        <f t="shared" si="60"/>
        <v/>
      </c>
      <c r="B704" s="89" t="str">
        <f t="shared" si="61"/>
        <v/>
      </c>
      <c r="S704" s="89" t="str">
        <f t="shared" si="62"/>
        <v/>
      </c>
      <c r="X704" s="64">
        <f t="shared" si="63"/>
        <v>0</v>
      </c>
      <c r="Y704" s="53">
        <f t="shared" si="64"/>
        <v>0</v>
      </c>
      <c r="Z704" s="64">
        <f t="shared" si="65"/>
        <v>0</v>
      </c>
    </row>
    <row r="705" spans="1:26">
      <c r="A705" s="89" t="str">
        <f t="shared" si="60"/>
        <v/>
      </c>
      <c r="B705" s="89" t="str">
        <f t="shared" si="61"/>
        <v/>
      </c>
      <c r="S705" s="89" t="str">
        <f t="shared" si="62"/>
        <v/>
      </c>
      <c r="X705" s="64">
        <f t="shared" si="63"/>
        <v>0</v>
      </c>
      <c r="Y705" s="53">
        <f t="shared" si="64"/>
        <v>0</v>
      </c>
      <c r="Z705" s="64">
        <f t="shared" si="65"/>
        <v>0</v>
      </c>
    </row>
    <row r="706" spans="1:26">
      <c r="A706" s="89" t="str">
        <f t="shared" si="60"/>
        <v/>
      </c>
      <c r="B706" s="89" t="str">
        <f t="shared" si="61"/>
        <v/>
      </c>
      <c r="S706" s="89" t="str">
        <f t="shared" si="62"/>
        <v/>
      </c>
      <c r="X706" s="64">
        <f t="shared" si="63"/>
        <v>0</v>
      </c>
      <c r="Y706" s="53">
        <f t="shared" si="64"/>
        <v>0</v>
      </c>
      <c r="Z706" s="64">
        <f t="shared" si="65"/>
        <v>0</v>
      </c>
    </row>
    <row r="707" spans="1:26">
      <c r="A707" s="89" t="str">
        <f t="shared" ref="A707:A770" si="66">IF(G707&amp;Q707&lt;&gt;"",G707&amp;Q707,"")</f>
        <v/>
      </c>
      <c r="B707" s="89" t="str">
        <f t="shared" ref="B707:B770" si="67">IF(C707&lt;&gt;"",LEFT(C707,9),"")</f>
        <v/>
      </c>
      <c r="S707" s="89" t="str">
        <f t="shared" ref="S707:S770" si="68">IF(H707&lt;&gt;"",H707,"")</f>
        <v/>
      </c>
      <c r="X707" s="64">
        <f t="shared" ref="X707:X770" si="69">IFERROR(VALUE(MID($C707,1,2)),0)</f>
        <v>0</v>
      </c>
      <c r="Y707" s="53">
        <f t="shared" ref="Y707:Y770" si="70">IFERROR(VALUE(MID($C707,4,3)),0)</f>
        <v>0</v>
      </c>
      <c r="Z707" s="64">
        <f t="shared" ref="Z707:Z770" si="71">VALUE(RIGHT("00"&amp;X707,2)&amp;RIGHT("000"&amp;Y707,3))</f>
        <v>0</v>
      </c>
    </row>
    <row r="708" spans="1:26">
      <c r="A708" s="89" t="str">
        <f t="shared" si="66"/>
        <v/>
      </c>
      <c r="B708" s="89" t="str">
        <f t="shared" si="67"/>
        <v/>
      </c>
      <c r="S708" s="89" t="str">
        <f t="shared" si="68"/>
        <v/>
      </c>
      <c r="X708" s="64">
        <f t="shared" si="69"/>
        <v>0</v>
      </c>
      <c r="Y708" s="53">
        <f t="shared" si="70"/>
        <v>0</v>
      </c>
      <c r="Z708" s="64">
        <f t="shared" si="71"/>
        <v>0</v>
      </c>
    </row>
    <row r="709" spans="1:26">
      <c r="A709" s="89" t="str">
        <f t="shared" si="66"/>
        <v/>
      </c>
      <c r="B709" s="89" t="str">
        <f t="shared" si="67"/>
        <v/>
      </c>
      <c r="S709" s="89" t="str">
        <f t="shared" si="68"/>
        <v/>
      </c>
      <c r="X709" s="64">
        <f t="shared" si="69"/>
        <v>0</v>
      </c>
      <c r="Y709" s="53">
        <f t="shared" si="70"/>
        <v>0</v>
      </c>
      <c r="Z709" s="64">
        <f t="shared" si="71"/>
        <v>0</v>
      </c>
    </row>
    <row r="710" spans="1:26">
      <c r="A710" s="89" t="str">
        <f t="shared" si="66"/>
        <v/>
      </c>
      <c r="B710" s="89" t="str">
        <f t="shared" si="67"/>
        <v/>
      </c>
      <c r="S710" s="89" t="str">
        <f t="shared" si="68"/>
        <v/>
      </c>
      <c r="X710" s="64">
        <f t="shared" si="69"/>
        <v>0</v>
      </c>
      <c r="Y710" s="53">
        <f t="shared" si="70"/>
        <v>0</v>
      </c>
      <c r="Z710" s="64">
        <f t="shared" si="71"/>
        <v>0</v>
      </c>
    </row>
    <row r="711" spans="1:26">
      <c r="A711" s="89" t="str">
        <f t="shared" si="66"/>
        <v/>
      </c>
      <c r="B711" s="89" t="str">
        <f t="shared" si="67"/>
        <v/>
      </c>
      <c r="S711" s="89" t="str">
        <f t="shared" si="68"/>
        <v/>
      </c>
      <c r="X711" s="64">
        <f t="shared" si="69"/>
        <v>0</v>
      </c>
      <c r="Y711" s="53">
        <f t="shared" si="70"/>
        <v>0</v>
      </c>
      <c r="Z711" s="64">
        <f t="shared" si="71"/>
        <v>0</v>
      </c>
    </row>
    <row r="712" spans="1:26">
      <c r="A712" s="89" t="str">
        <f t="shared" si="66"/>
        <v/>
      </c>
      <c r="B712" s="89" t="str">
        <f t="shared" si="67"/>
        <v/>
      </c>
      <c r="S712" s="89" t="str">
        <f t="shared" si="68"/>
        <v/>
      </c>
      <c r="X712" s="64">
        <f t="shared" si="69"/>
        <v>0</v>
      </c>
      <c r="Y712" s="53">
        <f t="shared" si="70"/>
        <v>0</v>
      </c>
      <c r="Z712" s="64">
        <f t="shared" si="71"/>
        <v>0</v>
      </c>
    </row>
    <row r="713" spans="1:26">
      <c r="A713" s="89" t="str">
        <f t="shared" si="66"/>
        <v/>
      </c>
      <c r="B713" s="89" t="str">
        <f t="shared" si="67"/>
        <v/>
      </c>
      <c r="S713" s="89" t="str">
        <f t="shared" si="68"/>
        <v/>
      </c>
      <c r="X713" s="64">
        <f t="shared" si="69"/>
        <v>0</v>
      </c>
      <c r="Y713" s="53">
        <f t="shared" si="70"/>
        <v>0</v>
      </c>
      <c r="Z713" s="64">
        <f t="shared" si="71"/>
        <v>0</v>
      </c>
    </row>
    <row r="714" spans="1:26">
      <c r="A714" s="89" t="str">
        <f t="shared" si="66"/>
        <v/>
      </c>
      <c r="B714" s="89" t="str">
        <f t="shared" si="67"/>
        <v/>
      </c>
      <c r="S714" s="89" t="str">
        <f t="shared" si="68"/>
        <v/>
      </c>
      <c r="X714" s="64">
        <f t="shared" si="69"/>
        <v>0</v>
      </c>
      <c r="Y714" s="53">
        <f t="shared" si="70"/>
        <v>0</v>
      </c>
      <c r="Z714" s="64">
        <f t="shared" si="71"/>
        <v>0</v>
      </c>
    </row>
    <row r="715" spans="1:26">
      <c r="A715" s="89" t="str">
        <f t="shared" si="66"/>
        <v/>
      </c>
      <c r="B715" s="89" t="str">
        <f t="shared" si="67"/>
        <v/>
      </c>
      <c r="S715" s="89" t="str">
        <f t="shared" si="68"/>
        <v/>
      </c>
      <c r="X715" s="64">
        <f t="shared" si="69"/>
        <v>0</v>
      </c>
      <c r="Y715" s="53">
        <f t="shared" si="70"/>
        <v>0</v>
      </c>
      <c r="Z715" s="64">
        <f t="shared" si="71"/>
        <v>0</v>
      </c>
    </row>
    <row r="716" spans="1:26">
      <c r="A716" s="89" t="str">
        <f t="shared" si="66"/>
        <v/>
      </c>
      <c r="B716" s="89" t="str">
        <f t="shared" si="67"/>
        <v/>
      </c>
      <c r="S716" s="89" t="str">
        <f t="shared" si="68"/>
        <v/>
      </c>
      <c r="X716" s="64">
        <f t="shared" si="69"/>
        <v>0</v>
      </c>
      <c r="Y716" s="53">
        <f t="shared" si="70"/>
        <v>0</v>
      </c>
      <c r="Z716" s="64">
        <f t="shared" si="71"/>
        <v>0</v>
      </c>
    </row>
    <row r="717" spans="1:26">
      <c r="A717" s="89" t="str">
        <f t="shared" si="66"/>
        <v/>
      </c>
      <c r="B717" s="89" t="str">
        <f t="shared" si="67"/>
        <v/>
      </c>
      <c r="S717" s="89" t="str">
        <f t="shared" si="68"/>
        <v/>
      </c>
      <c r="X717" s="64">
        <f t="shared" si="69"/>
        <v>0</v>
      </c>
      <c r="Y717" s="53">
        <f t="shared" si="70"/>
        <v>0</v>
      </c>
      <c r="Z717" s="64">
        <f t="shared" si="71"/>
        <v>0</v>
      </c>
    </row>
    <row r="718" spans="1:26">
      <c r="A718" s="89" t="str">
        <f t="shared" si="66"/>
        <v/>
      </c>
      <c r="B718" s="89" t="str">
        <f t="shared" si="67"/>
        <v/>
      </c>
      <c r="S718" s="89" t="str">
        <f t="shared" si="68"/>
        <v/>
      </c>
      <c r="X718" s="64">
        <f t="shared" si="69"/>
        <v>0</v>
      </c>
      <c r="Y718" s="53">
        <f t="shared" si="70"/>
        <v>0</v>
      </c>
      <c r="Z718" s="64">
        <f t="shared" si="71"/>
        <v>0</v>
      </c>
    </row>
    <row r="719" spans="1:26">
      <c r="A719" s="89" t="str">
        <f t="shared" si="66"/>
        <v/>
      </c>
      <c r="B719" s="89" t="str">
        <f t="shared" si="67"/>
        <v/>
      </c>
      <c r="S719" s="89" t="str">
        <f t="shared" si="68"/>
        <v/>
      </c>
      <c r="X719" s="64">
        <f t="shared" si="69"/>
        <v>0</v>
      </c>
      <c r="Y719" s="53">
        <f t="shared" si="70"/>
        <v>0</v>
      </c>
      <c r="Z719" s="64">
        <f t="shared" si="71"/>
        <v>0</v>
      </c>
    </row>
    <row r="720" spans="1:26">
      <c r="A720" s="89" t="str">
        <f t="shared" si="66"/>
        <v/>
      </c>
      <c r="B720" s="89" t="str">
        <f t="shared" si="67"/>
        <v/>
      </c>
      <c r="S720" s="89" t="str">
        <f t="shared" si="68"/>
        <v/>
      </c>
      <c r="X720" s="64">
        <f t="shared" si="69"/>
        <v>0</v>
      </c>
      <c r="Y720" s="53">
        <f t="shared" si="70"/>
        <v>0</v>
      </c>
      <c r="Z720" s="64">
        <f t="shared" si="71"/>
        <v>0</v>
      </c>
    </row>
    <row r="721" spans="1:26">
      <c r="A721" s="89" t="str">
        <f t="shared" si="66"/>
        <v/>
      </c>
      <c r="B721" s="89" t="str">
        <f t="shared" si="67"/>
        <v/>
      </c>
      <c r="S721" s="89" t="str">
        <f t="shared" si="68"/>
        <v/>
      </c>
      <c r="X721" s="64">
        <f t="shared" si="69"/>
        <v>0</v>
      </c>
      <c r="Y721" s="53">
        <f t="shared" si="70"/>
        <v>0</v>
      </c>
      <c r="Z721" s="64">
        <f t="shared" si="71"/>
        <v>0</v>
      </c>
    </row>
    <row r="722" spans="1:26">
      <c r="A722" s="89" t="str">
        <f t="shared" si="66"/>
        <v/>
      </c>
      <c r="B722" s="89" t="str">
        <f t="shared" si="67"/>
        <v/>
      </c>
      <c r="S722" s="89" t="str">
        <f t="shared" si="68"/>
        <v/>
      </c>
      <c r="X722" s="64">
        <f t="shared" si="69"/>
        <v>0</v>
      </c>
      <c r="Y722" s="53">
        <f t="shared" si="70"/>
        <v>0</v>
      </c>
      <c r="Z722" s="64">
        <f t="shared" si="71"/>
        <v>0</v>
      </c>
    </row>
    <row r="723" spans="1:26">
      <c r="A723" s="89" t="str">
        <f t="shared" si="66"/>
        <v/>
      </c>
      <c r="B723" s="89" t="str">
        <f t="shared" si="67"/>
        <v/>
      </c>
      <c r="S723" s="89" t="str">
        <f t="shared" si="68"/>
        <v/>
      </c>
      <c r="X723" s="64">
        <f t="shared" si="69"/>
        <v>0</v>
      </c>
      <c r="Y723" s="53">
        <f t="shared" si="70"/>
        <v>0</v>
      </c>
      <c r="Z723" s="64">
        <f t="shared" si="71"/>
        <v>0</v>
      </c>
    </row>
    <row r="724" spans="1:26">
      <c r="A724" s="89" t="str">
        <f t="shared" si="66"/>
        <v/>
      </c>
      <c r="B724" s="89" t="str">
        <f t="shared" si="67"/>
        <v/>
      </c>
      <c r="S724" s="89" t="str">
        <f t="shared" si="68"/>
        <v/>
      </c>
      <c r="X724" s="64">
        <f t="shared" si="69"/>
        <v>0</v>
      </c>
      <c r="Y724" s="53">
        <f t="shared" si="70"/>
        <v>0</v>
      </c>
      <c r="Z724" s="64">
        <f t="shared" si="71"/>
        <v>0</v>
      </c>
    </row>
    <row r="725" spans="1:26">
      <c r="A725" s="89" t="str">
        <f t="shared" si="66"/>
        <v/>
      </c>
      <c r="B725" s="89" t="str">
        <f t="shared" si="67"/>
        <v/>
      </c>
      <c r="S725" s="89" t="str">
        <f t="shared" si="68"/>
        <v/>
      </c>
      <c r="X725" s="64">
        <f t="shared" si="69"/>
        <v>0</v>
      </c>
      <c r="Y725" s="53">
        <f t="shared" si="70"/>
        <v>0</v>
      </c>
      <c r="Z725" s="64">
        <f t="shared" si="71"/>
        <v>0</v>
      </c>
    </row>
    <row r="726" spans="1:26">
      <c r="A726" s="89" t="str">
        <f t="shared" si="66"/>
        <v/>
      </c>
      <c r="B726" s="89" t="str">
        <f t="shared" si="67"/>
        <v/>
      </c>
      <c r="S726" s="89" t="str">
        <f t="shared" si="68"/>
        <v/>
      </c>
      <c r="X726" s="64">
        <f t="shared" si="69"/>
        <v>0</v>
      </c>
      <c r="Y726" s="53">
        <f t="shared" si="70"/>
        <v>0</v>
      </c>
      <c r="Z726" s="64">
        <f t="shared" si="71"/>
        <v>0</v>
      </c>
    </row>
    <row r="727" spans="1:26">
      <c r="A727" s="89" t="str">
        <f t="shared" si="66"/>
        <v/>
      </c>
      <c r="B727" s="89" t="str">
        <f t="shared" si="67"/>
        <v/>
      </c>
      <c r="S727" s="89" t="str">
        <f t="shared" si="68"/>
        <v/>
      </c>
      <c r="X727" s="64">
        <f t="shared" si="69"/>
        <v>0</v>
      </c>
      <c r="Y727" s="53">
        <f t="shared" si="70"/>
        <v>0</v>
      </c>
      <c r="Z727" s="64">
        <f t="shared" si="71"/>
        <v>0</v>
      </c>
    </row>
    <row r="728" spans="1:26">
      <c r="A728" s="89" t="str">
        <f t="shared" si="66"/>
        <v/>
      </c>
      <c r="B728" s="89" t="str">
        <f t="shared" si="67"/>
        <v/>
      </c>
      <c r="S728" s="89" t="str">
        <f t="shared" si="68"/>
        <v/>
      </c>
      <c r="X728" s="64">
        <f t="shared" si="69"/>
        <v>0</v>
      </c>
      <c r="Y728" s="53">
        <f t="shared" si="70"/>
        <v>0</v>
      </c>
      <c r="Z728" s="64">
        <f t="shared" si="71"/>
        <v>0</v>
      </c>
    </row>
    <row r="729" spans="1:26">
      <c r="A729" s="89" t="str">
        <f t="shared" si="66"/>
        <v/>
      </c>
      <c r="B729" s="89" t="str">
        <f t="shared" si="67"/>
        <v/>
      </c>
      <c r="S729" s="89" t="str">
        <f t="shared" si="68"/>
        <v/>
      </c>
      <c r="X729" s="64">
        <f t="shared" si="69"/>
        <v>0</v>
      </c>
      <c r="Y729" s="53">
        <f t="shared" si="70"/>
        <v>0</v>
      </c>
      <c r="Z729" s="64">
        <f t="shared" si="71"/>
        <v>0</v>
      </c>
    </row>
    <row r="730" spans="1:26">
      <c r="A730" s="89" t="str">
        <f t="shared" si="66"/>
        <v/>
      </c>
      <c r="B730" s="89" t="str">
        <f t="shared" si="67"/>
        <v/>
      </c>
      <c r="S730" s="89" t="str">
        <f t="shared" si="68"/>
        <v/>
      </c>
      <c r="X730" s="64">
        <f t="shared" si="69"/>
        <v>0</v>
      </c>
      <c r="Y730" s="53">
        <f t="shared" si="70"/>
        <v>0</v>
      </c>
      <c r="Z730" s="64">
        <f t="shared" si="71"/>
        <v>0</v>
      </c>
    </row>
    <row r="731" spans="1:26">
      <c r="A731" s="89" t="str">
        <f t="shared" si="66"/>
        <v/>
      </c>
      <c r="B731" s="89" t="str">
        <f t="shared" si="67"/>
        <v/>
      </c>
      <c r="S731" s="89" t="str">
        <f t="shared" si="68"/>
        <v/>
      </c>
      <c r="X731" s="64">
        <f t="shared" si="69"/>
        <v>0</v>
      </c>
      <c r="Y731" s="53">
        <f t="shared" si="70"/>
        <v>0</v>
      </c>
      <c r="Z731" s="64">
        <f t="shared" si="71"/>
        <v>0</v>
      </c>
    </row>
    <row r="732" spans="1:26">
      <c r="A732" s="89" t="str">
        <f t="shared" si="66"/>
        <v/>
      </c>
      <c r="B732" s="89" t="str">
        <f t="shared" si="67"/>
        <v/>
      </c>
      <c r="S732" s="89" t="str">
        <f t="shared" si="68"/>
        <v/>
      </c>
      <c r="X732" s="64">
        <f t="shared" si="69"/>
        <v>0</v>
      </c>
      <c r="Y732" s="53">
        <f t="shared" si="70"/>
        <v>0</v>
      </c>
      <c r="Z732" s="64">
        <f t="shared" si="71"/>
        <v>0</v>
      </c>
    </row>
    <row r="733" spans="1:26">
      <c r="A733" s="89" t="str">
        <f t="shared" si="66"/>
        <v/>
      </c>
      <c r="B733" s="89" t="str">
        <f t="shared" si="67"/>
        <v/>
      </c>
      <c r="S733" s="89" t="str">
        <f t="shared" si="68"/>
        <v/>
      </c>
      <c r="X733" s="64">
        <f t="shared" si="69"/>
        <v>0</v>
      </c>
      <c r="Y733" s="53">
        <f t="shared" si="70"/>
        <v>0</v>
      </c>
      <c r="Z733" s="64">
        <f t="shared" si="71"/>
        <v>0</v>
      </c>
    </row>
    <row r="734" spans="1:26">
      <c r="A734" s="89" t="str">
        <f t="shared" si="66"/>
        <v/>
      </c>
      <c r="B734" s="89" t="str">
        <f t="shared" si="67"/>
        <v/>
      </c>
      <c r="S734" s="89" t="str">
        <f t="shared" si="68"/>
        <v/>
      </c>
      <c r="X734" s="64">
        <f t="shared" si="69"/>
        <v>0</v>
      </c>
      <c r="Y734" s="53">
        <f t="shared" si="70"/>
        <v>0</v>
      </c>
      <c r="Z734" s="64">
        <f t="shared" si="71"/>
        <v>0</v>
      </c>
    </row>
    <row r="735" spans="1:26">
      <c r="A735" s="89" t="str">
        <f t="shared" si="66"/>
        <v/>
      </c>
      <c r="B735" s="89" t="str">
        <f t="shared" si="67"/>
        <v/>
      </c>
      <c r="S735" s="89" t="str">
        <f t="shared" si="68"/>
        <v/>
      </c>
      <c r="X735" s="64">
        <f t="shared" si="69"/>
        <v>0</v>
      </c>
      <c r="Y735" s="53">
        <f t="shared" si="70"/>
        <v>0</v>
      </c>
      <c r="Z735" s="64">
        <f t="shared" si="71"/>
        <v>0</v>
      </c>
    </row>
    <row r="736" spans="1:26">
      <c r="A736" s="89" t="str">
        <f t="shared" si="66"/>
        <v/>
      </c>
      <c r="B736" s="89" t="str">
        <f t="shared" si="67"/>
        <v/>
      </c>
      <c r="S736" s="89" t="str">
        <f t="shared" si="68"/>
        <v/>
      </c>
      <c r="X736" s="64">
        <f t="shared" si="69"/>
        <v>0</v>
      </c>
      <c r="Y736" s="53">
        <f t="shared" si="70"/>
        <v>0</v>
      </c>
      <c r="Z736" s="64">
        <f t="shared" si="71"/>
        <v>0</v>
      </c>
    </row>
    <row r="737" spans="1:26">
      <c r="A737" s="89" t="str">
        <f t="shared" si="66"/>
        <v/>
      </c>
      <c r="B737" s="89" t="str">
        <f t="shared" si="67"/>
        <v/>
      </c>
      <c r="S737" s="89" t="str">
        <f t="shared" si="68"/>
        <v/>
      </c>
      <c r="X737" s="64">
        <f t="shared" si="69"/>
        <v>0</v>
      </c>
      <c r="Y737" s="53">
        <f t="shared" si="70"/>
        <v>0</v>
      </c>
      <c r="Z737" s="64">
        <f t="shared" si="71"/>
        <v>0</v>
      </c>
    </row>
    <row r="738" spans="1:26">
      <c r="A738" s="89" t="str">
        <f t="shared" si="66"/>
        <v/>
      </c>
      <c r="B738" s="89" t="str">
        <f t="shared" si="67"/>
        <v/>
      </c>
      <c r="S738" s="89" t="str">
        <f t="shared" si="68"/>
        <v/>
      </c>
      <c r="X738" s="64">
        <f t="shared" si="69"/>
        <v>0</v>
      </c>
      <c r="Y738" s="53">
        <f t="shared" si="70"/>
        <v>0</v>
      </c>
      <c r="Z738" s="64">
        <f t="shared" si="71"/>
        <v>0</v>
      </c>
    </row>
    <row r="739" spans="1:26">
      <c r="A739" s="89" t="str">
        <f t="shared" si="66"/>
        <v/>
      </c>
      <c r="B739" s="89" t="str">
        <f t="shared" si="67"/>
        <v/>
      </c>
      <c r="S739" s="89" t="str">
        <f t="shared" si="68"/>
        <v/>
      </c>
      <c r="X739" s="64">
        <f t="shared" si="69"/>
        <v>0</v>
      </c>
      <c r="Y739" s="53">
        <f t="shared" si="70"/>
        <v>0</v>
      </c>
      <c r="Z739" s="64">
        <f t="shared" si="71"/>
        <v>0</v>
      </c>
    </row>
    <row r="740" spans="1:26">
      <c r="A740" s="89" t="str">
        <f t="shared" si="66"/>
        <v/>
      </c>
      <c r="B740" s="89" t="str">
        <f t="shared" si="67"/>
        <v/>
      </c>
      <c r="S740" s="89" t="str">
        <f t="shared" si="68"/>
        <v/>
      </c>
      <c r="X740" s="64">
        <f t="shared" si="69"/>
        <v>0</v>
      </c>
      <c r="Y740" s="53">
        <f t="shared" si="70"/>
        <v>0</v>
      </c>
      <c r="Z740" s="64">
        <f t="shared" si="71"/>
        <v>0</v>
      </c>
    </row>
    <row r="741" spans="1:26">
      <c r="A741" s="89" t="str">
        <f t="shared" si="66"/>
        <v/>
      </c>
      <c r="B741" s="89" t="str">
        <f t="shared" si="67"/>
        <v/>
      </c>
      <c r="S741" s="89" t="str">
        <f t="shared" si="68"/>
        <v/>
      </c>
      <c r="X741" s="64">
        <f t="shared" si="69"/>
        <v>0</v>
      </c>
      <c r="Y741" s="53">
        <f t="shared" si="70"/>
        <v>0</v>
      </c>
      <c r="Z741" s="64">
        <f t="shared" si="71"/>
        <v>0</v>
      </c>
    </row>
    <row r="742" spans="1:26">
      <c r="A742" s="89" t="str">
        <f t="shared" si="66"/>
        <v/>
      </c>
      <c r="B742" s="89" t="str">
        <f t="shared" si="67"/>
        <v/>
      </c>
      <c r="S742" s="89" t="str">
        <f t="shared" si="68"/>
        <v/>
      </c>
      <c r="X742" s="64">
        <f t="shared" si="69"/>
        <v>0</v>
      </c>
      <c r="Y742" s="53">
        <f t="shared" si="70"/>
        <v>0</v>
      </c>
      <c r="Z742" s="64">
        <f t="shared" si="71"/>
        <v>0</v>
      </c>
    </row>
    <row r="743" spans="1:26">
      <c r="A743" s="89" t="str">
        <f t="shared" si="66"/>
        <v/>
      </c>
      <c r="B743" s="89" t="str">
        <f t="shared" si="67"/>
        <v/>
      </c>
      <c r="S743" s="89" t="str">
        <f t="shared" si="68"/>
        <v/>
      </c>
      <c r="X743" s="64">
        <f t="shared" si="69"/>
        <v>0</v>
      </c>
      <c r="Y743" s="53">
        <f t="shared" si="70"/>
        <v>0</v>
      </c>
      <c r="Z743" s="64">
        <f t="shared" si="71"/>
        <v>0</v>
      </c>
    </row>
    <row r="744" spans="1:26">
      <c r="A744" s="89" t="str">
        <f t="shared" si="66"/>
        <v/>
      </c>
      <c r="B744" s="89" t="str">
        <f t="shared" si="67"/>
        <v/>
      </c>
      <c r="S744" s="89" t="str">
        <f t="shared" si="68"/>
        <v/>
      </c>
      <c r="X744" s="64">
        <f t="shared" si="69"/>
        <v>0</v>
      </c>
      <c r="Y744" s="53">
        <f t="shared" si="70"/>
        <v>0</v>
      </c>
      <c r="Z744" s="64">
        <f t="shared" si="71"/>
        <v>0</v>
      </c>
    </row>
    <row r="745" spans="1:26">
      <c r="A745" s="89" t="str">
        <f t="shared" si="66"/>
        <v/>
      </c>
      <c r="B745" s="89" t="str">
        <f t="shared" si="67"/>
        <v/>
      </c>
      <c r="S745" s="89" t="str">
        <f t="shared" si="68"/>
        <v/>
      </c>
      <c r="X745" s="64">
        <f t="shared" si="69"/>
        <v>0</v>
      </c>
      <c r="Y745" s="53">
        <f t="shared" si="70"/>
        <v>0</v>
      </c>
      <c r="Z745" s="64">
        <f t="shared" si="71"/>
        <v>0</v>
      </c>
    </row>
    <row r="746" spans="1:26">
      <c r="A746" s="89" t="str">
        <f t="shared" si="66"/>
        <v/>
      </c>
      <c r="B746" s="89" t="str">
        <f t="shared" si="67"/>
        <v/>
      </c>
      <c r="S746" s="89" t="str">
        <f t="shared" si="68"/>
        <v/>
      </c>
      <c r="X746" s="64">
        <f t="shared" si="69"/>
        <v>0</v>
      </c>
      <c r="Y746" s="53">
        <f t="shared" si="70"/>
        <v>0</v>
      </c>
      <c r="Z746" s="64">
        <f t="shared" si="71"/>
        <v>0</v>
      </c>
    </row>
    <row r="747" spans="1:26">
      <c r="A747" s="89" t="str">
        <f t="shared" si="66"/>
        <v/>
      </c>
      <c r="B747" s="89" t="str">
        <f t="shared" si="67"/>
        <v/>
      </c>
      <c r="S747" s="89" t="str">
        <f t="shared" si="68"/>
        <v/>
      </c>
      <c r="X747" s="64">
        <f t="shared" si="69"/>
        <v>0</v>
      </c>
      <c r="Y747" s="53">
        <f t="shared" si="70"/>
        <v>0</v>
      </c>
      <c r="Z747" s="64">
        <f t="shared" si="71"/>
        <v>0</v>
      </c>
    </row>
    <row r="748" spans="1:26">
      <c r="A748" s="89" t="str">
        <f t="shared" si="66"/>
        <v/>
      </c>
      <c r="B748" s="89" t="str">
        <f t="shared" si="67"/>
        <v/>
      </c>
      <c r="S748" s="89" t="str">
        <f t="shared" si="68"/>
        <v/>
      </c>
      <c r="X748" s="64">
        <f t="shared" si="69"/>
        <v>0</v>
      </c>
      <c r="Y748" s="53">
        <f t="shared" si="70"/>
        <v>0</v>
      </c>
      <c r="Z748" s="64">
        <f t="shared" si="71"/>
        <v>0</v>
      </c>
    </row>
    <row r="749" spans="1:26">
      <c r="A749" s="89" t="str">
        <f t="shared" si="66"/>
        <v/>
      </c>
      <c r="B749" s="89" t="str">
        <f t="shared" si="67"/>
        <v/>
      </c>
      <c r="S749" s="89" t="str">
        <f t="shared" si="68"/>
        <v/>
      </c>
      <c r="X749" s="64">
        <f t="shared" si="69"/>
        <v>0</v>
      </c>
      <c r="Y749" s="53">
        <f t="shared" si="70"/>
        <v>0</v>
      </c>
      <c r="Z749" s="64">
        <f t="shared" si="71"/>
        <v>0</v>
      </c>
    </row>
    <row r="750" spans="1:26">
      <c r="A750" s="89" t="str">
        <f t="shared" si="66"/>
        <v/>
      </c>
      <c r="B750" s="89" t="str">
        <f t="shared" si="67"/>
        <v/>
      </c>
      <c r="S750" s="89" t="str">
        <f t="shared" si="68"/>
        <v/>
      </c>
      <c r="X750" s="64">
        <f t="shared" si="69"/>
        <v>0</v>
      </c>
      <c r="Y750" s="53">
        <f t="shared" si="70"/>
        <v>0</v>
      </c>
      <c r="Z750" s="64">
        <f t="shared" si="71"/>
        <v>0</v>
      </c>
    </row>
    <row r="751" spans="1:26">
      <c r="A751" s="89" t="str">
        <f t="shared" si="66"/>
        <v/>
      </c>
      <c r="B751" s="89" t="str">
        <f t="shared" si="67"/>
        <v/>
      </c>
      <c r="S751" s="89" t="str">
        <f t="shared" si="68"/>
        <v/>
      </c>
      <c r="X751" s="64">
        <f t="shared" si="69"/>
        <v>0</v>
      </c>
      <c r="Y751" s="53">
        <f t="shared" si="70"/>
        <v>0</v>
      </c>
      <c r="Z751" s="64">
        <f t="shared" si="71"/>
        <v>0</v>
      </c>
    </row>
    <row r="752" spans="1:26">
      <c r="A752" s="89" t="str">
        <f t="shared" si="66"/>
        <v/>
      </c>
      <c r="B752" s="89" t="str">
        <f t="shared" si="67"/>
        <v/>
      </c>
      <c r="S752" s="89" t="str">
        <f t="shared" si="68"/>
        <v/>
      </c>
      <c r="X752" s="64">
        <f t="shared" si="69"/>
        <v>0</v>
      </c>
      <c r="Y752" s="53">
        <f t="shared" si="70"/>
        <v>0</v>
      </c>
      <c r="Z752" s="64">
        <f t="shared" si="71"/>
        <v>0</v>
      </c>
    </row>
    <row r="753" spans="1:26">
      <c r="A753" s="89" t="str">
        <f t="shared" si="66"/>
        <v/>
      </c>
      <c r="B753" s="89" t="str">
        <f t="shared" si="67"/>
        <v/>
      </c>
      <c r="S753" s="89" t="str">
        <f t="shared" si="68"/>
        <v/>
      </c>
      <c r="X753" s="64">
        <f t="shared" si="69"/>
        <v>0</v>
      </c>
      <c r="Y753" s="53">
        <f t="shared" si="70"/>
        <v>0</v>
      </c>
      <c r="Z753" s="64">
        <f t="shared" si="71"/>
        <v>0</v>
      </c>
    </row>
    <row r="754" spans="1:26">
      <c r="A754" s="89" t="str">
        <f t="shared" si="66"/>
        <v/>
      </c>
      <c r="B754" s="89" t="str">
        <f t="shared" si="67"/>
        <v/>
      </c>
      <c r="S754" s="89" t="str">
        <f t="shared" si="68"/>
        <v/>
      </c>
      <c r="X754" s="64">
        <f t="shared" si="69"/>
        <v>0</v>
      </c>
      <c r="Y754" s="53">
        <f t="shared" si="70"/>
        <v>0</v>
      </c>
      <c r="Z754" s="64">
        <f t="shared" si="71"/>
        <v>0</v>
      </c>
    </row>
    <row r="755" spans="1:26">
      <c r="A755" s="89" t="str">
        <f t="shared" si="66"/>
        <v/>
      </c>
      <c r="B755" s="89" t="str">
        <f t="shared" si="67"/>
        <v/>
      </c>
      <c r="S755" s="89" t="str">
        <f t="shared" si="68"/>
        <v/>
      </c>
      <c r="X755" s="64">
        <f t="shared" si="69"/>
        <v>0</v>
      </c>
      <c r="Y755" s="53">
        <f t="shared" si="70"/>
        <v>0</v>
      </c>
      <c r="Z755" s="64">
        <f t="shared" si="71"/>
        <v>0</v>
      </c>
    </row>
    <row r="756" spans="1:26">
      <c r="A756" s="89" t="str">
        <f t="shared" si="66"/>
        <v/>
      </c>
      <c r="B756" s="89" t="str">
        <f t="shared" si="67"/>
        <v/>
      </c>
      <c r="S756" s="89" t="str">
        <f t="shared" si="68"/>
        <v/>
      </c>
      <c r="X756" s="64">
        <f t="shared" si="69"/>
        <v>0</v>
      </c>
      <c r="Y756" s="53">
        <f t="shared" si="70"/>
        <v>0</v>
      </c>
      <c r="Z756" s="64">
        <f t="shared" si="71"/>
        <v>0</v>
      </c>
    </row>
    <row r="757" spans="1:26">
      <c r="A757" s="89" t="str">
        <f t="shared" si="66"/>
        <v/>
      </c>
      <c r="B757" s="89" t="str">
        <f t="shared" si="67"/>
        <v/>
      </c>
      <c r="S757" s="89" t="str">
        <f t="shared" si="68"/>
        <v/>
      </c>
      <c r="X757" s="64">
        <f t="shared" si="69"/>
        <v>0</v>
      </c>
      <c r="Y757" s="53">
        <f t="shared" si="70"/>
        <v>0</v>
      </c>
      <c r="Z757" s="64">
        <f t="shared" si="71"/>
        <v>0</v>
      </c>
    </row>
    <row r="758" spans="1:26">
      <c r="A758" s="89" t="str">
        <f t="shared" si="66"/>
        <v/>
      </c>
      <c r="B758" s="89" t="str">
        <f t="shared" si="67"/>
        <v/>
      </c>
      <c r="S758" s="89" t="str">
        <f t="shared" si="68"/>
        <v/>
      </c>
      <c r="X758" s="64">
        <f t="shared" si="69"/>
        <v>0</v>
      </c>
      <c r="Y758" s="53">
        <f t="shared" si="70"/>
        <v>0</v>
      </c>
      <c r="Z758" s="64">
        <f t="shared" si="71"/>
        <v>0</v>
      </c>
    </row>
    <row r="759" spans="1:26">
      <c r="A759" s="89" t="str">
        <f t="shared" si="66"/>
        <v/>
      </c>
      <c r="B759" s="89" t="str">
        <f t="shared" si="67"/>
        <v/>
      </c>
      <c r="S759" s="89" t="str">
        <f t="shared" si="68"/>
        <v/>
      </c>
      <c r="X759" s="64">
        <f t="shared" si="69"/>
        <v>0</v>
      </c>
      <c r="Y759" s="53">
        <f t="shared" si="70"/>
        <v>0</v>
      </c>
      <c r="Z759" s="64">
        <f t="shared" si="71"/>
        <v>0</v>
      </c>
    </row>
    <row r="760" spans="1:26">
      <c r="A760" s="89" t="str">
        <f t="shared" si="66"/>
        <v/>
      </c>
      <c r="B760" s="89" t="str">
        <f t="shared" si="67"/>
        <v/>
      </c>
      <c r="S760" s="89" t="str">
        <f t="shared" si="68"/>
        <v/>
      </c>
      <c r="X760" s="64">
        <f t="shared" si="69"/>
        <v>0</v>
      </c>
      <c r="Y760" s="53">
        <f t="shared" si="70"/>
        <v>0</v>
      </c>
      <c r="Z760" s="64">
        <f t="shared" si="71"/>
        <v>0</v>
      </c>
    </row>
    <row r="761" spans="1:26">
      <c r="A761" s="89" t="str">
        <f t="shared" si="66"/>
        <v/>
      </c>
      <c r="B761" s="89" t="str">
        <f t="shared" si="67"/>
        <v/>
      </c>
      <c r="S761" s="89" t="str">
        <f t="shared" si="68"/>
        <v/>
      </c>
      <c r="X761" s="64">
        <f t="shared" si="69"/>
        <v>0</v>
      </c>
      <c r="Y761" s="53">
        <f t="shared" si="70"/>
        <v>0</v>
      </c>
      <c r="Z761" s="64">
        <f t="shared" si="71"/>
        <v>0</v>
      </c>
    </row>
    <row r="762" spans="1:26">
      <c r="A762" s="89" t="str">
        <f t="shared" si="66"/>
        <v/>
      </c>
      <c r="B762" s="89" t="str">
        <f t="shared" si="67"/>
        <v/>
      </c>
      <c r="S762" s="89" t="str">
        <f t="shared" si="68"/>
        <v/>
      </c>
      <c r="X762" s="64">
        <f t="shared" si="69"/>
        <v>0</v>
      </c>
      <c r="Y762" s="53">
        <f t="shared" si="70"/>
        <v>0</v>
      </c>
      <c r="Z762" s="64">
        <f t="shared" si="71"/>
        <v>0</v>
      </c>
    </row>
    <row r="763" spans="1:26">
      <c r="A763" s="89" t="str">
        <f t="shared" si="66"/>
        <v/>
      </c>
      <c r="B763" s="89" t="str">
        <f t="shared" si="67"/>
        <v/>
      </c>
      <c r="S763" s="89" t="str">
        <f t="shared" si="68"/>
        <v/>
      </c>
      <c r="X763" s="64">
        <f t="shared" si="69"/>
        <v>0</v>
      </c>
      <c r="Y763" s="53">
        <f t="shared" si="70"/>
        <v>0</v>
      </c>
      <c r="Z763" s="64">
        <f t="shared" si="71"/>
        <v>0</v>
      </c>
    </row>
    <row r="764" spans="1:26">
      <c r="A764" s="89" t="str">
        <f t="shared" si="66"/>
        <v/>
      </c>
      <c r="B764" s="89" t="str">
        <f t="shared" si="67"/>
        <v/>
      </c>
      <c r="S764" s="89" t="str">
        <f t="shared" si="68"/>
        <v/>
      </c>
      <c r="X764" s="64">
        <f t="shared" si="69"/>
        <v>0</v>
      </c>
      <c r="Y764" s="53">
        <f t="shared" si="70"/>
        <v>0</v>
      </c>
      <c r="Z764" s="64">
        <f t="shared" si="71"/>
        <v>0</v>
      </c>
    </row>
    <row r="765" spans="1:26">
      <c r="A765" s="89" t="str">
        <f t="shared" si="66"/>
        <v/>
      </c>
      <c r="B765" s="89" t="str">
        <f t="shared" si="67"/>
        <v/>
      </c>
      <c r="S765" s="89" t="str">
        <f t="shared" si="68"/>
        <v/>
      </c>
      <c r="X765" s="64">
        <f t="shared" si="69"/>
        <v>0</v>
      </c>
      <c r="Y765" s="53">
        <f t="shared" si="70"/>
        <v>0</v>
      </c>
      <c r="Z765" s="64">
        <f t="shared" si="71"/>
        <v>0</v>
      </c>
    </row>
    <row r="766" spans="1:26">
      <c r="A766" s="89" t="str">
        <f t="shared" si="66"/>
        <v/>
      </c>
      <c r="B766" s="89" t="str">
        <f t="shared" si="67"/>
        <v/>
      </c>
      <c r="S766" s="89" t="str">
        <f t="shared" si="68"/>
        <v/>
      </c>
      <c r="X766" s="64">
        <f t="shared" si="69"/>
        <v>0</v>
      </c>
      <c r="Y766" s="53">
        <f t="shared" si="70"/>
        <v>0</v>
      </c>
      <c r="Z766" s="64">
        <f t="shared" si="71"/>
        <v>0</v>
      </c>
    </row>
    <row r="767" spans="1:26">
      <c r="A767" s="89" t="str">
        <f t="shared" si="66"/>
        <v/>
      </c>
      <c r="B767" s="89" t="str">
        <f t="shared" si="67"/>
        <v/>
      </c>
      <c r="S767" s="89" t="str">
        <f t="shared" si="68"/>
        <v/>
      </c>
      <c r="X767" s="64">
        <f t="shared" si="69"/>
        <v>0</v>
      </c>
      <c r="Y767" s="53">
        <f t="shared" si="70"/>
        <v>0</v>
      </c>
      <c r="Z767" s="64">
        <f t="shared" si="71"/>
        <v>0</v>
      </c>
    </row>
    <row r="768" spans="1:26">
      <c r="A768" s="89" t="str">
        <f t="shared" si="66"/>
        <v/>
      </c>
      <c r="B768" s="89" t="str">
        <f t="shared" si="67"/>
        <v/>
      </c>
      <c r="S768" s="89" t="str">
        <f t="shared" si="68"/>
        <v/>
      </c>
      <c r="X768" s="64">
        <f t="shared" si="69"/>
        <v>0</v>
      </c>
      <c r="Y768" s="53">
        <f t="shared" si="70"/>
        <v>0</v>
      </c>
      <c r="Z768" s="64">
        <f t="shared" si="71"/>
        <v>0</v>
      </c>
    </row>
    <row r="769" spans="1:26">
      <c r="A769" s="89" t="str">
        <f t="shared" si="66"/>
        <v/>
      </c>
      <c r="B769" s="89" t="str">
        <f t="shared" si="67"/>
        <v/>
      </c>
      <c r="S769" s="89" t="str">
        <f t="shared" si="68"/>
        <v/>
      </c>
      <c r="X769" s="64">
        <f t="shared" si="69"/>
        <v>0</v>
      </c>
      <c r="Y769" s="53">
        <f t="shared" si="70"/>
        <v>0</v>
      </c>
      <c r="Z769" s="64">
        <f t="shared" si="71"/>
        <v>0</v>
      </c>
    </row>
    <row r="770" spans="1:26">
      <c r="A770" s="89" t="str">
        <f t="shared" si="66"/>
        <v/>
      </c>
      <c r="B770" s="89" t="str">
        <f t="shared" si="67"/>
        <v/>
      </c>
      <c r="S770" s="89" t="str">
        <f t="shared" si="68"/>
        <v/>
      </c>
      <c r="X770" s="64">
        <f t="shared" si="69"/>
        <v>0</v>
      </c>
      <c r="Y770" s="53">
        <f t="shared" si="70"/>
        <v>0</v>
      </c>
      <c r="Z770" s="64">
        <f t="shared" si="71"/>
        <v>0</v>
      </c>
    </row>
    <row r="771" spans="1:26">
      <c r="A771" s="89" t="str">
        <f t="shared" ref="A771:A834" si="72">IF(G771&amp;Q771&lt;&gt;"",G771&amp;Q771,"")</f>
        <v/>
      </c>
      <c r="B771" s="89" t="str">
        <f t="shared" ref="B771:B834" si="73">IF(C771&lt;&gt;"",LEFT(C771,9),"")</f>
        <v/>
      </c>
      <c r="S771" s="89" t="str">
        <f t="shared" ref="S771:S834" si="74">IF(H771&lt;&gt;"",H771,"")</f>
        <v/>
      </c>
      <c r="X771" s="64">
        <f t="shared" ref="X771:X834" si="75">IFERROR(VALUE(MID($C771,1,2)),0)</f>
        <v>0</v>
      </c>
      <c r="Y771" s="53">
        <f t="shared" ref="Y771:Y834" si="76">IFERROR(VALUE(MID($C771,4,3)),0)</f>
        <v>0</v>
      </c>
      <c r="Z771" s="64">
        <f t="shared" ref="Z771:Z834" si="77">VALUE(RIGHT("00"&amp;X771,2)&amp;RIGHT("000"&amp;Y771,3))</f>
        <v>0</v>
      </c>
    </row>
    <row r="772" spans="1:26">
      <c r="A772" s="89" t="str">
        <f t="shared" si="72"/>
        <v/>
      </c>
      <c r="B772" s="89" t="str">
        <f t="shared" si="73"/>
        <v/>
      </c>
      <c r="S772" s="89" t="str">
        <f t="shared" si="74"/>
        <v/>
      </c>
      <c r="X772" s="64">
        <f t="shared" si="75"/>
        <v>0</v>
      </c>
      <c r="Y772" s="53">
        <f t="shared" si="76"/>
        <v>0</v>
      </c>
      <c r="Z772" s="64">
        <f t="shared" si="77"/>
        <v>0</v>
      </c>
    </row>
    <row r="773" spans="1:26">
      <c r="A773" s="89" t="str">
        <f t="shared" si="72"/>
        <v/>
      </c>
      <c r="B773" s="89" t="str">
        <f t="shared" si="73"/>
        <v/>
      </c>
      <c r="S773" s="89" t="str">
        <f t="shared" si="74"/>
        <v/>
      </c>
      <c r="X773" s="64">
        <f t="shared" si="75"/>
        <v>0</v>
      </c>
      <c r="Y773" s="53">
        <f t="shared" si="76"/>
        <v>0</v>
      </c>
      <c r="Z773" s="64">
        <f t="shared" si="77"/>
        <v>0</v>
      </c>
    </row>
    <row r="774" spans="1:26">
      <c r="A774" s="89" t="str">
        <f t="shared" si="72"/>
        <v/>
      </c>
      <c r="B774" s="89" t="str">
        <f t="shared" si="73"/>
        <v/>
      </c>
      <c r="S774" s="89" t="str">
        <f t="shared" si="74"/>
        <v/>
      </c>
      <c r="X774" s="64">
        <f t="shared" si="75"/>
        <v>0</v>
      </c>
      <c r="Y774" s="53">
        <f t="shared" si="76"/>
        <v>0</v>
      </c>
      <c r="Z774" s="64">
        <f t="shared" si="77"/>
        <v>0</v>
      </c>
    </row>
    <row r="775" spans="1:26">
      <c r="A775" s="89" t="str">
        <f t="shared" si="72"/>
        <v/>
      </c>
      <c r="B775" s="89" t="str">
        <f t="shared" si="73"/>
        <v/>
      </c>
      <c r="S775" s="89" t="str">
        <f t="shared" si="74"/>
        <v/>
      </c>
      <c r="X775" s="64">
        <f t="shared" si="75"/>
        <v>0</v>
      </c>
      <c r="Y775" s="53">
        <f t="shared" si="76"/>
        <v>0</v>
      </c>
      <c r="Z775" s="64">
        <f t="shared" si="77"/>
        <v>0</v>
      </c>
    </row>
    <row r="776" spans="1:26">
      <c r="A776" s="89" t="str">
        <f t="shared" si="72"/>
        <v/>
      </c>
      <c r="B776" s="89" t="str">
        <f t="shared" si="73"/>
        <v/>
      </c>
      <c r="S776" s="89" t="str">
        <f t="shared" si="74"/>
        <v/>
      </c>
      <c r="X776" s="64">
        <f t="shared" si="75"/>
        <v>0</v>
      </c>
      <c r="Y776" s="53">
        <f t="shared" si="76"/>
        <v>0</v>
      </c>
      <c r="Z776" s="64">
        <f t="shared" si="77"/>
        <v>0</v>
      </c>
    </row>
    <row r="777" spans="1:26">
      <c r="A777" s="89" t="str">
        <f t="shared" si="72"/>
        <v/>
      </c>
      <c r="B777" s="89" t="str">
        <f t="shared" si="73"/>
        <v/>
      </c>
      <c r="S777" s="89" t="str">
        <f t="shared" si="74"/>
        <v/>
      </c>
      <c r="X777" s="64">
        <f t="shared" si="75"/>
        <v>0</v>
      </c>
      <c r="Y777" s="53">
        <f t="shared" si="76"/>
        <v>0</v>
      </c>
      <c r="Z777" s="64">
        <f t="shared" si="77"/>
        <v>0</v>
      </c>
    </row>
    <row r="778" spans="1:26">
      <c r="A778" s="89" t="str">
        <f t="shared" si="72"/>
        <v/>
      </c>
      <c r="B778" s="89" t="str">
        <f t="shared" si="73"/>
        <v/>
      </c>
      <c r="S778" s="89" t="str">
        <f t="shared" si="74"/>
        <v/>
      </c>
      <c r="X778" s="64">
        <f t="shared" si="75"/>
        <v>0</v>
      </c>
      <c r="Y778" s="53">
        <f t="shared" si="76"/>
        <v>0</v>
      </c>
      <c r="Z778" s="64">
        <f t="shared" si="77"/>
        <v>0</v>
      </c>
    </row>
    <row r="779" spans="1:26">
      <c r="A779" s="89" t="str">
        <f t="shared" si="72"/>
        <v/>
      </c>
      <c r="B779" s="89" t="str">
        <f t="shared" si="73"/>
        <v/>
      </c>
      <c r="S779" s="89" t="str">
        <f t="shared" si="74"/>
        <v/>
      </c>
      <c r="X779" s="64">
        <f t="shared" si="75"/>
        <v>0</v>
      </c>
      <c r="Y779" s="53">
        <f t="shared" si="76"/>
        <v>0</v>
      </c>
      <c r="Z779" s="64">
        <f t="shared" si="77"/>
        <v>0</v>
      </c>
    </row>
    <row r="780" spans="1:26">
      <c r="A780" s="89" t="str">
        <f t="shared" si="72"/>
        <v/>
      </c>
      <c r="B780" s="89" t="str">
        <f t="shared" si="73"/>
        <v/>
      </c>
      <c r="S780" s="89" t="str">
        <f t="shared" si="74"/>
        <v/>
      </c>
      <c r="X780" s="64">
        <f t="shared" si="75"/>
        <v>0</v>
      </c>
      <c r="Y780" s="53">
        <f t="shared" si="76"/>
        <v>0</v>
      </c>
      <c r="Z780" s="64">
        <f t="shared" si="77"/>
        <v>0</v>
      </c>
    </row>
    <row r="781" spans="1:26">
      <c r="A781" s="89" t="str">
        <f t="shared" si="72"/>
        <v/>
      </c>
      <c r="B781" s="89" t="str">
        <f t="shared" si="73"/>
        <v/>
      </c>
      <c r="S781" s="89" t="str">
        <f t="shared" si="74"/>
        <v/>
      </c>
      <c r="X781" s="64">
        <f t="shared" si="75"/>
        <v>0</v>
      </c>
      <c r="Y781" s="53">
        <f t="shared" si="76"/>
        <v>0</v>
      </c>
      <c r="Z781" s="64">
        <f t="shared" si="77"/>
        <v>0</v>
      </c>
    </row>
    <row r="782" spans="1:26">
      <c r="A782" s="89" t="str">
        <f t="shared" si="72"/>
        <v/>
      </c>
      <c r="B782" s="89" t="str">
        <f t="shared" si="73"/>
        <v/>
      </c>
      <c r="S782" s="89" t="str">
        <f t="shared" si="74"/>
        <v/>
      </c>
      <c r="X782" s="64">
        <f t="shared" si="75"/>
        <v>0</v>
      </c>
      <c r="Y782" s="53">
        <f t="shared" si="76"/>
        <v>0</v>
      </c>
      <c r="Z782" s="64">
        <f t="shared" si="77"/>
        <v>0</v>
      </c>
    </row>
    <row r="783" spans="1:26">
      <c r="A783" s="89" t="str">
        <f t="shared" si="72"/>
        <v/>
      </c>
      <c r="B783" s="89" t="str">
        <f t="shared" si="73"/>
        <v/>
      </c>
      <c r="S783" s="89" t="str">
        <f t="shared" si="74"/>
        <v/>
      </c>
      <c r="X783" s="64">
        <f t="shared" si="75"/>
        <v>0</v>
      </c>
      <c r="Y783" s="53">
        <f t="shared" si="76"/>
        <v>0</v>
      </c>
      <c r="Z783" s="64">
        <f t="shared" si="77"/>
        <v>0</v>
      </c>
    </row>
    <row r="784" spans="1:26">
      <c r="A784" s="89" t="str">
        <f t="shared" si="72"/>
        <v/>
      </c>
      <c r="B784" s="89" t="str">
        <f t="shared" si="73"/>
        <v/>
      </c>
      <c r="S784" s="89" t="str">
        <f t="shared" si="74"/>
        <v/>
      </c>
      <c r="X784" s="64">
        <f t="shared" si="75"/>
        <v>0</v>
      </c>
      <c r="Y784" s="53">
        <f t="shared" si="76"/>
        <v>0</v>
      </c>
      <c r="Z784" s="64">
        <f t="shared" si="77"/>
        <v>0</v>
      </c>
    </row>
    <row r="785" spans="1:26">
      <c r="A785" s="89" t="str">
        <f t="shared" si="72"/>
        <v/>
      </c>
      <c r="B785" s="89" t="str">
        <f t="shared" si="73"/>
        <v/>
      </c>
      <c r="S785" s="89" t="str">
        <f t="shared" si="74"/>
        <v/>
      </c>
      <c r="X785" s="64">
        <f t="shared" si="75"/>
        <v>0</v>
      </c>
      <c r="Y785" s="53">
        <f t="shared" si="76"/>
        <v>0</v>
      </c>
      <c r="Z785" s="64">
        <f t="shared" si="77"/>
        <v>0</v>
      </c>
    </row>
    <row r="786" spans="1:26">
      <c r="A786" s="89" t="str">
        <f t="shared" si="72"/>
        <v/>
      </c>
      <c r="B786" s="89" t="str">
        <f t="shared" si="73"/>
        <v/>
      </c>
      <c r="S786" s="89" t="str">
        <f t="shared" si="74"/>
        <v/>
      </c>
      <c r="X786" s="64">
        <f t="shared" si="75"/>
        <v>0</v>
      </c>
      <c r="Y786" s="53">
        <f t="shared" si="76"/>
        <v>0</v>
      </c>
      <c r="Z786" s="64">
        <f t="shared" si="77"/>
        <v>0</v>
      </c>
    </row>
    <row r="787" spans="1:26">
      <c r="A787" s="89" t="str">
        <f t="shared" si="72"/>
        <v/>
      </c>
      <c r="B787" s="89" t="str">
        <f t="shared" si="73"/>
        <v/>
      </c>
      <c r="S787" s="89" t="str">
        <f t="shared" si="74"/>
        <v/>
      </c>
      <c r="X787" s="64">
        <f t="shared" si="75"/>
        <v>0</v>
      </c>
      <c r="Y787" s="53">
        <f t="shared" si="76"/>
        <v>0</v>
      </c>
      <c r="Z787" s="64">
        <f t="shared" si="77"/>
        <v>0</v>
      </c>
    </row>
    <row r="788" spans="1:26">
      <c r="A788" s="89" t="str">
        <f t="shared" si="72"/>
        <v/>
      </c>
      <c r="B788" s="89" t="str">
        <f t="shared" si="73"/>
        <v/>
      </c>
      <c r="S788" s="89" t="str">
        <f t="shared" si="74"/>
        <v/>
      </c>
      <c r="X788" s="64">
        <f t="shared" si="75"/>
        <v>0</v>
      </c>
      <c r="Y788" s="53">
        <f t="shared" si="76"/>
        <v>0</v>
      </c>
      <c r="Z788" s="64">
        <f t="shared" si="77"/>
        <v>0</v>
      </c>
    </row>
    <row r="789" spans="1:26">
      <c r="A789" s="89" t="str">
        <f t="shared" si="72"/>
        <v/>
      </c>
      <c r="B789" s="89" t="str">
        <f t="shared" si="73"/>
        <v/>
      </c>
      <c r="S789" s="89" t="str">
        <f t="shared" si="74"/>
        <v/>
      </c>
      <c r="X789" s="64">
        <f t="shared" si="75"/>
        <v>0</v>
      </c>
      <c r="Y789" s="53">
        <f t="shared" si="76"/>
        <v>0</v>
      </c>
      <c r="Z789" s="64">
        <f t="shared" si="77"/>
        <v>0</v>
      </c>
    </row>
    <row r="790" spans="1:26">
      <c r="A790" s="89" t="str">
        <f t="shared" si="72"/>
        <v/>
      </c>
      <c r="B790" s="89" t="str">
        <f t="shared" si="73"/>
        <v/>
      </c>
      <c r="S790" s="89" t="str">
        <f t="shared" si="74"/>
        <v/>
      </c>
      <c r="X790" s="64">
        <f t="shared" si="75"/>
        <v>0</v>
      </c>
      <c r="Y790" s="53">
        <f t="shared" si="76"/>
        <v>0</v>
      </c>
      <c r="Z790" s="64">
        <f t="shared" si="77"/>
        <v>0</v>
      </c>
    </row>
    <row r="791" spans="1:26">
      <c r="A791" s="89" t="str">
        <f t="shared" si="72"/>
        <v/>
      </c>
      <c r="B791" s="89" t="str">
        <f t="shared" si="73"/>
        <v/>
      </c>
      <c r="S791" s="89" t="str">
        <f t="shared" si="74"/>
        <v/>
      </c>
      <c r="X791" s="64">
        <f t="shared" si="75"/>
        <v>0</v>
      </c>
      <c r="Y791" s="53">
        <f t="shared" si="76"/>
        <v>0</v>
      </c>
      <c r="Z791" s="64">
        <f t="shared" si="77"/>
        <v>0</v>
      </c>
    </row>
    <row r="792" spans="1:26">
      <c r="A792" s="89" t="str">
        <f t="shared" si="72"/>
        <v/>
      </c>
      <c r="B792" s="89" t="str">
        <f t="shared" si="73"/>
        <v/>
      </c>
      <c r="S792" s="89" t="str">
        <f t="shared" si="74"/>
        <v/>
      </c>
      <c r="X792" s="64">
        <f t="shared" si="75"/>
        <v>0</v>
      </c>
      <c r="Y792" s="53">
        <f t="shared" si="76"/>
        <v>0</v>
      </c>
      <c r="Z792" s="64">
        <f t="shared" si="77"/>
        <v>0</v>
      </c>
    </row>
    <row r="793" spans="1:26">
      <c r="A793" s="89" t="str">
        <f t="shared" si="72"/>
        <v/>
      </c>
      <c r="B793" s="89" t="str">
        <f t="shared" si="73"/>
        <v/>
      </c>
      <c r="S793" s="89" t="str">
        <f t="shared" si="74"/>
        <v/>
      </c>
      <c r="X793" s="64">
        <f t="shared" si="75"/>
        <v>0</v>
      </c>
      <c r="Y793" s="53">
        <f t="shared" si="76"/>
        <v>0</v>
      </c>
      <c r="Z793" s="64">
        <f t="shared" si="77"/>
        <v>0</v>
      </c>
    </row>
    <row r="794" spans="1:26">
      <c r="A794" s="89" t="str">
        <f t="shared" si="72"/>
        <v/>
      </c>
      <c r="B794" s="89" t="str">
        <f t="shared" si="73"/>
        <v/>
      </c>
      <c r="S794" s="89" t="str">
        <f t="shared" si="74"/>
        <v/>
      </c>
      <c r="X794" s="64">
        <f t="shared" si="75"/>
        <v>0</v>
      </c>
      <c r="Y794" s="53">
        <f t="shared" si="76"/>
        <v>0</v>
      </c>
      <c r="Z794" s="64">
        <f t="shared" si="77"/>
        <v>0</v>
      </c>
    </row>
    <row r="795" spans="1:26">
      <c r="A795" s="89" t="str">
        <f t="shared" si="72"/>
        <v/>
      </c>
      <c r="B795" s="89" t="str">
        <f t="shared" si="73"/>
        <v/>
      </c>
      <c r="S795" s="89" t="str">
        <f t="shared" si="74"/>
        <v/>
      </c>
      <c r="X795" s="64">
        <f t="shared" si="75"/>
        <v>0</v>
      </c>
      <c r="Y795" s="53">
        <f t="shared" si="76"/>
        <v>0</v>
      </c>
      <c r="Z795" s="64">
        <f t="shared" si="77"/>
        <v>0</v>
      </c>
    </row>
    <row r="796" spans="1:26">
      <c r="A796" s="89" t="str">
        <f t="shared" si="72"/>
        <v/>
      </c>
      <c r="B796" s="89" t="str">
        <f t="shared" si="73"/>
        <v/>
      </c>
      <c r="S796" s="89" t="str">
        <f t="shared" si="74"/>
        <v/>
      </c>
      <c r="X796" s="64">
        <f t="shared" si="75"/>
        <v>0</v>
      </c>
      <c r="Y796" s="53">
        <f t="shared" si="76"/>
        <v>0</v>
      </c>
      <c r="Z796" s="64">
        <f t="shared" si="77"/>
        <v>0</v>
      </c>
    </row>
    <row r="797" spans="1:26">
      <c r="A797" s="89" t="str">
        <f t="shared" si="72"/>
        <v/>
      </c>
      <c r="B797" s="89" t="str">
        <f t="shared" si="73"/>
        <v/>
      </c>
      <c r="S797" s="89" t="str">
        <f t="shared" si="74"/>
        <v/>
      </c>
      <c r="X797" s="64">
        <f t="shared" si="75"/>
        <v>0</v>
      </c>
      <c r="Y797" s="53">
        <f t="shared" si="76"/>
        <v>0</v>
      </c>
      <c r="Z797" s="64">
        <f t="shared" si="77"/>
        <v>0</v>
      </c>
    </row>
    <row r="798" spans="1:26">
      <c r="A798" s="89" t="str">
        <f t="shared" si="72"/>
        <v/>
      </c>
      <c r="B798" s="89" t="str">
        <f t="shared" si="73"/>
        <v/>
      </c>
      <c r="S798" s="89" t="str">
        <f t="shared" si="74"/>
        <v/>
      </c>
      <c r="X798" s="64">
        <f t="shared" si="75"/>
        <v>0</v>
      </c>
      <c r="Y798" s="53">
        <f t="shared" si="76"/>
        <v>0</v>
      </c>
      <c r="Z798" s="64">
        <f t="shared" si="77"/>
        <v>0</v>
      </c>
    </row>
    <row r="799" spans="1:26">
      <c r="A799" s="89" t="str">
        <f t="shared" si="72"/>
        <v/>
      </c>
      <c r="B799" s="89" t="str">
        <f t="shared" si="73"/>
        <v/>
      </c>
      <c r="S799" s="89" t="str">
        <f t="shared" si="74"/>
        <v/>
      </c>
      <c r="X799" s="64">
        <f t="shared" si="75"/>
        <v>0</v>
      </c>
      <c r="Y799" s="53">
        <f t="shared" si="76"/>
        <v>0</v>
      </c>
      <c r="Z799" s="64">
        <f t="shared" si="77"/>
        <v>0</v>
      </c>
    </row>
    <row r="800" spans="1:26">
      <c r="A800" s="89" t="str">
        <f t="shared" si="72"/>
        <v/>
      </c>
      <c r="B800" s="89" t="str">
        <f t="shared" si="73"/>
        <v/>
      </c>
      <c r="S800" s="89" t="str">
        <f t="shared" si="74"/>
        <v/>
      </c>
      <c r="X800" s="64">
        <f t="shared" si="75"/>
        <v>0</v>
      </c>
      <c r="Y800" s="53">
        <f t="shared" si="76"/>
        <v>0</v>
      </c>
      <c r="Z800" s="64">
        <f t="shared" si="77"/>
        <v>0</v>
      </c>
    </row>
    <row r="801" spans="1:26">
      <c r="A801" s="89" t="str">
        <f t="shared" si="72"/>
        <v/>
      </c>
      <c r="B801" s="89" t="str">
        <f t="shared" si="73"/>
        <v/>
      </c>
      <c r="S801" s="89" t="str">
        <f t="shared" si="74"/>
        <v/>
      </c>
      <c r="X801" s="64">
        <f t="shared" si="75"/>
        <v>0</v>
      </c>
      <c r="Y801" s="53">
        <f t="shared" si="76"/>
        <v>0</v>
      </c>
      <c r="Z801" s="64">
        <f t="shared" si="77"/>
        <v>0</v>
      </c>
    </row>
    <row r="802" spans="1:26">
      <c r="A802" s="89" t="str">
        <f t="shared" si="72"/>
        <v/>
      </c>
      <c r="B802" s="89" t="str">
        <f t="shared" si="73"/>
        <v/>
      </c>
      <c r="S802" s="89" t="str">
        <f t="shared" si="74"/>
        <v/>
      </c>
      <c r="X802" s="64">
        <f t="shared" si="75"/>
        <v>0</v>
      </c>
      <c r="Y802" s="53">
        <f t="shared" si="76"/>
        <v>0</v>
      </c>
      <c r="Z802" s="64">
        <f t="shared" si="77"/>
        <v>0</v>
      </c>
    </row>
    <row r="803" spans="1:26">
      <c r="A803" s="89" t="str">
        <f t="shared" si="72"/>
        <v/>
      </c>
      <c r="B803" s="89" t="str">
        <f t="shared" si="73"/>
        <v/>
      </c>
      <c r="S803" s="89" t="str">
        <f t="shared" si="74"/>
        <v/>
      </c>
      <c r="X803" s="64">
        <f t="shared" si="75"/>
        <v>0</v>
      </c>
      <c r="Y803" s="53">
        <f t="shared" si="76"/>
        <v>0</v>
      </c>
      <c r="Z803" s="64">
        <f t="shared" si="77"/>
        <v>0</v>
      </c>
    </row>
    <row r="804" spans="1:26">
      <c r="A804" s="89" t="str">
        <f t="shared" si="72"/>
        <v/>
      </c>
      <c r="B804" s="89" t="str">
        <f t="shared" si="73"/>
        <v/>
      </c>
      <c r="S804" s="89" t="str">
        <f t="shared" si="74"/>
        <v/>
      </c>
      <c r="X804" s="64">
        <f t="shared" si="75"/>
        <v>0</v>
      </c>
      <c r="Y804" s="53">
        <f t="shared" si="76"/>
        <v>0</v>
      </c>
      <c r="Z804" s="64">
        <f t="shared" si="77"/>
        <v>0</v>
      </c>
    </row>
    <row r="805" spans="1:26">
      <c r="A805" s="89" t="str">
        <f t="shared" si="72"/>
        <v/>
      </c>
      <c r="B805" s="89" t="str">
        <f t="shared" si="73"/>
        <v/>
      </c>
      <c r="S805" s="89" t="str">
        <f t="shared" si="74"/>
        <v/>
      </c>
      <c r="X805" s="64">
        <f t="shared" si="75"/>
        <v>0</v>
      </c>
      <c r="Y805" s="53">
        <f t="shared" si="76"/>
        <v>0</v>
      </c>
      <c r="Z805" s="64">
        <f t="shared" si="77"/>
        <v>0</v>
      </c>
    </row>
    <row r="806" spans="1:26">
      <c r="A806" s="89" t="str">
        <f t="shared" si="72"/>
        <v/>
      </c>
      <c r="B806" s="89" t="str">
        <f t="shared" si="73"/>
        <v/>
      </c>
      <c r="S806" s="89" t="str">
        <f t="shared" si="74"/>
        <v/>
      </c>
      <c r="X806" s="64">
        <f t="shared" si="75"/>
        <v>0</v>
      </c>
      <c r="Y806" s="53">
        <f t="shared" si="76"/>
        <v>0</v>
      </c>
      <c r="Z806" s="64">
        <f t="shared" si="77"/>
        <v>0</v>
      </c>
    </row>
    <row r="807" spans="1:26">
      <c r="A807" s="89" t="str">
        <f t="shared" si="72"/>
        <v/>
      </c>
      <c r="B807" s="89" t="str">
        <f t="shared" si="73"/>
        <v/>
      </c>
      <c r="S807" s="89" t="str">
        <f t="shared" si="74"/>
        <v/>
      </c>
      <c r="X807" s="64">
        <f t="shared" si="75"/>
        <v>0</v>
      </c>
      <c r="Y807" s="53">
        <f t="shared" si="76"/>
        <v>0</v>
      </c>
      <c r="Z807" s="64">
        <f t="shared" si="77"/>
        <v>0</v>
      </c>
    </row>
    <row r="808" spans="1:26">
      <c r="A808" s="89" t="str">
        <f t="shared" si="72"/>
        <v/>
      </c>
      <c r="B808" s="89" t="str">
        <f t="shared" si="73"/>
        <v/>
      </c>
      <c r="S808" s="89" t="str">
        <f t="shared" si="74"/>
        <v/>
      </c>
      <c r="X808" s="64">
        <f t="shared" si="75"/>
        <v>0</v>
      </c>
      <c r="Y808" s="53">
        <f t="shared" si="76"/>
        <v>0</v>
      </c>
      <c r="Z808" s="64">
        <f t="shared" si="77"/>
        <v>0</v>
      </c>
    </row>
    <row r="809" spans="1:26">
      <c r="A809" s="89" t="str">
        <f t="shared" si="72"/>
        <v/>
      </c>
      <c r="B809" s="89" t="str">
        <f t="shared" si="73"/>
        <v/>
      </c>
      <c r="S809" s="89" t="str">
        <f t="shared" si="74"/>
        <v/>
      </c>
      <c r="X809" s="64">
        <f t="shared" si="75"/>
        <v>0</v>
      </c>
      <c r="Y809" s="53">
        <f t="shared" si="76"/>
        <v>0</v>
      </c>
      <c r="Z809" s="64">
        <f t="shared" si="77"/>
        <v>0</v>
      </c>
    </row>
    <row r="810" spans="1:26">
      <c r="A810" s="89" t="str">
        <f t="shared" si="72"/>
        <v/>
      </c>
      <c r="B810" s="89" t="str">
        <f t="shared" si="73"/>
        <v/>
      </c>
      <c r="S810" s="89" t="str">
        <f t="shared" si="74"/>
        <v/>
      </c>
      <c r="X810" s="64">
        <f t="shared" si="75"/>
        <v>0</v>
      </c>
      <c r="Y810" s="53">
        <f t="shared" si="76"/>
        <v>0</v>
      </c>
      <c r="Z810" s="64">
        <f t="shared" si="77"/>
        <v>0</v>
      </c>
    </row>
    <row r="811" spans="1:26">
      <c r="A811" s="89" t="str">
        <f t="shared" si="72"/>
        <v/>
      </c>
      <c r="B811" s="89" t="str">
        <f t="shared" si="73"/>
        <v/>
      </c>
      <c r="S811" s="89" t="str">
        <f t="shared" si="74"/>
        <v/>
      </c>
      <c r="X811" s="64">
        <f t="shared" si="75"/>
        <v>0</v>
      </c>
      <c r="Y811" s="53">
        <f t="shared" si="76"/>
        <v>0</v>
      </c>
      <c r="Z811" s="64">
        <f t="shared" si="77"/>
        <v>0</v>
      </c>
    </row>
    <row r="812" spans="1:26">
      <c r="A812" s="89" t="str">
        <f t="shared" si="72"/>
        <v/>
      </c>
      <c r="B812" s="89" t="str">
        <f t="shared" si="73"/>
        <v/>
      </c>
      <c r="S812" s="89" t="str">
        <f t="shared" si="74"/>
        <v/>
      </c>
      <c r="X812" s="64">
        <f t="shared" si="75"/>
        <v>0</v>
      </c>
      <c r="Y812" s="53">
        <f t="shared" si="76"/>
        <v>0</v>
      </c>
      <c r="Z812" s="64">
        <f t="shared" si="77"/>
        <v>0</v>
      </c>
    </row>
    <row r="813" spans="1:26">
      <c r="A813" s="89" t="str">
        <f t="shared" si="72"/>
        <v/>
      </c>
      <c r="B813" s="89" t="str">
        <f t="shared" si="73"/>
        <v/>
      </c>
      <c r="S813" s="89" t="str">
        <f t="shared" si="74"/>
        <v/>
      </c>
      <c r="X813" s="64">
        <f t="shared" si="75"/>
        <v>0</v>
      </c>
      <c r="Y813" s="53">
        <f t="shared" si="76"/>
        <v>0</v>
      </c>
      <c r="Z813" s="64">
        <f t="shared" si="77"/>
        <v>0</v>
      </c>
    </row>
    <row r="814" spans="1:26">
      <c r="A814" s="89" t="str">
        <f t="shared" si="72"/>
        <v/>
      </c>
      <c r="B814" s="89" t="str">
        <f t="shared" si="73"/>
        <v/>
      </c>
      <c r="S814" s="89" t="str">
        <f t="shared" si="74"/>
        <v/>
      </c>
      <c r="X814" s="64">
        <f t="shared" si="75"/>
        <v>0</v>
      </c>
      <c r="Y814" s="53">
        <f t="shared" si="76"/>
        <v>0</v>
      </c>
      <c r="Z814" s="64">
        <f t="shared" si="77"/>
        <v>0</v>
      </c>
    </row>
    <row r="815" spans="1:26">
      <c r="A815" s="89" t="str">
        <f t="shared" si="72"/>
        <v/>
      </c>
      <c r="B815" s="89" t="str">
        <f t="shared" si="73"/>
        <v/>
      </c>
      <c r="S815" s="89" t="str">
        <f t="shared" si="74"/>
        <v/>
      </c>
      <c r="X815" s="64">
        <f t="shared" si="75"/>
        <v>0</v>
      </c>
      <c r="Y815" s="53">
        <f t="shared" si="76"/>
        <v>0</v>
      </c>
      <c r="Z815" s="64">
        <f t="shared" si="77"/>
        <v>0</v>
      </c>
    </row>
    <row r="816" spans="1:26">
      <c r="A816" s="89" t="str">
        <f t="shared" si="72"/>
        <v/>
      </c>
      <c r="B816" s="89" t="str">
        <f t="shared" si="73"/>
        <v/>
      </c>
      <c r="S816" s="89" t="str">
        <f t="shared" si="74"/>
        <v/>
      </c>
      <c r="X816" s="64">
        <f t="shared" si="75"/>
        <v>0</v>
      </c>
      <c r="Y816" s="53">
        <f t="shared" si="76"/>
        <v>0</v>
      </c>
      <c r="Z816" s="64">
        <f t="shared" si="77"/>
        <v>0</v>
      </c>
    </row>
    <row r="817" spans="1:26">
      <c r="A817" s="89" t="str">
        <f t="shared" si="72"/>
        <v/>
      </c>
      <c r="B817" s="89" t="str">
        <f t="shared" si="73"/>
        <v/>
      </c>
      <c r="S817" s="89" t="str">
        <f t="shared" si="74"/>
        <v/>
      </c>
      <c r="X817" s="64">
        <f t="shared" si="75"/>
        <v>0</v>
      </c>
      <c r="Y817" s="53">
        <f t="shared" si="76"/>
        <v>0</v>
      </c>
      <c r="Z817" s="64">
        <f t="shared" si="77"/>
        <v>0</v>
      </c>
    </row>
    <row r="818" spans="1:26">
      <c r="A818" s="89" t="str">
        <f t="shared" si="72"/>
        <v/>
      </c>
      <c r="B818" s="89" t="str">
        <f t="shared" si="73"/>
        <v/>
      </c>
      <c r="S818" s="89" t="str">
        <f t="shared" si="74"/>
        <v/>
      </c>
      <c r="X818" s="64">
        <f t="shared" si="75"/>
        <v>0</v>
      </c>
      <c r="Y818" s="53">
        <f t="shared" si="76"/>
        <v>0</v>
      </c>
      <c r="Z818" s="64">
        <f t="shared" si="77"/>
        <v>0</v>
      </c>
    </row>
    <row r="819" spans="1:26">
      <c r="A819" s="89" t="str">
        <f t="shared" si="72"/>
        <v/>
      </c>
      <c r="B819" s="89" t="str">
        <f t="shared" si="73"/>
        <v/>
      </c>
      <c r="S819" s="89" t="str">
        <f t="shared" si="74"/>
        <v/>
      </c>
      <c r="X819" s="64">
        <f t="shared" si="75"/>
        <v>0</v>
      </c>
      <c r="Y819" s="53">
        <f t="shared" si="76"/>
        <v>0</v>
      </c>
      <c r="Z819" s="64">
        <f t="shared" si="77"/>
        <v>0</v>
      </c>
    </row>
    <row r="820" spans="1:26">
      <c r="A820" s="89" t="str">
        <f t="shared" si="72"/>
        <v/>
      </c>
      <c r="B820" s="89" t="str">
        <f t="shared" si="73"/>
        <v/>
      </c>
      <c r="S820" s="89" t="str">
        <f t="shared" si="74"/>
        <v/>
      </c>
      <c r="X820" s="64">
        <f t="shared" si="75"/>
        <v>0</v>
      </c>
      <c r="Y820" s="53">
        <f t="shared" si="76"/>
        <v>0</v>
      </c>
      <c r="Z820" s="64">
        <f t="shared" si="77"/>
        <v>0</v>
      </c>
    </row>
    <row r="821" spans="1:26">
      <c r="A821" s="89" t="str">
        <f t="shared" si="72"/>
        <v/>
      </c>
      <c r="B821" s="89" t="str">
        <f t="shared" si="73"/>
        <v/>
      </c>
      <c r="S821" s="89" t="str">
        <f t="shared" si="74"/>
        <v/>
      </c>
      <c r="X821" s="64">
        <f t="shared" si="75"/>
        <v>0</v>
      </c>
      <c r="Y821" s="53">
        <f t="shared" si="76"/>
        <v>0</v>
      </c>
      <c r="Z821" s="64">
        <f t="shared" si="77"/>
        <v>0</v>
      </c>
    </row>
    <row r="822" spans="1:26">
      <c r="A822" s="89" t="str">
        <f t="shared" si="72"/>
        <v/>
      </c>
      <c r="B822" s="89" t="str">
        <f t="shared" si="73"/>
        <v/>
      </c>
      <c r="S822" s="89" t="str">
        <f t="shared" si="74"/>
        <v/>
      </c>
      <c r="X822" s="64">
        <f t="shared" si="75"/>
        <v>0</v>
      </c>
      <c r="Y822" s="53">
        <f t="shared" si="76"/>
        <v>0</v>
      </c>
      <c r="Z822" s="64">
        <f t="shared" si="77"/>
        <v>0</v>
      </c>
    </row>
    <row r="823" spans="1:26">
      <c r="A823" s="89" t="str">
        <f t="shared" si="72"/>
        <v/>
      </c>
      <c r="B823" s="89" t="str">
        <f t="shared" si="73"/>
        <v/>
      </c>
      <c r="S823" s="89" t="str">
        <f t="shared" si="74"/>
        <v/>
      </c>
      <c r="X823" s="64">
        <f t="shared" si="75"/>
        <v>0</v>
      </c>
      <c r="Y823" s="53">
        <f t="shared" si="76"/>
        <v>0</v>
      </c>
      <c r="Z823" s="64">
        <f t="shared" si="77"/>
        <v>0</v>
      </c>
    </row>
    <row r="824" spans="1:26">
      <c r="A824" s="89" t="str">
        <f t="shared" si="72"/>
        <v/>
      </c>
      <c r="B824" s="89" t="str">
        <f t="shared" si="73"/>
        <v/>
      </c>
      <c r="S824" s="89" t="str">
        <f t="shared" si="74"/>
        <v/>
      </c>
      <c r="X824" s="64">
        <f t="shared" si="75"/>
        <v>0</v>
      </c>
      <c r="Y824" s="53">
        <f t="shared" si="76"/>
        <v>0</v>
      </c>
      <c r="Z824" s="64">
        <f t="shared" si="77"/>
        <v>0</v>
      </c>
    </row>
    <row r="825" spans="1:26">
      <c r="A825" s="89" t="str">
        <f t="shared" si="72"/>
        <v/>
      </c>
      <c r="B825" s="89" t="str">
        <f t="shared" si="73"/>
        <v/>
      </c>
      <c r="S825" s="89" t="str">
        <f t="shared" si="74"/>
        <v/>
      </c>
      <c r="X825" s="64">
        <f t="shared" si="75"/>
        <v>0</v>
      </c>
      <c r="Y825" s="53">
        <f t="shared" si="76"/>
        <v>0</v>
      </c>
      <c r="Z825" s="64">
        <f t="shared" si="77"/>
        <v>0</v>
      </c>
    </row>
    <row r="826" spans="1:26">
      <c r="A826" s="89" t="str">
        <f t="shared" si="72"/>
        <v/>
      </c>
      <c r="B826" s="89" t="str">
        <f t="shared" si="73"/>
        <v/>
      </c>
      <c r="S826" s="89" t="str">
        <f t="shared" si="74"/>
        <v/>
      </c>
      <c r="X826" s="64">
        <f t="shared" si="75"/>
        <v>0</v>
      </c>
      <c r="Y826" s="53">
        <f t="shared" si="76"/>
        <v>0</v>
      </c>
      <c r="Z826" s="64">
        <f t="shared" si="77"/>
        <v>0</v>
      </c>
    </row>
    <row r="827" spans="1:26">
      <c r="A827" s="89" t="str">
        <f t="shared" si="72"/>
        <v/>
      </c>
      <c r="B827" s="89" t="str">
        <f t="shared" si="73"/>
        <v/>
      </c>
      <c r="S827" s="89" t="str">
        <f t="shared" si="74"/>
        <v/>
      </c>
      <c r="X827" s="64">
        <f t="shared" si="75"/>
        <v>0</v>
      </c>
      <c r="Y827" s="53">
        <f t="shared" si="76"/>
        <v>0</v>
      </c>
      <c r="Z827" s="64">
        <f t="shared" si="77"/>
        <v>0</v>
      </c>
    </row>
    <row r="828" spans="1:26">
      <c r="A828" s="89" t="str">
        <f t="shared" si="72"/>
        <v/>
      </c>
      <c r="B828" s="89" t="str">
        <f t="shared" si="73"/>
        <v/>
      </c>
      <c r="S828" s="89" t="str">
        <f t="shared" si="74"/>
        <v/>
      </c>
      <c r="X828" s="64">
        <f t="shared" si="75"/>
        <v>0</v>
      </c>
      <c r="Y828" s="53">
        <f t="shared" si="76"/>
        <v>0</v>
      </c>
      <c r="Z828" s="64">
        <f t="shared" si="77"/>
        <v>0</v>
      </c>
    </row>
    <row r="829" spans="1:26">
      <c r="A829" s="89" t="str">
        <f t="shared" si="72"/>
        <v/>
      </c>
      <c r="B829" s="89" t="str">
        <f t="shared" si="73"/>
        <v/>
      </c>
      <c r="S829" s="89" t="str">
        <f t="shared" si="74"/>
        <v/>
      </c>
      <c r="X829" s="64">
        <f t="shared" si="75"/>
        <v>0</v>
      </c>
      <c r="Y829" s="53">
        <f t="shared" si="76"/>
        <v>0</v>
      </c>
      <c r="Z829" s="64">
        <f t="shared" si="77"/>
        <v>0</v>
      </c>
    </row>
    <row r="830" spans="1:26">
      <c r="A830" s="89" t="str">
        <f t="shared" si="72"/>
        <v/>
      </c>
      <c r="B830" s="89" t="str">
        <f t="shared" si="73"/>
        <v/>
      </c>
      <c r="S830" s="89" t="str">
        <f t="shared" si="74"/>
        <v/>
      </c>
      <c r="X830" s="64">
        <f t="shared" si="75"/>
        <v>0</v>
      </c>
      <c r="Y830" s="53">
        <f t="shared" si="76"/>
        <v>0</v>
      </c>
      <c r="Z830" s="64">
        <f t="shared" si="77"/>
        <v>0</v>
      </c>
    </row>
    <row r="831" spans="1:26">
      <c r="A831" s="89" t="str">
        <f t="shared" si="72"/>
        <v/>
      </c>
      <c r="B831" s="89" t="str">
        <f t="shared" si="73"/>
        <v/>
      </c>
      <c r="S831" s="89" t="str">
        <f t="shared" si="74"/>
        <v/>
      </c>
      <c r="X831" s="64">
        <f t="shared" si="75"/>
        <v>0</v>
      </c>
      <c r="Y831" s="53">
        <f t="shared" si="76"/>
        <v>0</v>
      </c>
      <c r="Z831" s="64">
        <f t="shared" si="77"/>
        <v>0</v>
      </c>
    </row>
    <row r="832" spans="1:26">
      <c r="A832" s="89" t="str">
        <f t="shared" si="72"/>
        <v/>
      </c>
      <c r="B832" s="89" t="str">
        <f t="shared" si="73"/>
        <v/>
      </c>
      <c r="S832" s="89" t="str">
        <f t="shared" si="74"/>
        <v/>
      </c>
      <c r="X832" s="64">
        <f t="shared" si="75"/>
        <v>0</v>
      </c>
      <c r="Y832" s="53">
        <f t="shared" si="76"/>
        <v>0</v>
      </c>
      <c r="Z832" s="64">
        <f t="shared" si="77"/>
        <v>0</v>
      </c>
    </row>
    <row r="833" spans="1:26">
      <c r="A833" s="89" t="str">
        <f t="shared" si="72"/>
        <v/>
      </c>
      <c r="B833" s="89" t="str">
        <f t="shared" si="73"/>
        <v/>
      </c>
      <c r="S833" s="89" t="str">
        <f t="shared" si="74"/>
        <v/>
      </c>
      <c r="X833" s="64">
        <f t="shared" si="75"/>
        <v>0</v>
      </c>
      <c r="Y833" s="53">
        <f t="shared" si="76"/>
        <v>0</v>
      </c>
      <c r="Z833" s="64">
        <f t="shared" si="77"/>
        <v>0</v>
      </c>
    </row>
    <row r="834" spans="1:26">
      <c r="A834" s="89" t="str">
        <f t="shared" si="72"/>
        <v/>
      </c>
      <c r="B834" s="89" t="str">
        <f t="shared" si="73"/>
        <v/>
      </c>
      <c r="S834" s="89" t="str">
        <f t="shared" si="74"/>
        <v/>
      </c>
      <c r="X834" s="64">
        <f t="shared" si="75"/>
        <v>0</v>
      </c>
      <c r="Y834" s="53">
        <f t="shared" si="76"/>
        <v>0</v>
      </c>
      <c r="Z834" s="64">
        <f t="shared" si="77"/>
        <v>0</v>
      </c>
    </row>
    <row r="835" spans="1:26">
      <c r="A835" s="89" t="str">
        <f t="shared" ref="A835:A898" si="78">IF(G835&amp;Q835&lt;&gt;"",G835&amp;Q835,"")</f>
        <v/>
      </c>
      <c r="B835" s="89" t="str">
        <f t="shared" ref="B835:B898" si="79">IF(C835&lt;&gt;"",LEFT(C835,9),"")</f>
        <v/>
      </c>
      <c r="S835" s="89" t="str">
        <f t="shared" ref="S835:S898" si="80">IF(H835&lt;&gt;"",H835,"")</f>
        <v/>
      </c>
      <c r="X835" s="64">
        <f t="shared" ref="X835:X898" si="81">IFERROR(VALUE(MID($C835,1,2)),0)</f>
        <v>0</v>
      </c>
      <c r="Y835" s="53">
        <f t="shared" ref="Y835:Y898" si="82">IFERROR(VALUE(MID($C835,4,3)),0)</f>
        <v>0</v>
      </c>
      <c r="Z835" s="64">
        <f t="shared" ref="Z835:Z898" si="83">VALUE(RIGHT("00"&amp;X835,2)&amp;RIGHT("000"&amp;Y835,3))</f>
        <v>0</v>
      </c>
    </row>
    <row r="836" spans="1:26">
      <c r="A836" s="89" t="str">
        <f t="shared" si="78"/>
        <v/>
      </c>
      <c r="B836" s="89" t="str">
        <f t="shared" si="79"/>
        <v/>
      </c>
      <c r="S836" s="89" t="str">
        <f t="shared" si="80"/>
        <v/>
      </c>
      <c r="X836" s="64">
        <f t="shared" si="81"/>
        <v>0</v>
      </c>
      <c r="Y836" s="53">
        <f t="shared" si="82"/>
        <v>0</v>
      </c>
      <c r="Z836" s="64">
        <f t="shared" si="83"/>
        <v>0</v>
      </c>
    </row>
    <row r="837" spans="1:26">
      <c r="A837" s="89" t="str">
        <f t="shared" si="78"/>
        <v/>
      </c>
      <c r="B837" s="89" t="str">
        <f t="shared" si="79"/>
        <v/>
      </c>
      <c r="S837" s="89" t="str">
        <f t="shared" si="80"/>
        <v/>
      </c>
      <c r="X837" s="64">
        <f t="shared" si="81"/>
        <v>0</v>
      </c>
      <c r="Y837" s="53">
        <f t="shared" si="82"/>
        <v>0</v>
      </c>
      <c r="Z837" s="64">
        <f t="shared" si="83"/>
        <v>0</v>
      </c>
    </row>
    <row r="838" spans="1:26">
      <c r="A838" s="89" t="str">
        <f t="shared" si="78"/>
        <v/>
      </c>
      <c r="B838" s="89" t="str">
        <f t="shared" si="79"/>
        <v/>
      </c>
      <c r="S838" s="89" t="str">
        <f t="shared" si="80"/>
        <v/>
      </c>
      <c r="X838" s="64">
        <f t="shared" si="81"/>
        <v>0</v>
      </c>
      <c r="Y838" s="53">
        <f t="shared" si="82"/>
        <v>0</v>
      </c>
      <c r="Z838" s="64">
        <f t="shared" si="83"/>
        <v>0</v>
      </c>
    </row>
    <row r="839" spans="1:26">
      <c r="A839" s="89" t="str">
        <f t="shared" si="78"/>
        <v/>
      </c>
      <c r="B839" s="89" t="str">
        <f t="shared" si="79"/>
        <v/>
      </c>
      <c r="S839" s="89" t="str">
        <f t="shared" si="80"/>
        <v/>
      </c>
      <c r="X839" s="64">
        <f t="shared" si="81"/>
        <v>0</v>
      </c>
      <c r="Y839" s="53">
        <f t="shared" si="82"/>
        <v>0</v>
      </c>
      <c r="Z839" s="64">
        <f t="shared" si="83"/>
        <v>0</v>
      </c>
    </row>
    <row r="840" spans="1:26">
      <c r="A840" s="89" t="str">
        <f t="shared" si="78"/>
        <v/>
      </c>
      <c r="B840" s="89" t="str">
        <f t="shared" si="79"/>
        <v/>
      </c>
      <c r="S840" s="89" t="str">
        <f t="shared" si="80"/>
        <v/>
      </c>
      <c r="X840" s="64">
        <f t="shared" si="81"/>
        <v>0</v>
      </c>
      <c r="Y840" s="53">
        <f t="shared" si="82"/>
        <v>0</v>
      </c>
      <c r="Z840" s="64">
        <f t="shared" si="83"/>
        <v>0</v>
      </c>
    </row>
    <row r="841" spans="1:26">
      <c r="A841" s="89" t="str">
        <f t="shared" si="78"/>
        <v/>
      </c>
      <c r="B841" s="89" t="str">
        <f t="shared" si="79"/>
        <v/>
      </c>
      <c r="S841" s="89" t="str">
        <f t="shared" si="80"/>
        <v/>
      </c>
      <c r="X841" s="64">
        <f t="shared" si="81"/>
        <v>0</v>
      </c>
      <c r="Y841" s="53">
        <f t="shared" si="82"/>
        <v>0</v>
      </c>
      <c r="Z841" s="64">
        <f t="shared" si="83"/>
        <v>0</v>
      </c>
    </row>
    <row r="842" spans="1:26">
      <c r="A842" s="89" t="str">
        <f t="shared" si="78"/>
        <v/>
      </c>
      <c r="B842" s="89" t="str">
        <f t="shared" si="79"/>
        <v/>
      </c>
      <c r="S842" s="89" t="str">
        <f t="shared" si="80"/>
        <v/>
      </c>
      <c r="X842" s="64">
        <f t="shared" si="81"/>
        <v>0</v>
      </c>
      <c r="Y842" s="53">
        <f t="shared" si="82"/>
        <v>0</v>
      </c>
      <c r="Z842" s="64">
        <f t="shared" si="83"/>
        <v>0</v>
      </c>
    </row>
    <row r="843" spans="1:26">
      <c r="A843" s="89" t="str">
        <f t="shared" si="78"/>
        <v/>
      </c>
      <c r="B843" s="89" t="str">
        <f t="shared" si="79"/>
        <v/>
      </c>
      <c r="S843" s="89" t="str">
        <f t="shared" si="80"/>
        <v/>
      </c>
      <c r="X843" s="64">
        <f t="shared" si="81"/>
        <v>0</v>
      </c>
      <c r="Y843" s="53">
        <f t="shared" si="82"/>
        <v>0</v>
      </c>
      <c r="Z843" s="64">
        <f t="shared" si="83"/>
        <v>0</v>
      </c>
    </row>
    <row r="844" spans="1:26">
      <c r="A844" s="89" t="str">
        <f t="shared" si="78"/>
        <v/>
      </c>
      <c r="B844" s="89" t="str">
        <f t="shared" si="79"/>
        <v/>
      </c>
      <c r="S844" s="89" t="str">
        <f t="shared" si="80"/>
        <v/>
      </c>
      <c r="X844" s="64">
        <f t="shared" si="81"/>
        <v>0</v>
      </c>
      <c r="Y844" s="53">
        <f t="shared" si="82"/>
        <v>0</v>
      </c>
      <c r="Z844" s="64">
        <f t="shared" si="83"/>
        <v>0</v>
      </c>
    </row>
    <row r="845" spans="1:26">
      <c r="A845" s="89" t="str">
        <f t="shared" si="78"/>
        <v/>
      </c>
      <c r="B845" s="89" t="str">
        <f t="shared" si="79"/>
        <v/>
      </c>
      <c r="S845" s="89" t="str">
        <f t="shared" si="80"/>
        <v/>
      </c>
      <c r="X845" s="64">
        <f t="shared" si="81"/>
        <v>0</v>
      </c>
      <c r="Y845" s="53">
        <f t="shared" si="82"/>
        <v>0</v>
      </c>
      <c r="Z845" s="64">
        <f t="shared" si="83"/>
        <v>0</v>
      </c>
    </row>
    <row r="846" spans="1:26">
      <c r="A846" s="89" t="str">
        <f t="shared" si="78"/>
        <v/>
      </c>
      <c r="B846" s="89" t="str">
        <f t="shared" si="79"/>
        <v/>
      </c>
      <c r="S846" s="89" t="str">
        <f t="shared" si="80"/>
        <v/>
      </c>
      <c r="X846" s="64">
        <f t="shared" si="81"/>
        <v>0</v>
      </c>
      <c r="Y846" s="53">
        <f t="shared" si="82"/>
        <v>0</v>
      </c>
      <c r="Z846" s="64">
        <f t="shared" si="83"/>
        <v>0</v>
      </c>
    </row>
    <row r="847" spans="1:26">
      <c r="A847" s="89" t="str">
        <f t="shared" si="78"/>
        <v/>
      </c>
      <c r="B847" s="89" t="str">
        <f t="shared" si="79"/>
        <v/>
      </c>
      <c r="S847" s="89" t="str">
        <f t="shared" si="80"/>
        <v/>
      </c>
      <c r="X847" s="64">
        <f t="shared" si="81"/>
        <v>0</v>
      </c>
      <c r="Y847" s="53">
        <f t="shared" si="82"/>
        <v>0</v>
      </c>
      <c r="Z847" s="64">
        <f t="shared" si="83"/>
        <v>0</v>
      </c>
    </row>
    <row r="848" spans="1:26">
      <c r="A848" s="89" t="str">
        <f t="shared" si="78"/>
        <v/>
      </c>
      <c r="B848" s="89" t="str">
        <f t="shared" si="79"/>
        <v/>
      </c>
      <c r="S848" s="89" t="str">
        <f t="shared" si="80"/>
        <v/>
      </c>
      <c r="X848" s="64">
        <f t="shared" si="81"/>
        <v>0</v>
      </c>
      <c r="Y848" s="53">
        <f t="shared" si="82"/>
        <v>0</v>
      </c>
      <c r="Z848" s="64">
        <f t="shared" si="83"/>
        <v>0</v>
      </c>
    </row>
    <row r="849" spans="1:26">
      <c r="A849" s="89" t="str">
        <f t="shared" si="78"/>
        <v/>
      </c>
      <c r="B849" s="89" t="str">
        <f t="shared" si="79"/>
        <v/>
      </c>
      <c r="S849" s="89" t="str">
        <f t="shared" si="80"/>
        <v/>
      </c>
      <c r="X849" s="64">
        <f t="shared" si="81"/>
        <v>0</v>
      </c>
      <c r="Y849" s="53">
        <f t="shared" si="82"/>
        <v>0</v>
      </c>
      <c r="Z849" s="64">
        <f t="shared" si="83"/>
        <v>0</v>
      </c>
    </row>
    <row r="850" spans="1:26">
      <c r="A850" s="89" t="str">
        <f t="shared" si="78"/>
        <v/>
      </c>
      <c r="B850" s="89" t="str">
        <f t="shared" si="79"/>
        <v/>
      </c>
      <c r="S850" s="89" t="str">
        <f t="shared" si="80"/>
        <v/>
      </c>
      <c r="X850" s="64">
        <f t="shared" si="81"/>
        <v>0</v>
      </c>
      <c r="Y850" s="53">
        <f t="shared" si="82"/>
        <v>0</v>
      </c>
      <c r="Z850" s="64">
        <f t="shared" si="83"/>
        <v>0</v>
      </c>
    </row>
    <row r="851" spans="1:26">
      <c r="A851" s="89" t="str">
        <f t="shared" si="78"/>
        <v/>
      </c>
      <c r="B851" s="89" t="str">
        <f t="shared" si="79"/>
        <v/>
      </c>
      <c r="S851" s="89" t="str">
        <f t="shared" si="80"/>
        <v/>
      </c>
      <c r="X851" s="64">
        <f t="shared" si="81"/>
        <v>0</v>
      </c>
      <c r="Y851" s="53">
        <f t="shared" si="82"/>
        <v>0</v>
      </c>
      <c r="Z851" s="64">
        <f t="shared" si="83"/>
        <v>0</v>
      </c>
    </row>
    <row r="852" spans="1:26">
      <c r="A852" s="89" t="str">
        <f t="shared" si="78"/>
        <v/>
      </c>
      <c r="B852" s="89" t="str">
        <f t="shared" si="79"/>
        <v/>
      </c>
      <c r="S852" s="89" t="str">
        <f t="shared" si="80"/>
        <v/>
      </c>
      <c r="X852" s="64">
        <f t="shared" si="81"/>
        <v>0</v>
      </c>
      <c r="Y852" s="53">
        <f t="shared" si="82"/>
        <v>0</v>
      </c>
      <c r="Z852" s="64">
        <f t="shared" si="83"/>
        <v>0</v>
      </c>
    </row>
    <row r="853" spans="1:26">
      <c r="A853" s="89" t="str">
        <f t="shared" si="78"/>
        <v/>
      </c>
      <c r="B853" s="89" t="str">
        <f t="shared" si="79"/>
        <v/>
      </c>
      <c r="S853" s="89" t="str">
        <f t="shared" si="80"/>
        <v/>
      </c>
      <c r="X853" s="64">
        <f t="shared" si="81"/>
        <v>0</v>
      </c>
      <c r="Y853" s="53">
        <f t="shared" si="82"/>
        <v>0</v>
      </c>
      <c r="Z853" s="64">
        <f t="shared" si="83"/>
        <v>0</v>
      </c>
    </row>
    <row r="854" spans="1:26">
      <c r="A854" s="89" t="str">
        <f t="shared" si="78"/>
        <v/>
      </c>
      <c r="B854" s="89" t="str">
        <f t="shared" si="79"/>
        <v/>
      </c>
      <c r="S854" s="89" t="str">
        <f t="shared" si="80"/>
        <v/>
      </c>
      <c r="X854" s="64">
        <f t="shared" si="81"/>
        <v>0</v>
      </c>
      <c r="Y854" s="53">
        <f t="shared" si="82"/>
        <v>0</v>
      </c>
      <c r="Z854" s="64">
        <f t="shared" si="83"/>
        <v>0</v>
      </c>
    </row>
    <row r="855" spans="1:26">
      <c r="A855" s="89" t="str">
        <f t="shared" si="78"/>
        <v/>
      </c>
      <c r="B855" s="89" t="str">
        <f t="shared" si="79"/>
        <v/>
      </c>
      <c r="S855" s="89" t="str">
        <f t="shared" si="80"/>
        <v/>
      </c>
      <c r="X855" s="64">
        <f t="shared" si="81"/>
        <v>0</v>
      </c>
      <c r="Y855" s="53">
        <f t="shared" si="82"/>
        <v>0</v>
      </c>
      <c r="Z855" s="64">
        <f t="shared" si="83"/>
        <v>0</v>
      </c>
    </row>
    <row r="856" spans="1:26">
      <c r="A856" s="89" t="str">
        <f t="shared" si="78"/>
        <v/>
      </c>
      <c r="B856" s="89" t="str">
        <f t="shared" si="79"/>
        <v/>
      </c>
      <c r="S856" s="89" t="str">
        <f t="shared" si="80"/>
        <v/>
      </c>
      <c r="X856" s="64">
        <f t="shared" si="81"/>
        <v>0</v>
      </c>
      <c r="Y856" s="53">
        <f t="shared" si="82"/>
        <v>0</v>
      </c>
      <c r="Z856" s="64">
        <f t="shared" si="83"/>
        <v>0</v>
      </c>
    </row>
    <row r="857" spans="1:26">
      <c r="A857" s="89" t="str">
        <f t="shared" si="78"/>
        <v/>
      </c>
      <c r="B857" s="89" t="str">
        <f t="shared" si="79"/>
        <v/>
      </c>
      <c r="S857" s="89" t="str">
        <f t="shared" si="80"/>
        <v/>
      </c>
      <c r="X857" s="64">
        <f t="shared" si="81"/>
        <v>0</v>
      </c>
      <c r="Y857" s="53">
        <f t="shared" si="82"/>
        <v>0</v>
      </c>
      <c r="Z857" s="64">
        <f t="shared" si="83"/>
        <v>0</v>
      </c>
    </row>
    <row r="858" spans="1:26">
      <c r="A858" s="89" t="str">
        <f t="shared" si="78"/>
        <v/>
      </c>
      <c r="B858" s="89" t="str">
        <f t="shared" si="79"/>
        <v/>
      </c>
      <c r="S858" s="89" t="str">
        <f t="shared" si="80"/>
        <v/>
      </c>
      <c r="X858" s="64">
        <f t="shared" si="81"/>
        <v>0</v>
      </c>
      <c r="Y858" s="53">
        <f t="shared" si="82"/>
        <v>0</v>
      </c>
      <c r="Z858" s="64">
        <f t="shared" si="83"/>
        <v>0</v>
      </c>
    </row>
    <row r="859" spans="1:26">
      <c r="A859" s="89" t="str">
        <f t="shared" si="78"/>
        <v/>
      </c>
      <c r="B859" s="89" t="str">
        <f t="shared" si="79"/>
        <v/>
      </c>
      <c r="S859" s="89" t="str">
        <f t="shared" si="80"/>
        <v/>
      </c>
      <c r="X859" s="64">
        <f t="shared" si="81"/>
        <v>0</v>
      </c>
      <c r="Y859" s="53">
        <f t="shared" si="82"/>
        <v>0</v>
      </c>
      <c r="Z859" s="64">
        <f t="shared" si="83"/>
        <v>0</v>
      </c>
    </row>
    <row r="860" spans="1:26">
      <c r="A860" s="89" t="str">
        <f t="shared" si="78"/>
        <v/>
      </c>
      <c r="B860" s="89" t="str">
        <f t="shared" si="79"/>
        <v/>
      </c>
      <c r="S860" s="89" t="str">
        <f t="shared" si="80"/>
        <v/>
      </c>
      <c r="X860" s="64">
        <f t="shared" si="81"/>
        <v>0</v>
      </c>
      <c r="Y860" s="53">
        <f t="shared" si="82"/>
        <v>0</v>
      </c>
      <c r="Z860" s="64">
        <f t="shared" si="83"/>
        <v>0</v>
      </c>
    </row>
    <row r="861" spans="1:26">
      <c r="A861" s="89" t="str">
        <f t="shared" si="78"/>
        <v/>
      </c>
      <c r="B861" s="89" t="str">
        <f t="shared" si="79"/>
        <v/>
      </c>
      <c r="S861" s="89" t="str">
        <f t="shared" si="80"/>
        <v/>
      </c>
      <c r="X861" s="64">
        <f t="shared" si="81"/>
        <v>0</v>
      </c>
      <c r="Y861" s="53">
        <f t="shared" si="82"/>
        <v>0</v>
      </c>
      <c r="Z861" s="64">
        <f t="shared" si="83"/>
        <v>0</v>
      </c>
    </row>
    <row r="862" spans="1:26">
      <c r="A862" s="89" t="str">
        <f t="shared" si="78"/>
        <v/>
      </c>
      <c r="B862" s="89" t="str">
        <f t="shared" si="79"/>
        <v/>
      </c>
      <c r="S862" s="89" t="str">
        <f t="shared" si="80"/>
        <v/>
      </c>
      <c r="X862" s="64">
        <f t="shared" si="81"/>
        <v>0</v>
      </c>
      <c r="Y862" s="53">
        <f t="shared" si="82"/>
        <v>0</v>
      </c>
      <c r="Z862" s="64">
        <f t="shared" si="83"/>
        <v>0</v>
      </c>
    </row>
    <row r="863" spans="1:26">
      <c r="A863" s="89" t="str">
        <f t="shared" si="78"/>
        <v/>
      </c>
      <c r="B863" s="89" t="str">
        <f t="shared" si="79"/>
        <v/>
      </c>
      <c r="S863" s="89" t="str">
        <f t="shared" si="80"/>
        <v/>
      </c>
      <c r="X863" s="64">
        <f t="shared" si="81"/>
        <v>0</v>
      </c>
      <c r="Y863" s="53">
        <f t="shared" si="82"/>
        <v>0</v>
      </c>
      <c r="Z863" s="64">
        <f t="shared" si="83"/>
        <v>0</v>
      </c>
    </row>
    <row r="864" spans="1:26">
      <c r="A864" s="89" t="str">
        <f t="shared" si="78"/>
        <v/>
      </c>
      <c r="B864" s="89" t="str">
        <f t="shared" si="79"/>
        <v/>
      </c>
      <c r="S864" s="89" t="str">
        <f t="shared" si="80"/>
        <v/>
      </c>
      <c r="X864" s="64">
        <f t="shared" si="81"/>
        <v>0</v>
      </c>
      <c r="Y864" s="53">
        <f t="shared" si="82"/>
        <v>0</v>
      </c>
      <c r="Z864" s="64">
        <f t="shared" si="83"/>
        <v>0</v>
      </c>
    </row>
    <row r="865" spans="1:26">
      <c r="A865" s="89" t="str">
        <f t="shared" si="78"/>
        <v/>
      </c>
      <c r="B865" s="89" t="str">
        <f t="shared" si="79"/>
        <v/>
      </c>
      <c r="S865" s="89" t="str">
        <f t="shared" si="80"/>
        <v/>
      </c>
      <c r="X865" s="64">
        <f t="shared" si="81"/>
        <v>0</v>
      </c>
      <c r="Y865" s="53">
        <f t="shared" si="82"/>
        <v>0</v>
      </c>
      <c r="Z865" s="64">
        <f t="shared" si="83"/>
        <v>0</v>
      </c>
    </row>
    <row r="866" spans="1:26">
      <c r="A866" s="89" t="str">
        <f t="shared" si="78"/>
        <v/>
      </c>
      <c r="B866" s="89" t="str">
        <f t="shared" si="79"/>
        <v/>
      </c>
      <c r="S866" s="89" t="str">
        <f t="shared" si="80"/>
        <v/>
      </c>
      <c r="X866" s="64">
        <f t="shared" si="81"/>
        <v>0</v>
      </c>
      <c r="Y866" s="53">
        <f t="shared" si="82"/>
        <v>0</v>
      </c>
      <c r="Z866" s="64">
        <f t="shared" si="83"/>
        <v>0</v>
      </c>
    </row>
    <row r="867" spans="1:26">
      <c r="A867" s="89" t="str">
        <f t="shared" si="78"/>
        <v/>
      </c>
      <c r="B867" s="89" t="str">
        <f t="shared" si="79"/>
        <v/>
      </c>
      <c r="S867" s="89" t="str">
        <f t="shared" si="80"/>
        <v/>
      </c>
      <c r="X867" s="64">
        <f t="shared" si="81"/>
        <v>0</v>
      </c>
      <c r="Y867" s="53">
        <f t="shared" si="82"/>
        <v>0</v>
      </c>
      <c r="Z867" s="64">
        <f t="shared" si="83"/>
        <v>0</v>
      </c>
    </row>
    <row r="868" spans="1:26">
      <c r="A868" s="89" t="str">
        <f t="shared" si="78"/>
        <v/>
      </c>
      <c r="B868" s="89" t="str">
        <f t="shared" si="79"/>
        <v/>
      </c>
      <c r="S868" s="89" t="str">
        <f t="shared" si="80"/>
        <v/>
      </c>
      <c r="X868" s="64">
        <f t="shared" si="81"/>
        <v>0</v>
      </c>
      <c r="Y868" s="53">
        <f t="shared" si="82"/>
        <v>0</v>
      </c>
      <c r="Z868" s="64">
        <f t="shared" si="83"/>
        <v>0</v>
      </c>
    </row>
    <row r="869" spans="1:26">
      <c r="A869" s="89" t="str">
        <f t="shared" si="78"/>
        <v/>
      </c>
      <c r="B869" s="89" t="str">
        <f t="shared" si="79"/>
        <v/>
      </c>
      <c r="S869" s="89" t="str">
        <f t="shared" si="80"/>
        <v/>
      </c>
      <c r="X869" s="64">
        <f t="shared" si="81"/>
        <v>0</v>
      </c>
      <c r="Y869" s="53">
        <f t="shared" si="82"/>
        <v>0</v>
      </c>
      <c r="Z869" s="64">
        <f t="shared" si="83"/>
        <v>0</v>
      </c>
    </row>
    <row r="870" spans="1:26">
      <c r="A870" s="89" t="str">
        <f t="shared" si="78"/>
        <v/>
      </c>
      <c r="B870" s="89" t="str">
        <f t="shared" si="79"/>
        <v/>
      </c>
      <c r="S870" s="89" t="str">
        <f t="shared" si="80"/>
        <v/>
      </c>
      <c r="X870" s="64">
        <f t="shared" si="81"/>
        <v>0</v>
      </c>
      <c r="Y870" s="53">
        <f t="shared" si="82"/>
        <v>0</v>
      </c>
      <c r="Z870" s="64">
        <f t="shared" si="83"/>
        <v>0</v>
      </c>
    </row>
    <row r="871" spans="1:26">
      <c r="A871" s="89" t="str">
        <f t="shared" si="78"/>
        <v/>
      </c>
      <c r="B871" s="89" t="str">
        <f t="shared" si="79"/>
        <v/>
      </c>
      <c r="S871" s="89" t="str">
        <f t="shared" si="80"/>
        <v/>
      </c>
      <c r="X871" s="64">
        <f t="shared" si="81"/>
        <v>0</v>
      </c>
      <c r="Y871" s="53">
        <f t="shared" si="82"/>
        <v>0</v>
      </c>
      <c r="Z871" s="64">
        <f t="shared" si="83"/>
        <v>0</v>
      </c>
    </row>
    <row r="872" spans="1:26">
      <c r="A872" s="89" t="str">
        <f t="shared" si="78"/>
        <v/>
      </c>
      <c r="B872" s="89" t="str">
        <f t="shared" si="79"/>
        <v/>
      </c>
      <c r="S872" s="89" t="str">
        <f t="shared" si="80"/>
        <v/>
      </c>
      <c r="X872" s="64">
        <f t="shared" si="81"/>
        <v>0</v>
      </c>
      <c r="Y872" s="53">
        <f t="shared" si="82"/>
        <v>0</v>
      </c>
      <c r="Z872" s="64">
        <f t="shared" si="83"/>
        <v>0</v>
      </c>
    </row>
    <row r="873" spans="1:26">
      <c r="A873" s="89" t="str">
        <f t="shared" si="78"/>
        <v/>
      </c>
      <c r="B873" s="89" t="str">
        <f t="shared" si="79"/>
        <v/>
      </c>
      <c r="S873" s="89" t="str">
        <f t="shared" si="80"/>
        <v/>
      </c>
      <c r="X873" s="64">
        <f t="shared" si="81"/>
        <v>0</v>
      </c>
      <c r="Y873" s="53">
        <f t="shared" si="82"/>
        <v>0</v>
      </c>
      <c r="Z873" s="64">
        <f t="shared" si="83"/>
        <v>0</v>
      </c>
    </row>
    <row r="874" spans="1:26">
      <c r="A874" s="89" t="str">
        <f t="shared" si="78"/>
        <v/>
      </c>
      <c r="B874" s="89" t="str">
        <f t="shared" si="79"/>
        <v/>
      </c>
      <c r="S874" s="89" t="str">
        <f t="shared" si="80"/>
        <v/>
      </c>
      <c r="X874" s="64">
        <f t="shared" si="81"/>
        <v>0</v>
      </c>
      <c r="Y874" s="53">
        <f t="shared" si="82"/>
        <v>0</v>
      </c>
      <c r="Z874" s="64">
        <f t="shared" si="83"/>
        <v>0</v>
      </c>
    </row>
    <row r="875" spans="1:26">
      <c r="A875" s="89" t="str">
        <f t="shared" si="78"/>
        <v/>
      </c>
      <c r="B875" s="89" t="str">
        <f t="shared" si="79"/>
        <v/>
      </c>
      <c r="S875" s="89" t="str">
        <f t="shared" si="80"/>
        <v/>
      </c>
      <c r="X875" s="64">
        <f t="shared" si="81"/>
        <v>0</v>
      </c>
      <c r="Y875" s="53">
        <f t="shared" si="82"/>
        <v>0</v>
      </c>
      <c r="Z875" s="64">
        <f t="shared" si="83"/>
        <v>0</v>
      </c>
    </row>
    <row r="876" spans="1:26">
      <c r="A876" s="89" t="str">
        <f t="shared" si="78"/>
        <v/>
      </c>
      <c r="B876" s="89" t="str">
        <f t="shared" si="79"/>
        <v/>
      </c>
      <c r="S876" s="89" t="str">
        <f t="shared" si="80"/>
        <v/>
      </c>
      <c r="X876" s="64">
        <f t="shared" si="81"/>
        <v>0</v>
      </c>
      <c r="Y876" s="53">
        <f t="shared" si="82"/>
        <v>0</v>
      </c>
      <c r="Z876" s="64">
        <f t="shared" si="83"/>
        <v>0</v>
      </c>
    </row>
    <row r="877" spans="1:26">
      <c r="A877" s="89" t="str">
        <f t="shared" si="78"/>
        <v/>
      </c>
      <c r="B877" s="89" t="str">
        <f t="shared" si="79"/>
        <v/>
      </c>
      <c r="S877" s="89" t="str">
        <f t="shared" si="80"/>
        <v/>
      </c>
      <c r="X877" s="64">
        <f t="shared" si="81"/>
        <v>0</v>
      </c>
      <c r="Y877" s="53">
        <f t="shared" si="82"/>
        <v>0</v>
      </c>
      <c r="Z877" s="64">
        <f t="shared" si="83"/>
        <v>0</v>
      </c>
    </row>
    <row r="878" spans="1:26">
      <c r="A878" s="89" t="str">
        <f t="shared" si="78"/>
        <v/>
      </c>
      <c r="B878" s="89" t="str">
        <f t="shared" si="79"/>
        <v/>
      </c>
      <c r="S878" s="89" t="str">
        <f t="shared" si="80"/>
        <v/>
      </c>
      <c r="X878" s="64">
        <f t="shared" si="81"/>
        <v>0</v>
      </c>
      <c r="Y878" s="53">
        <f t="shared" si="82"/>
        <v>0</v>
      </c>
      <c r="Z878" s="64">
        <f t="shared" si="83"/>
        <v>0</v>
      </c>
    </row>
    <row r="879" spans="1:26">
      <c r="A879" s="89" t="str">
        <f t="shared" si="78"/>
        <v/>
      </c>
      <c r="B879" s="89" t="str">
        <f t="shared" si="79"/>
        <v/>
      </c>
      <c r="S879" s="89" t="str">
        <f t="shared" si="80"/>
        <v/>
      </c>
      <c r="X879" s="64">
        <f t="shared" si="81"/>
        <v>0</v>
      </c>
      <c r="Y879" s="53">
        <f t="shared" si="82"/>
        <v>0</v>
      </c>
      <c r="Z879" s="64">
        <f t="shared" si="83"/>
        <v>0</v>
      </c>
    </row>
    <row r="880" spans="1:26">
      <c r="A880" s="89" t="str">
        <f t="shared" si="78"/>
        <v/>
      </c>
      <c r="B880" s="89" t="str">
        <f t="shared" si="79"/>
        <v/>
      </c>
      <c r="S880" s="89" t="str">
        <f t="shared" si="80"/>
        <v/>
      </c>
      <c r="X880" s="64">
        <f t="shared" si="81"/>
        <v>0</v>
      </c>
      <c r="Y880" s="53">
        <f t="shared" si="82"/>
        <v>0</v>
      </c>
      <c r="Z880" s="64">
        <f t="shared" si="83"/>
        <v>0</v>
      </c>
    </row>
    <row r="881" spans="1:26">
      <c r="A881" s="89" t="str">
        <f t="shared" si="78"/>
        <v/>
      </c>
      <c r="B881" s="89" t="str">
        <f t="shared" si="79"/>
        <v/>
      </c>
      <c r="S881" s="89" t="str">
        <f t="shared" si="80"/>
        <v/>
      </c>
      <c r="X881" s="64">
        <f t="shared" si="81"/>
        <v>0</v>
      </c>
      <c r="Y881" s="53">
        <f t="shared" si="82"/>
        <v>0</v>
      </c>
      <c r="Z881" s="64">
        <f t="shared" si="83"/>
        <v>0</v>
      </c>
    </row>
    <row r="882" spans="1:26">
      <c r="A882" s="89" t="str">
        <f t="shared" si="78"/>
        <v/>
      </c>
      <c r="B882" s="89" t="str">
        <f t="shared" si="79"/>
        <v/>
      </c>
      <c r="S882" s="89" t="str">
        <f t="shared" si="80"/>
        <v/>
      </c>
      <c r="X882" s="64">
        <f t="shared" si="81"/>
        <v>0</v>
      </c>
      <c r="Y882" s="53">
        <f t="shared" si="82"/>
        <v>0</v>
      </c>
      <c r="Z882" s="64">
        <f t="shared" si="83"/>
        <v>0</v>
      </c>
    </row>
    <row r="883" spans="1:26">
      <c r="A883" s="89" t="str">
        <f t="shared" si="78"/>
        <v/>
      </c>
      <c r="B883" s="89" t="str">
        <f t="shared" si="79"/>
        <v/>
      </c>
      <c r="S883" s="89" t="str">
        <f t="shared" si="80"/>
        <v/>
      </c>
      <c r="X883" s="64">
        <f t="shared" si="81"/>
        <v>0</v>
      </c>
      <c r="Y883" s="53">
        <f t="shared" si="82"/>
        <v>0</v>
      </c>
      <c r="Z883" s="64">
        <f t="shared" si="83"/>
        <v>0</v>
      </c>
    </row>
    <row r="884" spans="1:26">
      <c r="A884" s="89" t="str">
        <f t="shared" si="78"/>
        <v/>
      </c>
      <c r="B884" s="89" t="str">
        <f t="shared" si="79"/>
        <v/>
      </c>
      <c r="S884" s="89" t="str">
        <f t="shared" si="80"/>
        <v/>
      </c>
      <c r="X884" s="64">
        <f t="shared" si="81"/>
        <v>0</v>
      </c>
      <c r="Y884" s="53">
        <f t="shared" si="82"/>
        <v>0</v>
      </c>
      <c r="Z884" s="64">
        <f t="shared" si="83"/>
        <v>0</v>
      </c>
    </row>
    <row r="885" spans="1:26">
      <c r="A885" s="89" t="str">
        <f t="shared" si="78"/>
        <v/>
      </c>
      <c r="B885" s="89" t="str">
        <f t="shared" si="79"/>
        <v/>
      </c>
      <c r="S885" s="89" t="str">
        <f t="shared" si="80"/>
        <v/>
      </c>
      <c r="X885" s="64">
        <f t="shared" si="81"/>
        <v>0</v>
      </c>
      <c r="Y885" s="53">
        <f t="shared" si="82"/>
        <v>0</v>
      </c>
      <c r="Z885" s="64">
        <f t="shared" si="83"/>
        <v>0</v>
      </c>
    </row>
    <row r="886" spans="1:26">
      <c r="A886" s="89" t="str">
        <f t="shared" si="78"/>
        <v/>
      </c>
      <c r="B886" s="89" t="str">
        <f t="shared" si="79"/>
        <v/>
      </c>
      <c r="S886" s="89" t="str">
        <f t="shared" si="80"/>
        <v/>
      </c>
      <c r="X886" s="64">
        <f t="shared" si="81"/>
        <v>0</v>
      </c>
      <c r="Y886" s="53">
        <f t="shared" si="82"/>
        <v>0</v>
      </c>
      <c r="Z886" s="64">
        <f t="shared" si="83"/>
        <v>0</v>
      </c>
    </row>
    <row r="887" spans="1:26">
      <c r="A887" s="89" t="str">
        <f t="shared" si="78"/>
        <v/>
      </c>
      <c r="B887" s="89" t="str">
        <f t="shared" si="79"/>
        <v/>
      </c>
      <c r="S887" s="89" t="str">
        <f t="shared" si="80"/>
        <v/>
      </c>
      <c r="X887" s="64">
        <f t="shared" si="81"/>
        <v>0</v>
      </c>
      <c r="Y887" s="53">
        <f t="shared" si="82"/>
        <v>0</v>
      </c>
      <c r="Z887" s="64">
        <f t="shared" si="83"/>
        <v>0</v>
      </c>
    </row>
    <row r="888" spans="1:26">
      <c r="A888" s="89" t="str">
        <f t="shared" si="78"/>
        <v/>
      </c>
      <c r="B888" s="89" t="str">
        <f t="shared" si="79"/>
        <v/>
      </c>
      <c r="S888" s="89" t="str">
        <f t="shared" si="80"/>
        <v/>
      </c>
      <c r="X888" s="64">
        <f t="shared" si="81"/>
        <v>0</v>
      </c>
      <c r="Y888" s="53">
        <f t="shared" si="82"/>
        <v>0</v>
      </c>
      <c r="Z888" s="64">
        <f t="shared" si="83"/>
        <v>0</v>
      </c>
    </row>
    <row r="889" spans="1:26">
      <c r="A889" s="89" t="str">
        <f t="shared" si="78"/>
        <v/>
      </c>
      <c r="B889" s="89" t="str">
        <f t="shared" si="79"/>
        <v/>
      </c>
      <c r="S889" s="89" t="str">
        <f t="shared" si="80"/>
        <v/>
      </c>
      <c r="X889" s="64">
        <f t="shared" si="81"/>
        <v>0</v>
      </c>
      <c r="Y889" s="53">
        <f t="shared" si="82"/>
        <v>0</v>
      </c>
      <c r="Z889" s="64">
        <f t="shared" si="83"/>
        <v>0</v>
      </c>
    </row>
    <row r="890" spans="1:26">
      <c r="A890" s="89" t="str">
        <f t="shared" si="78"/>
        <v/>
      </c>
      <c r="B890" s="89" t="str">
        <f t="shared" si="79"/>
        <v/>
      </c>
      <c r="S890" s="89" t="str">
        <f t="shared" si="80"/>
        <v/>
      </c>
      <c r="X890" s="64">
        <f t="shared" si="81"/>
        <v>0</v>
      </c>
      <c r="Y890" s="53">
        <f t="shared" si="82"/>
        <v>0</v>
      </c>
      <c r="Z890" s="64">
        <f t="shared" si="83"/>
        <v>0</v>
      </c>
    </row>
    <row r="891" spans="1:26">
      <c r="A891" s="89" t="str">
        <f t="shared" si="78"/>
        <v/>
      </c>
      <c r="B891" s="89" t="str">
        <f t="shared" si="79"/>
        <v/>
      </c>
      <c r="S891" s="89" t="str">
        <f t="shared" si="80"/>
        <v/>
      </c>
      <c r="X891" s="64">
        <f t="shared" si="81"/>
        <v>0</v>
      </c>
      <c r="Y891" s="53">
        <f t="shared" si="82"/>
        <v>0</v>
      </c>
      <c r="Z891" s="64">
        <f t="shared" si="83"/>
        <v>0</v>
      </c>
    </row>
    <row r="892" spans="1:26">
      <c r="A892" s="89" t="str">
        <f t="shared" si="78"/>
        <v/>
      </c>
      <c r="B892" s="89" t="str">
        <f t="shared" si="79"/>
        <v/>
      </c>
      <c r="S892" s="89" t="str">
        <f t="shared" si="80"/>
        <v/>
      </c>
      <c r="X892" s="64">
        <f t="shared" si="81"/>
        <v>0</v>
      </c>
      <c r="Y892" s="53">
        <f t="shared" si="82"/>
        <v>0</v>
      </c>
      <c r="Z892" s="64">
        <f t="shared" si="83"/>
        <v>0</v>
      </c>
    </row>
    <row r="893" spans="1:26">
      <c r="A893" s="89" t="str">
        <f t="shared" si="78"/>
        <v/>
      </c>
      <c r="B893" s="89" t="str">
        <f t="shared" si="79"/>
        <v/>
      </c>
      <c r="S893" s="89" t="str">
        <f t="shared" si="80"/>
        <v/>
      </c>
      <c r="X893" s="64">
        <f t="shared" si="81"/>
        <v>0</v>
      </c>
      <c r="Y893" s="53">
        <f t="shared" si="82"/>
        <v>0</v>
      </c>
      <c r="Z893" s="64">
        <f t="shared" si="83"/>
        <v>0</v>
      </c>
    </row>
    <row r="894" spans="1:26">
      <c r="A894" s="89" t="str">
        <f t="shared" si="78"/>
        <v/>
      </c>
      <c r="B894" s="89" t="str">
        <f t="shared" si="79"/>
        <v/>
      </c>
      <c r="S894" s="89" t="str">
        <f t="shared" si="80"/>
        <v/>
      </c>
      <c r="X894" s="64">
        <f t="shared" si="81"/>
        <v>0</v>
      </c>
      <c r="Y894" s="53">
        <f t="shared" si="82"/>
        <v>0</v>
      </c>
      <c r="Z894" s="64">
        <f t="shared" si="83"/>
        <v>0</v>
      </c>
    </row>
    <row r="895" spans="1:26">
      <c r="A895" s="89" t="str">
        <f t="shared" si="78"/>
        <v/>
      </c>
      <c r="B895" s="89" t="str">
        <f t="shared" si="79"/>
        <v/>
      </c>
      <c r="S895" s="89" t="str">
        <f t="shared" si="80"/>
        <v/>
      </c>
      <c r="X895" s="64">
        <f t="shared" si="81"/>
        <v>0</v>
      </c>
      <c r="Y895" s="53">
        <f t="shared" si="82"/>
        <v>0</v>
      </c>
      <c r="Z895" s="64">
        <f t="shared" si="83"/>
        <v>0</v>
      </c>
    </row>
    <row r="896" spans="1:26">
      <c r="A896" s="89" t="str">
        <f t="shared" si="78"/>
        <v/>
      </c>
      <c r="B896" s="89" t="str">
        <f t="shared" si="79"/>
        <v/>
      </c>
      <c r="S896" s="89" t="str">
        <f t="shared" si="80"/>
        <v/>
      </c>
      <c r="X896" s="64">
        <f t="shared" si="81"/>
        <v>0</v>
      </c>
      <c r="Y896" s="53">
        <f t="shared" si="82"/>
        <v>0</v>
      </c>
      <c r="Z896" s="64">
        <f t="shared" si="83"/>
        <v>0</v>
      </c>
    </row>
    <row r="897" spans="1:26">
      <c r="A897" s="89" t="str">
        <f t="shared" si="78"/>
        <v/>
      </c>
      <c r="B897" s="89" t="str">
        <f t="shared" si="79"/>
        <v/>
      </c>
      <c r="S897" s="89" t="str">
        <f t="shared" si="80"/>
        <v/>
      </c>
      <c r="X897" s="64">
        <f t="shared" si="81"/>
        <v>0</v>
      </c>
      <c r="Y897" s="53">
        <f t="shared" si="82"/>
        <v>0</v>
      </c>
      <c r="Z897" s="64">
        <f t="shared" si="83"/>
        <v>0</v>
      </c>
    </row>
    <row r="898" spans="1:26">
      <c r="A898" s="89" t="str">
        <f t="shared" si="78"/>
        <v/>
      </c>
      <c r="B898" s="89" t="str">
        <f t="shared" si="79"/>
        <v/>
      </c>
      <c r="S898" s="89" t="str">
        <f t="shared" si="80"/>
        <v/>
      </c>
      <c r="X898" s="64">
        <f t="shared" si="81"/>
        <v>0</v>
      </c>
      <c r="Y898" s="53">
        <f t="shared" si="82"/>
        <v>0</v>
      </c>
      <c r="Z898" s="64">
        <f t="shared" si="83"/>
        <v>0</v>
      </c>
    </row>
    <row r="899" spans="1:26">
      <c r="A899" s="89" t="str">
        <f t="shared" ref="A899:A962" si="84">IF(G899&amp;Q899&lt;&gt;"",G899&amp;Q899,"")</f>
        <v/>
      </c>
      <c r="B899" s="89" t="str">
        <f t="shared" ref="B899:B962" si="85">IF(C899&lt;&gt;"",LEFT(C899,9),"")</f>
        <v/>
      </c>
      <c r="S899" s="89" t="str">
        <f t="shared" ref="S899:S962" si="86">IF(H899&lt;&gt;"",H899,"")</f>
        <v/>
      </c>
      <c r="X899" s="64">
        <f t="shared" ref="X899:X962" si="87">IFERROR(VALUE(MID($C899,1,2)),0)</f>
        <v>0</v>
      </c>
      <c r="Y899" s="53">
        <f t="shared" ref="Y899:Y962" si="88">IFERROR(VALUE(MID($C899,4,3)),0)</f>
        <v>0</v>
      </c>
      <c r="Z899" s="64">
        <f t="shared" ref="Z899:Z962" si="89">VALUE(RIGHT("00"&amp;X899,2)&amp;RIGHT("000"&amp;Y899,3))</f>
        <v>0</v>
      </c>
    </row>
    <row r="900" spans="1:26">
      <c r="A900" s="89" t="str">
        <f t="shared" si="84"/>
        <v/>
      </c>
      <c r="B900" s="89" t="str">
        <f t="shared" si="85"/>
        <v/>
      </c>
      <c r="S900" s="89" t="str">
        <f t="shared" si="86"/>
        <v/>
      </c>
      <c r="X900" s="64">
        <f t="shared" si="87"/>
        <v>0</v>
      </c>
      <c r="Y900" s="53">
        <f t="shared" si="88"/>
        <v>0</v>
      </c>
      <c r="Z900" s="64">
        <f t="shared" si="89"/>
        <v>0</v>
      </c>
    </row>
    <row r="901" spans="1:26">
      <c r="A901" s="89" t="str">
        <f t="shared" si="84"/>
        <v/>
      </c>
      <c r="B901" s="89" t="str">
        <f t="shared" si="85"/>
        <v/>
      </c>
      <c r="S901" s="89" t="str">
        <f t="shared" si="86"/>
        <v/>
      </c>
      <c r="X901" s="64">
        <f t="shared" si="87"/>
        <v>0</v>
      </c>
      <c r="Y901" s="53">
        <f t="shared" si="88"/>
        <v>0</v>
      </c>
      <c r="Z901" s="64">
        <f t="shared" si="89"/>
        <v>0</v>
      </c>
    </row>
    <row r="902" spans="1:26">
      <c r="A902" s="89" t="str">
        <f t="shared" si="84"/>
        <v/>
      </c>
      <c r="B902" s="89" t="str">
        <f t="shared" si="85"/>
        <v/>
      </c>
      <c r="S902" s="89" t="str">
        <f t="shared" si="86"/>
        <v/>
      </c>
      <c r="X902" s="64">
        <f t="shared" si="87"/>
        <v>0</v>
      </c>
      <c r="Y902" s="53">
        <f t="shared" si="88"/>
        <v>0</v>
      </c>
      <c r="Z902" s="64">
        <f t="shared" si="89"/>
        <v>0</v>
      </c>
    </row>
    <row r="903" spans="1:26">
      <c r="A903" s="89" t="str">
        <f t="shared" si="84"/>
        <v/>
      </c>
      <c r="B903" s="89" t="str">
        <f t="shared" si="85"/>
        <v/>
      </c>
      <c r="S903" s="89" t="str">
        <f t="shared" si="86"/>
        <v/>
      </c>
      <c r="X903" s="64">
        <f t="shared" si="87"/>
        <v>0</v>
      </c>
      <c r="Y903" s="53">
        <f t="shared" si="88"/>
        <v>0</v>
      </c>
      <c r="Z903" s="64">
        <f t="shared" si="89"/>
        <v>0</v>
      </c>
    </row>
    <row r="904" spans="1:26">
      <c r="A904" s="89" t="str">
        <f t="shared" si="84"/>
        <v/>
      </c>
      <c r="B904" s="89" t="str">
        <f t="shared" si="85"/>
        <v/>
      </c>
      <c r="S904" s="89" t="str">
        <f t="shared" si="86"/>
        <v/>
      </c>
      <c r="X904" s="64">
        <f t="shared" si="87"/>
        <v>0</v>
      </c>
      <c r="Y904" s="53">
        <f t="shared" si="88"/>
        <v>0</v>
      </c>
      <c r="Z904" s="64">
        <f t="shared" si="89"/>
        <v>0</v>
      </c>
    </row>
    <row r="905" spans="1:26">
      <c r="A905" s="89" t="str">
        <f t="shared" si="84"/>
        <v/>
      </c>
      <c r="B905" s="89" t="str">
        <f t="shared" si="85"/>
        <v/>
      </c>
      <c r="S905" s="89" t="str">
        <f t="shared" si="86"/>
        <v/>
      </c>
      <c r="X905" s="64">
        <f t="shared" si="87"/>
        <v>0</v>
      </c>
      <c r="Y905" s="53">
        <f t="shared" si="88"/>
        <v>0</v>
      </c>
      <c r="Z905" s="64">
        <f t="shared" si="89"/>
        <v>0</v>
      </c>
    </row>
    <row r="906" spans="1:26">
      <c r="A906" s="89" t="str">
        <f t="shared" si="84"/>
        <v/>
      </c>
      <c r="B906" s="89" t="str">
        <f t="shared" si="85"/>
        <v/>
      </c>
      <c r="S906" s="89" t="str">
        <f t="shared" si="86"/>
        <v/>
      </c>
      <c r="X906" s="64">
        <f t="shared" si="87"/>
        <v>0</v>
      </c>
      <c r="Y906" s="53">
        <f t="shared" si="88"/>
        <v>0</v>
      </c>
      <c r="Z906" s="64">
        <f t="shared" si="89"/>
        <v>0</v>
      </c>
    </row>
    <row r="907" spans="1:26">
      <c r="A907" s="89" t="str">
        <f t="shared" si="84"/>
        <v/>
      </c>
      <c r="B907" s="89" t="str">
        <f t="shared" si="85"/>
        <v/>
      </c>
      <c r="S907" s="89" t="str">
        <f t="shared" si="86"/>
        <v/>
      </c>
      <c r="X907" s="64">
        <f t="shared" si="87"/>
        <v>0</v>
      </c>
      <c r="Y907" s="53">
        <f t="shared" si="88"/>
        <v>0</v>
      </c>
      <c r="Z907" s="64">
        <f t="shared" si="89"/>
        <v>0</v>
      </c>
    </row>
    <row r="908" spans="1:26">
      <c r="A908" s="89" t="str">
        <f t="shared" si="84"/>
        <v/>
      </c>
      <c r="B908" s="89" t="str">
        <f t="shared" si="85"/>
        <v/>
      </c>
      <c r="S908" s="89" t="str">
        <f t="shared" si="86"/>
        <v/>
      </c>
      <c r="X908" s="64">
        <f t="shared" si="87"/>
        <v>0</v>
      </c>
      <c r="Y908" s="53">
        <f t="shared" si="88"/>
        <v>0</v>
      </c>
      <c r="Z908" s="64">
        <f t="shared" si="89"/>
        <v>0</v>
      </c>
    </row>
    <row r="909" spans="1:26">
      <c r="A909" s="89" t="str">
        <f t="shared" si="84"/>
        <v/>
      </c>
      <c r="B909" s="89" t="str">
        <f t="shared" si="85"/>
        <v/>
      </c>
      <c r="S909" s="89" t="str">
        <f t="shared" si="86"/>
        <v/>
      </c>
      <c r="X909" s="64">
        <f t="shared" si="87"/>
        <v>0</v>
      </c>
      <c r="Y909" s="53">
        <f t="shared" si="88"/>
        <v>0</v>
      </c>
      <c r="Z909" s="64">
        <f t="shared" si="89"/>
        <v>0</v>
      </c>
    </row>
    <row r="910" spans="1:26">
      <c r="A910" s="89" t="str">
        <f t="shared" si="84"/>
        <v/>
      </c>
      <c r="B910" s="89" t="str">
        <f t="shared" si="85"/>
        <v/>
      </c>
      <c r="S910" s="89" t="str">
        <f t="shared" si="86"/>
        <v/>
      </c>
      <c r="X910" s="64">
        <f t="shared" si="87"/>
        <v>0</v>
      </c>
      <c r="Y910" s="53">
        <f t="shared" si="88"/>
        <v>0</v>
      </c>
      <c r="Z910" s="64">
        <f t="shared" si="89"/>
        <v>0</v>
      </c>
    </row>
    <row r="911" spans="1:26">
      <c r="A911" s="89" t="str">
        <f t="shared" si="84"/>
        <v/>
      </c>
      <c r="B911" s="89" t="str">
        <f t="shared" si="85"/>
        <v/>
      </c>
      <c r="S911" s="89" t="str">
        <f t="shared" si="86"/>
        <v/>
      </c>
      <c r="X911" s="64">
        <f t="shared" si="87"/>
        <v>0</v>
      </c>
      <c r="Y911" s="53">
        <f t="shared" si="88"/>
        <v>0</v>
      </c>
      <c r="Z911" s="64">
        <f t="shared" si="89"/>
        <v>0</v>
      </c>
    </row>
    <row r="912" spans="1:26">
      <c r="A912" s="89" t="str">
        <f t="shared" si="84"/>
        <v/>
      </c>
      <c r="B912" s="89" t="str">
        <f t="shared" si="85"/>
        <v/>
      </c>
      <c r="S912" s="89" t="str">
        <f t="shared" si="86"/>
        <v/>
      </c>
      <c r="X912" s="64">
        <f t="shared" si="87"/>
        <v>0</v>
      </c>
      <c r="Y912" s="53">
        <f t="shared" si="88"/>
        <v>0</v>
      </c>
      <c r="Z912" s="64">
        <f t="shared" si="89"/>
        <v>0</v>
      </c>
    </row>
    <row r="913" spans="1:26">
      <c r="A913" s="89" t="str">
        <f t="shared" si="84"/>
        <v/>
      </c>
      <c r="B913" s="89" t="str">
        <f t="shared" si="85"/>
        <v/>
      </c>
      <c r="S913" s="89" t="str">
        <f t="shared" si="86"/>
        <v/>
      </c>
      <c r="X913" s="64">
        <f t="shared" si="87"/>
        <v>0</v>
      </c>
      <c r="Y913" s="53">
        <f t="shared" si="88"/>
        <v>0</v>
      </c>
      <c r="Z913" s="64">
        <f t="shared" si="89"/>
        <v>0</v>
      </c>
    </row>
    <row r="914" spans="1:26">
      <c r="A914" s="89" t="str">
        <f t="shared" si="84"/>
        <v/>
      </c>
      <c r="B914" s="89" t="str">
        <f t="shared" si="85"/>
        <v/>
      </c>
      <c r="S914" s="89" t="str">
        <f t="shared" si="86"/>
        <v/>
      </c>
      <c r="X914" s="64">
        <f t="shared" si="87"/>
        <v>0</v>
      </c>
      <c r="Y914" s="53">
        <f t="shared" si="88"/>
        <v>0</v>
      </c>
      <c r="Z914" s="64">
        <f t="shared" si="89"/>
        <v>0</v>
      </c>
    </row>
    <row r="915" spans="1:26">
      <c r="A915" s="89" t="str">
        <f t="shared" si="84"/>
        <v/>
      </c>
      <c r="B915" s="89" t="str">
        <f t="shared" si="85"/>
        <v/>
      </c>
      <c r="S915" s="89" t="str">
        <f t="shared" si="86"/>
        <v/>
      </c>
      <c r="X915" s="64">
        <f t="shared" si="87"/>
        <v>0</v>
      </c>
      <c r="Y915" s="53">
        <f t="shared" si="88"/>
        <v>0</v>
      </c>
      <c r="Z915" s="64">
        <f t="shared" si="89"/>
        <v>0</v>
      </c>
    </row>
    <row r="916" spans="1:26">
      <c r="A916" s="89" t="str">
        <f t="shared" si="84"/>
        <v/>
      </c>
      <c r="B916" s="89" t="str">
        <f t="shared" si="85"/>
        <v/>
      </c>
      <c r="S916" s="89" t="str">
        <f t="shared" si="86"/>
        <v/>
      </c>
      <c r="X916" s="64">
        <f t="shared" si="87"/>
        <v>0</v>
      </c>
      <c r="Y916" s="53">
        <f t="shared" si="88"/>
        <v>0</v>
      </c>
      <c r="Z916" s="64">
        <f t="shared" si="89"/>
        <v>0</v>
      </c>
    </row>
    <row r="917" spans="1:26">
      <c r="A917" s="89" t="str">
        <f t="shared" si="84"/>
        <v/>
      </c>
      <c r="B917" s="89" t="str">
        <f t="shared" si="85"/>
        <v/>
      </c>
      <c r="S917" s="89" t="str">
        <f t="shared" si="86"/>
        <v/>
      </c>
      <c r="X917" s="64">
        <f t="shared" si="87"/>
        <v>0</v>
      </c>
      <c r="Y917" s="53">
        <f t="shared" si="88"/>
        <v>0</v>
      </c>
      <c r="Z917" s="64">
        <f t="shared" si="89"/>
        <v>0</v>
      </c>
    </row>
    <row r="918" spans="1:26">
      <c r="A918" s="89" t="str">
        <f t="shared" si="84"/>
        <v/>
      </c>
      <c r="B918" s="89" t="str">
        <f t="shared" si="85"/>
        <v/>
      </c>
      <c r="S918" s="89" t="str">
        <f t="shared" si="86"/>
        <v/>
      </c>
      <c r="X918" s="64">
        <f t="shared" si="87"/>
        <v>0</v>
      </c>
      <c r="Y918" s="53">
        <f t="shared" si="88"/>
        <v>0</v>
      </c>
      <c r="Z918" s="64">
        <f t="shared" si="89"/>
        <v>0</v>
      </c>
    </row>
    <row r="919" spans="1:26">
      <c r="A919" s="89" t="str">
        <f t="shared" si="84"/>
        <v/>
      </c>
      <c r="B919" s="89" t="str">
        <f t="shared" si="85"/>
        <v/>
      </c>
      <c r="S919" s="89" t="str">
        <f t="shared" si="86"/>
        <v/>
      </c>
      <c r="X919" s="64">
        <f t="shared" si="87"/>
        <v>0</v>
      </c>
      <c r="Y919" s="53">
        <f t="shared" si="88"/>
        <v>0</v>
      </c>
      <c r="Z919" s="64">
        <f t="shared" si="89"/>
        <v>0</v>
      </c>
    </row>
    <row r="920" spans="1:26">
      <c r="A920" s="89" t="str">
        <f t="shared" si="84"/>
        <v/>
      </c>
      <c r="B920" s="89" t="str">
        <f t="shared" si="85"/>
        <v/>
      </c>
      <c r="S920" s="89" t="str">
        <f t="shared" si="86"/>
        <v/>
      </c>
      <c r="X920" s="64">
        <f t="shared" si="87"/>
        <v>0</v>
      </c>
      <c r="Y920" s="53">
        <f t="shared" si="88"/>
        <v>0</v>
      </c>
      <c r="Z920" s="64">
        <f t="shared" si="89"/>
        <v>0</v>
      </c>
    </row>
    <row r="921" spans="1:26">
      <c r="A921" s="89" t="str">
        <f t="shared" si="84"/>
        <v/>
      </c>
      <c r="B921" s="89" t="str">
        <f t="shared" si="85"/>
        <v/>
      </c>
      <c r="S921" s="89" t="str">
        <f t="shared" si="86"/>
        <v/>
      </c>
      <c r="X921" s="64">
        <f t="shared" si="87"/>
        <v>0</v>
      </c>
      <c r="Y921" s="53">
        <f t="shared" si="88"/>
        <v>0</v>
      </c>
      <c r="Z921" s="64">
        <f t="shared" si="89"/>
        <v>0</v>
      </c>
    </row>
    <row r="922" spans="1:26">
      <c r="A922" s="89" t="str">
        <f t="shared" si="84"/>
        <v/>
      </c>
      <c r="B922" s="89" t="str">
        <f t="shared" si="85"/>
        <v/>
      </c>
      <c r="S922" s="89" t="str">
        <f t="shared" si="86"/>
        <v/>
      </c>
      <c r="X922" s="64">
        <f t="shared" si="87"/>
        <v>0</v>
      </c>
      <c r="Y922" s="53">
        <f t="shared" si="88"/>
        <v>0</v>
      </c>
      <c r="Z922" s="64">
        <f t="shared" si="89"/>
        <v>0</v>
      </c>
    </row>
    <row r="923" spans="1:26">
      <c r="A923" s="89" t="str">
        <f t="shared" si="84"/>
        <v/>
      </c>
      <c r="B923" s="89" t="str">
        <f t="shared" si="85"/>
        <v/>
      </c>
      <c r="S923" s="89" t="str">
        <f t="shared" si="86"/>
        <v/>
      </c>
      <c r="X923" s="64">
        <f t="shared" si="87"/>
        <v>0</v>
      </c>
      <c r="Y923" s="53">
        <f t="shared" si="88"/>
        <v>0</v>
      </c>
      <c r="Z923" s="64">
        <f t="shared" si="89"/>
        <v>0</v>
      </c>
    </row>
    <row r="924" spans="1:26">
      <c r="A924" s="89" t="str">
        <f t="shared" si="84"/>
        <v/>
      </c>
      <c r="B924" s="89" t="str">
        <f t="shared" si="85"/>
        <v/>
      </c>
      <c r="S924" s="89" t="str">
        <f t="shared" si="86"/>
        <v/>
      </c>
      <c r="X924" s="64">
        <f t="shared" si="87"/>
        <v>0</v>
      </c>
      <c r="Y924" s="53">
        <f t="shared" si="88"/>
        <v>0</v>
      </c>
      <c r="Z924" s="64">
        <f t="shared" si="89"/>
        <v>0</v>
      </c>
    </row>
    <row r="925" spans="1:26">
      <c r="A925" s="89" t="str">
        <f t="shared" si="84"/>
        <v/>
      </c>
      <c r="B925" s="89" t="str">
        <f t="shared" si="85"/>
        <v/>
      </c>
      <c r="S925" s="89" t="str">
        <f t="shared" si="86"/>
        <v/>
      </c>
      <c r="X925" s="64">
        <f t="shared" si="87"/>
        <v>0</v>
      </c>
      <c r="Y925" s="53">
        <f t="shared" si="88"/>
        <v>0</v>
      </c>
      <c r="Z925" s="64">
        <f t="shared" si="89"/>
        <v>0</v>
      </c>
    </row>
    <row r="926" spans="1:26">
      <c r="A926" s="89" t="str">
        <f t="shared" si="84"/>
        <v/>
      </c>
      <c r="B926" s="89" t="str">
        <f t="shared" si="85"/>
        <v/>
      </c>
      <c r="S926" s="89" t="str">
        <f t="shared" si="86"/>
        <v/>
      </c>
      <c r="X926" s="64">
        <f t="shared" si="87"/>
        <v>0</v>
      </c>
      <c r="Y926" s="53">
        <f t="shared" si="88"/>
        <v>0</v>
      </c>
      <c r="Z926" s="64">
        <f t="shared" si="89"/>
        <v>0</v>
      </c>
    </row>
    <row r="927" spans="1:26">
      <c r="A927" s="89" t="str">
        <f t="shared" si="84"/>
        <v/>
      </c>
      <c r="B927" s="89" t="str">
        <f t="shared" si="85"/>
        <v/>
      </c>
      <c r="S927" s="89" t="str">
        <f t="shared" si="86"/>
        <v/>
      </c>
      <c r="X927" s="64">
        <f t="shared" si="87"/>
        <v>0</v>
      </c>
      <c r="Y927" s="53">
        <f t="shared" si="88"/>
        <v>0</v>
      </c>
      <c r="Z927" s="64">
        <f t="shared" si="89"/>
        <v>0</v>
      </c>
    </row>
    <row r="928" spans="1:26">
      <c r="A928" s="89" t="str">
        <f t="shared" si="84"/>
        <v/>
      </c>
      <c r="B928" s="89" t="str">
        <f t="shared" si="85"/>
        <v/>
      </c>
      <c r="S928" s="89" t="str">
        <f t="shared" si="86"/>
        <v/>
      </c>
      <c r="X928" s="64">
        <f t="shared" si="87"/>
        <v>0</v>
      </c>
      <c r="Y928" s="53">
        <f t="shared" si="88"/>
        <v>0</v>
      </c>
      <c r="Z928" s="64">
        <f t="shared" si="89"/>
        <v>0</v>
      </c>
    </row>
    <row r="929" spans="1:26">
      <c r="A929" s="89" t="str">
        <f t="shared" si="84"/>
        <v/>
      </c>
      <c r="B929" s="89" t="str">
        <f t="shared" si="85"/>
        <v/>
      </c>
      <c r="S929" s="89" t="str">
        <f t="shared" si="86"/>
        <v/>
      </c>
      <c r="X929" s="64">
        <f t="shared" si="87"/>
        <v>0</v>
      </c>
      <c r="Y929" s="53">
        <f t="shared" si="88"/>
        <v>0</v>
      </c>
      <c r="Z929" s="64">
        <f t="shared" si="89"/>
        <v>0</v>
      </c>
    </row>
    <row r="930" spans="1:26">
      <c r="A930" s="89" t="str">
        <f t="shared" si="84"/>
        <v/>
      </c>
      <c r="B930" s="89" t="str">
        <f t="shared" si="85"/>
        <v/>
      </c>
      <c r="S930" s="89" t="str">
        <f t="shared" si="86"/>
        <v/>
      </c>
      <c r="X930" s="64">
        <f t="shared" si="87"/>
        <v>0</v>
      </c>
      <c r="Y930" s="53">
        <f t="shared" si="88"/>
        <v>0</v>
      </c>
      <c r="Z930" s="64">
        <f t="shared" si="89"/>
        <v>0</v>
      </c>
    </row>
    <row r="931" spans="1:26">
      <c r="A931" s="89" t="str">
        <f t="shared" si="84"/>
        <v/>
      </c>
      <c r="B931" s="89" t="str">
        <f t="shared" si="85"/>
        <v/>
      </c>
      <c r="S931" s="89" t="str">
        <f t="shared" si="86"/>
        <v/>
      </c>
      <c r="X931" s="64">
        <f t="shared" si="87"/>
        <v>0</v>
      </c>
      <c r="Y931" s="53">
        <f t="shared" si="88"/>
        <v>0</v>
      </c>
      <c r="Z931" s="64">
        <f t="shared" si="89"/>
        <v>0</v>
      </c>
    </row>
    <row r="932" spans="1:26">
      <c r="A932" s="89" t="str">
        <f t="shared" si="84"/>
        <v/>
      </c>
      <c r="B932" s="89" t="str">
        <f t="shared" si="85"/>
        <v/>
      </c>
      <c r="S932" s="89" t="str">
        <f t="shared" si="86"/>
        <v/>
      </c>
      <c r="X932" s="64">
        <f t="shared" si="87"/>
        <v>0</v>
      </c>
      <c r="Y932" s="53">
        <f t="shared" si="88"/>
        <v>0</v>
      </c>
      <c r="Z932" s="64">
        <f t="shared" si="89"/>
        <v>0</v>
      </c>
    </row>
    <row r="933" spans="1:26">
      <c r="A933" s="89" t="str">
        <f t="shared" si="84"/>
        <v/>
      </c>
      <c r="B933" s="89" t="str">
        <f t="shared" si="85"/>
        <v/>
      </c>
      <c r="S933" s="89" t="str">
        <f t="shared" si="86"/>
        <v/>
      </c>
      <c r="X933" s="64">
        <f t="shared" si="87"/>
        <v>0</v>
      </c>
      <c r="Y933" s="53">
        <f t="shared" si="88"/>
        <v>0</v>
      </c>
      <c r="Z933" s="64">
        <f t="shared" si="89"/>
        <v>0</v>
      </c>
    </row>
    <row r="934" spans="1:26">
      <c r="A934" s="89" t="str">
        <f t="shared" si="84"/>
        <v/>
      </c>
      <c r="B934" s="89" t="str">
        <f t="shared" si="85"/>
        <v/>
      </c>
      <c r="S934" s="89" t="str">
        <f t="shared" si="86"/>
        <v/>
      </c>
      <c r="X934" s="64">
        <f t="shared" si="87"/>
        <v>0</v>
      </c>
      <c r="Y934" s="53">
        <f t="shared" si="88"/>
        <v>0</v>
      </c>
      <c r="Z934" s="64">
        <f t="shared" si="89"/>
        <v>0</v>
      </c>
    </row>
    <row r="935" spans="1:26">
      <c r="A935" s="89" t="str">
        <f t="shared" si="84"/>
        <v/>
      </c>
      <c r="B935" s="89" t="str">
        <f t="shared" si="85"/>
        <v/>
      </c>
      <c r="S935" s="89" t="str">
        <f t="shared" si="86"/>
        <v/>
      </c>
      <c r="X935" s="64">
        <f t="shared" si="87"/>
        <v>0</v>
      </c>
      <c r="Y935" s="53">
        <f t="shared" si="88"/>
        <v>0</v>
      </c>
      <c r="Z935" s="64">
        <f t="shared" si="89"/>
        <v>0</v>
      </c>
    </row>
    <row r="936" spans="1:26">
      <c r="A936" s="89" t="str">
        <f t="shared" si="84"/>
        <v/>
      </c>
      <c r="B936" s="89" t="str">
        <f t="shared" si="85"/>
        <v/>
      </c>
      <c r="S936" s="89" t="str">
        <f t="shared" si="86"/>
        <v/>
      </c>
      <c r="X936" s="64">
        <f t="shared" si="87"/>
        <v>0</v>
      </c>
      <c r="Y936" s="53">
        <f t="shared" si="88"/>
        <v>0</v>
      </c>
      <c r="Z936" s="64">
        <f t="shared" si="89"/>
        <v>0</v>
      </c>
    </row>
    <row r="937" spans="1:26">
      <c r="A937" s="89" t="str">
        <f t="shared" si="84"/>
        <v/>
      </c>
      <c r="B937" s="89" t="str">
        <f t="shared" si="85"/>
        <v/>
      </c>
      <c r="S937" s="89" t="str">
        <f t="shared" si="86"/>
        <v/>
      </c>
      <c r="X937" s="64">
        <f t="shared" si="87"/>
        <v>0</v>
      </c>
      <c r="Y937" s="53">
        <f t="shared" si="88"/>
        <v>0</v>
      </c>
      <c r="Z937" s="64">
        <f t="shared" si="89"/>
        <v>0</v>
      </c>
    </row>
    <row r="938" spans="1:26">
      <c r="A938" s="89" t="str">
        <f t="shared" si="84"/>
        <v/>
      </c>
      <c r="B938" s="89" t="str">
        <f t="shared" si="85"/>
        <v/>
      </c>
      <c r="S938" s="89" t="str">
        <f t="shared" si="86"/>
        <v/>
      </c>
      <c r="X938" s="64">
        <f t="shared" si="87"/>
        <v>0</v>
      </c>
      <c r="Y938" s="53">
        <f t="shared" si="88"/>
        <v>0</v>
      </c>
      <c r="Z938" s="64">
        <f t="shared" si="89"/>
        <v>0</v>
      </c>
    </row>
    <row r="939" spans="1:26">
      <c r="A939" s="89" t="str">
        <f t="shared" si="84"/>
        <v/>
      </c>
      <c r="B939" s="89" t="str">
        <f t="shared" si="85"/>
        <v/>
      </c>
      <c r="S939" s="89" t="str">
        <f t="shared" si="86"/>
        <v/>
      </c>
      <c r="X939" s="64">
        <f t="shared" si="87"/>
        <v>0</v>
      </c>
      <c r="Y939" s="53">
        <f t="shared" si="88"/>
        <v>0</v>
      </c>
      <c r="Z939" s="64">
        <f t="shared" si="89"/>
        <v>0</v>
      </c>
    </row>
    <row r="940" spans="1:26">
      <c r="A940" s="89" t="str">
        <f t="shared" si="84"/>
        <v/>
      </c>
      <c r="B940" s="89" t="str">
        <f t="shared" si="85"/>
        <v/>
      </c>
      <c r="S940" s="89" t="str">
        <f t="shared" si="86"/>
        <v/>
      </c>
      <c r="X940" s="64">
        <f t="shared" si="87"/>
        <v>0</v>
      </c>
      <c r="Y940" s="53">
        <f t="shared" si="88"/>
        <v>0</v>
      </c>
      <c r="Z940" s="64">
        <f t="shared" si="89"/>
        <v>0</v>
      </c>
    </row>
    <row r="941" spans="1:26">
      <c r="A941" s="89" t="str">
        <f t="shared" si="84"/>
        <v/>
      </c>
      <c r="B941" s="89" t="str">
        <f t="shared" si="85"/>
        <v/>
      </c>
      <c r="S941" s="89" t="str">
        <f t="shared" si="86"/>
        <v/>
      </c>
      <c r="X941" s="64">
        <f t="shared" si="87"/>
        <v>0</v>
      </c>
      <c r="Y941" s="53">
        <f t="shared" si="88"/>
        <v>0</v>
      </c>
      <c r="Z941" s="64">
        <f t="shared" si="89"/>
        <v>0</v>
      </c>
    </row>
    <row r="942" spans="1:26">
      <c r="A942" s="89" t="str">
        <f t="shared" si="84"/>
        <v/>
      </c>
      <c r="B942" s="89" t="str">
        <f t="shared" si="85"/>
        <v/>
      </c>
      <c r="S942" s="89" t="str">
        <f t="shared" si="86"/>
        <v/>
      </c>
      <c r="X942" s="64">
        <f t="shared" si="87"/>
        <v>0</v>
      </c>
      <c r="Y942" s="53">
        <f t="shared" si="88"/>
        <v>0</v>
      </c>
      <c r="Z942" s="64">
        <f t="shared" si="89"/>
        <v>0</v>
      </c>
    </row>
    <row r="943" spans="1:26">
      <c r="A943" s="89" t="str">
        <f t="shared" si="84"/>
        <v/>
      </c>
      <c r="B943" s="89" t="str">
        <f t="shared" si="85"/>
        <v/>
      </c>
      <c r="S943" s="89" t="str">
        <f t="shared" si="86"/>
        <v/>
      </c>
      <c r="X943" s="64">
        <f t="shared" si="87"/>
        <v>0</v>
      </c>
      <c r="Y943" s="53">
        <f t="shared" si="88"/>
        <v>0</v>
      </c>
      <c r="Z943" s="64">
        <f t="shared" si="89"/>
        <v>0</v>
      </c>
    </row>
    <row r="944" spans="1:26">
      <c r="A944" s="89" t="str">
        <f t="shared" si="84"/>
        <v/>
      </c>
      <c r="B944" s="89" t="str">
        <f t="shared" si="85"/>
        <v/>
      </c>
      <c r="S944" s="89" t="str">
        <f t="shared" si="86"/>
        <v/>
      </c>
      <c r="X944" s="64">
        <f t="shared" si="87"/>
        <v>0</v>
      </c>
      <c r="Y944" s="53">
        <f t="shared" si="88"/>
        <v>0</v>
      </c>
      <c r="Z944" s="64">
        <f t="shared" si="89"/>
        <v>0</v>
      </c>
    </row>
    <row r="945" spans="1:26">
      <c r="A945" s="89" t="str">
        <f t="shared" si="84"/>
        <v/>
      </c>
      <c r="B945" s="89" t="str">
        <f t="shared" si="85"/>
        <v/>
      </c>
      <c r="S945" s="89" t="str">
        <f t="shared" si="86"/>
        <v/>
      </c>
      <c r="X945" s="64">
        <f t="shared" si="87"/>
        <v>0</v>
      </c>
      <c r="Y945" s="53">
        <f t="shared" si="88"/>
        <v>0</v>
      </c>
      <c r="Z945" s="64">
        <f t="shared" si="89"/>
        <v>0</v>
      </c>
    </row>
    <row r="946" spans="1:26">
      <c r="A946" s="89" t="str">
        <f t="shared" si="84"/>
        <v/>
      </c>
      <c r="B946" s="89" t="str">
        <f t="shared" si="85"/>
        <v/>
      </c>
      <c r="S946" s="89" t="str">
        <f t="shared" si="86"/>
        <v/>
      </c>
      <c r="X946" s="64">
        <f t="shared" si="87"/>
        <v>0</v>
      </c>
      <c r="Y946" s="53">
        <f t="shared" si="88"/>
        <v>0</v>
      </c>
      <c r="Z946" s="64">
        <f t="shared" si="89"/>
        <v>0</v>
      </c>
    </row>
    <row r="947" spans="1:26">
      <c r="A947" s="89" t="str">
        <f t="shared" si="84"/>
        <v/>
      </c>
      <c r="B947" s="89" t="str">
        <f t="shared" si="85"/>
        <v/>
      </c>
      <c r="S947" s="89" t="str">
        <f t="shared" si="86"/>
        <v/>
      </c>
      <c r="X947" s="64">
        <f t="shared" si="87"/>
        <v>0</v>
      </c>
      <c r="Y947" s="53">
        <f t="shared" si="88"/>
        <v>0</v>
      </c>
      <c r="Z947" s="64">
        <f t="shared" si="89"/>
        <v>0</v>
      </c>
    </row>
    <row r="948" spans="1:26">
      <c r="A948" s="89" t="str">
        <f t="shared" si="84"/>
        <v/>
      </c>
      <c r="B948" s="89" t="str">
        <f t="shared" si="85"/>
        <v/>
      </c>
      <c r="S948" s="89" t="str">
        <f t="shared" si="86"/>
        <v/>
      </c>
      <c r="X948" s="64">
        <f t="shared" si="87"/>
        <v>0</v>
      </c>
      <c r="Y948" s="53">
        <f t="shared" si="88"/>
        <v>0</v>
      </c>
      <c r="Z948" s="64">
        <f t="shared" si="89"/>
        <v>0</v>
      </c>
    </row>
    <row r="949" spans="1:26">
      <c r="A949" s="89" t="str">
        <f t="shared" si="84"/>
        <v/>
      </c>
      <c r="B949" s="89" t="str">
        <f t="shared" si="85"/>
        <v/>
      </c>
      <c r="S949" s="89" t="str">
        <f t="shared" si="86"/>
        <v/>
      </c>
      <c r="X949" s="64">
        <f t="shared" si="87"/>
        <v>0</v>
      </c>
      <c r="Y949" s="53">
        <f t="shared" si="88"/>
        <v>0</v>
      </c>
      <c r="Z949" s="64">
        <f t="shared" si="89"/>
        <v>0</v>
      </c>
    </row>
    <row r="950" spans="1:26">
      <c r="A950" s="89" t="str">
        <f t="shared" si="84"/>
        <v/>
      </c>
      <c r="B950" s="89" t="str">
        <f t="shared" si="85"/>
        <v/>
      </c>
      <c r="S950" s="89" t="str">
        <f t="shared" si="86"/>
        <v/>
      </c>
      <c r="X950" s="64">
        <f t="shared" si="87"/>
        <v>0</v>
      </c>
      <c r="Y950" s="53">
        <f t="shared" si="88"/>
        <v>0</v>
      </c>
      <c r="Z950" s="64">
        <f t="shared" si="89"/>
        <v>0</v>
      </c>
    </row>
    <row r="951" spans="1:26">
      <c r="A951" s="89" t="str">
        <f t="shared" si="84"/>
        <v/>
      </c>
      <c r="B951" s="89" t="str">
        <f t="shared" si="85"/>
        <v/>
      </c>
      <c r="S951" s="89" t="str">
        <f t="shared" si="86"/>
        <v/>
      </c>
      <c r="X951" s="64">
        <f t="shared" si="87"/>
        <v>0</v>
      </c>
      <c r="Y951" s="53">
        <f t="shared" si="88"/>
        <v>0</v>
      </c>
      <c r="Z951" s="64">
        <f t="shared" si="89"/>
        <v>0</v>
      </c>
    </row>
    <row r="952" spans="1:26">
      <c r="A952" s="89" t="str">
        <f t="shared" si="84"/>
        <v/>
      </c>
      <c r="B952" s="89" t="str">
        <f t="shared" si="85"/>
        <v/>
      </c>
      <c r="S952" s="89" t="str">
        <f t="shared" si="86"/>
        <v/>
      </c>
      <c r="X952" s="64">
        <f t="shared" si="87"/>
        <v>0</v>
      </c>
      <c r="Y952" s="53">
        <f t="shared" si="88"/>
        <v>0</v>
      </c>
      <c r="Z952" s="64">
        <f t="shared" si="89"/>
        <v>0</v>
      </c>
    </row>
    <row r="953" spans="1:26">
      <c r="A953" s="89" t="str">
        <f t="shared" si="84"/>
        <v/>
      </c>
      <c r="B953" s="89" t="str">
        <f t="shared" si="85"/>
        <v/>
      </c>
      <c r="S953" s="89" t="str">
        <f t="shared" si="86"/>
        <v/>
      </c>
      <c r="X953" s="64">
        <f t="shared" si="87"/>
        <v>0</v>
      </c>
      <c r="Y953" s="53">
        <f t="shared" si="88"/>
        <v>0</v>
      </c>
      <c r="Z953" s="64">
        <f t="shared" si="89"/>
        <v>0</v>
      </c>
    </row>
    <row r="954" spans="1:26">
      <c r="A954" s="89" t="str">
        <f t="shared" si="84"/>
        <v/>
      </c>
      <c r="B954" s="89" t="str">
        <f t="shared" si="85"/>
        <v/>
      </c>
      <c r="S954" s="89" t="str">
        <f t="shared" si="86"/>
        <v/>
      </c>
      <c r="X954" s="64">
        <f t="shared" si="87"/>
        <v>0</v>
      </c>
      <c r="Y954" s="53">
        <f t="shared" si="88"/>
        <v>0</v>
      </c>
      <c r="Z954" s="64">
        <f t="shared" si="89"/>
        <v>0</v>
      </c>
    </row>
    <row r="955" spans="1:26">
      <c r="A955" s="89" t="str">
        <f t="shared" si="84"/>
        <v/>
      </c>
      <c r="B955" s="89" t="str">
        <f t="shared" si="85"/>
        <v/>
      </c>
      <c r="S955" s="89" t="str">
        <f t="shared" si="86"/>
        <v/>
      </c>
      <c r="X955" s="64">
        <f t="shared" si="87"/>
        <v>0</v>
      </c>
      <c r="Y955" s="53">
        <f t="shared" si="88"/>
        <v>0</v>
      </c>
      <c r="Z955" s="64">
        <f t="shared" si="89"/>
        <v>0</v>
      </c>
    </row>
    <row r="956" spans="1:26">
      <c r="A956" s="89" t="str">
        <f t="shared" si="84"/>
        <v/>
      </c>
      <c r="B956" s="89" t="str">
        <f t="shared" si="85"/>
        <v/>
      </c>
      <c r="S956" s="89" t="str">
        <f t="shared" si="86"/>
        <v/>
      </c>
      <c r="X956" s="64">
        <f t="shared" si="87"/>
        <v>0</v>
      </c>
      <c r="Y956" s="53">
        <f t="shared" si="88"/>
        <v>0</v>
      </c>
      <c r="Z956" s="64">
        <f t="shared" si="89"/>
        <v>0</v>
      </c>
    </row>
    <row r="957" spans="1:26">
      <c r="A957" s="89" t="str">
        <f t="shared" si="84"/>
        <v/>
      </c>
      <c r="B957" s="89" t="str">
        <f t="shared" si="85"/>
        <v/>
      </c>
      <c r="S957" s="89" t="str">
        <f t="shared" si="86"/>
        <v/>
      </c>
      <c r="X957" s="64">
        <f t="shared" si="87"/>
        <v>0</v>
      </c>
      <c r="Y957" s="53">
        <f t="shared" si="88"/>
        <v>0</v>
      </c>
      <c r="Z957" s="64">
        <f t="shared" si="89"/>
        <v>0</v>
      </c>
    </row>
    <row r="958" spans="1:26">
      <c r="A958" s="89" t="str">
        <f t="shared" si="84"/>
        <v/>
      </c>
      <c r="B958" s="89" t="str">
        <f t="shared" si="85"/>
        <v/>
      </c>
      <c r="S958" s="89" t="str">
        <f t="shared" si="86"/>
        <v/>
      </c>
      <c r="X958" s="64">
        <f t="shared" si="87"/>
        <v>0</v>
      </c>
      <c r="Y958" s="53">
        <f t="shared" si="88"/>
        <v>0</v>
      </c>
      <c r="Z958" s="64">
        <f t="shared" si="89"/>
        <v>0</v>
      </c>
    </row>
    <row r="959" spans="1:26">
      <c r="A959" s="89" t="str">
        <f t="shared" si="84"/>
        <v/>
      </c>
      <c r="B959" s="89" t="str">
        <f t="shared" si="85"/>
        <v/>
      </c>
      <c r="S959" s="89" t="str">
        <f t="shared" si="86"/>
        <v/>
      </c>
      <c r="X959" s="64">
        <f t="shared" si="87"/>
        <v>0</v>
      </c>
      <c r="Y959" s="53">
        <f t="shared" si="88"/>
        <v>0</v>
      </c>
      <c r="Z959" s="64">
        <f t="shared" si="89"/>
        <v>0</v>
      </c>
    </row>
    <row r="960" spans="1:26">
      <c r="A960" s="89" t="str">
        <f t="shared" si="84"/>
        <v/>
      </c>
      <c r="B960" s="89" t="str">
        <f t="shared" si="85"/>
        <v/>
      </c>
      <c r="S960" s="89" t="str">
        <f t="shared" si="86"/>
        <v/>
      </c>
      <c r="X960" s="64">
        <f t="shared" si="87"/>
        <v>0</v>
      </c>
      <c r="Y960" s="53">
        <f t="shared" si="88"/>
        <v>0</v>
      </c>
      <c r="Z960" s="64">
        <f t="shared" si="89"/>
        <v>0</v>
      </c>
    </row>
    <row r="961" spans="1:26">
      <c r="A961" s="89" t="str">
        <f t="shared" si="84"/>
        <v/>
      </c>
      <c r="B961" s="89" t="str">
        <f t="shared" si="85"/>
        <v/>
      </c>
      <c r="S961" s="89" t="str">
        <f t="shared" si="86"/>
        <v/>
      </c>
      <c r="X961" s="64">
        <f t="shared" si="87"/>
        <v>0</v>
      </c>
      <c r="Y961" s="53">
        <f t="shared" si="88"/>
        <v>0</v>
      </c>
      <c r="Z961" s="64">
        <f t="shared" si="89"/>
        <v>0</v>
      </c>
    </row>
    <row r="962" spans="1:26">
      <c r="A962" s="89" t="str">
        <f t="shared" si="84"/>
        <v/>
      </c>
      <c r="B962" s="89" t="str">
        <f t="shared" si="85"/>
        <v/>
      </c>
      <c r="S962" s="89" t="str">
        <f t="shared" si="86"/>
        <v/>
      </c>
      <c r="X962" s="64">
        <f t="shared" si="87"/>
        <v>0</v>
      </c>
      <c r="Y962" s="53">
        <f t="shared" si="88"/>
        <v>0</v>
      </c>
      <c r="Z962" s="64">
        <f t="shared" si="89"/>
        <v>0</v>
      </c>
    </row>
    <row r="963" spans="1:26">
      <c r="A963" s="89" t="str">
        <f t="shared" ref="A963:A1026" si="90">IF(G963&amp;Q963&lt;&gt;"",G963&amp;Q963,"")</f>
        <v/>
      </c>
      <c r="B963" s="89" t="str">
        <f t="shared" ref="B963:B1026" si="91">IF(C963&lt;&gt;"",LEFT(C963,9),"")</f>
        <v/>
      </c>
      <c r="S963" s="89" t="str">
        <f t="shared" ref="S963:S1026" si="92">IF(H963&lt;&gt;"",H963,"")</f>
        <v/>
      </c>
      <c r="X963" s="64">
        <f t="shared" ref="X963:X1026" si="93">IFERROR(VALUE(MID($C963,1,2)),0)</f>
        <v>0</v>
      </c>
      <c r="Y963" s="53">
        <f t="shared" ref="Y963:Y1026" si="94">IFERROR(VALUE(MID($C963,4,3)),0)</f>
        <v>0</v>
      </c>
      <c r="Z963" s="64">
        <f t="shared" ref="Z963:Z1026" si="95">VALUE(RIGHT("00"&amp;X963,2)&amp;RIGHT("000"&amp;Y963,3))</f>
        <v>0</v>
      </c>
    </row>
    <row r="964" spans="1:26">
      <c r="A964" s="89" t="str">
        <f t="shared" si="90"/>
        <v/>
      </c>
      <c r="B964" s="89" t="str">
        <f t="shared" si="91"/>
        <v/>
      </c>
      <c r="S964" s="89" t="str">
        <f t="shared" si="92"/>
        <v/>
      </c>
      <c r="X964" s="64">
        <f t="shared" si="93"/>
        <v>0</v>
      </c>
      <c r="Y964" s="53">
        <f t="shared" si="94"/>
        <v>0</v>
      </c>
      <c r="Z964" s="64">
        <f t="shared" si="95"/>
        <v>0</v>
      </c>
    </row>
    <row r="965" spans="1:26">
      <c r="A965" s="89" t="str">
        <f t="shared" si="90"/>
        <v/>
      </c>
      <c r="B965" s="89" t="str">
        <f t="shared" si="91"/>
        <v/>
      </c>
      <c r="S965" s="89" t="str">
        <f t="shared" si="92"/>
        <v/>
      </c>
      <c r="X965" s="64">
        <f t="shared" si="93"/>
        <v>0</v>
      </c>
      <c r="Y965" s="53">
        <f t="shared" si="94"/>
        <v>0</v>
      </c>
      <c r="Z965" s="64">
        <f t="shared" si="95"/>
        <v>0</v>
      </c>
    </row>
    <row r="966" spans="1:26">
      <c r="A966" s="89" t="str">
        <f t="shared" si="90"/>
        <v/>
      </c>
      <c r="B966" s="89" t="str">
        <f t="shared" si="91"/>
        <v/>
      </c>
      <c r="S966" s="89" t="str">
        <f t="shared" si="92"/>
        <v/>
      </c>
      <c r="X966" s="64">
        <f t="shared" si="93"/>
        <v>0</v>
      </c>
      <c r="Y966" s="53">
        <f t="shared" si="94"/>
        <v>0</v>
      </c>
      <c r="Z966" s="64">
        <f t="shared" si="95"/>
        <v>0</v>
      </c>
    </row>
    <row r="967" spans="1:26">
      <c r="A967" s="89" t="str">
        <f t="shared" si="90"/>
        <v/>
      </c>
      <c r="B967" s="89" t="str">
        <f t="shared" si="91"/>
        <v/>
      </c>
      <c r="S967" s="89" t="str">
        <f t="shared" si="92"/>
        <v/>
      </c>
      <c r="X967" s="64">
        <f t="shared" si="93"/>
        <v>0</v>
      </c>
      <c r="Y967" s="53">
        <f t="shared" si="94"/>
        <v>0</v>
      </c>
      <c r="Z967" s="64">
        <f t="shared" si="95"/>
        <v>0</v>
      </c>
    </row>
    <row r="968" spans="1:26">
      <c r="A968" s="89" t="str">
        <f t="shared" si="90"/>
        <v/>
      </c>
      <c r="B968" s="89" t="str">
        <f t="shared" si="91"/>
        <v/>
      </c>
      <c r="S968" s="89" t="str">
        <f t="shared" si="92"/>
        <v/>
      </c>
      <c r="X968" s="64">
        <f t="shared" si="93"/>
        <v>0</v>
      </c>
      <c r="Y968" s="53">
        <f t="shared" si="94"/>
        <v>0</v>
      </c>
      <c r="Z968" s="64">
        <f t="shared" si="95"/>
        <v>0</v>
      </c>
    </row>
    <row r="969" spans="1:26">
      <c r="A969" s="89" t="str">
        <f t="shared" si="90"/>
        <v/>
      </c>
      <c r="B969" s="89" t="str">
        <f t="shared" si="91"/>
        <v/>
      </c>
      <c r="S969" s="89" t="str">
        <f t="shared" si="92"/>
        <v/>
      </c>
      <c r="X969" s="64">
        <f t="shared" si="93"/>
        <v>0</v>
      </c>
      <c r="Y969" s="53">
        <f t="shared" si="94"/>
        <v>0</v>
      </c>
      <c r="Z969" s="64">
        <f t="shared" si="95"/>
        <v>0</v>
      </c>
    </row>
    <row r="970" spans="1:26">
      <c r="A970" s="89" t="str">
        <f t="shared" si="90"/>
        <v/>
      </c>
      <c r="B970" s="89" t="str">
        <f t="shared" si="91"/>
        <v/>
      </c>
      <c r="S970" s="89" t="str">
        <f t="shared" si="92"/>
        <v/>
      </c>
      <c r="X970" s="64">
        <f t="shared" si="93"/>
        <v>0</v>
      </c>
      <c r="Y970" s="53">
        <f t="shared" si="94"/>
        <v>0</v>
      </c>
      <c r="Z970" s="64">
        <f t="shared" si="95"/>
        <v>0</v>
      </c>
    </row>
    <row r="971" spans="1:26">
      <c r="A971" s="89" t="str">
        <f t="shared" si="90"/>
        <v/>
      </c>
      <c r="B971" s="89" t="str">
        <f t="shared" si="91"/>
        <v/>
      </c>
      <c r="S971" s="89" t="str">
        <f t="shared" si="92"/>
        <v/>
      </c>
      <c r="X971" s="64">
        <f t="shared" si="93"/>
        <v>0</v>
      </c>
      <c r="Y971" s="53">
        <f t="shared" si="94"/>
        <v>0</v>
      </c>
      <c r="Z971" s="64">
        <f t="shared" si="95"/>
        <v>0</v>
      </c>
    </row>
    <row r="972" spans="1:26">
      <c r="A972" s="89" t="str">
        <f t="shared" si="90"/>
        <v/>
      </c>
      <c r="B972" s="89" t="str">
        <f t="shared" si="91"/>
        <v/>
      </c>
      <c r="S972" s="89" t="str">
        <f t="shared" si="92"/>
        <v/>
      </c>
      <c r="X972" s="64">
        <f t="shared" si="93"/>
        <v>0</v>
      </c>
      <c r="Y972" s="53">
        <f t="shared" si="94"/>
        <v>0</v>
      </c>
      <c r="Z972" s="64">
        <f t="shared" si="95"/>
        <v>0</v>
      </c>
    </row>
    <row r="973" spans="1:26">
      <c r="A973" s="89" t="str">
        <f t="shared" si="90"/>
        <v/>
      </c>
      <c r="B973" s="89" t="str">
        <f t="shared" si="91"/>
        <v/>
      </c>
      <c r="S973" s="89" t="str">
        <f t="shared" si="92"/>
        <v/>
      </c>
      <c r="X973" s="64">
        <f t="shared" si="93"/>
        <v>0</v>
      </c>
      <c r="Y973" s="53">
        <f t="shared" si="94"/>
        <v>0</v>
      </c>
      <c r="Z973" s="64">
        <f t="shared" si="95"/>
        <v>0</v>
      </c>
    </row>
    <row r="974" spans="1:26">
      <c r="A974" s="89" t="str">
        <f t="shared" si="90"/>
        <v/>
      </c>
      <c r="B974" s="89" t="str">
        <f t="shared" si="91"/>
        <v/>
      </c>
      <c r="S974" s="89" t="str">
        <f t="shared" si="92"/>
        <v/>
      </c>
      <c r="X974" s="64">
        <f t="shared" si="93"/>
        <v>0</v>
      </c>
      <c r="Y974" s="53">
        <f t="shared" si="94"/>
        <v>0</v>
      </c>
      <c r="Z974" s="64">
        <f t="shared" si="95"/>
        <v>0</v>
      </c>
    </row>
    <row r="975" spans="1:26">
      <c r="A975" s="89" t="str">
        <f t="shared" si="90"/>
        <v/>
      </c>
      <c r="B975" s="89" t="str">
        <f t="shared" si="91"/>
        <v/>
      </c>
      <c r="S975" s="89" t="str">
        <f t="shared" si="92"/>
        <v/>
      </c>
      <c r="X975" s="64">
        <f t="shared" si="93"/>
        <v>0</v>
      </c>
      <c r="Y975" s="53">
        <f t="shared" si="94"/>
        <v>0</v>
      </c>
      <c r="Z975" s="64">
        <f t="shared" si="95"/>
        <v>0</v>
      </c>
    </row>
    <row r="976" spans="1:26">
      <c r="A976" s="89" t="str">
        <f t="shared" si="90"/>
        <v/>
      </c>
      <c r="B976" s="89" t="str">
        <f t="shared" si="91"/>
        <v/>
      </c>
      <c r="S976" s="89" t="str">
        <f t="shared" si="92"/>
        <v/>
      </c>
      <c r="X976" s="64">
        <f t="shared" si="93"/>
        <v>0</v>
      </c>
      <c r="Y976" s="53">
        <f t="shared" si="94"/>
        <v>0</v>
      </c>
      <c r="Z976" s="64">
        <f t="shared" si="95"/>
        <v>0</v>
      </c>
    </row>
    <row r="977" spans="1:26">
      <c r="A977" s="89" t="str">
        <f t="shared" si="90"/>
        <v/>
      </c>
      <c r="B977" s="89" t="str">
        <f t="shared" si="91"/>
        <v/>
      </c>
      <c r="S977" s="89" t="str">
        <f t="shared" si="92"/>
        <v/>
      </c>
      <c r="X977" s="64">
        <f t="shared" si="93"/>
        <v>0</v>
      </c>
      <c r="Y977" s="53">
        <f t="shared" si="94"/>
        <v>0</v>
      </c>
      <c r="Z977" s="64">
        <f t="shared" si="95"/>
        <v>0</v>
      </c>
    </row>
    <row r="978" spans="1:26">
      <c r="A978" s="89" t="str">
        <f t="shared" si="90"/>
        <v/>
      </c>
      <c r="B978" s="89" t="str">
        <f t="shared" si="91"/>
        <v/>
      </c>
      <c r="S978" s="89" t="str">
        <f t="shared" si="92"/>
        <v/>
      </c>
      <c r="X978" s="64">
        <f t="shared" si="93"/>
        <v>0</v>
      </c>
      <c r="Y978" s="53">
        <f t="shared" si="94"/>
        <v>0</v>
      </c>
      <c r="Z978" s="64">
        <f t="shared" si="95"/>
        <v>0</v>
      </c>
    </row>
    <row r="979" spans="1:26">
      <c r="A979" s="89" t="str">
        <f t="shared" si="90"/>
        <v/>
      </c>
      <c r="B979" s="89" t="str">
        <f t="shared" si="91"/>
        <v/>
      </c>
      <c r="S979" s="89" t="str">
        <f t="shared" si="92"/>
        <v/>
      </c>
      <c r="X979" s="64">
        <f t="shared" si="93"/>
        <v>0</v>
      </c>
      <c r="Y979" s="53">
        <f t="shared" si="94"/>
        <v>0</v>
      </c>
      <c r="Z979" s="64">
        <f t="shared" si="95"/>
        <v>0</v>
      </c>
    </row>
    <row r="980" spans="1:26">
      <c r="A980" s="89" t="str">
        <f t="shared" si="90"/>
        <v/>
      </c>
      <c r="B980" s="89" t="str">
        <f t="shared" si="91"/>
        <v/>
      </c>
      <c r="S980" s="89" t="str">
        <f t="shared" si="92"/>
        <v/>
      </c>
      <c r="X980" s="64">
        <f t="shared" si="93"/>
        <v>0</v>
      </c>
      <c r="Y980" s="53">
        <f t="shared" si="94"/>
        <v>0</v>
      </c>
      <c r="Z980" s="64">
        <f t="shared" si="95"/>
        <v>0</v>
      </c>
    </row>
    <row r="981" spans="1:26">
      <c r="A981" s="89" t="str">
        <f t="shared" si="90"/>
        <v/>
      </c>
      <c r="B981" s="89" t="str">
        <f t="shared" si="91"/>
        <v/>
      </c>
      <c r="S981" s="89" t="str">
        <f t="shared" si="92"/>
        <v/>
      </c>
      <c r="X981" s="64">
        <f t="shared" si="93"/>
        <v>0</v>
      </c>
      <c r="Y981" s="53">
        <f t="shared" si="94"/>
        <v>0</v>
      </c>
      <c r="Z981" s="64">
        <f t="shared" si="95"/>
        <v>0</v>
      </c>
    </row>
    <row r="982" spans="1:26">
      <c r="A982" s="89" t="str">
        <f t="shared" si="90"/>
        <v/>
      </c>
      <c r="B982" s="89" t="str">
        <f t="shared" si="91"/>
        <v/>
      </c>
      <c r="S982" s="89" t="str">
        <f t="shared" si="92"/>
        <v/>
      </c>
      <c r="X982" s="64">
        <f t="shared" si="93"/>
        <v>0</v>
      </c>
      <c r="Y982" s="53">
        <f t="shared" si="94"/>
        <v>0</v>
      </c>
      <c r="Z982" s="64">
        <f t="shared" si="95"/>
        <v>0</v>
      </c>
    </row>
    <row r="983" spans="1:26">
      <c r="A983" s="89" t="str">
        <f t="shared" si="90"/>
        <v/>
      </c>
      <c r="B983" s="89" t="str">
        <f t="shared" si="91"/>
        <v/>
      </c>
      <c r="S983" s="89" t="str">
        <f t="shared" si="92"/>
        <v/>
      </c>
      <c r="X983" s="64">
        <f t="shared" si="93"/>
        <v>0</v>
      </c>
      <c r="Y983" s="53">
        <f t="shared" si="94"/>
        <v>0</v>
      </c>
      <c r="Z983" s="64">
        <f t="shared" si="95"/>
        <v>0</v>
      </c>
    </row>
    <row r="984" spans="1:26">
      <c r="A984" s="89" t="str">
        <f t="shared" si="90"/>
        <v/>
      </c>
      <c r="B984" s="89" t="str">
        <f t="shared" si="91"/>
        <v/>
      </c>
      <c r="S984" s="89" t="str">
        <f t="shared" si="92"/>
        <v/>
      </c>
      <c r="X984" s="64">
        <f t="shared" si="93"/>
        <v>0</v>
      </c>
      <c r="Y984" s="53">
        <f t="shared" si="94"/>
        <v>0</v>
      </c>
      <c r="Z984" s="64">
        <f t="shared" si="95"/>
        <v>0</v>
      </c>
    </row>
    <row r="985" spans="1:26">
      <c r="A985" s="89" t="str">
        <f t="shared" si="90"/>
        <v/>
      </c>
      <c r="B985" s="89" t="str">
        <f t="shared" si="91"/>
        <v/>
      </c>
      <c r="S985" s="89" t="str">
        <f t="shared" si="92"/>
        <v/>
      </c>
      <c r="X985" s="64">
        <f t="shared" si="93"/>
        <v>0</v>
      </c>
      <c r="Y985" s="53">
        <f t="shared" si="94"/>
        <v>0</v>
      </c>
      <c r="Z985" s="64">
        <f t="shared" si="95"/>
        <v>0</v>
      </c>
    </row>
    <row r="986" spans="1:26">
      <c r="A986" s="89" t="str">
        <f t="shared" si="90"/>
        <v/>
      </c>
      <c r="B986" s="89" t="str">
        <f t="shared" si="91"/>
        <v/>
      </c>
      <c r="S986" s="89" t="str">
        <f t="shared" si="92"/>
        <v/>
      </c>
      <c r="X986" s="64">
        <f t="shared" si="93"/>
        <v>0</v>
      </c>
      <c r="Y986" s="53">
        <f t="shared" si="94"/>
        <v>0</v>
      </c>
      <c r="Z986" s="64">
        <f t="shared" si="95"/>
        <v>0</v>
      </c>
    </row>
    <row r="987" spans="1:26">
      <c r="A987" s="89" t="str">
        <f t="shared" si="90"/>
        <v/>
      </c>
      <c r="B987" s="89" t="str">
        <f t="shared" si="91"/>
        <v/>
      </c>
      <c r="S987" s="89" t="str">
        <f t="shared" si="92"/>
        <v/>
      </c>
      <c r="X987" s="64">
        <f t="shared" si="93"/>
        <v>0</v>
      </c>
      <c r="Y987" s="53">
        <f t="shared" si="94"/>
        <v>0</v>
      </c>
      <c r="Z987" s="64">
        <f t="shared" si="95"/>
        <v>0</v>
      </c>
    </row>
    <row r="988" spans="1:26">
      <c r="A988" s="89" t="str">
        <f t="shared" si="90"/>
        <v/>
      </c>
      <c r="B988" s="89" t="str">
        <f t="shared" si="91"/>
        <v/>
      </c>
      <c r="S988" s="89" t="str">
        <f t="shared" si="92"/>
        <v/>
      </c>
      <c r="X988" s="64">
        <f t="shared" si="93"/>
        <v>0</v>
      </c>
      <c r="Y988" s="53">
        <f t="shared" si="94"/>
        <v>0</v>
      </c>
      <c r="Z988" s="64">
        <f t="shared" si="95"/>
        <v>0</v>
      </c>
    </row>
    <row r="989" spans="1:26">
      <c r="A989" s="89" t="str">
        <f t="shared" si="90"/>
        <v/>
      </c>
      <c r="B989" s="89" t="str">
        <f t="shared" si="91"/>
        <v/>
      </c>
      <c r="S989" s="89" t="str">
        <f t="shared" si="92"/>
        <v/>
      </c>
      <c r="X989" s="64">
        <f t="shared" si="93"/>
        <v>0</v>
      </c>
      <c r="Y989" s="53">
        <f t="shared" si="94"/>
        <v>0</v>
      </c>
      <c r="Z989" s="64">
        <f t="shared" si="95"/>
        <v>0</v>
      </c>
    </row>
    <row r="990" spans="1:26">
      <c r="A990" s="89" t="str">
        <f t="shared" si="90"/>
        <v/>
      </c>
      <c r="B990" s="89" t="str">
        <f t="shared" si="91"/>
        <v/>
      </c>
      <c r="S990" s="89" t="str">
        <f t="shared" si="92"/>
        <v/>
      </c>
      <c r="X990" s="64">
        <f t="shared" si="93"/>
        <v>0</v>
      </c>
      <c r="Y990" s="53">
        <f t="shared" si="94"/>
        <v>0</v>
      </c>
      <c r="Z990" s="64">
        <f t="shared" si="95"/>
        <v>0</v>
      </c>
    </row>
    <row r="991" spans="1:26">
      <c r="A991" s="89" t="str">
        <f t="shared" si="90"/>
        <v/>
      </c>
      <c r="B991" s="89" t="str">
        <f t="shared" si="91"/>
        <v/>
      </c>
      <c r="S991" s="89" t="str">
        <f t="shared" si="92"/>
        <v/>
      </c>
      <c r="X991" s="64">
        <f t="shared" si="93"/>
        <v>0</v>
      </c>
      <c r="Y991" s="53">
        <f t="shared" si="94"/>
        <v>0</v>
      </c>
      <c r="Z991" s="64">
        <f t="shared" si="95"/>
        <v>0</v>
      </c>
    </row>
    <row r="992" spans="1:26">
      <c r="A992" s="89" t="str">
        <f t="shared" si="90"/>
        <v/>
      </c>
      <c r="B992" s="89" t="str">
        <f t="shared" si="91"/>
        <v/>
      </c>
      <c r="S992" s="89" t="str">
        <f t="shared" si="92"/>
        <v/>
      </c>
      <c r="X992" s="64">
        <f t="shared" si="93"/>
        <v>0</v>
      </c>
      <c r="Y992" s="53">
        <f t="shared" si="94"/>
        <v>0</v>
      </c>
      <c r="Z992" s="64">
        <f t="shared" si="95"/>
        <v>0</v>
      </c>
    </row>
    <row r="993" spans="1:26">
      <c r="A993" s="89" t="str">
        <f t="shared" si="90"/>
        <v/>
      </c>
      <c r="B993" s="89" t="str">
        <f t="shared" si="91"/>
        <v/>
      </c>
      <c r="S993" s="89" t="str">
        <f t="shared" si="92"/>
        <v/>
      </c>
      <c r="X993" s="64">
        <f t="shared" si="93"/>
        <v>0</v>
      </c>
      <c r="Y993" s="53">
        <f t="shared" si="94"/>
        <v>0</v>
      </c>
      <c r="Z993" s="64">
        <f t="shared" si="95"/>
        <v>0</v>
      </c>
    </row>
    <row r="994" spans="1:26">
      <c r="A994" s="89" t="str">
        <f t="shared" si="90"/>
        <v/>
      </c>
      <c r="B994" s="89" t="str">
        <f t="shared" si="91"/>
        <v/>
      </c>
      <c r="S994" s="89" t="str">
        <f t="shared" si="92"/>
        <v/>
      </c>
      <c r="X994" s="64">
        <f t="shared" si="93"/>
        <v>0</v>
      </c>
      <c r="Y994" s="53">
        <f t="shared" si="94"/>
        <v>0</v>
      </c>
      <c r="Z994" s="64">
        <f t="shared" si="95"/>
        <v>0</v>
      </c>
    </row>
    <row r="995" spans="1:26">
      <c r="A995" s="89" t="str">
        <f t="shared" si="90"/>
        <v/>
      </c>
      <c r="B995" s="89" t="str">
        <f t="shared" si="91"/>
        <v/>
      </c>
      <c r="S995" s="89" t="str">
        <f t="shared" si="92"/>
        <v/>
      </c>
      <c r="X995" s="64">
        <f t="shared" si="93"/>
        <v>0</v>
      </c>
      <c r="Y995" s="53">
        <f t="shared" si="94"/>
        <v>0</v>
      </c>
      <c r="Z995" s="64">
        <f t="shared" si="95"/>
        <v>0</v>
      </c>
    </row>
    <row r="996" spans="1:26">
      <c r="A996" s="89" t="str">
        <f t="shared" si="90"/>
        <v/>
      </c>
      <c r="B996" s="89" t="str">
        <f t="shared" si="91"/>
        <v/>
      </c>
      <c r="S996" s="89" t="str">
        <f t="shared" si="92"/>
        <v/>
      </c>
      <c r="X996" s="64">
        <f t="shared" si="93"/>
        <v>0</v>
      </c>
      <c r="Y996" s="53">
        <f t="shared" si="94"/>
        <v>0</v>
      </c>
      <c r="Z996" s="64">
        <f t="shared" si="95"/>
        <v>0</v>
      </c>
    </row>
    <row r="997" spans="1:26">
      <c r="A997" s="89" t="str">
        <f t="shared" si="90"/>
        <v/>
      </c>
      <c r="B997" s="89" t="str">
        <f t="shared" si="91"/>
        <v/>
      </c>
      <c r="S997" s="89" t="str">
        <f t="shared" si="92"/>
        <v/>
      </c>
      <c r="X997" s="64">
        <f t="shared" si="93"/>
        <v>0</v>
      </c>
      <c r="Y997" s="53">
        <f t="shared" si="94"/>
        <v>0</v>
      </c>
      <c r="Z997" s="64">
        <f t="shared" si="95"/>
        <v>0</v>
      </c>
    </row>
    <row r="998" spans="1:26">
      <c r="A998" s="89" t="str">
        <f t="shared" si="90"/>
        <v/>
      </c>
      <c r="B998" s="89" t="str">
        <f t="shared" si="91"/>
        <v/>
      </c>
      <c r="S998" s="89" t="str">
        <f t="shared" si="92"/>
        <v/>
      </c>
      <c r="X998" s="64">
        <f t="shared" si="93"/>
        <v>0</v>
      </c>
      <c r="Y998" s="53">
        <f t="shared" si="94"/>
        <v>0</v>
      </c>
      <c r="Z998" s="64">
        <f t="shared" si="95"/>
        <v>0</v>
      </c>
    </row>
    <row r="999" spans="1:26">
      <c r="A999" s="89" t="str">
        <f t="shared" si="90"/>
        <v/>
      </c>
      <c r="B999" s="89" t="str">
        <f t="shared" si="91"/>
        <v/>
      </c>
      <c r="S999" s="89" t="str">
        <f t="shared" si="92"/>
        <v/>
      </c>
      <c r="X999" s="64">
        <f t="shared" si="93"/>
        <v>0</v>
      </c>
      <c r="Y999" s="53">
        <f t="shared" si="94"/>
        <v>0</v>
      </c>
      <c r="Z999" s="64">
        <f t="shared" si="95"/>
        <v>0</v>
      </c>
    </row>
    <row r="1000" spans="1:26">
      <c r="A1000" s="89" t="str">
        <f t="shared" si="90"/>
        <v/>
      </c>
      <c r="B1000" s="89" t="str">
        <f t="shared" si="91"/>
        <v/>
      </c>
      <c r="S1000" s="89" t="str">
        <f t="shared" si="92"/>
        <v/>
      </c>
      <c r="X1000" s="64">
        <f t="shared" si="93"/>
        <v>0</v>
      </c>
      <c r="Y1000" s="53">
        <f t="shared" si="94"/>
        <v>0</v>
      </c>
      <c r="Z1000" s="64">
        <f t="shared" si="95"/>
        <v>0</v>
      </c>
    </row>
    <row r="1001" spans="1:26">
      <c r="A1001" s="89" t="str">
        <f t="shared" si="90"/>
        <v/>
      </c>
      <c r="B1001" s="89" t="str">
        <f t="shared" si="91"/>
        <v/>
      </c>
      <c r="S1001" s="89" t="str">
        <f t="shared" si="92"/>
        <v/>
      </c>
      <c r="X1001" s="64">
        <f t="shared" si="93"/>
        <v>0</v>
      </c>
      <c r="Y1001" s="53">
        <f t="shared" si="94"/>
        <v>0</v>
      </c>
      <c r="Z1001" s="64">
        <f t="shared" si="95"/>
        <v>0</v>
      </c>
    </row>
    <row r="1002" spans="1:26">
      <c r="A1002" s="89" t="str">
        <f t="shared" si="90"/>
        <v/>
      </c>
      <c r="B1002" s="89" t="str">
        <f t="shared" si="91"/>
        <v/>
      </c>
      <c r="S1002" s="89" t="str">
        <f t="shared" si="92"/>
        <v/>
      </c>
      <c r="X1002" s="64">
        <f t="shared" si="93"/>
        <v>0</v>
      </c>
      <c r="Y1002" s="53">
        <f t="shared" si="94"/>
        <v>0</v>
      </c>
      <c r="Z1002" s="64">
        <f t="shared" si="95"/>
        <v>0</v>
      </c>
    </row>
    <row r="1003" spans="1:26">
      <c r="A1003" s="89" t="str">
        <f t="shared" si="90"/>
        <v/>
      </c>
      <c r="B1003" s="89" t="str">
        <f t="shared" si="91"/>
        <v/>
      </c>
      <c r="S1003" s="89" t="str">
        <f t="shared" si="92"/>
        <v/>
      </c>
      <c r="X1003" s="64">
        <f t="shared" si="93"/>
        <v>0</v>
      </c>
      <c r="Y1003" s="53">
        <f t="shared" si="94"/>
        <v>0</v>
      </c>
      <c r="Z1003" s="64">
        <f t="shared" si="95"/>
        <v>0</v>
      </c>
    </row>
    <row r="1004" spans="1:26">
      <c r="A1004" s="89" t="str">
        <f t="shared" si="90"/>
        <v/>
      </c>
      <c r="B1004" s="89" t="str">
        <f t="shared" si="91"/>
        <v/>
      </c>
      <c r="S1004" s="89" t="str">
        <f t="shared" si="92"/>
        <v/>
      </c>
      <c r="X1004" s="64">
        <f t="shared" si="93"/>
        <v>0</v>
      </c>
      <c r="Y1004" s="53">
        <f t="shared" si="94"/>
        <v>0</v>
      </c>
      <c r="Z1004" s="64">
        <f t="shared" si="95"/>
        <v>0</v>
      </c>
    </row>
    <row r="1005" spans="1:26">
      <c r="A1005" s="89" t="str">
        <f t="shared" si="90"/>
        <v/>
      </c>
      <c r="B1005" s="89" t="str">
        <f t="shared" si="91"/>
        <v/>
      </c>
      <c r="S1005" s="89" t="str">
        <f t="shared" si="92"/>
        <v/>
      </c>
      <c r="X1005" s="64">
        <f t="shared" si="93"/>
        <v>0</v>
      </c>
      <c r="Y1005" s="53">
        <f t="shared" si="94"/>
        <v>0</v>
      </c>
      <c r="Z1005" s="64">
        <f t="shared" si="95"/>
        <v>0</v>
      </c>
    </row>
    <row r="1006" spans="1:26">
      <c r="A1006" s="89" t="str">
        <f t="shared" si="90"/>
        <v/>
      </c>
      <c r="B1006" s="89" t="str">
        <f t="shared" si="91"/>
        <v/>
      </c>
      <c r="S1006" s="89" t="str">
        <f t="shared" si="92"/>
        <v/>
      </c>
      <c r="X1006" s="64">
        <f t="shared" si="93"/>
        <v>0</v>
      </c>
      <c r="Y1006" s="53">
        <f t="shared" si="94"/>
        <v>0</v>
      </c>
      <c r="Z1006" s="64">
        <f t="shared" si="95"/>
        <v>0</v>
      </c>
    </row>
    <row r="1007" spans="1:26">
      <c r="A1007" s="89" t="str">
        <f t="shared" si="90"/>
        <v/>
      </c>
      <c r="B1007" s="89" t="str">
        <f t="shared" si="91"/>
        <v/>
      </c>
      <c r="S1007" s="89" t="str">
        <f t="shared" si="92"/>
        <v/>
      </c>
      <c r="X1007" s="64">
        <f t="shared" si="93"/>
        <v>0</v>
      </c>
      <c r="Y1007" s="53">
        <f t="shared" si="94"/>
        <v>0</v>
      </c>
      <c r="Z1007" s="64">
        <f t="shared" si="95"/>
        <v>0</v>
      </c>
    </row>
    <row r="1008" spans="1:26">
      <c r="A1008" s="89" t="str">
        <f t="shared" si="90"/>
        <v/>
      </c>
      <c r="B1008" s="89" t="str">
        <f t="shared" si="91"/>
        <v/>
      </c>
      <c r="S1008" s="89" t="str">
        <f t="shared" si="92"/>
        <v/>
      </c>
      <c r="X1008" s="64">
        <f t="shared" si="93"/>
        <v>0</v>
      </c>
      <c r="Y1008" s="53">
        <f t="shared" si="94"/>
        <v>0</v>
      </c>
      <c r="Z1008" s="64">
        <f t="shared" si="95"/>
        <v>0</v>
      </c>
    </row>
    <row r="1009" spans="1:26">
      <c r="A1009" s="89" t="str">
        <f t="shared" si="90"/>
        <v/>
      </c>
      <c r="B1009" s="89" t="str">
        <f t="shared" si="91"/>
        <v/>
      </c>
      <c r="S1009" s="89" t="str">
        <f t="shared" si="92"/>
        <v/>
      </c>
      <c r="X1009" s="64">
        <f t="shared" si="93"/>
        <v>0</v>
      </c>
      <c r="Y1009" s="53">
        <f t="shared" si="94"/>
        <v>0</v>
      </c>
      <c r="Z1009" s="64">
        <f t="shared" si="95"/>
        <v>0</v>
      </c>
    </row>
    <row r="1010" spans="1:26">
      <c r="A1010" s="89" t="str">
        <f t="shared" si="90"/>
        <v/>
      </c>
      <c r="B1010" s="89" t="str">
        <f t="shared" si="91"/>
        <v/>
      </c>
      <c r="S1010" s="89" t="str">
        <f t="shared" si="92"/>
        <v/>
      </c>
      <c r="X1010" s="64">
        <f t="shared" si="93"/>
        <v>0</v>
      </c>
      <c r="Y1010" s="53">
        <f t="shared" si="94"/>
        <v>0</v>
      </c>
      <c r="Z1010" s="64">
        <f t="shared" si="95"/>
        <v>0</v>
      </c>
    </row>
    <row r="1011" spans="1:26">
      <c r="A1011" s="89" t="str">
        <f t="shared" si="90"/>
        <v/>
      </c>
      <c r="B1011" s="89" t="str">
        <f t="shared" si="91"/>
        <v/>
      </c>
      <c r="S1011" s="89" t="str">
        <f t="shared" si="92"/>
        <v/>
      </c>
      <c r="X1011" s="64">
        <f t="shared" si="93"/>
        <v>0</v>
      </c>
      <c r="Y1011" s="53">
        <f t="shared" si="94"/>
        <v>0</v>
      </c>
      <c r="Z1011" s="64">
        <f t="shared" si="95"/>
        <v>0</v>
      </c>
    </row>
    <row r="1012" spans="1:26">
      <c r="A1012" s="89" t="str">
        <f t="shared" si="90"/>
        <v/>
      </c>
      <c r="B1012" s="89" t="str">
        <f t="shared" si="91"/>
        <v/>
      </c>
      <c r="S1012" s="89" t="str">
        <f t="shared" si="92"/>
        <v/>
      </c>
      <c r="X1012" s="64">
        <f t="shared" si="93"/>
        <v>0</v>
      </c>
      <c r="Y1012" s="53">
        <f t="shared" si="94"/>
        <v>0</v>
      </c>
      <c r="Z1012" s="64">
        <f t="shared" si="95"/>
        <v>0</v>
      </c>
    </row>
    <row r="1013" spans="1:26">
      <c r="A1013" s="89" t="str">
        <f t="shared" si="90"/>
        <v/>
      </c>
      <c r="B1013" s="89" t="str">
        <f t="shared" si="91"/>
        <v/>
      </c>
      <c r="S1013" s="89" t="str">
        <f t="shared" si="92"/>
        <v/>
      </c>
      <c r="X1013" s="64">
        <f t="shared" si="93"/>
        <v>0</v>
      </c>
      <c r="Y1013" s="53">
        <f t="shared" si="94"/>
        <v>0</v>
      </c>
      <c r="Z1013" s="64">
        <f t="shared" si="95"/>
        <v>0</v>
      </c>
    </row>
    <row r="1014" spans="1:26">
      <c r="A1014" s="89" t="str">
        <f t="shared" si="90"/>
        <v/>
      </c>
      <c r="B1014" s="89" t="str">
        <f t="shared" si="91"/>
        <v/>
      </c>
      <c r="S1014" s="89" t="str">
        <f t="shared" si="92"/>
        <v/>
      </c>
      <c r="X1014" s="64">
        <f t="shared" si="93"/>
        <v>0</v>
      </c>
      <c r="Y1014" s="53">
        <f t="shared" si="94"/>
        <v>0</v>
      </c>
      <c r="Z1014" s="64">
        <f t="shared" si="95"/>
        <v>0</v>
      </c>
    </row>
    <row r="1015" spans="1:26">
      <c r="A1015" s="89" t="str">
        <f t="shared" si="90"/>
        <v/>
      </c>
      <c r="B1015" s="89" t="str">
        <f t="shared" si="91"/>
        <v/>
      </c>
      <c r="S1015" s="89" t="str">
        <f t="shared" si="92"/>
        <v/>
      </c>
      <c r="X1015" s="64">
        <f t="shared" si="93"/>
        <v>0</v>
      </c>
      <c r="Y1015" s="53">
        <f t="shared" si="94"/>
        <v>0</v>
      </c>
      <c r="Z1015" s="64">
        <f t="shared" si="95"/>
        <v>0</v>
      </c>
    </row>
    <row r="1016" spans="1:26">
      <c r="A1016" s="89" t="str">
        <f t="shared" si="90"/>
        <v/>
      </c>
      <c r="B1016" s="89" t="str">
        <f t="shared" si="91"/>
        <v/>
      </c>
      <c r="S1016" s="89" t="str">
        <f t="shared" si="92"/>
        <v/>
      </c>
      <c r="X1016" s="64">
        <f t="shared" si="93"/>
        <v>0</v>
      </c>
      <c r="Y1016" s="53">
        <f t="shared" si="94"/>
        <v>0</v>
      </c>
      <c r="Z1016" s="64">
        <f t="shared" si="95"/>
        <v>0</v>
      </c>
    </row>
    <row r="1017" spans="1:26">
      <c r="A1017" s="89" t="str">
        <f t="shared" si="90"/>
        <v/>
      </c>
      <c r="B1017" s="89" t="str">
        <f t="shared" si="91"/>
        <v/>
      </c>
      <c r="S1017" s="89" t="str">
        <f t="shared" si="92"/>
        <v/>
      </c>
      <c r="X1017" s="64">
        <f t="shared" si="93"/>
        <v>0</v>
      </c>
      <c r="Y1017" s="53">
        <f t="shared" si="94"/>
        <v>0</v>
      </c>
      <c r="Z1017" s="64">
        <f t="shared" si="95"/>
        <v>0</v>
      </c>
    </row>
    <row r="1018" spans="1:26">
      <c r="A1018" s="89" t="str">
        <f t="shared" si="90"/>
        <v/>
      </c>
      <c r="B1018" s="89" t="str">
        <f t="shared" si="91"/>
        <v/>
      </c>
      <c r="S1018" s="89" t="str">
        <f t="shared" si="92"/>
        <v/>
      </c>
      <c r="X1018" s="64">
        <f t="shared" si="93"/>
        <v>0</v>
      </c>
      <c r="Y1018" s="53">
        <f t="shared" si="94"/>
        <v>0</v>
      </c>
      <c r="Z1018" s="64">
        <f t="shared" si="95"/>
        <v>0</v>
      </c>
    </row>
    <row r="1019" spans="1:26">
      <c r="A1019" s="89" t="str">
        <f t="shared" si="90"/>
        <v/>
      </c>
      <c r="B1019" s="89" t="str">
        <f t="shared" si="91"/>
        <v/>
      </c>
      <c r="S1019" s="89" t="str">
        <f t="shared" si="92"/>
        <v/>
      </c>
      <c r="X1019" s="64">
        <f t="shared" si="93"/>
        <v>0</v>
      </c>
      <c r="Y1019" s="53">
        <f t="shared" si="94"/>
        <v>0</v>
      </c>
      <c r="Z1019" s="64">
        <f t="shared" si="95"/>
        <v>0</v>
      </c>
    </row>
    <row r="1020" spans="1:26">
      <c r="A1020" s="89" t="str">
        <f t="shared" si="90"/>
        <v/>
      </c>
      <c r="B1020" s="89" t="str">
        <f t="shared" si="91"/>
        <v/>
      </c>
      <c r="S1020" s="89" t="str">
        <f t="shared" si="92"/>
        <v/>
      </c>
      <c r="X1020" s="64">
        <f t="shared" si="93"/>
        <v>0</v>
      </c>
      <c r="Y1020" s="53">
        <f t="shared" si="94"/>
        <v>0</v>
      </c>
      <c r="Z1020" s="64">
        <f t="shared" si="95"/>
        <v>0</v>
      </c>
    </row>
    <row r="1021" spans="1:26">
      <c r="A1021" s="89" t="str">
        <f t="shared" si="90"/>
        <v/>
      </c>
      <c r="B1021" s="89" t="str">
        <f t="shared" si="91"/>
        <v/>
      </c>
      <c r="S1021" s="89" t="str">
        <f t="shared" si="92"/>
        <v/>
      </c>
      <c r="X1021" s="64">
        <f t="shared" si="93"/>
        <v>0</v>
      </c>
      <c r="Y1021" s="53">
        <f t="shared" si="94"/>
        <v>0</v>
      </c>
      <c r="Z1021" s="64">
        <f t="shared" si="95"/>
        <v>0</v>
      </c>
    </row>
    <row r="1022" spans="1:26">
      <c r="A1022" s="89" t="str">
        <f t="shared" si="90"/>
        <v/>
      </c>
      <c r="B1022" s="89" t="str">
        <f t="shared" si="91"/>
        <v/>
      </c>
      <c r="S1022" s="89" t="str">
        <f t="shared" si="92"/>
        <v/>
      </c>
      <c r="X1022" s="64">
        <f t="shared" si="93"/>
        <v>0</v>
      </c>
      <c r="Y1022" s="53">
        <f t="shared" si="94"/>
        <v>0</v>
      </c>
      <c r="Z1022" s="64">
        <f t="shared" si="95"/>
        <v>0</v>
      </c>
    </row>
    <row r="1023" spans="1:26">
      <c r="A1023" s="89" t="str">
        <f t="shared" si="90"/>
        <v/>
      </c>
      <c r="B1023" s="89" t="str">
        <f t="shared" si="91"/>
        <v/>
      </c>
      <c r="S1023" s="89" t="str">
        <f t="shared" si="92"/>
        <v/>
      </c>
      <c r="X1023" s="64">
        <f t="shared" si="93"/>
        <v>0</v>
      </c>
      <c r="Y1023" s="53">
        <f t="shared" si="94"/>
        <v>0</v>
      </c>
      <c r="Z1023" s="64">
        <f t="shared" si="95"/>
        <v>0</v>
      </c>
    </row>
    <row r="1024" spans="1:26">
      <c r="A1024" s="89" t="str">
        <f t="shared" si="90"/>
        <v/>
      </c>
      <c r="B1024" s="89" t="str">
        <f t="shared" si="91"/>
        <v/>
      </c>
      <c r="S1024" s="89" t="str">
        <f t="shared" si="92"/>
        <v/>
      </c>
      <c r="X1024" s="64">
        <f t="shared" si="93"/>
        <v>0</v>
      </c>
      <c r="Y1024" s="53">
        <f t="shared" si="94"/>
        <v>0</v>
      </c>
      <c r="Z1024" s="64">
        <f t="shared" si="95"/>
        <v>0</v>
      </c>
    </row>
    <row r="1025" spans="1:26">
      <c r="A1025" s="89" t="str">
        <f t="shared" si="90"/>
        <v/>
      </c>
      <c r="B1025" s="89" t="str">
        <f t="shared" si="91"/>
        <v/>
      </c>
      <c r="S1025" s="89" t="str">
        <f t="shared" si="92"/>
        <v/>
      </c>
      <c r="X1025" s="64">
        <f t="shared" si="93"/>
        <v>0</v>
      </c>
      <c r="Y1025" s="53">
        <f t="shared" si="94"/>
        <v>0</v>
      </c>
      <c r="Z1025" s="64">
        <f t="shared" si="95"/>
        <v>0</v>
      </c>
    </row>
    <row r="1026" spans="1:26">
      <c r="A1026" s="89" t="str">
        <f t="shared" si="90"/>
        <v/>
      </c>
      <c r="B1026" s="89" t="str">
        <f t="shared" si="91"/>
        <v/>
      </c>
      <c r="S1026" s="89" t="str">
        <f t="shared" si="92"/>
        <v/>
      </c>
      <c r="X1026" s="64">
        <f t="shared" si="93"/>
        <v>0</v>
      </c>
      <c r="Y1026" s="53">
        <f t="shared" si="94"/>
        <v>0</v>
      </c>
      <c r="Z1026" s="64">
        <f t="shared" si="95"/>
        <v>0</v>
      </c>
    </row>
    <row r="1027" spans="1:26">
      <c r="A1027" s="89" t="str">
        <f t="shared" ref="A1027:A1090" si="96">IF(G1027&amp;Q1027&lt;&gt;"",G1027&amp;Q1027,"")</f>
        <v/>
      </c>
      <c r="B1027" s="89" t="str">
        <f t="shared" ref="B1027:B1090" si="97">IF(C1027&lt;&gt;"",LEFT(C1027,9),"")</f>
        <v/>
      </c>
      <c r="S1027" s="89" t="str">
        <f t="shared" ref="S1027:S1090" si="98">IF(H1027&lt;&gt;"",H1027,"")</f>
        <v/>
      </c>
      <c r="X1027" s="64">
        <f t="shared" ref="X1027:X1090" si="99">IFERROR(VALUE(MID($C1027,1,2)),0)</f>
        <v>0</v>
      </c>
      <c r="Y1027" s="53">
        <f t="shared" ref="Y1027:Y1090" si="100">IFERROR(VALUE(MID($C1027,4,3)),0)</f>
        <v>0</v>
      </c>
      <c r="Z1027" s="64">
        <f t="shared" ref="Z1027:Z1090" si="101">VALUE(RIGHT("00"&amp;X1027,2)&amp;RIGHT("000"&amp;Y1027,3))</f>
        <v>0</v>
      </c>
    </row>
    <row r="1028" spans="1:26">
      <c r="A1028" s="89" t="str">
        <f t="shared" si="96"/>
        <v/>
      </c>
      <c r="B1028" s="89" t="str">
        <f t="shared" si="97"/>
        <v/>
      </c>
      <c r="S1028" s="89" t="str">
        <f t="shared" si="98"/>
        <v/>
      </c>
      <c r="X1028" s="64">
        <f t="shared" si="99"/>
        <v>0</v>
      </c>
      <c r="Y1028" s="53">
        <f t="shared" si="100"/>
        <v>0</v>
      </c>
      <c r="Z1028" s="64">
        <f t="shared" si="101"/>
        <v>0</v>
      </c>
    </row>
    <row r="1029" spans="1:26">
      <c r="A1029" s="89" t="str">
        <f t="shared" si="96"/>
        <v/>
      </c>
      <c r="B1029" s="89" t="str">
        <f t="shared" si="97"/>
        <v/>
      </c>
      <c r="S1029" s="89" t="str">
        <f t="shared" si="98"/>
        <v/>
      </c>
      <c r="X1029" s="64">
        <f t="shared" si="99"/>
        <v>0</v>
      </c>
      <c r="Y1029" s="53">
        <f t="shared" si="100"/>
        <v>0</v>
      </c>
      <c r="Z1029" s="64">
        <f t="shared" si="101"/>
        <v>0</v>
      </c>
    </row>
    <row r="1030" spans="1:26">
      <c r="A1030" s="89" t="str">
        <f t="shared" si="96"/>
        <v/>
      </c>
      <c r="B1030" s="89" t="str">
        <f t="shared" si="97"/>
        <v/>
      </c>
      <c r="S1030" s="89" t="str">
        <f t="shared" si="98"/>
        <v/>
      </c>
      <c r="X1030" s="64">
        <f t="shared" si="99"/>
        <v>0</v>
      </c>
      <c r="Y1030" s="53">
        <f t="shared" si="100"/>
        <v>0</v>
      </c>
      <c r="Z1030" s="64">
        <f t="shared" si="101"/>
        <v>0</v>
      </c>
    </row>
    <row r="1031" spans="1:26">
      <c r="A1031" s="89" t="str">
        <f t="shared" si="96"/>
        <v/>
      </c>
      <c r="B1031" s="89" t="str">
        <f t="shared" si="97"/>
        <v/>
      </c>
      <c r="S1031" s="89" t="str">
        <f t="shared" si="98"/>
        <v/>
      </c>
      <c r="X1031" s="64">
        <f t="shared" si="99"/>
        <v>0</v>
      </c>
      <c r="Y1031" s="53">
        <f t="shared" si="100"/>
        <v>0</v>
      </c>
      <c r="Z1031" s="64">
        <f t="shared" si="101"/>
        <v>0</v>
      </c>
    </row>
    <row r="1032" spans="1:26">
      <c r="A1032" s="89" t="str">
        <f t="shared" si="96"/>
        <v/>
      </c>
      <c r="B1032" s="89" t="str">
        <f t="shared" si="97"/>
        <v/>
      </c>
      <c r="S1032" s="89" t="str">
        <f t="shared" si="98"/>
        <v/>
      </c>
      <c r="X1032" s="64">
        <f t="shared" si="99"/>
        <v>0</v>
      </c>
      <c r="Y1032" s="53">
        <f t="shared" si="100"/>
        <v>0</v>
      </c>
      <c r="Z1032" s="64">
        <f t="shared" si="101"/>
        <v>0</v>
      </c>
    </row>
    <row r="1033" spans="1:26">
      <c r="A1033" s="89" t="str">
        <f t="shared" si="96"/>
        <v/>
      </c>
      <c r="B1033" s="89" t="str">
        <f t="shared" si="97"/>
        <v/>
      </c>
      <c r="S1033" s="89" t="str">
        <f t="shared" si="98"/>
        <v/>
      </c>
      <c r="X1033" s="64">
        <f t="shared" si="99"/>
        <v>0</v>
      </c>
      <c r="Y1033" s="53">
        <f t="shared" si="100"/>
        <v>0</v>
      </c>
      <c r="Z1033" s="64">
        <f t="shared" si="101"/>
        <v>0</v>
      </c>
    </row>
    <row r="1034" spans="1:26">
      <c r="A1034" s="89" t="str">
        <f t="shared" si="96"/>
        <v/>
      </c>
      <c r="B1034" s="89" t="str">
        <f t="shared" si="97"/>
        <v/>
      </c>
      <c r="S1034" s="89" t="str">
        <f t="shared" si="98"/>
        <v/>
      </c>
      <c r="X1034" s="64">
        <f t="shared" si="99"/>
        <v>0</v>
      </c>
      <c r="Y1034" s="53">
        <f t="shared" si="100"/>
        <v>0</v>
      </c>
      <c r="Z1034" s="64">
        <f t="shared" si="101"/>
        <v>0</v>
      </c>
    </row>
    <row r="1035" spans="1:26">
      <c r="A1035" s="89" t="str">
        <f t="shared" si="96"/>
        <v/>
      </c>
      <c r="B1035" s="89" t="str">
        <f t="shared" si="97"/>
        <v/>
      </c>
      <c r="S1035" s="89" t="str">
        <f t="shared" si="98"/>
        <v/>
      </c>
      <c r="X1035" s="64">
        <f t="shared" si="99"/>
        <v>0</v>
      </c>
      <c r="Y1035" s="53">
        <f t="shared" si="100"/>
        <v>0</v>
      </c>
      <c r="Z1035" s="64">
        <f t="shared" si="101"/>
        <v>0</v>
      </c>
    </row>
    <row r="1036" spans="1:26">
      <c r="A1036" s="89" t="str">
        <f t="shared" si="96"/>
        <v/>
      </c>
      <c r="B1036" s="89" t="str">
        <f t="shared" si="97"/>
        <v/>
      </c>
      <c r="S1036" s="89" t="str">
        <f t="shared" si="98"/>
        <v/>
      </c>
      <c r="X1036" s="64">
        <f t="shared" si="99"/>
        <v>0</v>
      </c>
      <c r="Y1036" s="53">
        <f t="shared" si="100"/>
        <v>0</v>
      </c>
      <c r="Z1036" s="64">
        <f t="shared" si="101"/>
        <v>0</v>
      </c>
    </row>
    <row r="1037" spans="1:26">
      <c r="A1037" s="89" t="str">
        <f t="shared" si="96"/>
        <v/>
      </c>
      <c r="B1037" s="89" t="str">
        <f t="shared" si="97"/>
        <v/>
      </c>
      <c r="S1037" s="89" t="str">
        <f t="shared" si="98"/>
        <v/>
      </c>
      <c r="X1037" s="64">
        <f t="shared" si="99"/>
        <v>0</v>
      </c>
      <c r="Y1037" s="53">
        <f t="shared" si="100"/>
        <v>0</v>
      </c>
      <c r="Z1037" s="64">
        <f t="shared" si="101"/>
        <v>0</v>
      </c>
    </row>
    <row r="1038" spans="1:26">
      <c r="A1038" s="89" t="str">
        <f t="shared" si="96"/>
        <v/>
      </c>
      <c r="B1038" s="89" t="str">
        <f t="shared" si="97"/>
        <v/>
      </c>
      <c r="S1038" s="89" t="str">
        <f t="shared" si="98"/>
        <v/>
      </c>
      <c r="X1038" s="64">
        <f t="shared" si="99"/>
        <v>0</v>
      </c>
      <c r="Y1038" s="53">
        <f t="shared" si="100"/>
        <v>0</v>
      </c>
      <c r="Z1038" s="64">
        <f t="shared" si="101"/>
        <v>0</v>
      </c>
    </row>
    <row r="1039" spans="1:26">
      <c r="A1039" s="89" t="str">
        <f t="shared" si="96"/>
        <v/>
      </c>
      <c r="B1039" s="89" t="str">
        <f t="shared" si="97"/>
        <v/>
      </c>
      <c r="S1039" s="89" t="str">
        <f t="shared" si="98"/>
        <v/>
      </c>
      <c r="X1039" s="64">
        <f t="shared" si="99"/>
        <v>0</v>
      </c>
      <c r="Y1039" s="53">
        <f t="shared" si="100"/>
        <v>0</v>
      </c>
      <c r="Z1039" s="64">
        <f t="shared" si="101"/>
        <v>0</v>
      </c>
    </row>
    <row r="1040" spans="1:26">
      <c r="A1040" s="89" t="str">
        <f t="shared" si="96"/>
        <v/>
      </c>
      <c r="B1040" s="89" t="str">
        <f t="shared" si="97"/>
        <v/>
      </c>
      <c r="S1040" s="89" t="str">
        <f t="shared" si="98"/>
        <v/>
      </c>
      <c r="X1040" s="64">
        <f t="shared" si="99"/>
        <v>0</v>
      </c>
      <c r="Y1040" s="53">
        <f t="shared" si="100"/>
        <v>0</v>
      </c>
      <c r="Z1040" s="64">
        <f t="shared" si="101"/>
        <v>0</v>
      </c>
    </row>
    <row r="1041" spans="1:26">
      <c r="A1041" s="89" t="str">
        <f t="shared" si="96"/>
        <v/>
      </c>
      <c r="B1041" s="89" t="str">
        <f t="shared" si="97"/>
        <v/>
      </c>
      <c r="S1041" s="89" t="str">
        <f t="shared" si="98"/>
        <v/>
      </c>
      <c r="X1041" s="64">
        <f t="shared" si="99"/>
        <v>0</v>
      </c>
      <c r="Y1041" s="53">
        <f t="shared" si="100"/>
        <v>0</v>
      </c>
      <c r="Z1041" s="64">
        <f t="shared" si="101"/>
        <v>0</v>
      </c>
    </row>
    <row r="1042" spans="1:26">
      <c r="A1042" s="89" t="str">
        <f t="shared" si="96"/>
        <v/>
      </c>
      <c r="B1042" s="89" t="str">
        <f t="shared" si="97"/>
        <v/>
      </c>
      <c r="S1042" s="89" t="str">
        <f t="shared" si="98"/>
        <v/>
      </c>
      <c r="X1042" s="64">
        <f t="shared" si="99"/>
        <v>0</v>
      </c>
      <c r="Y1042" s="53">
        <f t="shared" si="100"/>
        <v>0</v>
      </c>
      <c r="Z1042" s="64">
        <f t="shared" si="101"/>
        <v>0</v>
      </c>
    </row>
    <row r="1043" spans="1:26">
      <c r="A1043" s="89" t="str">
        <f t="shared" si="96"/>
        <v/>
      </c>
      <c r="B1043" s="89" t="str">
        <f t="shared" si="97"/>
        <v/>
      </c>
      <c r="S1043" s="89" t="str">
        <f t="shared" si="98"/>
        <v/>
      </c>
      <c r="X1043" s="64">
        <f t="shared" si="99"/>
        <v>0</v>
      </c>
      <c r="Y1043" s="53">
        <f t="shared" si="100"/>
        <v>0</v>
      </c>
      <c r="Z1043" s="64">
        <f t="shared" si="101"/>
        <v>0</v>
      </c>
    </row>
    <row r="1044" spans="1:26">
      <c r="A1044" s="89" t="str">
        <f t="shared" si="96"/>
        <v/>
      </c>
      <c r="B1044" s="89" t="str">
        <f t="shared" si="97"/>
        <v/>
      </c>
      <c r="S1044" s="89" t="str">
        <f t="shared" si="98"/>
        <v/>
      </c>
      <c r="X1044" s="64">
        <f t="shared" si="99"/>
        <v>0</v>
      </c>
      <c r="Y1044" s="53">
        <f t="shared" si="100"/>
        <v>0</v>
      </c>
      <c r="Z1044" s="64">
        <f t="shared" si="101"/>
        <v>0</v>
      </c>
    </row>
    <row r="1045" spans="1:26">
      <c r="A1045" s="89" t="str">
        <f t="shared" si="96"/>
        <v/>
      </c>
      <c r="B1045" s="89" t="str">
        <f t="shared" si="97"/>
        <v/>
      </c>
      <c r="S1045" s="89" t="str">
        <f t="shared" si="98"/>
        <v/>
      </c>
      <c r="X1045" s="64">
        <f t="shared" si="99"/>
        <v>0</v>
      </c>
      <c r="Y1045" s="53">
        <f t="shared" si="100"/>
        <v>0</v>
      </c>
      <c r="Z1045" s="64">
        <f t="shared" si="101"/>
        <v>0</v>
      </c>
    </row>
    <row r="1046" spans="1:26">
      <c r="A1046" s="89" t="str">
        <f t="shared" si="96"/>
        <v/>
      </c>
      <c r="B1046" s="89" t="str">
        <f t="shared" si="97"/>
        <v/>
      </c>
      <c r="S1046" s="89" t="str">
        <f t="shared" si="98"/>
        <v/>
      </c>
      <c r="X1046" s="64">
        <f t="shared" si="99"/>
        <v>0</v>
      </c>
      <c r="Y1046" s="53">
        <f t="shared" si="100"/>
        <v>0</v>
      </c>
      <c r="Z1046" s="64">
        <f t="shared" si="101"/>
        <v>0</v>
      </c>
    </row>
    <row r="1047" spans="1:26">
      <c r="A1047" s="89" t="str">
        <f t="shared" si="96"/>
        <v/>
      </c>
      <c r="B1047" s="89" t="str">
        <f t="shared" si="97"/>
        <v/>
      </c>
      <c r="S1047" s="89" t="str">
        <f t="shared" si="98"/>
        <v/>
      </c>
      <c r="X1047" s="64">
        <f t="shared" si="99"/>
        <v>0</v>
      </c>
      <c r="Y1047" s="53">
        <f t="shared" si="100"/>
        <v>0</v>
      </c>
      <c r="Z1047" s="64">
        <f t="shared" si="101"/>
        <v>0</v>
      </c>
    </row>
    <row r="1048" spans="1:26">
      <c r="A1048" s="89" t="str">
        <f t="shared" si="96"/>
        <v/>
      </c>
      <c r="B1048" s="89" t="str">
        <f t="shared" si="97"/>
        <v/>
      </c>
      <c r="S1048" s="89" t="str">
        <f t="shared" si="98"/>
        <v/>
      </c>
      <c r="X1048" s="64">
        <f t="shared" si="99"/>
        <v>0</v>
      </c>
      <c r="Y1048" s="53">
        <f t="shared" si="100"/>
        <v>0</v>
      </c>
      <c r="Z1048" s="64">
        <f t="shared" si="101"/>
        <v>0</v>
      </c>
    </row>
    <row r="1049" spans="1:26">
      <c r="A1049" s="89" t="str">
        <f t="shared" si="96"/>
        <v/>
      </c>
      <c r="B1049" s="89" t="str">
        <f t="shared" si="97"/>
        <v/>
      </c>
      <c r="S1049" s="89" t="str">
        <f t="shared" si="98"/>
        <v/>
      </c>
      <c r="X1049" s="64">
        <f t="shared" si="99"/>
        <v>0</v>
      </c>
      <c r="Y1049" s="53">
        <f t="shared" si="100"/>
        <v>0</v>
      </c>
      <c r="Z1049" s="64">
        <f t="shared" si="101"/>
        <v>0</v>
      </c>
    </row>
    <row r="1050" spans="1:26">
      <c r="A1050" s="89" t="str">
        <f t="shared" si="96"/>
        <v/>
      </c>
      <c r="B1050" s="89" t="str">
        <f t="shared" si="97"/>
        <v/>
      </c>
      <c r="S1050" s="89" t="str">
        <f t="shared" si="98"/>
        <v/>
      </c>
      <c r="X1050" s="64">
        <f t="shared" si="99"/>
        <v>0</v>
      </c>
      <c r="Y1050" s="53">
        <f t="shared" si="100"/>
        <v>0</v>
      </c>
      <c r="Z1050" s="64">
        <f t="shared" si="101"/>
        <v>0</v>
      </c>
    </row>
    <row r="1051" spans="1:26">
      <c r="A1051" s="89" t="str">
        <f t="shared" si="96"/>
        <v/>
      </c>
      <c r="B1051" s="89" t="str">
        <f t="shared" si="97"/>
        <v/>
      </c>
      <c r="S1051" s="89" t="str">
        <f t="shared" si="98"/>
        <v/>
      </c>
      <c r="X1051" s="64">
        <f t="shared" si="99"/>
        <v>0</v>
      </c>
      <c r="Y1051" s="53">
        <f t="shared" si="100"/>
        <v>0</v>
      </c>
      <c r="Z1051" s="64">
        <f t="shared" si="101"/>
        <v>0</v>
      </c>
    </row>
    <row r="1052" spans="1:26">
      <c r="A1052" s="89" t="str">
        <f t="shared" si="96"/>
        <v/>
      </c>
      <c r="B1052" s="89" t="str">
        <f t="shared" si="97"/>
        <v/>
      </c>
      <c r="S1052" s="89" t="str">
        <f t="shared" si="98"/>
        <v/>
      </c>
      <c r="X1052" s="64">
        <f t="shared" si="99"/>
        <v>0</v>
      </c>
      <c r="Y1052" s="53">
        <f t="shared" si="100"/>
        <v>0</v>
      </c>
      <c r="Z1052" s="64">
        <f t="shared" si="101"/>
        <v>0</v>
      </c>
    </row>
    <row r="1053" spans="1:26">
      <c r="A1053" s="89" t="str">
        <f t="shared" si="96"/>
        <v/>
      </c>
      <c r="B1053" s="89" t="str">
        <f t="shared" si="97"/>
        <v/>
      </c>
      <c r="S1053" s="89" t="str">
        <f t="shared" si="98"/>
        <v/>
      </c>
      <c r="X1053" s="64">
        <f t="shared" si="99"/>
        <v>0</v>
      </c>
      <c r="Y1053" s="53">
        <f t="shared" si="100"/>
        <v>0</v>
      </c>
      <c r="Z1053" s="64">
        <f t="shared" si="101"/>
        <v>0</v>
      </c>
    </row>
    <row r="1054" spans="1:26">
      <c r="A1054" s="89" t="str">
        <f t="shared" si="96"/>
        <v/>
      </c>
      <c r="B1054" s="89" t="str">
        <f t="shared" si="97"/>
        <v/>
      </c>
      <c r="S1054" s="89" t="str">
        <f t="shared" si="98"/>
        <v/>
      </c>
      <c r="X1054" s="64">
        <f t="shared" si="99"/>
        <v>0</v>
      </c>
      <c r="Y1054" s="53">
        <f t="shared" si="100"/>
        <v>0</v>
      </c>
      <c r="Z1054" s="64">
        <f t="shared" si="101"/>
        <v>0</v>
      </c>
    </row>
    <row r="1055" spans="1:26">
      <c r="A1055" s="89" t="str">
        <f t="shared" si="96"/>
        <v/>
      </c>
      <c r="B1055" s="89" t="str">
        <f t="shared" si="97"/>
        <v/>
      </c>
      <c r="S1055" s="89" t="str">
        <f t="shared" si="98"/>
        <v/>
      </c>
      <c r="X1055" s="64">
        <f t="shared" si="99"/>
        <v>0</v>
      </c>
      <c r="Y1055" s="53">
        <f t="shared" si="100"/>
        <v>0</v>
      </c>
      <c r="Z1055" s="64">
        <f t="shared" si="101"/>
        <v>0</v>
      </c>
    </row>
    <row r="1056" spans="1:26">
      <c r="A1056" s="89" t="str">
        <f t="shared" si="96"/>
        <v/>
      </c>
      <c r="B1056" s="89" t="str">
        <f t="shared" si="97"/>
        <v/>
      </c>
      <c r="S1056" s="89" t="str">
        <f t="shared" si="98"/>
        <v/>
      </c>
      <c r="X1056" s="64">
        <f t="shared" si="99"/>
        <v>0</v>
      </c>
      <c r="Y1056" s="53">
        <f t="shared" si="100"/>
        <v>0</v>
      </c>
      <c r="Z1056" s="64">
        <f t="shared" si="101"/>
        <v>0</v>
      </c>
    </row>
    <row r="1057" spans="1:26">
      <c r="A1057" s="89" t="str">
        <f t="shared" si="96"/>
        <v/>
      </c>
      <c r="B1057" s="89" t="str">
        <f t="shared" si="97"/>
        <v/>
      </c>
      <c r="S1057" s="89" t="str">
        <f t="shared" si="98"/>
        <v/>
      </c>
      <c r="X1057" s="64">
        <f t="shared" si="99"/>
        <v>0</v>
      </c>
      <c r="Y1057" s="53">
        <f t="shared" si="100"/>
        <v>0</v>
      </c>
      <c r="Z1057" s="64">
        <f t="shared" si="101"/>
        <v>0</v>
      </c>
    </row>
    <row r="1058" spans="1:26">
      <c r="A1058" s="89" t="str">
        <f t="shared" si="96"/>
        <v/>
      </c>
      <c r="B1058" s="89" t="str">
        <f t="shared" si="97"/>
        <v/>
      </c>
      <c r="S1058" s="89" t="str">
        <f t="shared" si="98"/>
        <v/>
      </c>
      <c r="X1058" s="64">
        <f t="shared" si="99"/>
        <v>0</v>
      </c>
      <c r="Y1058" s="53">
        <f t="shared" si="100"/>
        <v>0</v>
      </c>
      <c r="Z1058" s="64">
        <f t="shared" si="101"/>
        <v>0</v>
      </c>
    </row>
    <row r="1059" spans="1:26">
      <c r="A1059" s="89" t="str">
        <f t="shared" si="96"/>
        <v/>
      </c>
      <c r="B1059" s="89" t="str">
        <f t="shared" si="97"/>
        <v/>
      </c>
      <c r="S1059" s="89" t="str">
        <f t="shared" si="98"/>
        <v/>
      </c>
      <c r="X1059" s="64">
        <f t="shared" si="99"/>
        <v>0</v>
      </c>
      <c r="Y1059" s="53">
        <f t="shared" si="100"/>
        <v>0</v>
      </c>
      <c r="Z1059" s="64">
        <f t="shared" si="101"/>
        <v>0</v>
      </c>
    </row>
    <row r="1060" spans="1:26">
      <c r="A1060" s="89" t="str">
        <f t="shared" si="96"/>
        <v/>
      </c>
      <c r="B1060" s="89" t="str">
        <f t="shared" si="97"/>
        <v/>
      </c>
      <c r="S1060" s="89" t="str">
        <f t="shared" si="98"/>
        <v/>
      </c>
      <c r="X1060" s="64">
        <f t="shared" si="99"/>
        <v>0</v>
      </c>
      <c r="Y1060" s="53">
        <f t="shared" si="100"/>
        <v>0</v>
      </c>
      <c r="Z1060" s="64">
        <f t="shared" si="101"/>
        <v>0</v>
      </c>
    </row>
    <row r="1061" spans="1:26">
      <c r="A1061" s="89" t="str">
        <f t="shared" si="96"/>
        <v/>
      </c>
      <c r="B1061" s="89" t="str">
        <f t="shared" si="97"/>
        <v/>
      </c>
      <c r="S1061" s="89" t="str">
        <f t="shared" si="98"/>
        <v/>
      </c>
      <c r="X1061" s="64">
        <f t="shared" si="99"/>
        <v>0</v>
      </c>
      <c r="Y1061" s="53">
        <f t="shared" si="100"/>
        <v>0</v>
      </c>
      <c r="Z1061" s="64">
        <f t="shared" si="101"/>
        <v>0</v>
      </c>
    </row>
    <row r="1062" spans="1:26">
      <c r="A1062" s="89" t="str">
        <f t="shared" si="96"/>
        <v/>
      </c>
      <c r="B1062" s="89" t="str">
        <f t="shared" si="97"/>
        <v/>
      </c>
      <c r="S1062" s="89" t="str">
        <f t="shared" si="98"/>
        <v/>
      </c>
      <c r="X1062" s="64">
        <f t="shared" si="99"/>
        <v>0</v>
      </c>
      <c r="Y1062" s="53">
        <f t="shared" si="100"/>
        <v>0</v>
      </c>
      <c r="Z1062" s="64">
        <f t="shared" si="101"/>
        <v>0</v>
      </c>
    </row>
    <row r="1063" spans="1:26">
      <c r="A1063" s="89" t="str">
        <f t="shared" si="96"/>
        <v/>
      </c>
      <c r="B1063" s="89" t="str">
        <f t="shared" si="97"/>
        <v/>
      </c>
      <c r="S1063" s="89" t="str">
        <f t="shared" si="98"/>
        <v/>
      </c>
      <c r="X1063" s="64">
        <f t="shared" si="99"/>
        <v>0</v>
      </c>
      <c r="Y1063" s="53">
        <f t="shared" si="100"/>
        <v>0</v>
      </c>
      <c r="Z1063" s="64">
        <f t="shared" si="101"/>
        <v>0</v>
      </c>
    </row>
    <row r="1064" spans="1:26">
      <c r="A1064" s="89" t="str">
        <f t="shared" si="96"/>
        <v/>
      </c>
      <c r="B1064" s="89" t="str">
        <f t="shared" si="97"/>
        <v/>
      </c>
      <c r="S1064" s="89" t="str">
        <f t="shared" si="98"/>
        <v/>
      </c>
      <c r="X1064" s="64">
        <f t="shared" si="99"/>
        <v>0</v>
      </c>
      <c r="Y1064" s="53">
        <f t="shared" si="100"/>
        <v>0</v>
      </c>
      <c r="Z1064" s="64">
        <f t="shared" si="101"/>
        <v>0</v>
      </c>
    </row>
    <row r="1065" spans="1:26">
      <c r="A1065" s="89" t="str">
        <f t="shared" si="96"/>
        <v/>
      </c>
      <c r="B1065" s="89" t="str">
        <f t="shared" si="97"/>
        <v/>
      </c>
      <c r="S1065" s="89" t="str">
        <f t="shared" si="98"/>
        <v/>
      </c>
      <c r="X1065" s="64">
        <f t="shared" si="99"/>
        <v>0</v>
      </c>
      <c r="Y1065" s="53">
        <f t="shared" si="100"/>
        <v>0</v>
      </c>
      <c r="Z1065" s="64">
        <f t="shared" si="101"/>
        <v>0</v>
      </c>
    </row>
    <row r="1066" spans="1:26">
      <c r="A1066" s="89" t="str">
        <f t="shared" si="96"/>
        <v/>
      </c>
      <c r="B1066" s="89" t="str">
        <f t="shared" si="97"/>
        <v/>
      </c>
      <c r="S1066" s="89" t="str">
        <f t="shared" si="98"/>
        <v/>
      </c>
      <c r="X1066" s="64">
        <f t="shared" si="99"/>
        <v>0</v>
      </c>
      <c r="Y1066" s="53">
        <f t="shared" si="100"/>
        <v>0</v>
      </c>
      <c r="Z1066" s="64">
        <f t="shared" si="101"/>
        <v>0</v>
      </c>
    </row>
    <row r="1067" spans="1:26">
      <c r="A1067" s="89" t="str">
        <f t="shared" si="96"/>
        <v/>
      </c>
      <c r="B1067" s="89" t="str">
        <f t="shared" si="97"/>
        <v/>
      </c>
      <c r="S1067" s="89" t="str">
        <f t="shared" si="98"/>
        <v/>
      </c>
      <c r="X1067" s="64">
        <f t="shared" si="99"/>
        <v>0</v>
      </c>
      <c r="Y1067" s="53">
        <f t="shared" si="100"/>
        <v>0</v>
      </c>
      <c r="Z1067" s="64">
        <f t="shared" si="101"/>
        <v>0</v>
      </c>
    </row>
    <row r="1068" spans="1:26">
      <c r="A1068" s="89" t="str">
        <f t="shared" si="96"/>
        <v/>
      </c>
      <c r="B1068" s="89" t="str">
        <f t="shared" si="97"/>
        <v/>
      </c>
      <c r="S1068" s="89" t="str">
        <f t="shared" si="98"/>
        <v/>
      </c>
      <c r="X1068" s="64">
        <f t="shared" si="99"/>
        <v>0</v>
      </c>
      <c r="Y1068" s="53">
        <f t="shared" si="100"/>
        <v>0</v>
      </c>
      <c r="Z1068" s="64">
        <f t="shared" si="101"/>
        <v>0</v>
      </c>
    </row>
    <row r="1069" spans="1:26">
      <c r="A1069" s="89" t="str">
        <f t="shared" si="96"/>
        <v/>
      </c>
      <c r="B1069" s="89" t="str">
        <f t="shared" si="97"/>
        <v/>
      </c>
      <c r="S1069" s="89" t="str">
        <f t="shared" si="98"/>
        <v/>
      </c>
      <c r="X1069" s="64">
        <f t="shared" si="99"/>
        <v>0</v>
      </c>
      <c r="Y1069" s="53">
        <f t="shared" si="100"/>
        <v>0</v>
      </c>
      <c r="Z1069" s="64">
        <f t="shared" si="101"/>
        <v>0</v>
      </c>
    </row>
    <row r="1070" spans="1:26">
      <c r="A1070" s="89" t="str">
        <f t="shared" si="96"/>
        <v/>
      </c>
      <c r="B1070" s="89" t="str">
        <f t="shared" si="97"/>
        <v/>
      </c>
      <c r="S1070" s="89" t="str">
        <f t="shared" si="98"/>
        <v/>
      </c>
      <c r="X1070" s="64">
        <f t="shared" si="99"/>
        <v>0</v>
      </c>
      <c r="Y1070" s="53">
        <f t="shared" si="100"/>
        <v>0</v>
      </c>
      <c r="Z1070" s="64">
        <f t="shared" si="101"/>
        <v>0</v>
      </c>
    </row>
    <row r="1071" spans="1:26">
      <c r="A1071" s="89" t="str">
        <f t="shared" si="96"/>
        <v/>
      </c>
      <c r="B1071" s="89" t="str">
        <f t="shared" si="97"/>
        <v/>
      </c>
      <c r="S1071" s="89" t="str">
        <f t="shared" si="98"/>
        <v/>
      </c>
      <c r="X1071" s="64">
        <f t="shared" si="99"/>
        <v>0</v>
      </c>
      <c r="Y1071" s="53">
        <f t="shared" si="100"/>
        <v>0</v>
      </c>
      <c r="Z1071" s="64">
        <f t="shared" si="101"/>
        <v>0</v>
      </c>
    </row>
    <row r="1072" spans="1:26">
      <c r="A1072" s="89" t="str">
        <f t="shared" si="96"/>
        <v/>
      </c>
      <c r="B1072" s="89" t="str">
        <f t="shared" si="97"/>
        <v/>
      </c>
      <c r="S1072" s="89" t="str">
        <f t="shared" si="98"/>
        <v/>
      </c>
      <c r="X1072" s="64">
        <f t="shared" si="99"/>
        <v>0</v>
      </c>
      <c r="Y1072" s="53">
        <f t="shared" si="100"/>
        <v>0</v>
      </c>
      <c r="Z1072" s="64">
        <f t="shared" si="101"/>
        <v>0</v>
      </c>
    </row>
    <row r="1073" spans="1:26">
      <c r="A1073" s="89" t="str">
        <f t="shared" si="96"/>
        <v/>
      </c>
      <c r="B1073" s="89" t="str">
        <f t="shared" si="97"/>
        <v/>
      </c>
      <c r="S1073" s="89" t="str">
        <f t="shared" si="98"/>
        <v/>
      </c>
      <c r="X1073" s="64">
        <f t="shared" si="99"/>
        <v>0</v>
      </c>
      <c r="Y1073" s="53">
        <f t="shared" si="100"/>
        <v>0</v>
      </c>
      <c r="Z1073" s="64">
        <f t="shared" si="101"/>
        <v>0</v>
      </c>
    </row>
    <row r="1074" spans="1:26">
      <c r="A1074" s="89" t="str">
        <f t="shared" si="96"/>
        <v/>
      </c>
      <c r="B1074" s="89" t="str">
        <f t="shared" si="97"/>
        <v/>
      </c>
      <c r="S1074" s="89" t="str">
        <f t="shared" si="98"/>
        <v/>
      </c>
      <c r="X1074" s="64">
        <f t="shared" si="99"/>
        <v>0</v>
      </c>
      <c r="Y1074" s="53">
        <f t="shared" si="100"/>
        <v>0</v>
      </c>
      <c r="Z1074" s="64">
        <f t="shared" si="101"/>
        <v>0</v>
      </c>
    </row>
    <row r="1075" spans="1:26">
      <c r="A1075" s="89" t="str">
        <f t="shared" si="96"/>
        <v/>
      </c>
      <c r="B1075" s="89" t="str">
        <f t="shared" si="97"/>
        <v/>
      </c>
      <c r="S1075" s="89" t="str">
        <f t="shared" si="98"/>
        <v/>
      </c>
      <c r="X1075" s="64">
        <f t="shared" si="99"/>
        <v>0</v>
      </c>
      <c r="Y1075" s="53">
        <f t="shared" si="100"/>
        <v>0</v>
      </c>
      <c r="Z1075" s="64">
        <f t="shared" si="101"/>
        <v>0</v>
      </c>
    </row>
    <row r="1076" spans="1:26">
      <c r="A1076" s="89" t="str">
        <f t="shared" si="96"/>
        <v/>
      </c>
      <c r="B1076" s="89" t="str">
        <f t="shared" si="97"/>
        <v/>
      </c>
      <c r="S1076" s="89" t="str">
        <f t="shared" si="98"/>
        <v/>
      </c>
      <c r="X1076" s="64">
        <f t="shared" si="99"/>
        <v>0</v>
      </c>
      <c r="Y1076" s="53">
        <f t="shared" si="100"/>
        <v>0</v>
      </c>
      <c r="Z1076" s="64">
        <f t="shared" si="101"/>
        <v>0</v>
      </c>
    </row>
    <row r="1077" spans="1:26">
      <c r="A1077" s="89" t="str">
        <f t="shared" si="96"/>
        <v/>
      </c>
      <c r="B1077" s="89" t="str">
        <f t="shared" si="97"/>
        <v/>
      </c>
      <c r="S1077" s="89" t="str">
        <f t="shared" si="98"/>
        <v/>
      </c>
      <c r="X1077" s="64">
        <f t="shared" si="99"/>
        <v>0</v>
      </c>
      <c r="Y1077" s="53">
        <f t="shared" si="100"/>
        <v>0</v>
      </c>
      <c r="Z1077" s="64">
        <f t="shared" si="101"/>
        <v>0</v>
      </c>
    </row>
    <row r="1078" spans="1:26">
      <c r="A1078" s="89" t="str">
        <f t="shared" si="96"/>
        <v/>
      </c>
      <c r="B1078" s="89" t="str">
        <f t="shared" si="97"/>
        <v/>
      </c>
      <c r="S1078" s="89" t="str">
        <f t="shared" si="98"/>
        <v/>
      </c>
      <c r="X1078" s="64">
        <f t="shared" si="99"/>
        <v>0</v>
      </c>
      <c r="Y1078" s="53">
        <f t="shared" si="100"/>
        <v>0</v>
      </c>
      <c r="Z1078" s="64">
        <f t="shared" si="101"/>
        <v>0</v>
      </c>
    </row>
    <row r="1079" spans="1:26">
      <c r="A1079" s="89" t="str">
        <f t="shared" si="96"/>
        <v/>
      </c>
      <c r="B1079" s="89" t="str">
        <f t="shared" si="97"/>
        <v/>
      </c>
      <c r="S1079" s="89" t="str">
        <f t="shared" si="98"/>
        <v/>
      </c>
      <c r="X1079" s="64">
        <f t="shared" si="99"/>
        <v>0</v>
      </c>
      <c r="Y1079" s="53">
        <f t="shared" si="100"/>
        <v>0</v>
      </c>
      <c r="Z1079" s="64">
        <f t="shared" si="101"/>
        <v>0</v>
      </c>
    </row>
    <row r="1080" spans="1:26">
      <c r="A1080" s="89" t="str">
        <f t="shared" si="96"/>
        <v/>
      </c>
      <c r="B1080" s="89" t="str">
        <f t="shared" si="97"/>
        <v/>
      </c>
      <c r="S1080" s="89" t="str">
        <f t="shared" si="98"/>
        <v/>
      </c>
      <c r="X1080" s="64">
        <f t="shared" si="99"/>
        <v>0</v>
      </c>
      <c r="Y1080" s="53">
        <f t="shared" si="100"/>
        <v>0</v>
      </c>
      <c r="Z1080" s="64">
        <f t="shared" si="101"/>
        <v>0</v>
      </c>
    </row>
    <row r="1081" spans="1:26">
      <c r="A1081" s="89" t="str">
        <f t="shared" si="96"/>
        <v/>
      </c>
      <c r="B1081" s="89" t="str">
        <f t="shared" si="97"/>
        <v/>
      </c>
      <c r="S1081" s="89" t="str">
        <f t="shared" si="98"/>
        <v/>
      </c>
      <c r="X1081" s="64">
        <f t="shared" si="99"/>
        <v>0</v>
      </c>
      <c r="Y1081" s="53">
        <f t="shared" si="100"/>
        <v>0</v>
      </c>
      <c r="Z1081" s="64">
        <f t="shared" si="101"/>
        <v>0</v>
      </c>
    </row>
    <row r="1082" spans="1:26">
      <c r="A1082" s="89" t="str">
        <f t="shared" si="96"/>
        <v/>
      </c>
      <c r="B1082" s="89" t="str">
        <f t="shared" si="97"/>
        <v/>
      </c>
      <c r="S1082" s="89" t="str">
        <f t="shared" si="98"/>
        <v/>
      </c>
      <c r="X1082" s="64">
        <f t="shared" si="99"/>
        <v>0</v>
      </c>
      <c r="Y1082" s="53">
        <f t="shared" si="100"/>
        <v>0</v>
      </c>
      <c r="Z1082" s="64">
        <f t="shared" si="101"/>
        <v>0</v>
      </c>
    </row>
    <row r="1083" spans="1:26">
      <c r="A1083" s="89" t="str">
        <f t="shared" si="96"/>
        <v/>
      </c>
      <c r="B1083" s="89" t="str">
        <f t="shared" si="97"/>
        <v/>
      </c>
      <c r="S1083" s="89" t="str">
        <f t="shared" si="98"/>
        <v/>
      </c>
      <c r="X1083" s="64">
        <f t="shared" si="99"/>
        <v>0</v>
      </c>
      <c r="Y1083" s="53">
        <f t="shared" si="100"/>
        <v>0</v>
      </c>
      <c r="Z1083" s="64">
        <f t="shared" si="101"/>
        <v>0</v>
      </c>
    </row>
    <row r="1084" spans="1:26">
      <c r="A1084" s="89" t="str">
        <f t="shared" si="96"/>
        <v/>
      </c>
      <c r="B1084" s="89" t="str">
        <f t="shared" si="97"/>
        <v/>
      </c>
      <c r="S1084" s="89" t="str">
        <f t="shared" si="98"/>
        <v/>
      </c>
      <c r="X1084" s="64">
        <f t="shared" si="99"/>
        <v>0</v>
      </c>
      <c r="Y1084" s="53">
        <f t="shared" si="100"/>
        <v>0</v>
      </c>
      <c r="Z1084" s="64">
        <f t="shared" si="101"/>
        <v>0</v>
      </c>
    </row>
    <row r="1085" spans="1:26">
      <c r="A1085" s="89" t="str">
        <f t="shared" si="96"/>
        <v/>
      </c>
      <c r="B1085" s="89" t="str">
        <f t="shared" si="97"/>
        <v/>
      </c>
      <c r="S1085" s="89" t="str">
        <f t="shared" si="98"/>
        <v/>
      </c>
      <c r="X1085" s="64">
        <f t="shared" si="99"/>
        <v>0</v>
      </c>
      <c r="Y1085" s="53">
        <f t="shared" si="100"/>
        <v>0</v>
      </c>
      <c r="Z1085" s="64">
        <f t="shared" si="101"/>
        <v>0</v>
      </c>
    </row>
    <row r="1086" spans="1:26">
      <c r="A1086" s="89" t="str">
        <f t="shared" si="96"/>
        <v/>
      </c>
      <c r="B1086" s="89" t="str">
        <f t="shared" si="97"/>
        <v/>
      </c>
      <c r="S1086" s="89" t="str">
        <f t="shared" si="98"/>
        <v/>
      </c>
      <c r="X1086" s="64">
        <f t="shared" si="99"/>
        <v>0</v>
      </c>
      <c r="Y1086" s="53">
        <f t="shared" si="100"/>
        <v>0</v>
      </c>
      <c r="Z1086" s="64">
        <f t="shared" si="101"/>
        <v>0</v>
      </c>
    </row>
    <row r="1087" spans="1:26">
      <c r="A1087" s="89" t="str">
        <f t="shared" si="96"/>
        <v/>
      </c>
      <c r="B1087" s="89" t="str">
        <f t="shared" si="97"/>
        <v/>
      </c>
      <c r="S1087" s="89" t="str">
        <f t="shared" si="98"/>
        <v/>
      </c>
      <c r="X1087" s="64">
        <f t="shared" si="99"/>
        <v>0</v>
      </c>
      <c r="Y1087" s="53">
        <f t="shared" si="100"/>
        <v>0</v>
      </c>
      <c r="Z1087" s="64">
        <f t="shared" si="101"/>
        <v>0</v>
      </c>
    </row>
    <row r="1088" spans="1:26">
      <c r="A1088" s="89" t="str">
        <f t="shared" si="96"/>
        <v/>
      </c>
      <c r="B1088" s="89" t="str">
        <f t="shared" si="97"/>
        <v/>
      </c>
      <c r="S1088" s="89" t="str">
        <f t="shared" si="98"/>
        <v/>
      </c>
      <c r="X1088" s="64">
        <f t="shared" si="99"/>
        <v>0</v>
      </c>
      <c r="Y1088" s="53">
        <f t="shared" si="100"/>
        <v>0</v>
      </c>
      <c r="Z1088" s="64">
        <f t="shared" si="101"/>
        <v>0</v>
      </c>
    </row>
    <row r="1089" spans="1:26">
      <c r="A1089" s="89" t="str">
        <f t="shared" si="96"/>
        <v/>
      </c>
      <c r="B1089" s="89" t="str">
        <f t="shared" si="97"/>
        <v/>
      </c>
      <c r="S1089" s="89" t="str">
        <f t="shared" si="98"/>
        <v/>
      </c>
      <c r="X1089" s="64">
        <f t="shared" si="99"/>
        <v>0</v>
      </c>
      <c r="Y1089" s="53">
        <f t="shared" si="100"/>
        <v>0</v>
      </c>
      <c r="Z1089" s="64">
        <f t="shared" si="101"/>
        <v>0</v>
      </c>
    </row>
    <row r="1090" spans="1:26">
      <c r="A1090" s="89" t="str">
        <f t="shared" si="96"/>
        <v/>
      </c>
      <c r="B1090" s="89" t="str">
        <f t="shared" si="97"/>
        <v/>
      </c>
      <c r="S1090" s="89" t="str">
        <f t="shared" si="98"/>
        <v/>
      </c>
      <c r="X1090" s="64">
        <f t="shared" si="99"/>
        <v>0</v>
      </c>
      <c r="Y1090" s="53">
        <f t="shared" si="100"/>
        <v>0</v>
      </c>
      <c r="Z1090" s="64">
        <f t="shared" si="101"/>
        <v>0</v>
      </c>
    </row>
    <row r="1091" spans="1:26">
      <c r="A1091" s="89" t="str">
        <f t="shared" ref="A1091:A1154" si="102">IF(G1091&amp;Q1091&lt;&gt;"",G1091&amp;Q1091,"")</f>
        <v/>
      </c>
      <c r="B1091" s="89" t="str">
        <f t="shared" ref="B1091:B1154" si="103">IF(C1091&lt;&gt;"",LEFT(C1091,9),"")</f>
        <v/>
      </c>
      <c r="S1091" s="89" t="str">
        <f t="shared" ref="S1091:S1154" si="104">IF(H1091&lt;&gt;"",H1091,"")</f>
        <v/>
      </c>
      <c r="X1091" s="64">
        <f t="shared" ref="X1091:X1154" si="105">IFERROR(VALUE(MID($C1091,1,2)),0)</f>
        <v>0</v>
      </c>
      <c r="Y1091" s="53">
        <f t="shared" ref="Y1091:Y1154" si="106">IFERROR(VALUE(MID($C1091,4,3)),0)</f>
        <v>0</v>
      </c>
      <c r="Z1091" s="64">
        <f t="shared" ref="Z1091:Z1154" si="107">VALUE(RIGHT("00"&amp;X1091,2)&amp;RIGHT("000"&amp;Y1091,3))</f>
        <v>0</v>
      </c>
    </row>
    <row r="1092" spans="1:26">
      <c r="A1092" s="89" t="str">
        <f t="shared" si="102"/>
        <v/>
      </c>
      <c r="B1092" s="89" t="str">
        <f t="shared" si="103"/>
        <v/>
      </c>
      <c r="S1092" s="89" t="str">
        <f t="shared" si="104"/>
        <v/>
      </c>
      <c r="X1092" s="64">
        <f t="shared" si="105"/>
        <v>0</v>
      </c>
      <c r="Y1092" s="53">
        <f t="shared" si="106"/>
        <v>0</v>
      </c>
      <c r="Z1092" s="64">
        <f t="shared" si="107"/>
        <v>0</v>
      </c>
    </row>
    <row r="1093" spans="1:26">
      <c r="A1093" s="89" t="str">
        <f t="shared" si="102"/>
        <v/>
      </c>
      <c r="B1093" s="89" t="str">
        <f t="shared" si="103"/>
        <v/>
      </c>
      <c r="S1093" s="89" t="str">
        <f t="shared" si="104"/>
        <v/>
      </c>
      <c r="X1093" s="64">
        <f t="shared" si="105"/>
        <v>0</v>
      </c>
      <c r="Y1093" s="53">
        <f t="shared" si="106"/>
        <v>0</v>
      </c>
      <c r="Z1093" s="64">
        <f t="shared" si="107"/>
        <v>0</v>
      </c>
    </row>
    <row r="1094" spans="1:26">
      <c r="A1094" s="89" t="str">
        <f t="shared" si="102"/>
        <v/>
      </c>
      <c r="B1094" s="89" t="str">
        <f t="shared" si="103"/>
        <v/>
      </c>
      <c r="S1094" s="89" t="str">
        <f t="shared" si="104"/>
        <v/>
      </c>
      <c r="X1094" s="64">
        <f t="shared" si="105"/>
        <v>0</v>
      </c>
      <c r="Y1094" s="53">
        <f t="shared" si="106"/>
        <v>0</v>
      </c>
      <c r="Z1094" s="64">
        <f t="shared" si="107"/>
        <v>0</v>
      </c>
    </row>
    <row r="1095" spans="1:26">
      <c r="A1095" s="89" t="str">
        <f t="shared" si="102"/>
        <v/>
      </c>
      <c r="B1095" s="89" t="str">
        <f t="shared" si="103"/>
        <v/>
      </c>
      <c r="S1095" s="89" t="str">
        <f t="shared" si="104"/>
        <v/>
      </c>
      <c r="X1095" s="64">
        <f t="shared" si="105"/>
        <v>0</v>
      </c>
      <c r="Y1095" s="53">
        <f t="shared" si="106"/>
        <v>0</v>
      </c>
      <c r="Z1095" s="64">
        <f t="shared" si="107"/>
        <v>0</v>
      </c>
    </row>
    <row r="1096" spans="1:26">
      <c r="A1096" s="89" t="str">
        <f t="shared" si="102"/>
        <v/>
      </c>
      <c r="B1096" s="89" t="str">
        <f t="shared" si="103"/>
        <v/>
      </c>
      <c r="S1096" s="89" t="str">
        <f t="shared" si="104"/>
        <v/>
      </c>
      <c r="X1096" s="64">
        <f t="shared" si="105"/>
        <v>0</v>
      </c>
      <c r="Y1096" s="53">
        <f t="shared" si="106"/>
        <v>0</v>
      </c>
      <c r="Z1096" s="64">
        <f t="shared" si="107"/>
        <v>0</v>
      </c>
    </row>
    <row r="1097" spans="1:26">
      <c r="A1097" s="89" t="str">
        <f t="shared" si="102"/>
        <v/>
      </c>
      <c r="B1097" s="89" t="str">
        <f t="shared" si="103"/>
        <v/>
      </c>
      <c r="S1097" s="89" t="str">
        <f t="shared" si="104"/>
        <v/>
      </c>
      <c r="X1097" s="64">
        <f t="shared" si="105"/>
        <v>0</v>
      </c>
      <c r="Y1097" s="53">
        <f t="shared" si="106"/>
        <v>0</v>
      </c>
      <c r="Z1097" s="64">
        <f t="shared" si="107"/>
        <v>0</v>
      </c>
    </row>
    <row r="1098" spans="1:26">
      <c r="A1098" s="89" t="str">
        <f t="shared" si="102"/>
        <v/>
      </c>
      <c r="B1098" s="89" t="str">
        <f t="shared" si="103"/>
        <v/>
      </c>
      <c r="S1098" s="89" t="str">
        <f t="shared" si="104"/>
        <v/>
      </c>
      <c r="X1098" s="64">
        <f t="shared" si="105"/>
        <v>0</v>
      </c>
      <c r="Y1098" s="53">
        <f t="shared" si="106"/>
        <v>0</v>
      </c>
      <c r="Z1098" s="64">
        <f t="shared" si="107"/>
        <v>0</v>
      </c>
    </row>
    <row r="1099" spans="1:26">
      <c r="A1099" s="89" t="str">
        <f t="shared" si="102"/>
        <v/>
      </c>
      <c r="B1099" s="89" t="str">
        <f t="shared" si="103"/>
        <v/>
      </c>
      <c r="S1099" s="89" t="str">
        <f t="shared" si="104"/>
        <v/>
      </c>
      <c r="X1099" s="64">
        <f t="shared" si="105"/>
        <v>0</v>
      </c>
      <c r="Y1099" s="53">
        <f t="shared" si="106"/>
        <v>0</v>
      </c>
      <c r="Z1099" s="64">
        <f t="shared" si="107"/>
        <v>0</v>
      </c>
    </row>
    <row r="1100" spans="1:26">
      <c r="A1100" s="89" t="str">
        <f t="shared" si="102"/>
        <v/>
      </c>
      <c r="B1100" s="89" t="str">
        <f t="shared" si="103"/>
        <v/>
      </c>
      <c r="S1100" s="89" t="str">
        <f t="shared" si="104"/>
        <v/>
      </c>
      <c r="X1100" s="64">
        <f t="shared" si="105"/>
        <v>0</v>
      </c>
      <c r="Y1100" s="53">
        <f t="shared" si="106"/>
        <v>0</v>
      </c>
      <c r="Z1100" s="64">
        <f t="shared" si="107"/>
        <v>0</v>
      </c>
    </row>
    <row r="1101" spans="1:26">
      <c r="A1101" s="89" t="str">
        <f t="shared" si="102"/>
        <v/>
      </c>
      <c r="B1101" s="89" t="str">
        <f t="shared" si="103"/>
        <v/>
      </c>
      <c r="S1101" s="89" t="str">
        <f t="shared" si="104"/>
        <v/>
      </c>
      <c r="X1101" s="64">
        <f t="shared" si="105"/>
        <v>0</v>
      </c>
      <c r="Y1101" s="53">
        <f t="shared" si="106"/>
        <v>0</v>
      </c>
      <c r="Z1101" s="64">
        <f t="shared" si="107"/>
        <v>0</v>
      </c>
    </row>
    <row r="1102" spans="1:26">
      <c r="A1102" s="89" t="str">
        <f t="shared" si="102"/>
        <v/>
      </c>
      <c r="B1102" s="89" t="str">
        <f t="shared" si="103"/>
        <v/>
      </c>
      <c r="S1102" s="89" t="str">
        <f t="shared" si="104"/>
        <v/>
      </c>
      <c r="X1102" s="64">
        <f t="shared" si="105"/>
        <v>0</v>
      </c>
      <c r="Y1102" s="53">
        <f t="shared" si="106"/>
        <v>0</v>
      </c>
      <c r="Z1102" s="64">
        <f t="shared" si="107"/>
        <v>0</v>
      </c>
    </row>
    <row r="1103" spans="1:26">
      <c r="A1103" s="89" t="str">
        <f t="shared" si="102"/>
        <v/>
      </c>
      <c r="B1103" s="89" t="str">
        <f t="shared" si="103"/>
        <v/>
      </c>
      <c r="S1103" s="89" t="str">
        <f t="shared" si="104"/>
        <v/>
      </c>
      <c r="X1103" s="64">
        <f t="shared" si="105"/>
        <v>0</v>
      </c>
      <c r="Y1103" s="53">
        <f t="shared" si="106"/>
        <v>0</v>
      </c>
      <c r="Z1103" s="64">
        <f t="shared" si="107"/>
        <v>0</v>
      </c>
    </row>
    <row r="1104" spans="1:26">
      <c r="A1104" s="89" t="str">
        <f t="shared" si="102"/>
        <v/>
      </c>
      <c r="B1104" s="89" t="str">
        <f t="shared" si="103"/>
        <v/>
      </c>
      <c r="S1104" s="89" t="str">
        <f t="shared" si="104"/>
        <v/>
      </c>
      <c r="X1104" s="64">
        <f t="shared" si="105"/>
        <v>0</v>
      </c>
      <c r="Y1104" s="53">
        <f t="shared" si="106"/>
        <v>0</v>
      </c>
      <c r="Z1104" s="64">
        <f t="shared" si="107"/>
        <v>0</v>
      </c>
    </row>
    <row r="1105" spans="1:26">
      <c r="A1105" s="89" t="str">
        <f t="shared" si="102"/>
        <v/>
      </c>
      <c r="B1105" s="89" t="str">
        <f t="shared" si="103"/>
        <v/>
      </c>
      <c r="S1105" s="89" t="str">
        <f t="shared" si="104"/>
        <v/>
      </c>
      <c r="X1105" s="64">
        <f t="shared" si="105"/>
        <v>0</v>
      </c>
      <c r="Y1105" s="53">
        <f t="shared" si="106"/>
        <v>0</v>
      </c>
      <c r="Z1105" s="64">
        <f t="shared" si="107"/>
        <v>0</v>
      </c>
    </row>
    <row r="1106" spans="1:26">
      <c r="A1106" s="89" t="str">
        <f t="shared" si="102"/>
        <v/>
      </c>
      <c r="B1106" s="89" t="str">
        <f t="shared" si="103"/>
        <v/>
      </c>
      <c r="S1106" s="89" t="str">
        <f t="shared" si="104"/>
        <v/>
      </c>
      <c r="X1106" s="64">
        <f t="shared" si="105"/>
        <v>0</v>
      </c>
      <c r="Y1106" s="53">
        <f t="shared" si="106"/>
        <v>0</v>
      </c>
      <c r="Z1106" s="64">
        <f t="shared" si="107"/>
        <v>0</v>
      </c>
    </row>
    <row r="1107" spans="1:26">
      <c r="A1107" s="89" t="str">
        <f t="shared" si="102"/>
        <v/>
      </c>
      <c r="B1107" s="89" t="str">
        <f t="shared" si="103"/>
        <v/>
      </c>
      <c r="S1107" s="89" t="str">
        <f t="shared" si="104"/>
        <v/>
      </c>
      <c r="X1107" s="64">
        <f t="shared" si="105"/>
        <v>0</v>
      </c>
      <c r="Y1107" s="53">
        <f t="shared" si="106"/>
        <v>0</v>
      </c>
      <c r="Z1107" s="64">
        <f t="shared" si="107"/>
        <v>0</v>
      </c>
    </row>
    <row r="1108" spans="1:26">
      <c r="A1108" s="89" t="str">
        <f t="shared" si="102"/>
        <v/>
      </c>
      <c r="B1108" s="89" t="str">
        <f t="shared" si="103"/>
        <v/>
      </c>
      <c r="S1108" s="89" t="str">
        <f t="shared" si="104"/>
        <v/>
      </c>
      <c r="X1108" s="64">
        <f t="shared" si="105"/>
        <v>0</v>
      </c>
      <c r="Y1108" s="53">
        <f t="shared" si="106"/>
        <v>0</v>
      </c>
      <c r="Z1108" s="64">
        <f t="shared" si="107"/>
        <v>0</v>
      </c>
    </row>
    <row r="1109" spans="1:26">
      <c r="A1109" s="89" t="str">
        <f t="shared" si="102"/>
        <v/>
      </c>
      <c r="B1109" s="89" t="str">
        <f t="shared" si="103"/>
        <v/>
      </c>
      <c r="S1109" s="89" t="str">
        <f t="shared" si="104"/>
        <v/>
      </c>
      <c r="X1109" s="64">
        <f t="shared" si="105"/>
        <v>0</v>
      </c>
      <c r="Y1109" s="53">
        <f t="shared" si="106"/>
        <v>0</v>
      </c>
      <c r="Z1109" s="64">
        <f t="shared" si="107"/>
        <v>0</v>
      </c>
    </row>
    <row r="1110" spans="1:26">
      <c r="A1110" s="89" t="str">
        <f t="shared" si="102"/>
        <v/>
      </c>
      <c r="B1110" s="89" t="str">
        <f t="shared" si="103"/>
        <v/>
      </c>
      <c r="S1110" s="89" t="str">
        <f t="shared" si="104"/>
        <v/>
      </c>
      <c r="X1110" s="64">
        <f t="shared" si="105"/>
        <v>0</v>
      </c>
      <c r="Y1110" s="53">
        <f t="shared" si="106"/>
        <v>0</v>
      </c>
      <c r="Z1110" s="64">
        <f t="shared" si="107"/>
        <v>0</v>
      </c>
    </row>
    <row r="1111" spans="1:26">
      <c r="A1111" s="89" t="str">
        <f t="shared" si="102"/>
        <v/>
      </c>
      <c r="B1111" s="89" t="str">
        <f t="shared" si="103"/>
        <v/>
      </c>
      <c r="S1111" s="89" t="str">
        <f t="shared" si="104"/>
        <v/>
      </c>
      <c r="X1111" s="64">
        <f t="shared" si="105"/>
        <v>0</v>
      </c>
      <c r="Y1111" s="53">
        <f t="shared" si="106"/>
        <v>0</v>
      </c>
      <c r="Z1111" s="64">
        <f t="shared" si="107"/>
        <v>0</v>
      </c>
    </row>
    <row r="1112" spans="1:26">
      <c r="A1112" s="89" t="str">
        <f t="shared" si="102"/>
        <v/>
      </c>
      <c r="B1112" s="89" t="str">
        <f t="shared" si="103"/>
        <v/>
      </c>
      <c r="S1112" s="89" t="str">
        <f t="shared" si="104"/>
        <v/>
      </c>
      <c r="X1112" s="64">
        <f t="shared" si="105"/>
        <v>0</v>
      </c>
      <c r="Y1112" s="53">
        <f t="shared" si="106"/>
        <v>0</v>
      </c>
      <c r="Z1112" s="64">
        <f t="shared" si="107"/>
        <v>0</v>
      </c>
    </row>
    <row r="1113" spans="1:26">
      <c r="A1113" s="89" t="str">
        <f t="shared" si="102"/>
        <v/>
      </c>
      <c r="B1113" s="89" t="str">
        <f t="shared" si="103"/>
        <v/>
      </c>
      <c r="S1113" s="89" t="str">
        <f t="shared" si="104"/>
        <v/>
      </c>
      <c r="X1113" s="64">
        <f t="shared" si="105"/>
        <v>0</v>
      </c>
      <c r="Y1113" s="53">
        <f t="shared" si="106"/>
        <v>0</v>
      </c>
      <c r="Z1113" s="64">
        <f t="shared" si="107"/>
        <v>0</v>
      </c>
    </row>
    <row r="1114" spans="1:26">
      <c r="A1114" s="89" t="str">
        <f t="shared" si="102"/>
        <v/>
      </c>
      <c r="B1114" s="89" t="str">
        <f t="shared" si="103"/>
        <v/>
      </c>
      <c r="S1114" s="89" t="str">
        <f t="shared" si="104"/>
        <v/>
      </c>
      <c r="X1114" s="64">
        <f t="shared" si="105"/>
        <v>0</v>
      </c>
      <c r="Y1114" s="53">
        <f t="shared" si="106"/>
        <v>0</v>
      </c>
      <c r="Z1114" s="64">
        <f t="shared" si="107"/>
        <v>0</v>
      </c>
    </row>
    <row r="1115" spans="1:26">
      <c r="A1115" s="89" t="str">
        <f t="shared" si="102"/>
        <v/>
      </c>
      <c r="B1115" s="89" t="str">
        <f t="shared" si="103"/>
        <v/>
      </c>
      <c r="S1115" s="89" t="str">
        <f t="shared" si="104"/>
        <v/>
      </c>
      <c r="X1115" s="64">
        <f t="shared" si="105"/>
        <v>0</v>
      </c>
      <c r="Y1115" s="53">
        <f t="shared" si="106"/>
        <v>0</v>
      </c>
      <c r="Z1115" s="64">
        <f t="shared" si="107"/>
        <v>0</v>
      </c>
    </row>
    <row r="1116" spans="1:26">
      <c r="A1116" s="89" t="str">
        <f t="shared" si="102"/>
        <v/>
      </c>
      <c r="B1116" s="89" t="str">
        <f t="shared" si="103"/>
        <v/>
      </c>
      <c r="S1116" s="89" t="str">
        <f t="shared" si="104"/>
        <v/>
      </c>
      <c r="X1116" s="64">
        <f t="shared" si="105"/>
        <v>0</v>
      </c>
      <c r="Y1116" s="53">
        <f t="shared" si="106"/>
        <v>0</v>
      </c>
      <c r="Z1116" s="64">
        <f t="shared" si="107"/>
        <v>0</v>
      </c>
    </row>
    <row r="1117" spans="1:26">
      <c r="A1117" s="89" t="str">
        <f t="shared" si="102"/>
        <v/>
      </c>
      <c r="B1117" s="89" t="str">
        <f t="shared" si="103"/>
        <v/>
      </c>
      <c r="S1117" s="89" t="str">
        <f t="shared" si="104"/>
        <v/>
      </c>
      <c r="X1117" s="64">
        <f t="shared" si="105"/>
        <v>0</v>
      </c>
      <c r="Y1117" s="53">
        <f t="shared" si="106"/>
        <v>0</v>
      </c>
      <c r="Z1117" s="64">
        <f t="shared" si="107"/>
        <v>0</v>
      </c>
    </row>
    <row r="1118" spans="1:26">
      <c r="A1118" s="89" t="str">
        <f t="shared" si="102"/>
        <v/>
      </c>
      <c r="B1118" s="89" t="str">
        <f t="shared" si="103"/>
        <v/>
      </c>
      <c r="S1118" s="89" t="str">
        <f t="shared" si="104"/>
        <v/>
      </c>
      <c r="X1118" s="64">
        <f t="shared" si="105"/>
        <v>0</v>
      </c>
      <c r="Y1118" s="53">
        <f t="shared" si="106"/>
        <v>0</v>
      </c>
      <c r="Z1118" s="64">
        <f t="shared" si="107"/>
        <v>0</v>
      </c>
    </row>
    <row r="1119" spans="1:26">
      <c r="A1119" s="89" t="str">
        <f t="shared" si="102"/>
        <v/>
      </c>
      <c r="B1119" s="89" t="str">
        <f t="shared" si="103"/>
        <v/>
      </c>
      <c r="S1119" s="89" t="str">
        <f t="shared" si="104"/>
        <v/>
      </c>
      <c r="X1119" s="64">
        <f t="shared" si="105"/>
        <v>0</v>
      </c>
      <c r="Y1119" s="53">
        <f t="shared" si="106"/>
        <v>0</v>
      </c>
      <c r="Z1119" s="64">
        <f t="shared" si="107"/>
        <v>0</v>
      </c>
    </row>
    <row r="1120" spans="1:26">
      <c r="A1120" s="89" t="str">
        <f t="shared" si="102"/>
        <v/>
      </c>
      <c r="B1120" s="89" t="str">
        <f t="shared" si="103"/>
        <v/>
      </c>
      <c r="S1120" s="89" t="str">
        <f t="shared" si="104"/>
        <v/>
      </c>
      <c r="X1120" s="64">
        <f t="shared" si="105"/>
        <v>0</v>
      </c>
      <c r="Y1120" s="53">
        <f t="shared" si="106"/>
        <v>0</v>
      </c>
      <c r="Z1120" s="64">
        <f t="shared" si="107"/>
        <v>0</v>
      </c>
    </row>
    <row r="1121" spans="1:26">
      <c r="A1121" s="89" t="str">
        <f t="shared" si="102"/>
        <v/>
      </c>
      <c r="B1121" s="89" t="str">
        <f t="shared" si="103"/>
        <v/>
      </c>
      <c r="S1121" s="89" t="str">
        <f t="shared" si="104"/>
        <v/>
      </c>
      <c r="X1121" s="64">
        <f t="shared" si="105"/>
        <v>0</v>
      </c>
      <c r="Y1121" s="53">
        <f t="shared" si="106"/>
        <v>0</v>
      </c>
      <c r="Z1121" s="64">
        <f t="shared" si="107"/>
        <v>0</v>
      </c>
    </row>
    <row r="1122" spans="1:26">
      <c r="A1122" s="89" t="str">
        <f t="shared" si="102"/>
        <v/>
      </c>
      <c r="B1122" s="89" t="str">
        <f t="shared" si="103"/>
        <v/>
      </c>
      <c r="S1122" s="89" t="str">
        <f t="shared" si="104"/>
        <v/>
      </c>
      <c r="X1122" s="64">
        <f t="shared" si="105"/>
        <v>0</v>
      </c>
      <c r="Y1122" s="53">
        <f t="shared" si="106"/>
        <v>0</v>
      </c>
      <c r="Z1122" s="64">
        <f t="shared" si="107"/>
        <v>0</v>
      </c>
    </row>
    <row r="1123" spans="1:26">
      <c r="A1123" s="89" t="str">
        <f t="shared" si="102"/>
        <v/>
      </c>
      <c r="B1123" s="89" t="str">
        <f t="shared" si="103"/>
        <v/>
      </c>
      <c r="S1123" s="89" t="str">
        <f t="shared" si="104"/>
        <v/>
      </c>
      <c r="X1123" s="64">
        <f t="shared" si="105"/>
        <v>0</v>
      </c>
      <c r="Y1123" s="53">
        <f t="shared" si="106"/>
        <v>0</v>
      </c>
      <c r="Z1123" s="64">
        <f t="shared" si="107"/>
        <v>0</v>
      </c>
    </row>
    <row r="1124" spans="1:26">
      <c r="A1124" s="89" t="str">
        <f t="shared" si="102"/>
        <v/>
      </c>
      <c r="B1124" s="89" t="str">
        <f t="shared" si="103"/>
        <v/>
      </c>
      <c r="S1124" s="89" t="str">
        <f t="shared" si="104"/>
        <v/>
      </c>
      <c r="X1124" s="64">
        <f t="shared" si="105"/>
        <v>0</v>
      </c>
      <c r="Y1124" s="53">
        <f t="shared" si="106"/>
        <v>0</v>
      </c>
      <c r="Z1124" s="64">
        <f t="shared" si="107"/>
        <v>0</v>
      </c>
    </row>
    <row r="1125" spans="1:26">
      <c r="A1125" s="89" t="str">
        <f t="shared" si="102"/>
        <v/>
      </c>
      <c r="B1125" s="89" t="str">
        <f t="shared" si="103"/>
        <v/>
      </c>
      <c r="S1125" s="89" t="str">
        <f t="shared" si="104"/>
        <v/>
      </c>
      <c r="X1125" s="64">
        <f t="shared" si="105"/>
        <v>0</v>
      </c>
      <c r="Y1125" s="53">
        <f t="shared" si="106"/>
        <v>0</v>
      </c>
      <c r="Z1125" s="64">
        <f t="shared" si="107"/>
        <v>0</v>
      </c>
    </row>
    <row r="1126" spans="1:26">
      <c r="A1126" s="89" t="str">
        <f t="shared" si="102"/>
        <v/>
      </c>
      <c r="B1126" s="89" t="str">
        <f t="shared" si="103"/>
        <v/>
      </c>
      <c r="S1126" s="89" t="str">
        <f t="shared" si="104"/>
        <v/>
      </c>
      <c r="X1126" s="64">
        <f t="shared" si="105"/>
        <v>0</v>
      </c>
      <c r="Y1126" s="53">
        <f t="shared" si="106"/>
        <v>0</v>
      </c>
      <c r="Z1126" s="64">
        <f t="shared" si="107"/>
        <v>0</v>
      </c>
    </row>
    <row r="1127" spans="1:26">
      <c r="A1127" s="89" t="str">
        <f t="shared" si="102"/>
        <v/>
      </c>
      <c r="B1127" s="89" t="str">
        <f t="shared" si="103"/>
        <v/>
      </c>
      <c r="S1127" s="89" t="str">
        <f t="shared" si="104"/>
        <v/>
      </c>
      <c r="X1127" s="64">
        <f t="shared" si="105"/>
        <v>0</v>
      </c>
      <c r="Y1127" s="53">
        <f t="shared" si="106"/>
        <v>0</v>
      </c>
      <c r="Z1127" s="64">
        <f t="shared" si="107"/>
        <v>0</v>
      </c>
    </row>
    <row r="1128" spans="1:26">
      <c r="A1128" s="89" t="str">
        <f t="shared" si="102"/>
        <v/>
      </c>
      <c r="B1128" s="89" t="str">
        <f t="shared" si="103"/>
        <v/>
      </c>
      <c r="S1128" s="89" t="str">
        <f t="shared" si="104"/>
        <v/>
      </c>
      <c r="X1128" s="64">
        <f t="shared" si="105"/>
        <v>0</v>
      </c>
      <c r="Y1128" s="53">
        <f t="shared" si="106"/>
        <v>0</v>
      </c>
      <c r="Z1128" s="64">
        <f t="shared" si="107"/>
        <v>0</v>
      </c>
    </row>
    <row r="1129" spans="1:26">
      <c r="A1129" s="89" t="str">
        <f t="shared" si="102"/>
        <v/>
      </c>
      <c r="B1129" s="89" t="str">
        <f t="shared" si="103"/>
        <v/>
      </c>
      <c r="S1129" s="89" t="str">
        <f t="shared" si="104"/>
        <v/>
      </c>
      <c r="X1129" s="64">
        <f t="shared" si="105"/>
        <v>0</v>
      </c>
      <c r="Y1129" s="53">
        <f t="shared" si="106"/>
        <v>0</v>
      </c>
      <c r="Z1129" s="64">
        <f t="shared" si="107"/>
        <v>0</v>
      </c>
    </row>
    <row r="1130" spans="1:26">
      <c r="A1130" s="89" t="str">
        <f t="shared" si="102"/>
        <v/>
      </c>
      <c r="B1130" s="89" t="str">
        <f t="shared" si="103"/>
        <v/>
      </c>
      <c r="S1130" s="89" t="str">
        <f t="shared" si="104"/>
        <v/>
      </c>
      <c r="X1130" s="64">
        <f t="shared" si="105"/>
        <v>0</v>
      </c>
      <c r="Y1130" s="53">
        <f t="shared" si="106"/>
        <v>0</v>
      </c>
      <c r="Z1130" s="64">
        <f t="shared" si="107"/>
        <v>0</v>
      </c>
    </row>
    <row r="1131" spans="1:26">
      <c r="A1131" s="89" t="str">
        <f t="shared" si="102"/>
        <v/>
      </c>
      <c r="B1131" s="89" t="str">
        <f t="shared" si="103"/>
        <v/>
      </c>
      <c r="S1131" s="89" t="str">
        <f t="shared" si="104"/>
        <v/>
      </c>
      <c r="X1131" s="64">
        <f t="shared" si="105"/>
        <v>0</v>
      </c>
      <c r="Y1131" s="53">
        <f t="shared" si="106"/>
        <v>0</v>
      </c>
      <c r="Z1131" s="64">
        <f t="shared" si="107"/>
        <v>0</v>
      </c>
    </row>
    <row r="1132" spans="1:26">
      <c r="A1132" s="89" t="str">
        <f t="shared" si="102"/>
        <v/>
      </c>
      <c r="B1132" s="89" t="str">
        <f t="shared" si="103"/>
        <v/>
      </c>
      <c r="S1132" s="89" t="str">
        <f t="shared" si="104"/>
        <v/>
      </c>
      <c r="X1132" s="64">
        <f t="shared" si="105"/>
        <v>0</v>
      </c>
      <c r="Y1132" s="53">
        <f t="shared" si="106"/>
        <v>0</v>
      </c>
      <c r="Z1132" s="64">
        <f t="shared" si="107"/>
        <v>0</v>
      </c>
    </row>
    <row r="1133" spans="1:26">
      <c r="A1133" s="89" t="str">
        <f t="shared" si="102"/>
        <v/>
      </c>
      <c r="B1133" s="89" t="str">
        <f t="shared" si="103"/>
        <v/>
      </c>
      <c r="S1133" s="89" t="str">
        <f t="shared" si="104"/>
        <v/>
      </c>
      <c r="X1133" s="64">
        <f t="shared" si="105"/>
        <v>0</v>
      </c>
      <c r="Y1133" s="53">
        <f t="shared" si="106"/>
        <v>0</v>
      </c>
      <c r="Z1133" s="64">
        <f t="shared" si="107"/>
        <v>0</v>
      </c>
    </row>
    <row r="1134" spans="1:26">
      <c r="A1134" s="89" t="str">
        <f t="shared" si="102"/>
        <v/>
      </c>
      <c r="B1134" s="89" t="str">
        <f t="shared" si="103"/>
        <v/>
      </c>
      <c r="S1134" s="89" t="str">
        <f t="shared" si="104"/>
        <v/>
      </c>
      <c r="X1134" s="64">
        <f t="shared" si="105"/>
        <v>0</v>
      </c>
      <c r="Y1134" s="53">
        <f t="shared" si="106"/>
        <v>0</v>
      </c>
      <c r="Z1134" s="64">
        <f t="shared" si="107"/>
        <v>0</v>
      </c>
    </row>
    <row r="1135" spans="1:26">
      <c r="A1135" s="89" t="str">
        <f t="shared" si="102"/>
        <v/>
      </c>
      <c r="B1135" s="89" t="str">
        <f t="shared" si="103"/>
        <v/>
      </c>
      <c r="S1135" s="89" t="str">
        <f t="shared" si="104"/>
        <v/>
      </c>
      <c r="X1135" s="64">
        <f t="shared" si="105"/>
        <v>0</v>
      </c>
      <c r="Y1135" s="53">
        <f t="shared" si="106"/>
        <v>0</v>
      </c>
      <c r="Z1135" s="64">
        <f t="shared" si="107"/>
        <v>0</v>
      </c>
    </row>
    <row r="1136" spans="1:26">
      <c r="A1136" s="89" t="str">
        <f t="shared" si="102"/>
        <v/>
      </c>
      <c r="B1136" s="89" t="str">
        <f t="shared" si="103"/>
        <v/>
      </c>
      <c r="S1136" s="89" t="str">
        <f t="shared" si="104"/>
        <v/>
      </c>
      <c r="X1136" s="64">
        <f t="shared" si="105"/>
        <v>0</v>
      </c>
      <c r="Y1136" s="53">
        <f t="shared" si="106"/>
        <v>0</v>
      </c>
      <c r="Z1136" s="64">
        <f t="shared" si="107"/>
        <v>0</v>
      </c>
    </row>
    <row r="1137" spans="1:26">
      <c r="A1137" s="89" t="str">
        <f t="shared" si="102"/>
        <v/>
      </c>
      <c r="B1137" s="89" t="str">
        <f t="shared" si="103"/>
        <v/>
      </c>
      <c r="S1137" s="89" t="str">
        <f t="shared" si="104"/>
        <v/>
      </c>
      <c r="X1137" s="64">
        <f t="shared" si="105"/>
        <v>0</v>
      </c>
      <c r="Y1137" s="53">
        <f t="shared" si="106"/>
        <v>0</v>
      </c>
      <c r="Z1137" s="64">
        <f t="shared" si="107"/>
        <v>0</v>
      </c>
    </row>
    <row r="1138" spans="1:26">
      <c r="A1138" s="89" t="str">
        <f t="shared" si="102"/>
        <v/>
      </c>
      <c r="B1138" s="89" t="str">
        <f t="shared" si="103"/>
        <v/>
      </c>
      <c r="S1138" s="89" t="str">
        <f t="shared" si="104"/>
        <v/>
      </c>
      <c r="X1138" s="64">
        <f t="shared" si="105"/>
        <v>0</v>
      </c>
      <c r="Y1138" s="53">
        <f t="shared" si="106"/>
        <v>0</v>
      </c>
      <c r="Z1138" s="64">
        <f t="shared" si="107"/>
        <v>0</v>
      </c>
    </row>
    <row r="1139" spans="1:26">
      <c r="A1139" s="89" t="str">
        <f t="shared" si="102"/>
        <v/>
      </c>
      <c r="B1139" s="89" t="str">
        <f t="shared" si="103"/>
        <v/>
      </c>
      <c r="S1139" s="89" t="str">
        <f t="shared" si="104"/>
        <v/>
      </c>
      <c r="X1139" s="64">
        <f t="shared" si="105"/>
        <v>0</v>
      </c>
      <c r="Y1139" s="53">
        <f t="shared" si="106"/>
        <v>0</v>
      </c>
      <c r="Z1139" s="64">
        <f t="shared" si="107"/>
        <v>0</v>
      </c>
    </row>
    <row r="1140" spans="1:26">
      <c r="A1140" s="89" t="str">
        <f t="shared" si="102"/>
        <v/>
      </c>
      <c r="B1140" s="89" t="str">
        <f t="shared" si="103"/>
        <v/>
      </c>
      <c r="S1140" s="89" t="str">
        <f t="shared" si="104"/>
        <v/>
      </c>
      <c r="X1140" s="64">
        <f t="shared" si="105"/>
        <v>0</v>
      </c>
      <c r="Y1140" s="53">
        <f t="shared" si="106"/>
        <v>0</v>
      </c>
      <c r="Z1140" s="64">
        <f t="shared" si="107"/>
        <v>0</v>
      </c>
    </row>
    <row r="1141" spans="1:26">
      <c r="A1141" s="89" t="str">
        <f t="shared" si="102"/>
        <v/>
      </c>
      <c r="B1141" s="89" t="str">
        <f t="shared" si="103"/>
        <v/>
      </c>
      <c r="S1141" s="89" t="str">
        <f t="shared" si="104"/>
        <v/>
      </c>
      <c r="X1141" s="64">
        <f t="shared" si="105"/>
        <v>0</v>
      </c>
      <c r="Y1141" s="53">
        <f t="shared" si="106"/>
        <v>0</v>
      </c>
      <c r="Z1141" s="64">
        <f t="shared" si="107"/>
        <v>0</v>
      </c>
    </row>
    <row r="1142" spans="1:26">
      <c r="A1142" s="89" t="str">
        <f t="shared" si="102"/>
        <v/>
      </c>
      <c r="B1142" s="89" t="str">
        <f t="shared" si="103"/>
        <v/>
      </c>
      <c r="S1142" s="89" t="str">
        <f t="shared" si="104"/>
        <v/>
      </c>
      <c r="X1142" s="64">
        <f t="shared" si="105"/>
        <v>0</v>
      </c>
      <c r="Y1142" s="53">
        <f t="shared" si="106"/>
        <v>0</v>
      </c>
      <c r="Z1142" s="64">
        <f t="shared" si="107"/>
        <v>0</v>
      </c>
    </row>
    <row r="1143" spans="1:26">
      <c r="A1143" s="89" t="str">
        <f t="shared" si="102"/>
        <v/>
      </c>
      <c r="B1143" s="89" t="str">
        <f t="shared" si="103"/>
        <v/>
      </c>
      <c r="S1143" s="89" t="str">
        <f t="shared" si="104"/>
        <v/>
      </c>
      <c r="X1143" s="64">
        <f t="shared" si="105"/>
        <v>0</v>
      </c>
      <c r="Y1143" s="53">
        <f t="shared" si="106"/>
        <v>0</v>
      </c>
      <c r="Z1143" s="64">
        <f t="shared" si="107"/>
        <v>0</v>
      </c>
    </row>
    <row r="1144" spans="1:26">
      <c r="A1144" s="89" t="str">
        <f t="shared" si="102"/>
        <v/>
      </c>
      <c r="B1144" s="89" t="str">
        <f t="shared" si="103"/>
        <v/>
      </c>
      <c r="S1144" s="89" t="str">
        <f t="shared" si="104"/>
        <v/>
      </c>
      <c r="X1144" s="64">
        <f t="shared" si="105"/>
        <v>0</v>
      </c>
      <c r="Y1144" s="53">
        <f t="shared" si="106"/>
        <v>0</v>
      </c>
      <c r="Z1144" s="64">
        <f t="shared" si="107"/>
        <v>0</v>
      </c>
    </row>
    <row r="1145" spans="1:26">
      <c r="A1145" s="89" t="str">
        <f t="shared" si="102"/>
        <v/>
      </c>
      <c r="B1145" s="89" t="str">
        <f t="shared" si="103"/>
        <v/>
      </c>
      <c r="S1145" s="89" t="str">
        <f t="shared" si="104"/>
        <v/>
      </c>
      <c r="X1145" s="64">
        <f t="shared" si="105"/>
        <v>0</v>
      </c>
      <c r="Y1145" s="53">
        <f t="shared" si="106"/>
        <v>0</v>
      </c>
      <c r="Z1145" s="64">
        <f t="shared" si="107"/>
        <v>0</v>
      </c>
    </row>
    <row r="1146" spans="1:26">
      <c r="A1146" s="89" t="str">
        <f t="shared" si="102"/>
        <v/>
      </c>
      <c r="B1146" s="89" t="str">
        <f t="shared" si="103"/>
        <v/>
      </c>
      <c r="S1146" s="89" t="str">
        <f t="shared" si="104"/>
        <v/>
      </c>
      <c r="X1146" s="64">
        <f t="shared" si="105"/>
        <v>0</v>
      </c>
      <c r="Y1146" s="53">
        <f t="shared" si="106"/>
        <v>0</v>
      </c>
      <c r="Z1146" s="64">
        <f t="shared" si="107"/>
        <v>0</v>
      </c>
    </row>
    <row r="1147" spans="1:26">
      <c r="A1147" s="89" t="str">
        <f t="shared" si="102"/>
        <v/>
      </c>
      <c r="B1147" s="89" t="str">
        <f t="shared" si="103"/>
        <v/>
      </c>
      <c r="S1147" s="89" t="str">
        <f t="shared" si="104"/>
        <v/>
      </c>
      <c r="X1147" s="64">
        <f t="shared" si="105"/>
        <v>0</v>
      </c>
      <c r="Y1147" s="53">
        <f t="shared" si="106"/>
        <v>0</v>
      </c>
      <c r="Z1147" s="64">
        <f t="shared" si="107"/>
        <v>0</v>
      </c>
    </row>
    <row r="1148" spans="1:26">
      <c r="A1148" s="89" t="str">
        <f t="shared" si="102"/>
        <v/>
      </c>
      <c r="B1148" s="89" t="str">
        <f t="shared" si="103"/>
        <v/>
      </c>
      <c r="S1148" s="89" t="str">
        <f t="shared" si="104"/>
        <v/>
      </c>
      <c r="X1148" s="64">
        <f t="shared" si="105"/>
        <v>0</v>
      </c>
      <c r="Y1148" s="53">
        <f t="shared" si="106"/>
        <v>0</v>
      </c>
      <c r="Z1148" s="64">
        <f t="shared" si="107"/>
        <v>0</v>
      </c>
    </row>
    <row r="1149" spans="1:26">
      <c r="A1149" s="89" t="str">
        <f t="shared" si="102"/>
        <v/>
      </c>
      <c r="B1149" s="89" t="str">
        <f t="shared" si="103"/>
        <v/>
      </c>
      <c r="S1149" s="89" t="str">
        <f t="shared" si="104"/>
        <v/>
      </c>
      <c r="X1149" s="64">
        <f t="shared" si="105"/>
        <v>0</v>
      </c>
      <c r="Y1149" s="53">
        <f t="shared" si="106"/>
        <v>0</v>
      </c>
      <c r="Z1149" s="64">
        <f t="shared" si="107"/>
        <v>0</v>
      </c>
    </row>
    <row r="1150" spans="1:26">
      <c r="A1150" s="89" t="str">
        <f t="shared" si="102"/>
        <v/>
      </c>
      <c r="B1150" s="89" t="str">
        <f t="shared" si="103"/>
        <v/>
      </c>
      <c r="S1150" s="89" t="str">
        <f t="shared" si="104"/>
        <v/>
      </c>
      <c r="X1150" s="64">
        <f t="shared" si="105"/>
        <v>0</v>
      </c>
      <c r="Y1150" s="53">
        <f t="shared" si="106"/>
        <v>0</v>
      </c>
      <c r="Z1150" s="64">
        <f t="shared" si="107"/>
        <v>0</v>
      </c>
    </row>
    <row r="1151" spans="1:26">
      <c r="A1151" s="89" t="str">
        <f t="shared" si="102"/>
        <v/>
      </c>
      <c r="B1151" s="89" t="str">
        <f t="shared" si="103"/>
        <v/>
      </c>
      <c r="S1151" s="89" t="str">
        <f t="shared" si="104"/>
        <v/>
      </c>
      <c r="X1151" s="64">
        <f t="shared" si="105"/>
        <v>0</v>
      </c>
      <c r="Y1151" s="53">
        <f t="shared" si="106"/>
        <v>0</v>
      </c>
      <c r="Z1151" s="64">
        <f t="shared" si="107"/>
        <v>0</v>
      </c>
    </row>
    <row r="1152" spans="1:26">
      <c r="A1152" s="89" t="str">
        <f t="shared" si="102"/>
        <v/>
      </c>
      <c r="B1152" s="89" t="str">
        <f t="shared" si="103"/>
        <v/>
      </c>
      <c r="S1152" s="89" t="str">
        <f t="shared" si="104"/>
        <v/>
      </c>
      <c r="X1152" s="64">
        <f t="shared" si="105"/>
        <v>0</v>
      </c>
      <c r="Y1152" s="53">
        <f t="shared" si="106"/>
        <v>0</v>
      </c>
      <c r="Z1152" s="64">
        <f t="shared" si="107"/>
        <v>0</v>
      </c>
    </row>
    <row r="1153" spans="1:26">
      <c r="A1153" s="89" t="str">
        <f t="shared" si="102"/>
        <v/>
      </c>
      <c r="B1153" s="89" t="str">
        <f t="shared" si="103"/>
        <v/>
      </c>
      <c r="S1153" s="89" t="str">
        <f t="shared" si="104"/>
        <v/>
      </c>
      <c r="X1153" s="64">
        <f t="shared" si="105"/>
        <v>0</v>
      </c>
      <c r="Y1153" s="53">
        <f t="shared" si="106"/>
        <v>0</v>
      </c>
      <c r="Z1153" s="64">
        <f t="shared" si="107"/>
        <v>0</v>
      </c>
    </row>
    <row r="1154" spans="1:26">
      <c r="A1154" s="89" t="str">
        <f t="shared" si="102"/>
        <v/>
      </c>
      <c r="B1154" s="89" t="str">
        <f t="shared" si="103"/>
        <v/>
      </c>
      <c r="S1154" s="89" t="str">
        <f t="shared" si="104"/>
        <v/>
      </c>
      <c r="X1154" s="64">
        <f t="shared" si="105"/>
        <v>0</v>
      </c>
      <c r="Y1154" s="53">
        <f t="shared" si="106"/>
        <v>0</v>
      </c>
      <c r="Z1154" s="64">
        <f t="shared" si="107"/>
        <v>0</v>
      </c>
    </row>
    <row r="1155" spans="1:26">
      <c r="A1155" s="89" t="str">
        <f t="shared" ref="A1155:A1218" si="108">IF(G1155&amp;Q1155&lt;&gt;"",G1155&amp;Q1155,"")</f>
        <v/>
      </c>
      <c r="B1155" s="89" t="str">
        <f t="shared" ref="B1155:B1218" si="109">IF(C1155&lt;&gt;"",LEFT(C1155,9),"")</f>
        <v/>
      </c>
      <c r="S1155" s="89" t="str">
        <f t="shared" ref="S1155:S1218" si="110">IF(H1155&lt;&gt;"",H1155,"")</f>
        <v/>
      </c>
      <c r="X1155" s="64">
        <f t="shared" ref="X1155:X1218" si="111">IFERROR(VALUE(MID($C1155,1,2)),0)</f>
        <v>0</v>
      </c>
      <c r="Y1155" s="53">
        <f t="shared" ref="Y1155:Y1218" si="112">IFERROR(VALUE(MID($C1155,4,3)),0)</f>
        <v>0</v>
      </c>
      <c r="Z1155" s="64">
        <f t="shared" ref="Z1155:Z1218" si="113">VALUE(RIGHT("00"&amp;X1155,2)&amp;RIGHT("000"&amp;Y1155,3))</f>
        <v>0</v>
      </c>
    </row>
    <row r="1156" spans="1:26">
      <c r="A1156" s="89" t="str">
        <f t="shared" si="108"/>
        <v/>
      </c>
      <c r="B1156" s="89" t="str">
        <f t="shared" si="109"/>
        <v/>
      </c>
      <c r="S1156" s="89" t="str">
        <f t="shared" si="110"/>
        <v/>
      </c>
      <c r="X1156" s="64">
        <f t="shared" si="111"/>
        <v>0</v>
      </c>
      <c r="Y1156" s="53">
        <f t="shared" si="112"/>
        <v>0</v>
      </c>
      <c r="Z1156" s="64">
        <f t="shared" si="113"/>
        <v>0</v>
      </c>
    </row>
    <row r="1157" spans="1:26">
      <c r="A1157" s="89" t="str">
        <f t="shared" si="108"/>
        <v/>
      </c>
      <c r="B1157" s="89" t="str">
        <f t="shared" si="109"/>
        <v/>
      </c>
      <c r="S1157" s="89" t="str">
        <f t="shared" si="110"/>
        <v/>
      </c>
      <c r="X1157" s="64">
        <f t="shared" si="111"/>
        <v>0</v>
      </c>
      <c r="Y1157" s="53">
        <f t="shared" si="112"/>
        <v>0</v>
      </c>
      <c r="Z1157" s="64">
        <f t="shared" si="113"/>
        <v>0</v>
      </c>
    </row>
    <row r="1158" spans="1:26">
      <c r="A1158" s="89" t="str">
        <f t="shared" si="108"/>
        <v/>
      </c>
      <c r="B1158" s="89" t="str">
        <f t="shared" si="109"/>
        <v/>
      </c>
      <c r="S1158" s="89" t="str">
        <f t="shared" si="110"/>
        <v/>
      </c>
      <c r="X1158" s="64">
        <f t="shared" si="111"/>
        <v>0</v>
      </c>
      <c r="Y1158" s="53">
        <f t="shared" si="112"/>
        <v>0</v>
      </c>
      <c r="Z1158" s="64">
        <f t="shared" si="113"/>
        <v>0</v>
      </c>
    </row>
    <row r="1159" spans="1:26">
      <c r="A1159" s="89" t="str">
        <f t="shared" si="108"/>
        <v/>
      </c>
      <c r="B1159" s="89" t="str">
        <f t="shared" si="109"/>
        <v/>
      </c>
      <c r="S1159" s="89" t="str">
        <f t="shared" si="110"/>
        <v/>
      </c>
      <c r="X1159" s="64">
        <f t="shared" si="111"/>
        <v>0</v>
      </c>
      <c r="Y1159" s="53">
        <f t="shared" si="112"/>
        <v>0</v>
      </c>
      <c r="Z1159" s="64">
        <f t="shared" si="113"/>
        <v>0</v>
      </c>
    </row>
    <row r="1160" spans="1:26">
      <c r="A1160" s="89" t="str">
        <f t="shared" si="108"/>
        <v/>
      </c>
      <c r="B1160" s="89" t="str">
        <f t="shared" si="109"/>
        <v/>
      </c>
      <c r="S1160" s="89" t="str">
        <f t="shared" si="110"/>
        <v/>
      </c>
      <c r="X1160" s="64">
        <f t="shared" si="111"/>
        <v>0</v>
      </c>
      <c r="Y1160" s="53">
        <f t="shared" si="112"/>
        <v>0</v>
      </c>
      <c r="Z1160" s="64">
        <f t="shared" si="113"/>
        <v>0</v>
      </c>
    </row>
    <row r="1161" spans="1:26">
      <c r="A1161" s="89" t="str">
        <f t="shared" si="108"/>
        <v/>
      </c>
      <c r="B1161" s="89" t="str">
        <f t="shared" si="109"/>
        <v/>
      </c>
      <c r="S1161" s="89" t="str">
        <f t="shared" si="110"/>
        <v/>
      </c>
      <c r="X1161" s="64">
        <f t="shared" si="111"/>
        <v>0</v>
      </c>
      <c r="Y1161" s="53">
        <f t="shared" si="112"/>
        <v>0</v>
      </c>
      <c r="Z1161" s="64">
        <f t="shared" si="113"/>
        <v>0</v>
      </c>
    </row>
    <row r="1162" spans="1:26">
      <c r="A1162" s="89" t="str">
        <f t="shared" si="108"/>
        <v/>
      </c>
      <c r="B1162" s="89" t="str">
        <f t="shared" si="109"/>
        <v/>
      </c>
      <c r="S1162" s="89" t="str">
        <f t="shared" si="110"/>
        <v/>
      </c>
      <c r="X1162" s="64">
        <f t="shared" si="111"/>
        <v>0</v>
      </c>
      <c r="Y1162" s="53">
        <f t="shared" si="112"/>
        <v>0</v>
      </c>
      <c r="Z1162" s="64">
        <f t="shared" si="113"/>
        <v>0</v>
      </c>
    </row>
    <row r="1163" spans="1:26">
      <c r="A1163" s="89" t="str">
        <f t="shared" si="108"/>
        <v/>
      </c>
      <c r="B1163" s="89" t="str">
        <f t="shared" si="109"/>
        <v/>
      </c>
      <c r="S1163" s="89" t="str">
        <f t="shared" si="110"/>
        <v/>
      </c>
      <c r="X1163" s="64">
        <f t="shared" si="111"/>
        <v>0</v>
      </c>
      <c r="Y1163" s="53">
        <f t="shared" si="112"/>
        <v>0</v>
      </c>
      <c r="Z1163" s="64">
        <f t="shared" si="113"/>
        <v>0</v>
      </c>
    </row>
    <row r="1164" spans="1:26">
      <c r="A1164" s="89" t="str">
        <f t="shared" si="108"/>
        <v/>
      </c>
      <c r="B1164" s="89" t="str">
        <f t="shared" si="109"/>
        <v/>
      </c>
      <c r="S1164" s="89" t="str">
        <f t="shared" si="110"/>
        <v/>
      </c>
      <c r="X1164" s="64">
        <f t="shared" si="111"/>
        <v>0</v>
      </c>
      <c r="Y1164" s="53">
        <f t="shared" si="112"/>
        <v>0</v>
      </c>
      <c r="Z1164" s="64">
        <f t="shared" si="113"/>
        <v>0</v>
      </c>
    </row>
    <row r="1165" spans="1:26">
      <c r="A1165" s="89" t="str">
        <f t="shared" si="108"/>
        <v/>
      </c>
      <c r="B1165" s="89" t="str">
        <f t="shared" si="109"/>
        <v/>
      </c>
      <c r="S1165" s="89" t="str">
        <f t="shared" si="110"/>
        <v/>
      </c>
      <c r="X1165" s="64">
        <f t="shared" si="111"/>
        <v>0</v>
      </c>
      <c r="Y1165" s="53">
        <f t="shared" si="112"/>
        <v>0</v>
      </c>
      <c r="Z1165" s="64">
        <f t="shared" si="113"/>
        <v>0</v>
      </c>
    </row>
    <row r="1166" spans="1:26">
      <c r="A1166" s="89" t="str">
        <f t="shared" si="108"/>
        <v/>
      </c>
      <c r="B1166" s="89" t="str">
        <f t="shared" si="109"/>
        <v/>
      </c>
      <c r="S1166" s="89" t="str">
        <f t="shared" si="110"/>
        <v/>
      </c>
      <c r="X1166" s="64">
        <f t="shared" si="111"/>
        <v>0</v>
      </c>
      <c r="Y1166" s="53">
        <f t="shared" si="112"/>
        <v>0</v>
      </c>
      <c r="Z1166" s="64">
        <f t="shared" si="113"/>
        <v>0</v>
      </c>
    </row>
    <row r="1167" spans="1:26">
      <c r="A1167" s="89" t="str">
        <f t="shared" si="108"/>
        <v/>
      </c>
      <c r="B1167" s="89" t="str">
        <f t="shared" si="109"/>
        <v/>
      </c>
      <c r="S1167" s="89" t="str">
        <f t="shared" si="110"/>
        <v/>
      </c>
      <c r="X1167" s="64">
        <f t="shared" si="111"/>
        <v>0</v>
      </c>
      <c r="Y1167" s="53">
        <f t="shared" si="112"/>
        <v>0</v>
      </c>
      <c r="Z1167" s="64">
        <f t="shared" si="113"/>
        <v>0</v>
      </c>
    </row>
    <row r="1168" spans="1:26">
      <c r="A1168" s="89" t="str">
        <f t="shared" si="108"/>
        <v/>
      </c>
      <c r="B1168" s="89" t="str">
        <f t="shared" si="109"/>
        <v/>
      </c>
      <c r="S1168" s="89" t="str">
        <f t="shared" si="110"/>
        <v/>
      </c>
      <c r="X1168" s="64">
        <f t="shared" si="111"/>
        <v>0</v>
      </c>
      <c r="Y1168" s="53">
        <f t="shared" si="112"/>
        <v>0</v>
      </c>
      <c r="Z1168" s="64">
        <f t="shared" si="113"/>
        <v>0</v>
      </c>
    </row>
    <row r="1169" spans="1:26">
      <c r="A1169" s="89" t="str">
        <f t="shared" si="108"/>
        <v/>
      </c>
      <c r="B1169" s="89" t="str">
        <f t="shared" si="109"/>
        <v/>
      </c>
      <c r="S1169" s="89" t="str">
        <f t="shared" si="110"/>
        <v/>
      </c>
      <c r="X1169" s="64">
        <f t="shared" si="111"/>
        <v>0</v>
      </c>
      <c r="Y1169" s="53">
        <f t="shared" si="112"/>
        <v>0</v>
      </c>
      <c r="Z1169" s="64">
        <f t="shared" si="113"/>
        <v>0</v>
      </c>
    </row>
    <row r="1170" spans="1:26">
      <c r="A1170" s="89" t="str">
        <f t="shared" si="108"/>
        <v/>
      </c>
      <c r="B1170" s="89" t="str">
        <f t="shared" si="109"/>
        <v/>
      </c>
      <c r="S1170" s="89" t="str">
        <f t="shared" si="110"/>
        <v/>
      </c>
      <c r="X1170" s="64">
        <f t="shared" si="111"/>
        <v>0</v>
      </c>
      <c r="Y1170" s="53">
        <f t="shared" si="112"/>
        <v>0</v>
      </c>
      <c r="Z1170" s="64">
        <f t="shared" si="113"/>
        <v>0</v>
      </c>
    </row>
    <row r="1171" spans="1:26">
      <c r="A1171" s="89" t="str">
        <f t="shared" si="108"/>
        <v/>
      </c>
      <c r="B1171" s="89" t="str">
        <f t="shared" si="109"/>
        <v/>
      </c>
      <c r="S1171" s="89" t="str">
        <f t="shared" si="110"/>
        <v/>
      </c>
      <c r="X1171" s="64">
        <f t="shared" si="111"/>
        <v>0</v>
      </c>
      <c r="Y1171" s="53">
        <f t="shared" si="112"/>
        <v>0</v>
      </c>
      <c r="Z1171" s="64">
        <f t="shared" si="113"/>
        <v>0</v>
      </c>
    </row>
    <row r="1172" spans="1:26">
      <c r="A1172" s="89" t="str">
        <f t="shared" si="108"/>
        <v/>
      </c>
      <c r="B1172" s="89" t="str">
        <f t="shared" si="109"/>
        <v/>
      </c>
      <c r="S1172" s="89" t="str">
        <f t="shared" si="110"/>
        <v/>
      </c>
      <c r="X1172" s="64">
        <f t="shared" si="111"/>
        <v>0</v>
      </c>
      <c r="Y1172" s="53">
        <f t="shared" si="112"/>
        <v>0</v>
      </c>
      <c r="Z1172" s="64">
        <f t="shared" si="113"/>
        <v>0</v>
      </c>
    </row>
    <row r="1173" spans="1:26">
      <c r="A1173" s="89" t="str">
        <f t="shared" si="108"/>
        <v/>
      </c>
      <c r="B1173" s="89" t="str">
        <f t="shared" si="109"/>
        <v/>
      </c>
      <c r="S1173" s="89" t="str">
        <f t="shared" si="110"/>
        <v/>
      </c>
      <c r="X1173" s="64">
        <f t="shared" si="111"/>
        <v>0</v>
      </c>
      <c r="Y1173" s="53">
        <f t="shared" si="112"/>
        <v>0</v>
      </c>
      <c r="Z1173" s="64">
        <f t="shared" si="113"/>
        <v>0</v>
      </c>
    </row>
    <row r="1174" spans="1:26">
      <c r="A1174" s="89" t="str">
        <f t="shared" si="108"/>
        <v/>
      </c>
      <c r="B1174" s="89" t="str">
        <f t="shared" si="109"/>
        <v/>
      </c>
      <c r="S1174" s="89" t="str">
        <f t="shared" si="110"/>
        <v/>
      </c>
      <c r="X1174" s="64">
        <f t="shared" si="111"/>
        <v>0</v>
      </c>
      <c r="Y1174" s="53">
        <f t="shared" si="112"/>
        <v>0</v>
      </c>
      <c r="Z1174" s="64">
        <f t="shared" si="113"/>
        <v>0</v>
      </c>
    </row>
    <row r="1175" spans="1:26">
      <c r="A1175" s="89" t="str">
        <f t="shared" si="108"/>
        <v/>
      </c>
      <c r="B1175" s="89" t="str">
        <f t="shared" si="109"/>
        <v/>
      </c>
      <c r="S1175" s="89" t="str">
        <f t="shared" si="110"/>
        <v/>
      </c>
      <c r="X1175" s="64">
        <f t="shared" si="111"/>
        <v>0</v>
      </c>
      <c r="Y1175" s="53">
        <f t="shared" si="112"/>
        <v>0</v>
      </c>
      <c r="Z1175" s="64">
        <f t="shared" si="113"/>
        <v>0</v>
      </c>
    </row>
    <row r="1176" spans="1:26">
      <c r="A1176" s="89" t="str">
        <f t="shared" si="108"/>
        <v/>
      </c>
      <c r="B1176" s="89" t="str">
        <f t="shared" si="109"/>
        <v/>
      </c>
      <c r="S1176" s="89" t="str">
        <f t="shared" si="110"/>
        <v/>
      </c>
      <c r="X1176" s="64">
        <f t="shared" si="111"/>
        <v>0</v>
      </c>
      <c r="Y1176" s="53">
        <f t="shared" si="112"/>
        <v>0</v>
      </c>
      <c r="Z1176" s="64">
        <f t="shared" si="113"/>
        <v>0</v>
      </c>
    </row>
    <row r="1177" spans="1:26">
      <c r="A1177" s="89" t="str">
        <f t="shared" si="108"/>
        <v/>
      </c>
      <c r="B1177" s="89" t="str">
        <f t="shared" si="109"/>
        <v/>
      </c>
      <c r="S1177" s="89" t="str">
        <f t="shared" si="110"/>
        <v/>
      </c>
      <c r="X1177" s="64">
        <f t="shared" si="111"/>
        <v>0</v>
      </c>
      <c r="Y1177" s="53">
        <f t="shared" si="112"/>
        <v>0</v>
      </c>
      <c r="Z1177" s="64">
        <f t="shared" si="113"/>
        <v>0</v>
      </c>
    </row>
    <row r="1178" spans="1:26">
      <c r="A1178" s="89" t="str">
        <f t="shared" si="108"/>
        <v/>
      </c>
      <c r="B1178" s="89" t="str">
        <f t="shared" si="109"/>
        <v/>
      </c>
      <c r="S1178" s="89" t="str">
        <f t="shared" si="110"/>
        <v/>
      </c>
      <c r="X1178" s="64">
        <f t="shared" si="111"/>
        <v>0</v>
      </c>
      <c r="Y1178" s="53">
        <f t="shared" si="112"/>
        <v>0</v>
      </c>
      <c r="Z1178" s="64">
        <f t="shared" si="113"/>
        <v>0</v>
      </c>
    </row>
    <row r="1179" spans="1:26">
      <c r="A1179" s="89" t="str">
        <f t="shared" si="108"/>
        <v/>
      </c>
      <c r="B1179" s="89" t="str">
        <f t="shared" si="109"/>
        <v/>
      </c>
      <c r="S1179" s="89" t="str">
        <f t="shared" si="110"/>
        <v/>
      </c>
      <c r="X1179" s="64">
        <f t="shared" si="111"/>
        <v>0</v>
      </c>
      <c r="Y1179" s="53">
        <f t="shared" si="112"/>
        <v>0</v>
      </c>
      <c r="Z1179" s="64">
        <f t="shared" si="113"/>
        <v>0</v>
      </c>
    </row>
    <row r="1180" spans="1:26">
      <c r="A1180" s="89" t="str">
        <f t="shared" si="108"/>
        <v/>
      </c>
      <c r="B1180" s="89" t="str">
        <f t="shared" si="109"/>
        <v/>
      </c>
      <c r="S1180" s="89" t="str">
        <f t="shared" si="110"/>
        <v/>
      </c>
      <c r="X1180" s="64">
        <f t="shared" si="111"/>
        <v>0</v>
      </c>
      <c r="Y1180" s="53">
        <f t="shared" si="112"/>
        <v>0</v>
      </c>
      <c r="Z1180" s="64">
        <f t="shared" si="113"/>
        <v>0</v>
      </c>
    </row>
    <row r="1181" spans="1:26">
      <c r="A1181" s="89" t="str">
        <f t="shared" si="108"/>
        <v/>
      </c>
      <c r="B1181" s="89" t="str">
        <f t="shared" si="109"/>
        <v/>
      </c>
      <c r="S1181" s="89" t="str">
        <f t="shared" si="110"/>
        <v/>
      </c>
      <c r="X1181" s="64">
        <f t="shared" si="111"/>
        <v>0</v>
      </c>
      <c r="Y1181" s="53">
        <f t="shared" si="112"/>
        <v>0</v>
      </c>
      <c r="Z1181" s="64">
        <f t="shared" si="113"/>
        <v>0</v>
      </c>
    </row>
    <row r="1182" spans="1:26">
      <c r="A1182" s="89" t="str">
        <f t="shared" si="108"/>
        <v/>
      </c>
      <c r="B1182" s="89" t="str">
        <f t="shared" si="109"/>
        <v/>
      </c>
      <c r="S1182" s="89" t="str">
        <f t="shared" si="110"/>
        <v/>
      </c>
      <c r="X1182" s="64">
        <f t="shared" si="111"/>
        <v>0</v>
      </c>
      <c r="Y1182" s="53">
        <f t="shared" si="112"/>
        <v>0</v>
      </c>
      <c r="Z1182" s="64">
        <f t="shared" si="113"/>
        <v>0</v>
      </c>
    </row>
    <row r="1183" spans="1:26">
      <c r="A1183" s="89" t="str">
        <f t="shared" si="108"/>
        <v/>
      </c>
      <c r="B1183" s="89" t="str">
        <f t="shared" si="109"/>
        <v/>
      </c>
      <c r="S1183" s="89" t="str">
        <f t="shared" si="110"/>
        <v/>
      </c>
      <c r="X1183" s="64">
        <f t="shared" si="111"/>
        <v>0</v>
      </c>
      <c r="Y1183" s="53">
        <f t="shared" si="112"/>
        <v>0</v>
      </c>
      <c r="Z1183" s="64">
        <f t="shared" si="113"/>
        <v>0</v>
      </c>
    </row>
    <row r="1184" spans="1:26">
      <c r="A1184" s="89" t="str">
        <f t="shared" si="108"/>
        <v/>
      </c>
      <c r="B1184" s="89" t="str">
        <f t="shared" si="109"/>
        <v/>
      </c>
      <c r="S1184" s="89" t="str">
        <f t="shared" si="110"/>
        <v/>
      </c>
      <c r="X1184" s="64">
        <f t="shared" si="111"/>
        <v>0</v>
      </c>
      <c r="Y1184" s="53">
        <f t="shared" si="112"/>
        <v>0</v>
      </c>
      <c r="Z1184" s="64">
        <f t="shared" si="113"/>
        <v>0</v>
      </c>
    </row>
    <row r="1185" spans="1:26">
      <c r="A1185" s="89" t="str">
        <f t="shared" si="108"/>
        <v/>
      </c>
      <c r="B1185" s="89" t="str">
        <f t="shared" si="109"/>
        <v/>
      </c>
      <c r="S1185" s="89" t="str">
        <f t="shared" si="110"/>
        <v/>
      </c>
      <c r="X1185" s="64">
        <f t="shared" si="111"/>
        <v>0</v>
      </c>
      <c r="Y1185" s="53">
        <f t="shared" si="112"/>
        <v>0</v>
      </c>
      <c r="Z1185" s="64">
        <f t="shared" si="113"/>
        <v>0</v>
      </c>
    </row>
    <row r="1186" spans="1:26">
      <c r="A1186" s="89" t="str">
        <f t="shared" si="108"/>
        <v/>
      </c>
      <c r="B1186" s="89" t="str">
        <f t="shared" si="109"/>
        <v/>
      </c>
      <c r="S1186" s="89" t="str">
        <f t="shared" si="110"/>
        <v/>
      </c>
      <c r="X1186" s="64">
        <f t="shared" si="111"/>
        <v>0</v>
      </c>
      <c r="Y1186" s="53">
        <f t="shared" si="112"/>
        <v>0</v>
      </c>
      <c r="Z1186" s="64">
        <f t="shared" si="113"/>
        <v>0</v>
      </c>
    </row>
    <row r="1187" spans="1:26">
      <c r="A1187" s="89" t="str">
        <f t="shared" si="108"/>
        <v/>
      </c>
      <c r="B1187" s="89" t="str">
        <f t="shared" si="109"/>
        <v/>
      </c>
      <c r="S1187" s="89" t="str">
        <f t="shared" si="110"/>
        <v/>
      </c>
      <c r="X1187" s="64">
        <f t="shared" si="111"/>
        <v>0</v>
      </c>
      <c r="Y1187" s="53">
        <f t="shared" si="112"/>
        <v>0</v>
      </c>
      <c r="Z1187" s="64">
        <f t="shared" si="113"/>
        <v>0</v>
      </c>
    </row>
    <row r="1188" spans="1:26">
      <c r="A1188" s="89" t="str">
        <f t="shared" si="108"/>
        <v/>
      </c>
      <c r="B1188" s="89" t="str">
        <f t="shared" si="109"/>
        <v/>
      </c>
      <c r="S1188" s="89" t="str">
        <f t="shared" si="110"/>
        <v/>
      </c>
      <c r="X1188" s="64">
        <f t="shared" si="111"/>
        <v>0</v>
      </c>
      <c r="Y1188" s="53">
        <f t="shared" si="112"/>
        <v>0</v>
      </c>
      <c r="Z1188" s="64">
        <f t="shared" si="113"/>
        <v>0</v>
      </c>
    </row>
    <row r="1189" spans="1:26">
      <c r="A1189" s="89" t="str">
        <f t="shared" si="108"/>
        <v/>
      </c>
      <c r="B1189" s="89" t="str">
        <f t="shared" si="109"/>
        <v/>
      </c>
      <c r="S1189" s="89" t="str">
        <f t="shared" si="110"/>
        <v/>
      </c>
      <c r="X1189" s="64">
        <f t="shared" si="111"/>
        <v>0</v>
      </c>
      <c r="Y1189" s="53">
        <f t="shared" si="112"/>
        <v>0</v>
      </c>
      <c r="Z1189" s="64">
        <f t="shared" si="113"/>
        <v>0</v>
      </c>
    </row>
    <row r="1190" spans="1:26">
      <c r="A1190" s="89" t="str">
        <f t="shared" si="108"/>
        <v/>
      </c>
      <c r="B1190" s="89" t="str">
        <f t="shared" si="109"/>
        <v/>
      </c>
      <c r="S1190" s="89" t="str">
        <f t="shared" si="110"/>
        <v/>
      </c>
      <c r="X1190" s="64">
        <f t="shared" si="111"/>
        <v>0</v>
      </c>
      <c r="Y1190" s="53">
        <f t="shared" si="112"/>
        <v>0</v>
      </c>
      <c r="Z1190" s="64">
        <f t="shared" si="113"/>
        <v>0</v>
      </c>
    </row>
    <row r="1191" spans="1:26">
      <c r="A1191" s="89" t="str">
        <f t="shared" si="108"/>
        <v/>
      </c>
      <c r="B1191" s="89" t="str">
        <f t="shared" si="109"/>
        <v/>
      </c>
      <c r="S1191" s="89" t="str">
        <f t="shared" si="110"/>
        <v/>
      </c>
      <c r="X1191" s="64">
        <f t="shared" si="111"/>
        <v>0</v>
      </c>
      <c r="Y1191" s="53">
        <f t="shared" si="112"/>
        <v>0</v>
      </c>
      <c r="Z1191" s="64">
        <f t="shared" si="113"/>
        <v>0</v>
      </c>
    </row>
    <row r="1192" spans="1:26">
      <c r="A1192" s="89" t="str">
        <f t="shared" si="108"/>
        <v/>
      </c>
      <c r="B1192" s="89" t="str">
        <f t="shared" si="109"/>
        <v/>
      </c>
      <c r="S1192" s="89" t="str">
        <f t="shared" si="110"/>
        <v/>
      </c>
      <c r="X1192" s="64">
        <f t="shared" si="111"/>
        <v>0</v>
      </c>
      <c r="Y1192" s="53">
        <f t="shared" si="112"/>
        <v>0</v>
      </c>
      <c r="Z1192" s="64">
        <f t="shared" si="113"/>
        <v>0</v>
      </c>
    </row>
    <row r="1193" spans="1:26">
      <c r="A1193" s="89" t="str">
        <f t="shared" si="108"/>
        <v/>
      </c>
      <c r="B1193" s="89" t="str">
        <f t="shared" si="109"/>
        <v/>
      </c>
      <c r="S1193" s="89" t="str">
        <f t="shared" si="110"/>
        <v/>
      </c>
      <c r="X1193" s="64">
        <f t="shared" si="111"/>
        <v>0</v>
      </c>
      <c r="Y1193" s="53">
        <f t="shared" si="112"/>
        <v>0</v>
      </c>
      <c r="Z1193" s="64">
        <f t="shared" si="113"/>
        <v>0</v>
      </c>
    </row>
    <row r="1194" spans="1:26">
      <c r="A1194" s="89" t="str">
        <f t="shared" si="108"/>
        <v/>
      </c>
      <c r="B1194" s="89" t="str">
        <f t="shared" si="109"/>
        <v/>
      </c>
      <c r="S1194" s="89" t="str">
        <f t="shared" si="110"/>
        <v/>
      </c>
      <c r="X1194" s="64">
        <f t="shared" si="111"/>
        <v>0</v>
      </c>
      <c r="Y1194" s="53">
        <f t="shared" si="112"/>
        <v>0</v>
      </c>
      <c r="Z1194" s="64">
        <f t="shared" si="113"/>
        <v>0</v>
      </c>
    </row>
    <row r="1195" spans="1:26">
      <c r="A1195" s="89" t="str">
        <f t="shared" si="108"/>
        <v/>
      </c>
      <c r="B1195" s="89" t="str">
        <f t="shared" si="109"/>
        <v/>
      </c>
      <c r="S1195" s="89" t="str">
        <f t="shared" si="110"/>
        <v/>
      </c>
      <c r="X1195" s="64">
        <f t="shared" si="111"/>
        <v>0</v>
      </c>
      <c r="Y1195" s="53">
        <f t="shared" si="112"/>
        <v>0</v>
      </c>
      <c r="Z1195" s="64">
        <f t="shared" si="113"/>
        <v>0</v>
      </c>
    </row>
    <row r="1196" spans="1:26">
      <c r="A1196" s="89" t="str">
        <f t="shared" si="108"/>
        <v/>
      </c>
      <c r="B1196" s="89" t="str">
        <f t="shared" si="109"/>
        <v/>
      </c>
      <c r="S1196" s="89" t="str">
        <f t="shared" si="110"/>
        <v/>
      </c>
      <c r="X1196" s="64">
        <f t="shared" si="111"/>
        <v>0</v>
      </c>
      <c r="Y1196" s="53">
        <f t="shared" si="112"/>
        <v>0</v>
      </c>
      <c r="Z1196" s="64">
        <f t="shared" si="113"/>
        <v>0</v>
      </c>
    </row>
    <row r="1197" spans="1:26">
      <c r="A1197" s="89" t="str">
        <f t="shared" si="108"/>
        <v/>
      </c>
      <c r="B1197" s="89" t="str">
        <f t="shared" si="109"/>
        <v/>
      </c>
      <c r="S1197" s="89" t="str">
        <f t="shared" si="110"/>
        <v/>
      </c>
      <c r="X1197" s="64">
        <f t="shared" si="111"/>
        <v>0</v>
      </c>
      <c r="Y1197" s="53">
        <f t="shared" si="112"/>
        <v>0</v>
      </c>
      <c r="Z1197" s="64">
        <f t="shared" si="113"/>
        <v>0</v>
      </c>
    </row>
    <row r="1198" spans="1:26">
      <c r="A1198" s="89" t="str">
        <f t="shared" si="108"/>
        <v/>
      </c>
      <c r="B1198" s="89" t="str">
        <f t="shared" si="109"/>
        <v/>
      </c>
      <c r="S1198" s="89" t="str">
        <f t="shared" si="110"/>
        <v/>
      </c>
      <c r="X1198" s="64">
        <f t="shared" si="111"/>
        <v>0</v>
      </c>
      <c r="Y1198" s="53">
        <f t="shared" si="112"/>
        <v>0</v>
      </c>
      <c r="Z1198" s="64">
        <f t="shared" si="113"/>
        <v>0</v>
      </c>
    </row>
    <row r="1199" spans="1:26">
      <c r="A1199" s="89" t="str">
        <f t="shared" si="108"/>
        <v/>
      </c>
      <c r="B1199" s="89" t="str">
        <f t="shared" si="109"/>
        <v/>
      </c>
      <c r="S1199" s="89" t="str">
        <f t="shared" si="110"/>
        <v/>
      </c>
      <c r="X1199" s="64">
        <f t="shared" si="111"/>
        <v>0</v>
      </c>
      <c r="Y1199" s="53">
        <f t="shared" si="112"/>
        <v>0</v>
      </c>
      <c r="Z1199" s="64">
        <f t="shared" si="113"/>
        <v>0</v>
      </c>
    </row>
    <row r="1200" spans="1:26">
      <c r="A1200" s="89" t="str">
        <f t="shared" si="108"/>
        <v/>
      </c>
      <c r="B1200" s="89" t="str">
        <f t="shared" si="109"/>
        <v/>
      </c>
      <c r="S1200" s="89" t="str">
        <f t="shared" si="110"/>
        <v/>
      </c>
      <c r="X1200" s="64">
        <f t="shared" si="111"/>
        <v>0</v>
      </c>
      <c r="Y1200" s="53">
        <f t="shared" si="112"/>
        <v>0</v>
      </c>
      <c r="Z1200" s="64">
        <f t="shared" si="113"/>
        <v>0</v>
      </c>
    </row>
    <row r="1201" spans="1:26">
      <c r="A1201" s="89" t="str">
        <f t="shared" si="108"/>
        <v/>
      </c>
      <c r="B1201" s="89" t="str">
        <f t="shared" si="109"/>
        <v/>
      </c>
      <c r="S1201" s="89" t="str">
        <f t="shared" si="110"/>
        <v/>
      </c>
      <c r="X1201" s="64">
        <f t="shared" si="111"/>
        <v>0</v>
      </c>
      <c r="Y1201" s="53">
        <f t="shared" si="112"/>
        <v>0</v>
      </c>
      <c r="Z1201" s="64">
        <f t="shared" si="113"/>
        <v>0</v>
      </c>
    </row>
    <row r="1202" spans="1:26">
      <c r="A1202" s="89" t="str">
        <f t="shared" si="108"/>
        <v/>
      </c>
      <c r="B1202" s="89" t="str">
        <f t="shared" si="109"/>
        <v/>
      </c>
      <c r="S1202" s="89" t="str">
        <f t="shared" si="110"/>
        <v/>
      </c>
      <c r="X1202" s="64">
        <f t="shared" si="111"/>
        <v>0</v>
      </c>
      <c r="Y1202" s="53">
        <f t="shared" si="112"/>
        <v>0</v>
      </c>
      <c r="Z1202" s="64">
        <f t="shared" si="113"/>
        <v>0</v>
      </c>
    </row>
    <row r="1203" spans="1:26">
      <c r="A1203" s="89" t="str">
        <f t="shared" si="108"/>
        <v/>
      </c>
      <c r="B1203" s="89" t="str">
        <f t="shared" si="109"/>
        <v/>
      </c>
      <c r="S1203" s="89" t="str">
        <f t="shared" si="110"/>
        <v/>
      </c>
      <c r="X1203" s="64">
        <f t="shared" si="111"/>
        <v>0</v>
      </c>
      <c r="Y1203" s="53">
        <f t="shared" si="112"/>
        <v>0</v>
      </c>
      <c r="Z1203" s="64">
        <f t="shared" si="113"/>
        <v>0</v>
      </c>
    </row>
    <row r="1204" spans="1:26">
      <c r="A1204" s="89" t="str">
        <f t="shared" si="108"/>
        <v/>
      </c>
      <c r="B1204" s="89" t="str">
        <f t="shared" si="109"/>
        <v/>
      </c>
      <c r="S1204" s="89" t="str">
        <f t="shared" si="110"/>
        <v/>
      </c>
      <c r="X1204" s="64">
        <f t="shared" si="111"/>
        <v>0</v>
      </c>
      <c r="Y1204" s="53">
        <f t="shared" si="112"/>
        <v>0</v>
      </c>
      <c r="Z1204" s="64">
        <f t="shared" si="113"/>
        <v>0</v>
      </c>
    </row>
    <row r="1205" spans="1:26">
      <c r="A1205" s="89" t="str">
        <f t="shared" si="108"/>
        <v/>
      </c>
      <c r="B1205" s="89" t="str">
        <f t="shared" si="109"/>
        <v/>
      </c>
      <c r="S1205" s="89" t="str">
        <f t="shared" si="110"/>
        <v/>
      </c>
      <c r="X1205" s="64">
        <f t="shared" si="111"/>
        <v>0</v>
      </c>
      <c r="Y1205" s="53">
        <f t="shared" si="112"/>
        <v>0</v>
      </c>
      <c r="Z1205" s="64">
        <f t="shared" si="113"/>
        <v>0</v>
      </c>
    </row>
    <row r="1206" spans="1:26">
      <c r="A1206" s="89" t="str">
        <f t="shared" si="108"/>
        <v/>
      </c>
      <c r="B1206" s="89" t="str">
        <f t="shared" si="109"/>
        <v/>
      </c>
      <c r="S1206" s="89" t="str">
        <f t="shared" si="110"/>
        <v/>
      </c>
      <c r="X1206" s="64">
        <f t="shared" si="111"/>
        <v>0</v>
      </c>
      <c r="Y1206" s="53">
        <f t="shared" si="112"/>
        <v>0</v>
      </c>
      <c r="Z1206" s="64">
        <f t="shared" si="113"/>
        <v>0</v>
      </c>
    </row>
    <row r="1207" spans="1:26">
      <c r="A1207" s="89" t="str">
        <f t="shared" si="108"/>
        <v/>
      </c>
      <c r="B1207" s="89" t="str">
        <f t="shared" si="109"/>
        <v/>
      </c>
      <c r="S1207" s="89" t="str">
        <f t="shared" si="110"/>
        <v/>
      </c>
      <c r="X1207" s="64">
        <f t="shared" si="111"/>
        <v>0</v>
      </c>
      <c r="Y1207" s="53">
        <f t="shared" si="112"/>
        <v>0</v>
      </c>
      <c r="Z1207" s="64">
        <f t="shared" si="113"/>
        <v>0</v>
      </c>
    </row>
    <row r="1208" spans="1:26">
      <c r="A1208" s="89" t="str">
        <f t="shared" si="108"/>
        <v/>
      </c>
      <c r="B1208" s="89" t="str">
        <f t="shared" si="109"/>
        <v/>
      </c>
      <c r="S1208" s="89" t="str">
        <f t="shared" si="110"/>
        <v/>
      </c>
      <c r="X1208" s="64">
        <f t="shared" si="111"/>
        <v>0</v>
      </c>
      <c r="Y1208" s="53">
        <f t="shared" si="112"/>
        <v>0</v>
      </c>
      <c r="Z1208" s="64">
        <f t="shared" si="113"/>
        <v>0</v>
      </c>
    </row>
    <row r="1209" spans="1:26">
      <c r="A1209" s="89" t="str">
        <f t="shared" si="108"/>
        <v/>
      </c>
      <c r="B1209" s="89" t="str">
        <f t="shared" si="109"/>
        <v/>
      </c>
      <c r="S1209" s="89" t="str">
        <f t="shared" si="110"/>
        <v/>
      </c>
      <c r="X1209" s="64">
        <f t="shared" si="111"/>
        <v>0</v>
      </c>
      <c r="Y1209" s="53">
        <f t="shared" si="112"/>
        <v>0</v>
      </c>
      <c r="Z1209" s="64">
        <f t="shared" si="113"/>
        <v>0</v>
      </c>
    </row>
    <row r="1210" spans="1:26">
      <c r="A1210" s="89" t="str">
        <f t="shared" si="108"/>
        <v/>
      </c>
      <c r="B1210" s="89" t="str">
        <f t="shared" si="109"/>
        <v/>
      </c>
      <c r="S1210" s="89" t="str">
        <f t="shared" si="110"/>
        <v/>
      </c>
      <c r="X1210" s="64">
        <f t="shared" si="111"/>
        <v>0</v>
      </c>
      <c r="Y1210" s="53">
        <f t="shared" si="112"/>
        <v>0</v>
      </c>
      <c r="Z1210" s="64">
        <f t="shared" si="113"/>
        <v>0</v>
      </c>
    </row>
    <row r="1211" spans="1:26">
      <c r="A1211" s="89" t="str">
        <f t="shared" si="108"/>
        <v/>
      </c>
      <c r="B1211" s="89" t="str">
        <f t="shared" si="109"/>
        <v/>
      </c>
      <c r="S1211" s="89" t="str">
        <f t="shared" si="110"/>
        <v/>
      </c>
      <c r="X1211" s="64">
        <f t="shared" si="111"/>
        <v>0</v>
      </c>
      <c r="Y1211" s="53">
        <f t="shared" si="112"/>
        <v>0</v>
      </c>
      <c r="Z1211" s="64">
        <f t="shared" si="113"/>
        <v>0</v>
      </c>
    </row>
    <row r="1212" spans="1:26">
      <c r="A1212" s="89" t="str">
        <f t="shared" si="108"/>
        <v/>
      </c>
      <c r="B1212" s="89" t="str">
        <f t="shared" si="109"/>
        <v/>
      </c>
      <c r="S1212" s="89" t="str">
        <f t="shared" si="110"/>
        <v/>
      </c>
      <c r="X1212" s="64">
        <f t="shared" si="111"/>
        <v>0</v>
      </c>
      <c r="Y1212" s="53">
        <f t="shared" si="112"/>
        <v>0</v>
      </c>
      <c r="Z1212" s="64">
        <f t="shared" si="113"/>
        <v>0</v>
      </c>
    </row>
    <row r="1213" spans="1:26">
      <c r="A1213" s="89" t="str">
        <f t="shared" si="108"/>
        <v/>
      </c>
      <c r="B1213" s="89" t="str">
        <f t="shared" si="109"/>
        <v/>
      </c>
      <c r="S1213" s="89" t="str">
        <f t="shared" si="110"/>
        <v/>
      </c>
      <c r="X1213" s="64">
        <f t="shared" si="111"/>
        <v>0</v>
      </c>
      <c r="Y1213" s="53">
        <f t="shared" si="112"/>
        <v>0</v>
      </c>
      <c r="Z1213" s="64">
        <f t="shared" si="113"/>
        <v>0</v>
      </c>
    </row>
    <row r="1214" spans="1:26">
      <c r="A1214" s="89" t="str">
        <f t="shared" si="108"/>
        <v/>
      </c>
      <c r="B1214" s="89" t="str">
        <f t="shared" si="109"/>
        <v/>
      </c>
      <c r="S1214" s="89" t="str">
        <f t="shared" si="110"/>
        <v/>
      </c>
      <c r="X1214" s="64">
        <f t="shared" si="111"/>
        <v>0</v>
      </c>
      <c r="Y1214" s="53">
        <f t="shared" si="112"/>
        <v>0</v>
      </c>
      <c r="Z1214" s="64">
        <f t="shared" si="113"/>
        <v>0</v>
      </c>
    </row>
    <row r="1215" spans="1:26">
      <c r="A1215" s="89" t="str">
        <f t="shared" si="108"/>
        <v/>
      </c>
      <c r="B1215" s="89" t="str">
        <f t="shared" si="109"/>
        <v/>
      </c>
      <c r="S1215" s="89" t="str">
        <f t="shared" si="110"/>
        <v/>
      </c>
      <c r="X1215" s="64">
        <f t="shared" si="111"/>
        <v>0</v>
      </c>
      <c r="Y1215" s="53">
        <f t="shared" si="112"/>
        <v>0</v>
      </c>
      <c r="Z1215" s="64">
        <f t="shared" si="113"/>
        <v>0</v>
      </c>
    </row>
    <row r="1216" spans="1:26">
      <c r="A1216" s="89" t="str">
        <f t="shared" si="108"/>
        <v/>
      </c>
      <c r="B1216" s="89" t="str">
        <f t="shared" si="109"/>
        <v/>
      </c>
      <c r="S1216" s="89" t="str">
        <f t="shared" si="110"/>
        <v/>
      </c>
      <c r="X1216" s="64">
        <f t="shared" si="111"/>
        <v>0</v>
      </c>
      <c r="Y1216" s="53">
        <f t="shared" si="112"/>
        <v>0</v>
      </c>
      <c r="Z1216" s="64">
        <f t="shared" si="113"/>
        <v>0</v>
      </c>
    </row>
    <row r="1217" spans="1:26">
      <c r="A1217" s="89" t="str">
        <f t="shared" si="108"/>
        <v/>
      </c>
      <c r="B1217" s="89" t="str">
        <f t="shared" si="109"/>
        <v/>
      </c>
      <c r="S1217" s="89" t="str">
        <f t="shared" si="110"/>
        <v/>
      </c>
      <c r="X1217" s="64">
        <f t="shared" si="111"/>
        <v>0</v>
      </c>
      <c r="Y1217" s="53">
        <f t="shared" si="112"/>
        <v>0</v>
      </c>
      <c r="Z1217" s="64">
        <f t="shared" si="113"/>
        <v>0</v>
      </c>
    </row>
    <row r="1218" spans="1:26">
      <c r="A1218" s="89" t="str">
        <f t="shared" si="108"/>
        <v/>
      </c>
      <c r="B1218" s="89" t="str">
        <f t="shared" si="109"/>
        <v/>
      </c>
      <c r="S1218" s="89" t="str">
        <f t="shared" si="110"/>
        <v/>
      </c>
      <c r="X1218" s="64">
        <f t="shared" si="111"/>
        <v>0</v>
      </c>
      <c r="Y1218" s="53">
        <f t="shared" si="112"/>
        <v>0</v>
      </c>
      <c r="Z1218" s="64">
        <f t="shared" si="113"/>
        <v>0</v>
      </c>
    </row>
    <row r="1219" spans="1:26">
      <c r="A1219" s="89" t="str">
        <f t="shared" ref="A1219:A1282" si="114">IF(G1219&amp;Q1219&lt;&gt;"",G1219&amp;Q1219,"")</f>
        <v/>
      </c>
      <c r="B1219" s="89" t="str">
        <f t="shared" ref="B1219:B1282" si="115">IF(C1219&lt;&gt;"",LEFT(C1219,9),"")</f>
        <v/>
      </c>
      <c r="S1219" s="89" t="str">
        <f t="shared" ref="S1219:S1282" si="116">IF(H1219&lt;&gt;"",H1219,"")</f>
        <v/>
      </c>
      <c r="X1219" s="64">
        <f t="shared" ref="X1219:X1282" si="117">IFERROR(VALUE(MID($C1219,1,2)),0)</f>
        <v>0</v>
      </c>
      <c r="Y1219" s="53">
        <f t="shared" ref="Y1219:Y1282" si="118">IFERROR(VALUE(MID($C1219,4,3)),0)</f>
        <v>0</v>
      </c>
      <c r="Z1219" s="64">
        <f t="shared" ref="Z1219:Z1282" si="119">VALUE(RIGHT("00"&amp;X1219,2)&amp;RIGHT("000"&amp;Y1219,3))</f>
        <v>0</v>
      </c>
    </row>
    <row r="1220" spans="1:26">
      <c r="A1220" s="89" t="str">
        <f t="shared" si="114"/>
        <v/>
      </c>
      <c r="B1220" s="89" t="str">
        <f t="shared" si="115"/>
        <v/>
      </c>
      <c r="S1220" s="89" t="str">
        <f t="shared" si="116"/>
        <v/>
      </c>
      <c r="X1220" s="64">
        <f t="shared" si="117"/>
        <v>0</v>
      </c>
      <c r="Y1220" s="53">
        <f t="shared" si="118"/>
        <v>0</v>
      </c>
      <c r="Z1220" s="64">
        <f t="shared" si="119"/>
        <v>0</v>
      </c>
    </row>
    <row r="1221" spans="1:26">
      <c r="A1221" s="89" t="str">
        <f t="shared" si="114"/>
        <v/>
      </c>
      <c r="B1221" s="89" t="str">
        <f t="shared" si="115"/>
        <v/>
      </c>
      <c r="S1221" s="89" t="str">
        <f t="shared" si="116"/>
        <v/>
      </c>
      <c r="X1221" s="64">
        <f t="shared" si="117"/>
        <v>0</v>
      </c>
      <c r="Y1221" s="53">
        <f t="shared" si="118"/>
        <v>0</v>
      </c>
      <c r="Z1221" s="64">
        <f t="shared" si="119"/>
        <v>0</v>
      </c>
    </row>
    <row r="1222" spans="1:26">
      <c r="A1222" s="89" t="str">
        <f t="shared" si="114"/>
        <v/>
      </c>
      <c r="B1222" s="89" t="str">
        <f t="shared" si="115"/>
        <v/>
      </c>
      <c r="S1222" s="89" t="str">
        <f t="shared" si="116"/>
        <v/>
      </c>
      <c r="X1222" s="64">
        <f t="shared" si="117"/>
        <v>0</v>
      </c>
      <c r="Y1222" s="53">
        <f t="shared" si="118"/>
        <v>0</v>
      </c>
      <c r="Z1222" s="64">
        <f t="shared" si="119"/>
        <v>0</v>
      </c>
    </row>
    <row r="1223" spans="1:26">
      <c r="A1223" s="89" t="str">
        <f t="shared" si="114"/>
        <v/>
      </c>
      <c r="B1223" s="89" t="str">
        <f t="shared" si="115"/>
        <v/>
      </c>
      <c r="S1223" s="89" t="str">
        <f t="shared" si="116"/>
        <v/>
      </c>
      <c r="X1223" s="64">
        <f t="shared" si="117"/>
        <v>0</v>
      </c>
      <c r="Y1223" s="53">
        <f t="shared" si="118"/>
        <v>0</v>
      </c>
      <c r="Z1223" s="64">
        <f t="shared" si="119"/>
        <v>0</v>
      </c>
    </row>
    <row r="1224" spans="1:26">
      <c r="A1224" s="89" t="str">
        <f t="shared" si="114"/>
        <v/>
      </c>
      <c r="B1224" s="89" t="str">
        <f t="shared" si="115"/>
        <v/>
      </c>
      <c r="S1224" s="89" t="str">
        <f t="shared" si="116"/>
        <v/>
      </c>
      <c r="X1224" s="64">
        <f t="shared" si="117"/>
        <v>0</v>
      </c>
      <c r="Y1224" s="53">
        <f t="shared" si="118"/>
        <v>0</v>
      </c>
      <c r="Z1224" s="64">
        <f t="shared" si="119"/>
        <v>0</v>
      </c>
    </row>
    <row r="1225" spans="1:26">
      <c r="A1225" s="89" t="str">
        <f t="shared" si="114"/>
        <v/>
      </c>
      <c r="B1225" s="89" t="str">
        <f t="shared" si="115"/>
        <v/>
      </c>
      <c r="S1225" s="89" t="str">
        <f t="shared" si="116"/>
        <v/>
      </c>
      <c r="X1225" s="64">
        <f t="shared" si="117"/>
        <v>0</v>
      </c>
      <c r="Y1225" s="53">
        <f t="shared" si="118"/>
        <v>0</v>
      </c>
      <c r="Z1225" s="64">
        <f t="shared" si="119"/>
        <v>0</v>
      </c>
    </row>
    <row r="1226" spans="1:26">
      <c r="A1226" s="89" t="str">
        <f t="shared" si="114"/>
        <v/>
      </c>
      <c r="B1226" s="89" t="str">
        <f t="shared" si="115"/>
        <v/>
      </c>
      <c r="S1226" s="89" t="str">
        <f t="shared" si="116"/>
        <v/>
      </c>
      <c r="X1226" s="64">
        <f t="shared" si="117"/>
        <v>0</v>
      </c>
      <c r="Y1226" s="53">
        <f t="shared" si="118"/>
        <v>0</v>
      </c>
      <c r="Z1226" s="64">
        <f t="shared" si="119"/>
        <v>0</v>
      </c>
    </row>
    <row r="1227" spans="1:26">
      <c r="A1227" s="89" t="str">
        <f t="shared" si="114"/>
        <v/>
      </c>
      <c r="B1227" s="89" t="str">
        <f t="shared" si="115"/>
        <v/>
      </c>
      <c r="S1227" s="89" t="str">
        <f t="shared" si="116"/>
        <v/>
      </c>
      <c r="X1227" s="64">
        <f t="shared" si="117"/>
        <v>0</v>
      </c>
      <c r="Y1227" s="53">
        <f t="shared" si="118"/>
        <v>0</v>
      </c>
      <c r="Z1227" s="64">
        <f t="shared" si="119"/>
        <v>0</v>
      </c>
    </row>
    <row r="1228" spans="1:26">
      <c r="A1228" s="89" t="str">
        <f t="shared" si="114"/>
        <v/>
      </c>
      <c r="B1228" s="89" t="str">
        <f t="shared" si="115"/>
        <v/>
      </c>
      <c r="S1228" s="89" t="str">
        <f t="shared" si="116"/>
        <v/>
      </c>
      <c r="X1228" s="64">
        <f t="shared" si="117"/>
        <v>0</v>
      </c>
      <c r="Y1228" s="53">
        <f t="shared" si="118"/>
        <v>0</v>
      </c>
      <c r="Z1228" s="64">
        <f t="shared" si="119"/>
        <v>0</v>
      </c>
    </row>
    <row r="1229" spans="1:26">
      <c r="A1229" s="89" t="str">
        <f t="shared" si="114"/>
        <v/>
      </c>
      <c r="B1229" s="89" t="str">
        <f t="shared" si="115"/>
        <v/>
      </c>
      <c r="S1229" s="89" t="str">
        <f t="shared" si="116"/>
        <v/>
      </c>
      <c r="X1229" s="64">
        <f t="shared" si="117"/>
        <v>0</v>
      </c>
      <c r="Y1229" s="53">
        <f t="shared" si="118"/>
        <v>0</v>
      </c>
      <c r="Z1229" s="64">
        <f t="shared" si="119"/>
        <v>0</v>
      </c>
    </row>
    <row r="1230" spans="1:26">
      <c r="A1230" s="89" t="str">
        <f t="shared" si="114"/>
        <v/>
      </c>
      <c r="B1230" s="89" t="str">
        <f t="shared" si="115"/>
        <v/>
      </c>
      <c r="S1230" s="89" t="str">
        <f t="shared" si="116"/>
        <v/>
      </c>
      <c r="X1230" s="64">
        <f t="shared" si="117"/>
        <v>0</v>
      </c>
      <c r="Y1230" s="53">
        <f t="shared" si="118"/>
        <v>0</v>
      </c>
      <c r="Z1230" s="64">
        <f t="shared" si="119"/>
        <v>0</v>
      </c>
    </row>
    <row r="1231" spans="1:26">
      <c r="A1231" s="89" t="str">
        <f t="shared" si="114"/>
        <v/>
      </c>
      <c r="B1231" s="89" t="str">
        <f t="shared" si="115"/>
        <v/>
      </c>
      <c r="S1231" s="89" t="str">
        <f t="shared" si="116"/>
        <v/>
      </c>
      <c r="X1231" s="64">
        <f t="shared" si="117"/>
        <v>0</v>
      </c>
      <c r="Y1231" s="53">
        <f t="shared" si="118"/>
        <v>0</v>
      </c>
      <c r="Z1231" s="64">
        <f t="shared" si="119"/>
        <v>0</v>
      </c>
    </row>
    <row r="1232" spans="1:26">
      <c r="A1232" s="89" t="str">
        <f t="shared" si="114"/>
        <v/>
      </c>
      <c r="B1232" s="89" t="str">
        <f t="shared" si="115"/>
        <v/>
      </c>
      <c r="S1232" s="89" t="str">
        <f t="shared" si="116"/>
        <v/>
      </c>
      <c r="X1232" s="64">
        <f t="shared" si="117"/>
        <v>0</v>
      </c>
      <c r="Y1232" s="53">
        <f t="shared" si="118"/>
        <v>0</v>
      </c>
      <c r="Z1232" s="64">
        <f t="shared" si="119"/>
        <v>0</v>
      </c>
    </row>
    <row r="1233" spans="1:26">
      <c r="A1233" s="89" t="str">
        <f t="shared" si="114"/>
        <v/>
      </c>
      <c r="B1233" s="89" t="str">
        <f t="shared" si="115"/>
        <v/>
      </c>
      <c r="S1233" s="89" t="str">
        <f t="shared" si="116"/>
        <v/>
      </c>
      <c r="X1233" s="64">
        <f t="shared" si="117"/>
        <v>0</v>
      </c>
      <c r="Y1233" s="53">
        <f t="shared" si="118"/>
        <v>0</v>
      </c>
      <c r="Z1233" s="64">
        <f t="shared" si="119"/>
        <v>0</v>
      </c>
    </row>
    <row r="1234" spans="1:26">
      <c r="A1234" s="89" t="str">
        <f t="shared" si="114"/>
        <v/>
      </c>
      <c r="B1234" s="89" t="str">
        <f t="shared" si="115"/>
        <v/>
      </c>
      <c r="S1234" s="89" t="str">
        <f t="shared" si="116"/>
        <v/>
      </c>
      <c r="X1234" s="64">
        <f t="shared" si="117"/>
        <v>0</v>
      </c>
      <c r="Y1234" s="53">
        <f t="shared" si="118"/>
        <v>0</v>
      </c>
      <c r="Z1234" s="64">
        <f t="shared" si="119"/>
        <v>0</v>
      </c>
    </row>
    <row r="1235" spans="1:26">
      <c r="A1235" s="89" t="str">
        <f t="shared" si="114"/>
        <v/>
      </c>
      <c r="B1235" s="89" t="str">
        <f t="shared" si="115"/>
        <v/>
      </c>
      <c r="S1235" s="89" t="str">
        <f t="shared" si="116"/>
        <v/>
      </c>
      <c r="X1235" s="64">
        <f t="shared" si="117"/>
        <v>0</v>
      </c>
      <c r="Y1235" s="53">
        <f t="shared" si="118"/>
        <v>0</v>
      </c>
      <c r="Z1235" s="64">
        <f t="shared" si="119"/>
        <v>0</v>
      </c>
    </row>
    <row r="1236" spans="1:26">
      <c r="A1236" s="89" t="str">
        <f t="shared" si="114"/>
        <v/>
      </c>
      <c r="B1236" s="89" t="str">
        <f t="shared" si="115"/>
        <v/>
      </c>
      <c r="S1236" s="89" t="str">
        <f t="shared" si="116"/>
        <v/>
      </c>
      <c r="X1236" s="64">
        <f t="shared" si="117"/>
        <v>0</v>
      </c>
      <c r="Y1236" s="53">
        <f t="shared" si="118"/>
        <v>0</v>
      </c>
      <c r="Z1236" s="64">
        <f t="shared" si="119"/>
        <v>0</v>
      </c>
    </row>
    <row r="1237" spans="1:26">
      <c r="A1237" s="89" t="str">
        <f t="shared" si="114"/>
        <v/>
      </c>
      <c r="B1237" s="89" t="str">
        <f t="shared" si="115"/>
        <v/>
      </c>
      <c r="S1237" s="89" t="str">
        <f t="shared" si="116"/>
        <v/>
      </c>
      <c r="X1237" s="64">
        <f t="shared" si="117"/>
        <v>0</v>
      </c>
      <c r="Y1237" s="53">
        <f t="shared" si="118"/>
        <v>0</v>
      </c>
      <c r="Z1237" s="64">
        <f t="shared" si="119"/>
        <v>0</v>
      </c>
    </row>
    <row r="1238" spans="1:26">
      <c r="A1238" s="89" t="str">
        <f t="shared" si="114"/>
        <v/>
      </c>
      <c r="B1238" s="89" t="str">
        <f t="shared" si="115"/>
        <v/>
      </c>
      <c r="S1238" s="89" t="str">
        <f t="shared" si="116"/>
        <v/>
      </c>
      <c r="X1238" s="64">
        <f t="shared" si="117"/>
        <v>0</v>
      </c>
      <c r="Y1238" s="53">
        <f t="shared" si="118"/>
        <v>0</v>
      </c>
      <c r="Z1238" s="64">
        <f t="shared" si="119"/>
        <v>0</v>
      </c>
    </row>
    <row r="1239" spans="1:26">
      <c r="A1239" s="89" t="str">
        <f t="shared" si="114"/>
        <v/>
      </c>
      <c r="B1239" s="89" t="str">
        <f t="shared" si="115"/>
        <v/>
      </c>
      <c r="S1239" s="89" t="str">
        <f t="shared" si="116"/>
        <v/>
      </c>
      <c r="X1239" s="64">
        <f t="shared" si="117"/>
        <v>0</v>
      </c>
      <c r="Y1239" s="53">
        <f t="shared" si="118"/>
        <v>0</v>
      </c>
      <c r="Z1239" s="64">
        <f t="shared" si="119"/>
        <v>0</v>
      </c>
    </row>
    <row r="1240" spans="1:26">
      <c r="A1240" s="89" t="str">
        <f t="shared" si="114"/>
        <v/>
      </c>
      <c r="B1240" s="89" t="str">
        <f t="shared" si="115"/>
        <v/>
      </c>
      <c r="S1240" s="89" t="str">
        <f t="shared" si="116"/>
        <v/>
      </c>
      <c r="X1240" s="64">
        <f t="shared" si="117"/>
        <v>0</v>
      </c>
      <c r="Y1240" s="53">
        <f t="shared" si="118"/>
        <v>0</v>
      </c>
      <c r="Z1240" s="64">
        <f t="shared" si="119"/>
        <v>0</v>
      </c>
    </row>
    <row r="1241" spans="1:26">
      <c r="A1241" s="89" t="str">
        <f t="shared" si="114"/>
        <v/>
      </c>
      <c r="B1241" s="89" t="str">
        <f t="shared" si="115"/>
        <v/>
      </c>
      <c r="S1241" s="89" t="str">
        <f t="shared" si="116"/>
        <v/>
      </c>
      <c r="X1241" s="64">
        <f t="shared" si="117"/>
        <v>0</v>
      </c>
      <c r="Y1241" s="53">
        <f t="shared" si="118"/>
        <v>0</v>
      </c>
      <c r="Z1241" s="64">
        <f t="shared" si="119"/>
        <v>0</v>
      </c>
    </row>
    <row r="1242" spans="1:26">
      <c r="A1242" s="89" t="str">
        <f t="shared" si="114"/>
        <v/>
      </c>
      <c r="B1242" s="89" t="str">
        <f t="shared" si="115"/>
        <v/>
      </c>
      <c r="S1242" s="89" t="str">
        <f t="shared" si="116"/>
        <v/>
      </c>
      <c r="X1242" s="64">
        <f t="shared" si="117"/>
        <v>0</v>
      </c>
      <c r="Y1242" s="53">
        <f t="shared" si="118"/>
        <v>0</v>
      </c>
      <c r="Z1242" s="64">
        <f t="shared" si="119"/>
        <v>0</v>
      </c>
    </row>
    <row r="1243" spans="1:26">
      <c r="A1243" s="89" t="str">
        <f t="shared" si="114"/>
        <v/>
      </c>
      <c r="B1243" s="89" t="str">
        <f t="shared" si="115"/>
        <v/>
      </c>
      <c r="S1243" s="89" t="str">
        <f t="shared" si="116"/>
        <v/>
      </c>
      <c r="X1243" s="64">
        <f t="shared" si="117"/>
        <v>0</v>
      </c>
      <c r="Y1243" s="53">
        <f t="shared" si="118"/>
        <v>0</v>
      </c>
      <c r="Z1243" s="64">
        <f t="shared" si="119"/>
        <v>0</v>
      </c>
    </row>
    <row r="1244" spans="1:26">
      <c r="A1244" s="89" t="str">
        <f t="shared" si="114"/>
        <v/>
      </c>
      <c r="B1244" s="89" t="str">
        <f t="shared" si="115"/>
        <v/>
      </c>
      <c r="S1244" s="89" t="str">
        <f t="shared" si="116"/>
        <v/>
      </c>
      <c r="X1244" s="64">
        <f t="shared" si="117"/>
        <v>0</v>
      </c>
      <c r="Y1244" s="53">
        <f t="shared" si="118"/>
        <v>0</v>
      </c>
      <c r="Z1244" s="64">
        <f t="shared" si="119"/>
        <v>0</v>
      </c>
    </row>
    <row r="1245" spans="1:26">
      <c r="A1245" s="89" t="str">
        <f t="shared" si="114"/>
        <v/>
      </c>
      <c r="B1245" s="89" t="str">
        <f t="shared" si="115"/>
        <v/>
      </c>
      <c r="S1245" s="89" t="str">
        <f t="shared" si="116"/>
        <v/>
      </c>
      <c r="X1245" s="64">
        <f t="shared" si="117"/>
        <v>0</v>
      </c>
      <c r="Y1245" s="53">
        <f t="shared" si="118"/>
        <v>0</v>
      </c>
      <c r="Z1245" s="64">
        <f t="shared" si="119"/>
        <v>0</v>
      </c>
    </row>
    <row r="1246" spans="1:26">
      <c r="A1246" s="89" t="str">
        <f t="shared" si="114"/>
        <v/>
      </c>
      <c r="B1246" s="89" t="str">
        <f t="shared" si="115"/>
        <v/>
      </c>
      <c r="S1246" s="89" t="str">
        <f t="shared" si="116"/>
        <v/>
      </c>
      <c r="X1246" s="64">
        <f t="shared" si="117"/>
        <v>0</v>
      </c>
      <c r="Y1246" s="53">
        <f t="shared" si="118"/>
        <v>0</v>
      </c>
      <c r="Z1246" s="64">
        <f t="shared" si="119"/>
        <v>0</v>
      </c>
    </row>
    <row r="1247" spans="1:26">
      <c r="A1247" s="89" t="str">
        <f t="shared" si="114"/>
        <v/>
      </c>
      <c r="B1247" s="89" t="str">
        <f t="shared" si="115"/>
        <v/>
      </c>
      <c r="S1247" s="89" t="str">
        <f t="shared" si="116"/>
        <v/>
      </c>
      <c r="X1247" s="64">
        <f t="shared" si="117"/>
        <v>0</v>
      </c>
      <c r="Y1247" s="53">
        <f t="shared" si="118"/>
        <v>0</v>
      </c>
      <c r="Z1247" s="64">
        <f t="shared" si="119"/>
        <v>0</v>
      </c>
    </row>
    <row r="1248" spans="1:26">
      <c r="A1248" s="89" t="str">
        <f t="shared" si="114"/>
        <v/>
      </c>
      <c r="B1248" s="89" t="str">
        <f t="shared" si="115"/>
        <v/>
      </c>
      <c r="S1248" s="89" t="str">
        <f t="shared" si="116"/>
        <v/>
      </c>
      <c r="X1248" s="64">
        <f t="shared" si="117"/>
        <v>0</v>
      </c>
      <c r="Y1248" s="53">
        <f t="shared" si="118"/>
        <v>0</v>
      </c>
      <c r="Z1248" s="64">
        <f t="shared" si="119"/>
        <v>0</v>
      </c>
    </row>
    <row r="1249" spans="1:26">
      <c r="A1249" s="89" t="str">
        <f t="shared" si="114"/>
        <v/>
      </c>
      <c r="B1249" s="89" t="str">
        <f t="shared" si="115"/>
        <v/>
      </c>
      <c r="S1249" s="89" t="str">
        <f t="shared" si="116"/>
        <v/>
      </c>
      <c r="X1249" s="64">
        <f t="shared" si="117"/>
        <v>0</v>
      </c>
      <c r="Y1249" s="53">
        <f t="shared" si="118"/>
        <v>0</v>
      </c>
      <c r="Z1249" s="64">
        <f t="shared" si="119"/>
        <v>0</v>
      </c>
    </row>
    <row r="1250" spans="1:26">
      <c r="A1250" s="89" t="str">
        <f t="shared" si="114"/>
        <v/>
      </c>
      <c r="B1250" s="89" t="str">
        <f t="shared" si="115"/>
        <v/>
      </c>
      <c r="S1250" s="89" t="str">
        <f t="shared" si="116"/>
        <v/>
      </c>
      <c r="X1250" s="64">
        <f t="shared" si="117"/>
        <v>0</v>
      </c>
      <c r="Y1250" s="53">
        <f t="shared" si="118"/>
        <v>0</v>
      </c>
      <c r="Z1250" s="64">
        <f t="shared" si="119"/>
        <v>0</v>
      </c>
    </row>
    <row r="1251" spans="1:26">
      <c r="A1251" s="89" t="str">
        <f t="shared" si="114"/>
        <v/>
      </c>
      <c r="B1251" s="89" t="str">
        <f t="shared" si="115"/>
        <v/>
      </c>
      <c r="S1251" s="89" t="str">
        <f t="shared" si="116"/>
        <v/>
      </c>
      <c r="X1251" s="64">
        <f t="shared" si="117"/>
        <v>0</v>
      </c>
      <c r="Y1251" s="53">
        <f t="shared" si="118"/>
        <v>0</v>
      </c>
      <c r="Z1251" s="64">
        <f t="shared" si="119"/>
        <v>0</v>
      </c>
    </row>
    <row r="1252" spans="1:26">
      <c r="A1252" s="89" t="str">
        <f t="shared" si="114"/>
        <v/>
      </c>
      <c r="B1252" s="89" t="str">
        <f t="shared" si="115"/>
        <v/>
      </c>
      <c r="S1252" s="89" t="str">
        <f t="shared" si="116"/>
        <v/>
      </c>
      <c r="X1252" s="64">
        <f t="shared" si="117"/>
        <v>0</v>
      </c>
      <c r="Y1252" s="53">
        <f t="shared" si="118"/>
        <v>0</v>
      </c>
      <c r="Z1252" s="64">
        <f t="shared" si="119"/>
        <v>0</v>
      </c>
    </row>
    <row r="1253" spans="1:26">
      <c r="A1253" s="89" t="str">
        <f t="shared" si="114"/>
        <v/>
      </c>
      <c r="B1253" s="89" t="str">
        <f t="shared" si="115"/>
        <v/>
      </c>
      <c r="S1253" s="89" t="str">
        <f t="shared" si="116"/>
        <v/>
      </c>
      <c r="X1253" s="64">
        <f t="shared" si="117"/>
        <v>0</v>
      </c>
      <c r="Y1253" s="53">
        <f t="shared" si="118"/>
        <v>0</v>
      </c>
      <c r="Z1253" s="64">
        <f t="shared" si="119"/>
        <v>0</v>
      </c>
    </row>
    <row r="1254" spans="1:26">
      <c r="A1254" s="89" t="str">
        <f t="shared" si="114"/>
        <v/>
      </c>
      <c r="B1254" s="89" t="str">
        <f t="shared" si="115"/>
        <v/>
      </c>
      <c r="S1254" s="89" t="str">
        <f t="shared" si="116"/>
        <v/>
      </c>
      <c r="X1254" s="64">
        <f t="shared" si="117"/>
        <v>0</v>
      </c>
      <c r="Y1254" s="53">
        <f t="shared" si="118"/>
        <v>0</v>
      </c>
      <c r="Z1254" s="64">
        <f t="shared" si="119"/>
        <v>0</v>
      </c>
    </row>
    <row r="1255" spans="1:26">
      <c r="A1255" s="89" t="str">
        <f t="shared" si="114"/>
        <v/>
      </c>
      <c r="B1255" s="89" t="str">
        <f t="shared" si="115"/>
        <v/>
      </c>
      <c r="S1255" s="89" t="str">
        <f t="shared" si="116"/>
        <v/>
      </c>
      <c r="X1255" s="64">
        <f t="shared" si="117"/>
        <v>0</v>
      </c>
      <c r="Y1255" s="53">
        <f t="shared" si="118"/>
        <v>0</v>
      </c>
      <c r="Z1255" s="64">
        <f t="shared" si="119"/>
        <v>0</v>
      </c>
    </row>
    <row r="1256" spans="1:26">
      <c r="A1256" s="89" t="str">
        <f t="shared" si="114"/>
        <v/>
      </c>
      <c r="B1256" s="89" t="str">
        <f t="shared" si="115"/>
        <v/>
      </c>
      <c r="S1256" s="89" t="str">
        <f t="shared" si="116"/>
        <v/>
      </c>
      <c r="X1256" s="64">
        <f t="shared" si="117"/>
        <v>0</v>
      </c>
      <c r="Y1256" s="53">
        <f t="shared" si="118"/>
        <v>0</v>
      </c>
      <c r="Z1256" s="64">
        <f t="shared" si="119"/>
        <v>0</v>
      </c>
    </row>
    <row r="1257" spans="1:26">
      <c r="A1257" s="89" t="str">
        <f t="shared" si="114"/>
        <v/>
      </c>
      <c r="B1257" s="89" t="str">
        <f t="shared" si="115"/>
        <v/>
      </c>
      <c r="S1257" s="89" t="str">
        <f t="shared" si="116"/>
        <v/>
      </c>
      <c r="X1257" s="64">
        <f t="shared" si="117"/>
        <v>0</v>
      </c>
      <c r="Y1257" s="53">
        <f t="shared" si="118"/>
        <v>0</v>
      </c>
      <c r="Z1257" s="64">
        <f t="shared" si="119"/>
        <v>0</v>
      </c>
    </row>
    <row r="1258" spans="1:26">
      <c r="A1258" s="89" t="str">
        <f t="shared" si="114"/>
        <v/>
      </c>
      <c r="B1258" s="89" t="str">
        <f t="shared" si="115"/>
        <v/>
      </c>
      <c r="S1258" s="89" t="str">
        <f t="shared" si="116"/>
        <v/>
      </c>
      <c r="X1258" s="64">
        <f t="shared" si="117"/>
        <v>0</v>
      </c>
      <c r="Y1258" s="53">
        <f t="shared" si="118"/>
        <v>0</v>
      </c>
      <c r="Z1258" s="64">
        <f t="shared" si="119"/>
        <v>0</v>
      </c>
    </row>
    <row r="1259" spans="1:26">
      <c r="A1259" s="89" t="str">
        <f t="shared" si="114"/>
        <v/>
      </c>
      <c r="B1259" s="89" t="str">
        <f t="shared" si="115"/>
        <v/>
      </c>
      <c r="S1259" s="89" t="str">
        <f t="shared" si="116"/>
        <v/>
      </c>
      <c r="X1259" s="64">
        <f t="shared" si="117"/>
        <v>0</v>
      </c>
      <c r="Y1259" s="53">
        <f t="shared" si="118"/>
        <v>0</v>
      </c>
      <c r="Z1259" s="64">
        <f t="shared" si="119"/>
        <v>0</v>
      </c>
    </row>
    <row r="1260" spans="1:26">
      <c r="A1260" s="89" t="str">
        <f t="shared" si="114"/>
        <v/>
      </c>
      <c r="B1260" s="89" t="str">
        <f t="shared" si="115"/>
        <v/>
      </c>
      <c r="S1260" s="89" t="str">
        <f t="shared" si="116"/>
        <v/>
      </c>
      <c r="X1260" s="64">
        <f t="shared" si="117"/>
        <v>0</v>
      </c>
      <c r="Y1260" s="53">
        <f t="shared" si="118"/>
        <v>0</v>
      </c>
      <c r="Z1260" s="64">
        <f t="shared" si="119"/>
        <v>0</v>
      </c>
    </row>
    <row r="1261" spans="1:26">
      <c r="A1261" s="89" t="str">
        <f t="shared" si="114"/>
        <v/>
      </c>
      <c r="B1261" s="89" t="str">
        <f t="shared" si="115"/>
        <v/>
      </c>
      <c r="S1261" s="89" t="str">
        <f t="shared" si="116"/>
        <v/>
      </c>
      <c r="X1261" s="64">
        <f t="shared" si="117"/>
        <v>0</v>
      </c>
      <c r="Y1261" s="53">
        <f t="shared" si="118"/>
        <v>0</v>
      </c>
      <c r="Z1261" s="64">
        <f t="shared" si="119"/>
        <v>0</v>
      </c>
    </row>
    <row r="1262" spans="1:26">
      <c r="A1262" s="89" t="str">
        <f t="shared" si="114"/>
        <v/>
      </c>
      <c r="B1262" s="89" t="str">
        <f t="shared" si="115"/>
        <v/>
      </c>
      <c r="S1262" s="89" t="str">
        <f t="shared" si="116"/>
        <v/>
      </c>
      <c r="X1262" s="64">
        <f t="shared" si="117"/>
        <v>0</v>
      </c>
      <c r="Y1262" s="53">
        <f t="shared" si="118"/>
        <v>0</v>
      </c>
      <c r="Z1262" s="64">
        <f t="shared" si="119"/>
        <v>0</v>
      </c>
    </row>
    <row r="1263" spans="1:26">
      <c r="A1263" s="89" t="str">
        <f t="shared" si="114"/>
        <v/>
      </c>
      <c r="B1263" s="89" t="str">
        <f t="shared" si="115"/>
        <v/>
      </c>
      <c r="S1263" s="89" t="str">
        <f t="shared" si="116"/>
        <v/>
      </c>
      <c r="X1263" s="64">
        <f t="shared" si="117"/>
        <v>0</v>
      </c>
      <c r="Y1263" s="53">
        <f t="shared" si="118"/>
        <v>0</v>
      </c>
      <c r="Z1263" s="64">
        <f t="shared" si="119"/>
        <v>0</v>
      </c>
    </row>
    <row r="1264" spans="1:26">
      <c r="A1264" s="89" t="str">
        <f t="shared" si="114"/>
        <v/>
      </c>
      <c r="B1264" s="89" t="str">
        <f t="shared" si="115"/>
        <v/>
      </c>
      <c r="S1264" s="89" t="str">
        <f t="shared" si="116"/>
        <v/>
      </c>
      <c r="X1264" s="64">
        <f t="shared" si="117"/>
        <v>0</v>
      </c>
      <c r="Y1264" s="53">
        <f t="shared" si="118"/>
        <v>0</v>
      </c>
      <c r="Z1264" s="64">
        <f t="shared" si="119"/>
        <v>0</v>
      </c>
    </row>
    <row r="1265" spans="1:26">
      <c r="A1265" s="89" t="str">
        <f t="shared" si="114"/>
        <v/>
      </c>
      <c r="B1265" s="89" t="str">
        <f t="shared" si="115"/>
        <v/>
      </c>
      <c r="S1265" s="89" t="str">
        <f t="shared" si="116"/>
        <v/>
      </c>
      <c r="X1265" s="64">
        <f t="shared" si="117"/>
        <v>0</v>
      </c>
      <c r="Y1265" s="53">
        <f t="shared" si="118"/>
        <v>0</v>
      </c>
      <c r="Z1265" s="64">
        <f t="shared" si="119"/>
        <v>0</v>
      </c>
    </row>
    <row r="1266" spans="1:26">
      <c r="A1266" s="89" t="str">
        <f t="shared" si="114"/>
        <v/>
      </c>
      <c r="B1266" s="89" t="str">
        <f t="shared" si="115"/>
        <v/>
      </c>
      <c r="S1266" s="89" t="str">
        <f t="shared" si="116"/>
        <v/>
      </c>
      <c r="X1266" s="64">
        <f t="shared" si="117"/>
        <v>0</v>
      </c>
      <c r="Y1266" s="53">
        <f t="shared" si="118"/>
        <v>0</v>
      </c>
      <c r="Z1266" s="64">
        <f t="shared" si="119"/>
        <v>0</v>
      </c>
    </row>
    <row r="1267" spans="1:26">
      <c r="A1267" s="89" t="str">
        <f t="shared" si="114"/>
        <v/>
      </c>
      <c r="B1267" s="89" t="str">
        <f t="shared" si="115"/>
        <v/>
      </c>
      <c r="S1267" s="89" t="str">
        <f t="shared" si="116"/>
        <v/>
      </c>
      <c r="X1267" s="64">
        <f t="shared" si="117"/>
        <v>0</v>
      </c>
      <c r="Y1267" s="53">
        <f t="shared" si="118"/>
        <v>0</v>
      </c>
      <c r="Z1267" s="64">
        <f t="shared" si="119"/>
        <v>0</v>
      </c>
    </row>
    <row r="1268" spans="1:26">
      <c r="A1268" s="89" t="str">
        <f t="shared" si="114"/>
        <v/>
      </c>
      <c r="B1268" s="89" t="str">
        <f t="shared" si="115"/>
        <v/>
      </c>
      <c r="S1268" s="89" t="str">
        <f t="shared" si="116"/>
        <v/>
      </c>
      <c r="X1268" s="64">
        <f t="shared" si="117"/>
        <v>0</v>
      </c>
      <c r="Y1268" s="53">
        <f t="shared" si="118"/>
        <v>0</v>
      </c>
      <c r="Z1268" s="64">
        <f t="shared" si="119"/>
        <v>0</v>
      </c>
    </row>
    <row r="1269" spans="1:26">
      <c r="A1269" s="89" t="str">
        <f t="shared" si="114"/>
        <v/>
      </c>
      <c r="B1269" s="89" t="str">
        <f t="shared" si="115"/>
        <v/>
      </c>
      <c r="S1269" s="89" t="str">
        <f t="shared" si="116"/>
        <v/>
      </c>
      <c r="X1269" s="64">
        <f t="shared" si="117"/>
        <v>0</v>
      </c>
      <c r="Y1269" s="53">
        <f t="shared" si="118"/>
        <v>0</v>
      </c>
      <c r="Z1269" s="64">
        <f t="shared" si="119"/>
        <v>0</v>
      </c>
    </row>
    <row r="1270" spans="1:26">
      <c r="A1270" s="89" t="str">
        <f t="shared" si="114"/>
        <v/>
      </c>
      <c r="B1270" s="89" t="str">
        <f t="shared" si="115"/>
        <v/>
      </c>
      <c r="S1270" s="89" t="str">
        <f t="shared" si="116"/>
        <v/>
      </c>
      <c r="X1270" s="64">
        <f t="shared" si="117"/>
        <v>0</v>
      </c>
      <c r="Y1270" s="53">
        <f t="shared" si="118"/>
        <v>0</v>
      </c>
      <c r="Z1270" s="64">
        <f t="shared" si="119"/>
        <v>0</v>
      </c>
    </row>
    <row r="1271" spans="1:26">
      <c r="A1271" s="89" t="str">
        <f t="shared" si="114"/>
        <v/>
      </c>
      <c r="B1271" s="89" t="str">
        <f t="shared" si="115"/>
        <v/>
      </c>
      <c r="S1271" s="89" t="str">
        <f t="shared" si="116"/>
        <v/>
      </c>
      <c r="X1271" s="64">
        <f t="shared" si="117"/>
        <v>0</v>
      </c>
      <c r="Y1271" s="53">
        <f t="shared" si="118"/>
        <v>0</v>
      </c>
      <c r="Z1271" s="64">
        <f t="shared" si="119"/>
        <v>0</v>
      </c>
    </row>
    <row r="1272" spans="1:26">
      <c r="A1272" s="89" t="str">
        <f t="shared" si="114"/>
        <v/>
      </c>
      <c r="B1272" s="89" t="str">
        <f t="shared" si="115"/>
        <v/>
      </c>
      <c r="S1272" s="89" t="str">
        <f t="shared" si="116"/>
        <v/>
      </c>
      <c r="X1272" s="64">
        <f t="shared" si="117"/>
        <v>0</v>
      </c>
      <c r="Y1272" s="53">
        <f t="shared" si="118"/>
        <v>0</v>
      </c>
      <c r="Z1272" s="64">
        <f t="shared" si="119"/>
        <v>0</v>
      </c>
    </row>
    <row r="1273" spans="1:26">
      <c r="A1273" s="89" t="str">
        <f t="shared" si="114"/>
        <v/>
      </c>
      <c r="B1273" s="89" t="str">
        <f t="shared" si="115"/>
        <v/>
      </c>
      <c r="S1273" s="89" t="str">
        <f t="shared" si="116"/>
        <v/>
      </c>
      <c r="X1273" s="64">
        <f t="shared" si="117"/>
        <v>0</v>
      </c>
      <c r="Y1273" s="53">
        <f t="shared" si="118"/>
        <v>0</v>
      </c>
      <c r="Z1273" s="64">
        <f t="shared" si="119"/>
        <v>0</v>
      </c>
    </row>
    <row r="1274" spans="1:26">
      <c r="A1274" s="89" t="str">
        <f t="shared" si="114"/>
        <v/>
      </c>
      <c r="B1274" s="89" t="str">
        <f t="shared" si="115"/>
        <v/>
      </c>
      <c r="S1274" s="89" t="str">
        <f t="shared" si="116"/>
        <v/>
      </c>
      <c r="X1274" s="64">
        <f t="shared" si="117"/>
        <v>0</v>
      </c>
      <c r="Y1274" s="53">
        <f t="shared" si="118"/>
        <v>0</v>
      </c>
      <c r="Z1274" s="64">
        <f t="shared" si="119"/>
        <v>0</v>
      </c>
    </row>
    <row r="1275" spans="1:26">
      <c r="A1275" s="89" t="str">
        <f t="shared" si="114"/>
        <v/>
      </c>
      <c r="B1275" s="89" t="str">
        <f t="shared" si="115"/>
        <v/>
      </c>
      <c r="S1275" s="89" t="str">
        <f t="shared" si="116"/>
        <v/>
      </c>
      <c r="X1275" s="64">
        <f t="shared" si="117"/>
        <v>0</v>
      </c>
      <c r="Y1275" s="53">
        <f t="shared" si="118"/>
        <v>0</v>
      </c>
      <c r="Z1275" s="64">
        <f t="shared" si="119"/>
        <v>0</v>
      </c>
    </row>
    <row r="1276" spans="1:26">
      <c r="A1276" s="89" t="str">
        <f t="shared" si="114"/>
        <v/>
      </c>
      <c r="B1276" s="89" t="str">
        <f t="shared" si="115"/>
        <v/>
      </c>
      <c r="S1276" s="89" t="str">
        <f t="shared" si="116"/>
        <v/>
      </c>
      <c r="X1276" s="64">
        <f t="shared" si="117"/>
        <v>0</v>
      </c>
      <c r="Y1276" s="53">
        <f t="shared" si="118"/>
        <v>0</v>
      </c>
      <c r="Z1276" s="64">
        <f t="shared" si="119"/>
        <v>0</v>
      </c>
    </row>
    <row r="1277" spans="1:26">
      <c r="A1277" s="89" t="str">
        <f t="shared" si="114"/>
        <v/>
      </c>
      <c r="B1277" s="89" t="str">
        <f t="shared" si="115"/>
        <v/>
      </c>
      <c r="S1277" s="89" t="str">
        <f t="shared" si="116"/>
        <v/>
      </c>
      <c r="X1277" s="64">
        <f t="shared" si="117"/>
        <v>0</v>
      </c>
      <c r="Y1277" s="53">
        <f t="shared" si="118"/>
        <v>0</v>
      </c>
      <c r="Z1277" s="64">
        <f t="shared" si="119"/>
        <v>0</v>
      </c>
    </row>
    <row r="1278" spans="1:26">
      <c r="A1278" s="89" t="str">
        <f t="shared" si="114"/>
        <v/>
      </c>
      <c r="B1278" s="89" t="str">
        <f t="shared" si="115"/>
        <v/>
      </c>
      <c r="S1278" s="89" t="str">
        <f t="shared" si="116"/>
        <v/>
      </c>
      <c r="X1278" s="64">
        <f t="shared" si="117"/>
        <v>0</v>
      </c>
      <c r="Y1278" s="53">
        <f t="shared" si="118"/>
        <v>0</v>
      </c>
      <c r="Z1278" s="64">
        <f t="shared" si="119"/>
        <v>0</v>
      </c>
    </row>
    <row r="1279" spans="1:26">
      <c r="A1279" s="89" t="str">
        <f t="shared" si="114"/>
        <v/>
      </c>
      <c r="B1279" s="89" t="str">
        <f t="shared" si="115"/>
        <v/>
      </c>
      <c r="S1279" s="89" t="str">
        <f t="shared" si="116"/>
        <v/>
      </c>
      <c r="X1279" s="64">
        <f t="shared" si="117"/>
        <v>0</v>
      </c>
      <c r="Y1279" s="53">
        <f t="shared" si="118"/>
        <v>0</v>
      </c>
      <c r="Z1279" s="64">
        <f t="shared" si="119"/>
        <v>0</v>
      </c>
    </row>
    <row r="1280" spans="1:26">
      <c r="A1280" s="89" t="str">
        <f t="shared" si="114"/>
        <v/>
      </c>
      <c r="B1280" s="89" t="str">
        <f t="shared" si="115"/>
        <v/>
      </c>
      <c r="S1280" s="89" t="str">
        <f t="shared" si="116"/>
        <v/>
      </c>
      <c r="X1280" s="64">
        <f t="shared" si="117"/>
        <v>0</v>
      </c>
      <c r="Y1280" s="53">
        <f t="shared" si="118"/>
        <v>0</v>
      </c>
      <c r="Z1280" s="64">
        <f t="shared" si="119"/>
        <v>0</v>
      </c>
    </row>
    <row r="1281" spans="1:26">
      <c r="A1281" s="89" t="str">
        <f t="shared" si="114"/>
        <v/>
      </c>
      <c r="B1281" s="89" t="str">
        <f t="shared" si="115"/>
        <v/>
      </c>
      <c r="S1281" s="89" t="str">
        <f t="shared" si="116"/>
        <v/>
      </c>
      <c r="X1281" s="64">
        <f t="shared" si="117"/>
        <v>0</v>
      </c>
      <c r="Y1281" s="53">
        <f t="shared" si="118"/>
        <v>0</v>
      </c>
      <c r="Z1281" s="64">
        <f t="shared" si="119"/>
        <v>0</v>
      </c>
    </row>
    <row r="1282" spans="1:26">
      <c r="A1282" s="89" t="str">
        <f t="shared" si="114"/>
        <v/>
      </c>
      <c r="B1282" s="89" t="str">
        <f t="shared" si="115"/>
        <v/>
      </c>
      <c r="S1282" s="89" t="str">
        <f t="shared" si="116"/>
        <v/>
      </c>
      <c r="X1282" s="64">
        <f t="shared" si="117"/>
        <v>0</v>
      </c>
      <c r="Y1282" s="53">
        <f t="shared" si="118"/>
        <v>0</v>
      </c>
      <c r="Z1282" s="64">
        <f t="shared" si="119"/>
        <v>0</v>
      </c>
    </row>
    <row r="1283" spans="1:26">
      <c r="A1283" s="89" t="str">
        <f t="shared" ref="A1283:A1346" si="120">IF(G1283&amp;Q1283&lt;&gt;"",G1283&amp;Q1283,"")</f>
        <v/>
      </c>
      <c r="B1283" s="89" t="str">
        <f t="shared" ref="B1283:B1346" si="121">IF(C1283&lt;&gt;"",LEFT(C1283,9),"")</f>
        <v/>
      </c>
      <c r="S1283" s="89" t="str">
        <f t="shared" ref="S1283:S1346" si="122">IF(H1283&lt;&gt;"",H1283,"")</f>
        <v/>
      </c>
      <c r="X1283" s="64">
        <f t="shared" ref="X1283:X1346" si="123">IFERROR(VALUE(MID($C1283,1,2)),0)</f>
        <v>0</v>
      </c>
      <c r="Y1283" s="53">
        <f t="shared" ref="Y1283:Y1346" si="124">IFERROR(VALUE(MID($C1283,4,3)),0)</f>
        <v>0</v>
      </c>
      <c r="Z1283" s="64">
        <f t="shared" ref="Z1283:Z1346" si="125">VALUE(RIGHT("00"&amp;X1283,2)&amp;RIGHT("000"&amp;Y1283,3))</f>
        <v>0</v>
      </c>
    </row>
    <row r="1284" spans="1:26">
      <c r="A1284" s="89" t="str">
        <f t="shared" si="120"/>
        <v/>
      </c>
      <c r="B1284" s="89" t="str">
        <f t="shared" si="121"/>
        <v/>
      </c>
      <c r="S1284" s="89" t="str">
        <f t="shared" si="122"/>
        <v/>
      </c>
      <c r="X1284" s="64">
        <f t="shared" si="123"/>
        <v>0</v>
      </c>
      <c r="Y1284" s="53">
        <f t="shared" si="124"/>
        <v>0</v>
      </c>
      <c r="Z1284" s="64">
        <f t="shared" si="125"/>
        <v>0</v>
      </c>
    </row>
    <row r="1285" spans="1:26">
      <c r="A1285" s="89" t="str">
        <f t="shared" si="120"/>
        <v/>
      </c>
      <c r="B1285" s="89" t="str">
        <f t="shared" si="121"/>
        <v/>
      </c>
      <c r="S1285" s="89" t="str">
        <f t="shared" si="122"/>
        <v/>
      </c>
      <c r="X1285" s="64">
        <f t="shared" si="123"/>
        <v>0</v>
      </c>
      <c r="Y1285" s="53">
        <f t="shared" si="124"/>
        <v>0</v>
      </c>
      <c r="Z1285" s="64">
        <f t="shared" si="125"/>
        <v>0</v>
      </c>
    </row>
    <row r="1286" spans="1:26">
      <c r="A1286" s="89" t="str">
        <f t="shared" si="120"/>
        <v/>
      </c>
      <c r="B1286" s="89" t="str">
        <f t="shared" si="121"/>
        <v/>
      </c>
      <c r="S1286" s="89" t="str">
        <f t="shared" si="122"/>
        <v/>
      </c>
      <c r="X1286" s="64">
        <f t="shared" si="123"/>
        <v>0</v>
      </c>
      <c r="Y1286" s="53">
        <f t="shared" si="124"/>
        <v>0</v>
      </c>
      <c r="Z1286" s="64">
        <f t="shared" si="125"/>
        <v>0</v>
      </c>
    </row>
    <row r="1287" spans="1:26">
      <c r="A1287" s="89" t="str">
        <f t="shared" si="120"/>
        <v/>
      </c>
      <c r="B1287" s="89" t="str">
        <f t="shared" si="121"/>
        <v/>
      </c>
      <c r="S1287" s="89" t="str">
        <f t="shared" si="122"/>
        <v/>
      </c>
      <c r="X1287" s="64">
        <f t="shared" si="123"/>
        <v>0</v>
      </c>
      <c r="Y1287" s="53">
        <f t="shared" si="124"/>
        <v>0</v>
      </c>
      <c r="Z1287" s="64">
        <f t="shared" si="125"/>
        <v>0</v>
      </c>
    </row>
    <row r="1288" spans="1:26">
      <c r="A1288" s="89" t="str">
        <f t="shared" si="120"/>
        <v/>
      </c>
      <c r="B1288" s="89" t="str">
        <f t="shared" si="121"/>
        <v/>
      </c>
      <c r="S1288" s="89" t="str">
        <f t="shared" si="122"/>
        <v/>
      </c>
      <c r="X1288" s="64">
        <f t="shared" si="123"/>
        <v>0</v>
      </c>
      <c r="Y1288" s="53">
        <f t="shared" si="124"/>
        <v>0</v>
      </c>
      <c r="Z1288" s="64">
        <f t="shared" si="125"/>
        <v>0</v>
      </c>
    </row>
    <row r="1289" spans="1:26">
      <c r="A1289" s="89" t="str">
        <f t="shared" si="120"/>
        <v/>
      </c>
      <c r="B1289" s="89" t="str">
        <f t="shared" si="121"/>
        <v/>
      </c>
      <c r="S1289" s="89" t="str">
        <f t="shared" si="122"/>
        <v/>
      </c>
      <c r="X1289" s="64">
        <f t="shared" si="123"/>
        <v>0</v>
      </c>
      <c r="Y1289" s="53">
        <f t="shared" si="124"/>
        <v>0</v>
      </c>
      <c r="Z1289" s="64">
        <f t="shared" si="125"/>
        <v>0</v>
      </c>
    </row>
    <row r="1290" spans="1:26">
      <c r="A1290" s="89" t="str">
        <f t="shared" si="120"/>
        <v/>
      </c>
      <c r="B1290" s="89" t="str">
        <f t="shared" si="121"/>
        <v/>
      </c>
      <c r="S1290" s="89" t="str">
        <f t="shared" si="122"/>
        <v/>
      </c>
      <c r="X1290" s="64">
        <f t="shared" si="123"/>
        <v>0</v>
      </c>
      <c r="Y1290" s="53">
        <f t="shared" si="124"/>
        <v>0</v>
      </c>
      <c r="Z1290" s="64">
        <f t="shared" si="125"/>
        <v>0</v>
      </c>
    </row>
    <row r="1291" spans="1:26">
      <c r="A1291" s="89" t="str">
        <f t="shared" si="120"/>
        <v/>
      </c>
      <c r="B1291" s="89" t="str">
        <f t="shared" si="121"/>
        <v/>
      </c>
      <c r="S1291" s="89" t="str">
        <f t="shared" si="122"/>
        <v/>
      </c>
      <c r="X1291" s="64">
        <f t="shared" si="123"/>
        <v>0</v>
      </c>
      <c r="Y1291" s="53">
        <f t="shared" si="124"/>
        <v>0</v>
      </c>
      <c r="Z1291" s="64">
        <f t="shared" si="125"/>
        <v>0</v>
      </c>
    </row>
    <row r="1292" spans="1:26">
      <c r="A1292" s="89" t="str">
        <f t="shared" si="120"/>
        <v/>
      </c>
      <c r="B1292" s="89" t="str">
        <f t="shared" si="121"/>
        <v/>
      </c>
      <c r="S1292" s="89" t="str">
        <f t="shared" si="122"/>
        <v/>
      </c>
      <c r="X1292" s="64">
        <f t="shared" si="123"/>
        <v>0</v>
      </c>
      <c r="Y1292" s="53">
        <f t="shared" si="124"/>
        <v>0</v>
      </c>
      <c r="Z1292" s="64">
        <f t="shared" si="125"/>
        <v>0</v>
      </c>
    </row>
    <row r="1293" spans="1:26">
      <c r="A1293" s="89" t="str">
        <f t="shared" si="120"/>
        <v/>
      </c>
      <c r="B1293" s="89" t="str">
        <f t="shared" si="121"/>
        <v/>
      </c>
      <c r="S1293" s="89" t="str">
        <f t="shared" si="122"/>
        <v/>
      </c>
      <c r="X1293" s="64">
        <f t="shared" si="123"/>
        <v>0</v>
      </c>
      <c r="Y1293" s="53">
        <f t="shared" si="124"/>
        <v>0</v>
      </c>
      <c r="Z1293" s="64">
        <f t="shared" si="125"/>
        <v>0</v>
      </c>
    </row>
    <row r="1294" spans="1:26">
      <c r="A1294" s="89" t="str">
        <f t="shared" si="120"/>
        <v/>
      </c>
      <c r="B1294" s="89" t="str">
        <f t="shared" si="121"/>
        <v/>
      </c>
      <c r="S1294" s="89" t="str">
        <f t="shared" si="122"/>
        <v/>
      </c>
      <c r="X1294" s="64">
        <f t="shared" si="123"/>
        <v>0</v>
      </c>
      <c r="Y1294" s="53">
        <f t="shared" si="124"/>
        <v>0</v>
      </c>
      <c r="Z1294" s="64">
        <f t="shared" si="125"/>
        <v>0</v>
      </c>
    </row>
    <row r="1295" spans="1:26">
      <c r="A1295" s="89" t="str">
        <f t="shared" si="120"/>
        <v/>
      </c>
      <c r="B1295" s="89" t="str">
        <f t="shared" si="121"/>
        <v/>
      </c>
      <c r="S1295" s="89" t="str">
        <f t="shared" si="122"/>
        <v/>
      </c>
      <c r="X1295" s="64">
        <f t="shared" si="123"/>
        <v>0</v>
      </c>
      <c r="Y1295" s="53">
        <f t="shared" si="124"/>
        <v>0</v>
      </c>
      <c r="Z1295" s="64">
        <f t="shared" si="125"/>
        <v>0</v>
      </c>
    </row>
    <row r="1296" spans="1:26">
      <c r="A1296" s="89" t="str">
        <f t="shared" si="120"/>
        <v/>
      </c>
      <c r="B1296" s="89" t="str">
        <f t="shared" si="121"/>
        <v/>
      </c>
      <c r="S1296" s="89" t="str">
        <f t="shared" si="122"/>
        <v/>
      </c>
      <c r="X1296" s="64">
        <f t="shared" si="123"/>
        <v>0</v>
      </c>
      <c r="Y1296" s="53">
        <f t="shared" si="124"/>
        <v>0</v>
      </c>
      <c r="Z1296" s="64">
        <f t="shared" si="125"/>
        <v>0</v>
      </c>
    </row>
    <row r="1297" spans="1:26">
      <c r="A1297" s="89" t="str">
        <f t="shared" si="120"/>
        <v/>
      </c>
      <c r="B1297" s="89" t="str">
        <f t="shared" si="121"/>
        <v/>
      </c>
      <c r="S1297" s="89" t="str">
        <f t="shared" si="122"/>
        <v/>
      </c>
      <c r="X1297" s="64">
        <f t="shared" si="123"/>
        <v>0</v>
      </c>
      <c r="Y1297" s="53">
        <f t="shared" si="124"/>
        <v>0</v>
      </c>
      <c r="Z1297" s="64">
        <f t="shared" si="125"/>
        <v>0</v>
      </c>
    </row>
    <row r="1298" spans="1:26">
      <c r="A1298" s="89" t="str">
        <f t="shared" si="120"/>
        <v/>
      </c>
      <c r="B1298" s="89" t="str">
        <f t="shared" si="121"/>
        <v/>
      </c>
      <c r="S1298" s="89" t="str">
        <f t="shared" si="122"/>
        <v/>
      </c>
      <c r="X1298" s="64">
        <f t="shared" si="123"/>
        <v>0</v>
      </c>
      <c r="Y1298" s="53">
        <f t="shared" si="124"/>
        <v>0</v>
      </c>
      <c r="Z1298" s="64">
        <f t="shared" si="125"/>
        <v>0</v>
      </c>
    </row>
    <row r="1299" spans="1:26">
      <c r="A1299" s="89" t="str">
        <f t="shared" si="120"/>
        <v/>
      </c>
      <c r="B1299" s="89" t="str">
        <f t="shared" si="121"/>
        <v/>
      </c>
      <c r="S1299" s="89" t="str">
        <f t="shared" si="122"/>
        <v/>
      </c>
      <c r="X1299" s="64">
        <f t="shared" si="123"/>
        <v>0</v>
      </c>
      <c r="Y1299" s="53">
        <f t="shared" si="124"/>
        <v>0</v>
      </c>
      <c r="Z1299" s="64">
        <f t="shared" si="125"/>
        <v>0</v>
      </c>
    </row>
    <row r="1300" spans="1:26">
      <c r="A1300" s="89" t="str">
        <f t="shared" si="120"/>
        <v/>
      </c>
      <c r="B1300" s="89" t="str">
        <f t="shared" si="121"/>
        <v/>
      </c>
      <c r="S1300" s="89" t="str">
        <f t="shared" si="122"/>
        <v/>
      </c>
      <c r="X1300" s="64">
        <f t="shared" si="123"/>
        <v>0</v>
      </c>
      <c r="Y1300" s="53">
        <f t="shared" si="124"/>
        <v>0</v>
      </c>
      <c r="Z1300" s="64">
        <f t="shared" si="125"/>
        <v>0</v>
      </c>
    </row>
    <row r="1301" spans="1:26">
      <c r="A1301" s="89" t="str">
        <f t="shared" si="120"/>
        <v/>
      </c>
      <c r="B1301" s="89" t="str">
        <f t="shared" si="121"/>
        <v/>
      </c>
      <c r="S1301" s="89" t="str">
        <f t="shared" si="122"/>
        <v/>
      </c>
      <c r="X1301" s="64">
        <f t="shared" si="123"/>
        <v>0</v>
      </c>
      <c r="Y1301" s="53">
        <f t="shared" si="124"/>
        <v>0</v>
      </c>
      <c r="Z1301" s="64">
        <f t="shared" si="125"/>
        <v>0</v>
      </c>
    </row>
    <row r="1302" spans="1:26">
      <c r="A1302" s="89" t="str">
        <f t="shared" si="120"/>
        <v/>
      </c>
      <c r="B1302" s="89" t="str">
        <f t="shared" si="121"/>
        <v/>
      </c>
      <c r="S1302" s="89" t="str">
        <f t="shared" si="122"/>
        <v/>
      </c>
      <c r="X1302" s="64">
        <f t="shared" si="123"/>
        <v>0</v>
      </c>
      <c r="Y1302" s="53">
        <f t="shared" si="124"/>
        <v>0</v>
      </c>
      <c r="Z1302" s="64">
        <f t="shared" si="125"/>
        <v>0</v>
      </c>
    </row>
    <row r="1303" spans="1:26">
      <c r="A1303" s="89" t="str">
        <f t="shared" si="120"/>
        <v/>
      </c>
      <c r="B1303" s="89" t="str">
        <f t="shared" si="121"/>
        <v/>
      </c>
      <c r="S1303" s="89" t="str">
        <f t="shared" si="122"/>
        <v/>
      </c>
      <c r="X1303" s="64">
        <f t="shared" si="123"/>
        <v>0</v>
      </c>
      <c r="Y1303" s="53">
        <f t="shared" si="124"/>
        <v>0</v>
      </c>
      <c r="Z1303" s="64">
        <f t="shared" si="125"/>
        <v>0</v>
      </c>
    </row>
    <row r="1304" spans="1:26">
      <c r="A1304" s="89" t="str">
        <f t="shared" si="120"/>
        <v/>
      </c>
      <c r="B1304" s="89" t="str">
        <f t="shared" si="121"/>
        <v/>
      </c>
      <c r="S1304" s="89" t="str">
        <f t="shared" si="122"/>
        <v/>
      </c>
      <c r="X1304" s="64">
        <f t="shared" si="123"/>
        <v>0</v>
      </c>
      <c r="Y1304" s="53">
        <f t="shared" si="124"/>
        <v>0</v>
      </c>
      <c r="Z1304" s="64">
        <f t="shared" si="125"/>
        <v>0</v>
      </c>
    </row>
    <row r="1305" spans="1:26">
      <c r="A1305" s="89" t="str">
        <f t="shared" si="120"/>
        <v/>
      </c>
      <c r="B1305" s="89" t="str">
        <f t="shared" si="121"/>
        <v/>
      </c>
      <c r="S1305" s="89" t="str">
        <f t="shared" si="122"/>
        <v/>
      </c>
      <c r="X1305" s="64">
        <f t="shared" si="123"/>
        <v>0</v>
      </c>
      <c r="Y1305" s="53">
        <f t="shared" si="124"/>
        <v>0</v>
      </c>
      <c r="Z1305" s="64">
        <f t="shared" si="125"/>
        <v>0</v>
      </c>
    </row>
    <row r="1306" spans="1:26">
      <c r="A1306" s="89" t="str">
        <f t="shared" si="120"/>
        <v/>
      </c>
      <c r="B1306" s="89" t="str">
        <f t="shared" si="121"/>
        <v/>
      </c>
      <c r="S1306" s="89" t="str">
        <f t="shared" si="122"/>
        <v/>
      </c>
      <c r="X1306" s="64">
        <f t="shared" si="123"/>
        <v>0</v>
      </c>
      <c r="Y1306" s="53">
        <f t="shared" si="124"/>
        <v>0</v>
      </c>
      <c r="Z1306" s="64">
        <f t="shared" si="125"/>
        <v>0</v>
      </c>
    </row>
    <row r="1307" spans="1:26">
      <c r="A1307" s="89" t="str">
        <f t="shared" si="120"/>
        <v/>
      </c>
      <c r="B1307" s="89" t="str">
        <f t="shared" si="121"/>
        <v/>
      </c>
      <c r="S1307" s="89" t="str">
        <f t="shared" si="122"/>
        <v/>
      </c>
      <c r="X1307" s="64">
        <f t="shared" si="123"/>
        <v>0</v>
      </c>
      <c r="Y1307" s="53">
        <f t="shared" si="124"/>
        <v>0</v>
      </c>
      <c r="Z1307" s="64">
        <f t="shared" si="125"/>
        <v>0</v>
      </c>
    </row>
    <row r="1308" spans="1:26">
      <c r="A1308" s="89" t="str">
        <f t="shared" si="120"/>
        <v/>
      </c>
      <c r="B1308" s="89" t="str">
        <f t="shared" si="121"/>
        <v/>
      </c>
      <c r="S1308" s="89" t="str">
        <f t="shared" si="122"/>
        <v/>
      </c>
      <c r="X1308" s="64">
        <f t="shared" si="123"/>
        <v>0</v>
      </c>
      <c r="Y1308" s="53">
        <f t="shared" si="124"/>
        <v>0</v>
      </c>
      <c r="Z1308" s="64">
        <f t="shared" si="125"/>
        <v>0</v>
      </c>
    </row>
    <row r="1309" spans="1:26">
      <c r="A1309" s="89" t="str">
        <f t="shared" si="120"/>
        <v/>
      </c>
      <c r="B1309" s="89" t="str">
        <f t="shared" si="121"/>
        <v/>
      </c>
      <c r="S1309" s="89" t="str">
        <f t="shared" si="122"/>
        <v/>
      </c>
      <c r="X1309" s="64">
        <f t="shared" si="123"/>
        <v>0</v>
      </c>
      <c r="Y1309" s="53">
        <f t="shared" si="124"/>
        <v>0</v>
      </c>
      <c r="Z1309" s="64">
        <f t="shared" si="125"/>
        <v>0</v>
      </c>
    </row>
    <row r="1310" spans="1:26">
      <c r="A1310" s="89" t="str">
        <f t="shared" si="120"/>
        <v/>
      </c>
      <c r="B1310" s="89" t="str">
        <f t="shared" si="121"/>
        <v/>
      </c>
      <c r="S1310" s="89" t="str">
        <f t="shared" si="122"/>
        <v/>
      </c>
      <c r="X1310" s="64">
        <f t="shared" si="123"/>
        <v>0</v>
      </c>
      <c r="Y1310" s="53">
        <f t="shared" si="124"/>
        <v>0</v>
      </c>
      <c r="Z1310" s="64">
        <f t="shared" si="125"/>
        <v>0</v>
      </c>
    </row>
    <row r="1311" spans="1:26">
      <c r="A1311" s="89" t="str">
        <f t="shared" si="120"/>
        <v/>
      </c>
      <c r="B1311" s="89" t="str">
        <f t="shared" si="121"/>
        <v/>
      </c>
      <c r="S1311" s="89" t="str">
        <f t="shared" si="122"/>
        <v/>
      </c>
      <c r="X1311" s="64">
        <f t="shared" si="123"/>
        <v>0</v>
      </c>
      <c r="Y1311" s="53">
        <f t="shared" si="124"/>
        <v>0</v>
      </c>
      <c r="Z1311" s="64">
        <f t="shared" si="125"/>
        <v>0</v>
      </c>
    </row>
    <row r="1312" spans="1:26">
      <c r="A1312" s="89" t="str">
        <f t="shared" si="120"/>
        <v/>
      </c>
      <c r="B1312" s="89" t="str">
        <f t="shared" si="121"/>
        <v/>
      </c>
      <c r="S1312" s="89" t="str">
        <f t="shared" si="122"/>
        <v/>
      </c>
      <c r="X1312" s="64">
        <f t="shared" si="123"/>
        <v>0</v>
      </c>
      <c r="Y1312" s="53">
        <f t="shared" si="124"/>
        <v>0</v>
      </c>
      <c r="Z1312" s="64">
        <f t="shared" si="125"/>
        <v>0</v>
      </c>
    </row>
    <row r="1313" spans="1:26">
      <c r="A1313" s="89" t="str">
        <f t="shared" si="120"/>
        <v/>
      </c>
      <c r="B1313" s="89" t="str">
        <f t="shared" si="121"/>
        <v/>
      </c>
      <c r="S1313" s="89" t="str">
        <f t="shared" si="122"/>
        <v/>
      </c>
      <c r="X1313" s="64">
        <f t="shared" si="123"/>
        <v>0</v>
      </c>
      <c r="Y1313" s="53">
        <f t="shared" si="124"/>
        <v>0</v>
      </c>
      <c r="Z1313" s="64">
        <f t="shared" si="125"/>
        <v>0</v>
      </c>
    </row>
    <row r="1314" spans="1:26">
      <c r="A1314" s="89" t="str">
        <f t="shared" si="120"/>
        <v/>
      </c>
      <c r="B1314" s="89" t="str">
        <f t="shared" si="121"/>
        <v/>
      </c>
      <c r="S1314" s="89" t="str">
        <f t="shared" si="122"/>
        <v/>
      </c>
      <c r="X1314" s="64">
        <f t="shared" si="123"/>
        <v>0</v>
      </c>
      <c r="Y1314" s="53">
        <f t="shared" si="124"/>
        <v>0</v>
      </c>
      <c r="Z1314" s="64">
        <f t="shared" si="125"/>
        <v>0</v>
      </c>
    </row>
    <row r="1315" spans="1:26">
      <c r="A1315" s="89" t="str">
        <f t="shared" si="120"/>
        <v/>
      </c>
      <c r="B1315" s="89" t="str">
        <f t="shared" si="121"/>
        <v/>
      </c>
      <c r="S1315" s="89" t="str">
        <f t="shared" si="122"/>
        <v/>
      </c>
      <c r="X1315" s="64">
        <f t="shared" si="123"/>
        <v>0</v>
      </c>
      <c r="Y1315" s="53">
        <f t="shared" si="124"/>
        <v>0</v>
      </c>
      <c r="Z1315" s="64">
        <f t="shared" si="125"/>
        <v>0</v>
      </c>
    </row>
    <row r="1316" spans="1:26">
      <c r="A1316" s="89" t="str">
        <f t="shared" si="120"/>
        <v/>
      </c>
      <c r="B1316" s="89" t="str">
        <f t="shared" si="121"/>
        <v/>
      </c>
      <c r="S1316" s="89" t="str">
        <f t="shared" si="122"/>
        <v/>
      </c>
      <c r="X1316" s="64">
        <f t="shared" si="123"/>
        <v>0</v>
      </c>
      <c r="Y1316" s="53">
        <f t="shared" si="124"/>
        <v>0</v>
      </c>
      <c r="Z1316" s="64">
        <f t="shared" si="125"/>
        <v>0</v>
      </c>
    </row>
    <row r="1317" spans="1:26">
      <c r="A1317" s="89" t="str">
        <f t="shared" si="120"/>
        <v/>
      </c>
      <c r="B1317" s="89" t="str">
        <f t="shared" si="121"/>
        <v/>
      </c>
      <c r="S1317" s="89" t="str">
        <f t="shared" si="122"/>
        <v/>
      </c>
      <c r="X1317" s="64">
        <f t="shared" si="123"/>
        <v>0</v>
      </c>
      <c r="Y1317" s="53">
        <f t="shared" si="124"/>
        <v>0</v>
      </c>
      <c r="Z1317" s="64">
        <f t="shared" si="125"/>
        <v>0</v>
      </c>
    </row>
    <row r="1318" spans="1:26">
      <c r="A1318" s="89" t="str">
        <f t="shared" si="120"/>
        <v/>
      </c>
      <c r="B1318" s="89" t="str">
        <f t="shared" si="121"/>
        <v/>
      </c>
      <c r="S1318" s="89" t="str">
        <f t="shared" si="122"/>
        <v/>
      </c>
      <c r="X1318" s="64">
        <f t="shared" si="123"/>
        <v>0</v>
      </c>
      <c r="Y1318" s="53">
        <f t="shared" si="124"/>
        <v>0</v>
      </c>
      <c r="Z1318" s="64">
        <f t="shared" si="125"/>
        <v>0</v>
      </c>
    </row>
    <row r="1319" spans="1:26">
      <c r="A1319" s="89" t="str">
        <f t="shared" si="120"/>
        <v/>
      </c>
      <c r="B1319" s="89" t="str">
        <f t="shared" si="121"/>
        <v/>
      </c>
      <c r="S1319" s="89" t="str">
        <f t="shared" si="122"/>
        <v/>
      </c>
      <c r="X1319" s="64">
        <f t="shared" si="123"/>
        <v>0</v>
      </c>
      <c r="Y1319" s="53">
        <f t="shared" si="124"/>
        <v>0</v>
      </c>
      <c r="Z1319" s="64">
        <f t="shared" si="125"/>
        <v>0</v>
      </c>
    </row>
    <row r="1320" spans="1:26">
      <c r="A1320" s="89" t="str">
        <f t="shared" si="120"/>
        <v/>
      </c>
      <c r="B1320" s="89" t="str">
        <f t="shared" si="121"/>
        <v/>
      </c>
      <c r="S1320" s="89" t="str">
        <f t="shared" si="122"/>
        <v/>
      </c>
      <c r="X1320" s="64">
        <f t="shared" si="123"/>
        <v>0</v>
      </c>
      <c r="Y1320" s="53">
        <f t="shared" si="124"/>
        <v>0</v>
      </c>
      <c r="Z1320" s="64">
        <f t="shared" si="125"/>
        <v>0</v>
      </c>
    </row>
    <row r="1321" spans="1:26">
      <c r="A1321" s="89" t="str">
        <f t="shared" si="120"/>
        <v/>
      </c>
      <c r="B1321" s="89" t="str">
        <f t="shared" si="121"/>
        <v/>
      </c>
      <c r="S1321" s="89" t="str">
        <f t="shared" si="122"/>
        <v/>
      </c>
      <c r="X1321" s="64">
        <f t="shared" si="123"/>
        <v>0</v>
      </c>
      <c r="Y1321" s="53">
        <f t="shared" si="124"/>
        <v>0</v>
      </c>
      <c r="Z1321" s="64">
        <f t="shared" si="125"/>
        <v>0</v>
      </c>
    </row>
    <row r="1322" spans="1:26">
      <c r="A1322" s="89" t="str">
        <f t="shared" si="120"/>
        <v/>
      </c>
      <c r="B1322" s="89" t="str">
        <f t="shared" si="121"/>
        <v/>
      </c>
      <c r="S1322" s="89" t="str">
        <f t="shared" si="122"/>
        <v/>
      </c>
      <c r="X1322" s="64">
        <f t="shared" si="123"/>
        <v>0</v>
      </c>
      <c r="Y1322" s="53">
        <f t="shared" si="124"/>
        <v>0</v>
      </c>
      <c r="Z1322" s="64">
        <f t="shared" si="125"/>
        <v>0</v>
      </c>
    </row>
    <row r="1323" spans="1:26">
      <c r="A1323" s="89" t="str">
        <f t="shared" si="120"/>
        <v/>
      </c>
      <c r="B1323" s="89" t="str">
        <f t="shared" si="121"/>
        <v/>
      </c>
      <c r="S1323" s="89" t="str">
        <f t="shared" si="122"/>
        <v/>
      </c>
      <c r="X1323" s="64">
        <f t="shared" si="123"/>
        <v>0</v>
      </c>
      <c r="Y1323" s="53">
        <f t="shared" si="124"/>
        <v>0</v>
      </c>
      <c r="Z1323" s="64">
        <f t="shared" si="125"/>
        <v>0</v>
      </c>
    </row>
    <row r="1324" spans="1:26">
      <c r="A1324" s="89" t="str">
        <f t="shared" si="120"/>
        <v/>
      </c>
      <c r="B1324" s="89" t="str">
        <f t="shared" si="121"/>
        <v/>
      </c>
      <c r="S1324" s="89" t="str">
        <f t="shared" si="122"/>
        <v/>
      </c>
      <c r="X1324" s="64">
        <f t="shared" si="123"/>
        <v>0</v>
      </c>
      <c r="Y1324" s="53">
        <f t="shared" si="124"/>
        <v>0</v>
      </c>
      <c r="Z1324" s="64">
        <f t="shared" si="125"/>
        <v>0</v>
      </c>
    </row>
    <row r="1325" spans="1:26">
      <c r="A1325" s="89" t="str">
        <f t="shared" si="120"/>
        <v/>
      </c>
      <c r="B1325" s="89" t="str">
        <f t="shared" si="121"/>
        <v/>
      </c>
      <c r="S1325" s="89" t="str">
        <f t="shared" si="122"/>
        <v/>
      </c>
      <c r="X1325" s="64">
        <f t="shared" si="123"/>
        <v>0</v>
      </c>
      <c r="Y1325" s="53">
        <f t="shared" si="124"/>
        <v>0</v>
      </c>
      <c r="Z1325" s="64">
        <f t="shared" si="125"/>
        <v>0</v>
      </c>
    </row>
    <row r="1326" spans="1:26">
      <c r="A1326" s="89" t="str">
        <f t="shared" si="120"/>
        <v/>
      </c>
      <c r="B1326" s="89" t="str">
        <f t="shared" si="121"/>
        <v/>
      </c>
      <c r="S1326" s="89" t="str">
        <f t="shared" si="122"/>
        <v/>
      </c>
      <c r="X1326" s="64">
        <f t="shared" si="123"/>
        <v>0</v>
      </c>
      <c r="Y1326" s="53">
        <f t="shared" si="124"/>
        <v>0</v>
      </c>
      <c r="Z1326" s="64">
        <f t="shared" si="125"/>
        <v>0</v>
      </c>
    </row>
    <row r="1327" spans="1:26">
      <c r="A1327" s="89" t="str">
        <f t="shared" si="120"/>
        <v/>
      </c>
      <c r="B1327" s="89" t="str">
        <f t="shared" si="121"/>
        <v/>
      </c>
      <c r="S1327" s="89" t="str">
        <f t="shared" si="122"/>
        <v/>
      </c>
      <c r="X1327" s="64">
        <f t="shared" si="123"/>
        <v>0</v>
      </c>
      <c r="Y1327" s="53">
        <f t="shared" si="124"/>
        <v>0</v>
      </c>
      <c r="Z1327" s="64">
        <f t="shared" si="125"/>
        <v>0</v>
      </c>
    </row>
    <row r="1328" spans="1:26">
      <c r="A1328" s="89" t="str">
        <f t="shared" si="120"/>
        <v/>
      </c>
      <c r="B1328" s="89" t="str">
        <f t="shared" si="121"/>
        <v/>
      </c>
      <c r="S1328" s="89" t="str">
        <f t="shared" si="122"/>
        <v/>
      </c>
      <c r="X1328" s="64">
        <f t="shared" si="123"/>
        <v>0</v>
      </c>
      <c r="Y1328" s="53">
        <f t="shared" si="124"/>
        <v>0</v>
      </c>
      <c r="Z1328" s="64">
        <f t="shared" si="125"/>
        <v>0</v>
      </c>
    </row>
    <row r="1329" spans="1:26">
      <c r="A1329" s="89" t="str">
        <f t="shared" si="120"/>
        <v/>
      </c>
      <c r="B1329" s="89" t="str">
        <f t="shared" si="121"/>
        <v/>
      </c>
      <c r="S1329" s="89" t="str">
        <f t="shared" si="122"/>
        <v/>
      </c>
      <c r="X1329" s="64">
        <f t="shared" si="123"/>
        <v>0</v>
      </c>
      <c r="Y1329" s="53">
        <f t="shared" si="124"/>
        <v>0</v>
      </c>
      <c r="Z1329" s="64">
        <f t="shared" si="125"/>
        <v>0</v>
      </c>
    </row>
    <row r="1330" spans="1:26">
      <c r="A1330" s="89" t="str">
        <f t="shared" si="120"/>
        <v/>
      </c>
      <c r="B1330" s="89" t="str">
        <f t="shared" si="121"/>
        <v/>
      </c>
      <c r="S1330" s="89" t="str">
        <f t="shared" si="122"/>
        <v/>
      </c>
      <c r="X1330" s="64">
        <f t="shared" si="123"/>
        <v>0</v>
      </c>
      <c r="Y1330" s="53">
        <f t="shared" si="124"/>
        <v>0</v>
      </c>
      <c r="Z1330" s="64">
        <f t="shared" si="125"/>
        <v>0</v>
      </c>
    </row>
    <row r="1331" spans="1:26">
      <c r="A1331" s="89" t="str">
        <f t="shared" si="120"/>
        <v/>
      </c>
      <c r="B1331" s="89" t="str">
        <f t="shared" si="121"/>
        <v/>
      </c>
      <c r="S1331" s="89" t="str">
        <f t="shared" si="122"/>
        <v/>
      </c>
      <c r="X1331" s="64">
        <f t="shared" si="123"/>
        <v>0</v>
      </c>
      <c r="Y1331" s="53">
        <f t="shared" si="124"/>
        <v>0</v>
      </c>
      <c r="Z1331" s="64">
        <f t="shared" si="125"/>
        <v>0</v>
      </c>
    </row>
    <row r="1332" spans="1:26">
      <c r="A1332" s="89" t="str">
        <f t="shared" si="120"/>
        <v/>
      </c>
      <c r="B1332" s="89" t="str">
        <f t="shared" si="121"/>
        <v/>
      </c>
      <c r="S1332" s="89" t="str">
        <f t="shared" si="122"/>
        <v/>
      </c>
      <c r="X1332" s="64">
        <f t="shared" si="123"/>
        <v>0</v>
      </c>
      <c r="Y1332" s="53">
        <f t="shared" si="124"/>
        <v>0</v>
      </c>
      <c r="Z1332" s="64">
        <f t="shared" si="125"/>
        <v>0</v>
      </c>
    </row>
    <row r="1333" spans="1:26">
      <c r="A1333" s="89" t="str">
        <f t="shared" si="120"/>
        <v/>
      </c>
      <c r="B1333" s="89" t="str">
        <f t="shared" si="121"/>
        <v/>
      </c>
      <c r="S1333" s="89" t="str">
        <f t="shared" si="122"/>
        <v/>
      </c>
      <c r="X1333" s="64">
        <f t="shared" si="123"/>
        <v>0</v>
      </c>
      <c r="Y1333" s="53">
        <f t="shared" si="124"/>
        <v>0</v>
      </c>
      <c r="Z1333" s="64">
        <f t="shared" si="125"/>
        <v>0</v>
      </c>
    </row>
    <row r="1334" spans="1:26">
      <c r="A1334" s="89" t="str">
        <f t="shared" si="120"/>
        <v/>
      </c>
      <c r="B1334" s="89" t="str">
        <f t="shared" si="121"/>
        <v/>
      </c>
      <c r="S1334" s="89" t="str">
        <f t="shared" si="122"/>
        <v/>
      </c>
      <c r="X1334" s="64">
        <f t="shared" si="123"/>
        <v>0</v>
      </c>
      <c r="Y1334" s="53">
        <f t="shared" si="124"/>
        <v>0</v>
      </c>
      <c r="Z1334" s="64">
        <f t="shared" si="125"/>
        <v>0</v>
      </c>
    </row>
    <row r="1335" spans="1:26">
      <c r="A1335" s="89" t="str">
        <f t="shared" si="120"/>
        <v/>
      </c>
      <c r="B1335" s="89" t="str">
        <f t="shared" si="121"/>
        <v/>
      </c>
      <c r="S1335" s="89" t="str">
        <f t="shared" si="122"/>
        <v/>
      </c>
      <c r="X1335" s="64">
        <f t="shared" si="123"/>
        <v>0</v>
      </c>
      <c r="Y1335" s="53">
        <f t="shared" si="124"/>
        <v>0</v>
      </c>
      <c r="Z1335" s="64">
        <f t="shared" si="125"/>
        <v>0</v>
      </c>
    </row>
    <row r="1336" spans="1:26">
      <c r="A1336" s="89" t="str">
        <f t="shared" si="120"/>
        <v/>
      </c>
      <c r="B1336" s="89" t="str">
        <f t="shared" si="121"/>
        <v/>
      </c>
      <c r="S1336" s="89" t="str">
        <f t="shared" si="122"/>
        <v/>
      </c>
      <c r="X1336" s="64">
        <f t="shared" si="123"/>
        <v>0</v>
      </c>
      <c r="Y1336" s="53">
        <f t="shared" si="124"/>
        <v>0</v>
      </c>
      <c r="Z1336" s="64">
        <f t="shared" si="125"/>
        <v>0</v>
      </c>
    </row>
    <row r="1337" spans="1:26">
      <c r="A1337" s="89" t="str">
        <f t="shared" si="120"/>
        <v/>
      </c>
      <c r="B1337" s="89" t="str">
        <f t="shared" si="121"/>
        <v/>
      </c>
      <c r="S1337" s="89" t="str">
        <f t="shared" si="122"/>
        <v/>
      </c>
      <c r="X1337" s="64">
        <f t="shared" si="123"/>
        <v>0</v>
      </c>
      <c r="Y1337" s="53">
        <f t="shared" si="124"/>
        <v>0</v>
      </c>
      <c r="Z1337" s="64">
        <f t="shared" si="125"/>
        <v>0</v>
      </c>
    </row>
    <row r="1338" spans="1:26">
      <c r="A1338" s="89" t="str">
        <f t="shared" si="120"/>
        <v/>
      </c>
      <c r="B1338" s="89" t="str">
        <f t="shared" si="121"/>
        <v/>
      </c>
      <c r="S1338" s="89" t="str">
        <f t="shared" si="122"/>
        <v/>
      </c>
      <c r="X1338" s="64">
        <f t="shared" si="123"/>
        <v>0</v>
      </c>
      <c r="Y1338" s="53">
        <f t="shared" si="124"/>
        <v>0</v>
      </c>
      <c r="Z1338" s="64">
        <f t="shared" si="125"/>
        <v>0</v>
      </c>
    </row>
    <row r="1339" spans="1:26">
      <c r="A1339" s="89" t="str">
        <f t="shared" si="120"/>
        <v/>
      </c>
      <c r="B1339" s="89" t="str">
        <f t="shared" si="121"/>
        <v/>
      </c>
      <c r="S1339" s="89" t="str">
        <f t="shared" si="122"/>
        <v/>
      </c>
      <c r="X1339" s="64">
        <f t="shared" si="123"/>
        <v>0</v>
      </c>
      <c r="Y1339" s="53">
        <f t="shared" si="124"/>
        <v>0</v>
      </c>
      <c r="Z1339" s="64">
        <f t="shared" si="125"/>
        <v>0</v>
      </c>
    </row>
    <row r="1340" spans="1:26">
      <c r="A1340" s="89" t="str">
        <f t="shared" si="120"/>
        <v/>
      </c>
      <c r="B1340" s="89" t="str">
        <f t="shared" si="121"/>
        <v/>
      </c>
      <c r="S1340" s="89" t="str">
        <f t="shared" si="122"/>
        <v/>
      </c>
      <c r="X1340" s="64">
        <f t="shared" si="123"/>
        <v>0</v>
      </c>
      <c r="Y1340" s="53">
        <f t="shared" si="124"/>
        <v>0</v>
      </c>
      <c r="Z1340" s="64">
        <f t="shared" si="125"/>
        <v>0</v>
      </c>
    </row>
    <row r="1341" spans="1:26">
      <c r="A1341" s="89" t="str">
        <f t="shared" si="120"/>
        <v/>
      </c>
      <c r="B1341" s="89" t="str">
        <f t="shared" si="121"/>
        <v/>
      </c>
      <c r="S1341" s="89" t="str">
        <f t="shared" si="122"/>
        <v/>
      </c>
      <c r="X1341" s="64">
        <f t="shared" si="123"/>
        <v>0</v>
      </c>
      <c r="Y1341" s="53">
        <f t="shared" si="124"/>
        <v>0</v>
      </c>
      <c r="Z1341" s="64">
        <f t="shared" si="125"/>
        <v>0</v>
      </c>
    </row>
    <row r="1342" spans="1:26">
      <c r="A1342" s="89" t="str">
        <f t="shared" si="120"/>
        <v/>
      </c>
      <c r="B1342" s="89" t="str">
        <f t="shared" si="121"/>
        <v/>
      </c>
      <c r="S1342" s="89" t="str">
        <f t="shared" si="122"/>
        <v/>
      </c>
      <c r="X1342" s="64">
        <f t="shared" si="123"/>
        <v>0</v>
      </c>
      <c r="Y1342" s="53">
        <f t="shared" si="124"/>
        <v>0</v>
      </c>
      <c r="Z1342" s="64">
        <f t="shared" si="125"/>
        <v>0</v>
      </c>
    </row>
    <row r="1343" spans="1:26">
      <c r="A1343" s="89" t="str">
        <f t="shared" si="120"/>
        <v/>
      </c>
      <c r="B1343" s="89" t="str">
        <f t="shared" si="121"/>
        <v/>
      </c>
      <c r="S1343" s="89" t="str">
        <f t="shared" si="122"/>
        <v/>
      </c>
      <c r="X1343" s="64">
        <f t="shared" si="123"/>
        <v>0</v>
      </c>
      <c r="Y1343" s="53">
        <f t="shared" si="124"/>
        <v>0</v>
      </c>
      <c r="Z1343" s="64">
        <f t="shared" si="125"/>
        <v>0</v>
      </c>
    </row>
    <row r="1344" spans="1:26">
      <c r="A1344" s="89" t="str">
        <f t="shared" si="120"/>
        <v/>
      </c>
      <c r="B1344" s="89" t="str">
        <f t="shared" si="121"/>
        <v/>
      </c>
      <c r="S1344" s="89" t="str">
        <f t="shared" si="122"/>
        <v/>
      </c>
      <c r="X1344" s="64">
        <f t="shared" si="123"/>
        <v>0</v>
      </c>
      <c r="Y1344" s="53">
        <f t="shared" si="124"/>
        <v>0</v>
      </c>
      <c r="Z1344" s="64">
        <f t="shared" si="125"/>
        <v>0</v>
      </c>
    </row>
    <row r="1345" spans="1:26">
      <c r="A1345" s="89" t="str">
        <f t="shared" si="120"/>
        <v/>
      </c>
      <c r="B1345" s="89" t="str">
        <f t="shared" si="121"/>
        <v/>
      </c>
      <c r="S1345" s="89" t="str">
        <f t="shared" si="122"/>
        <v/>
      </c>
      <c r="X1345" s="64">
        <f t="shared" si="123"/>
        <v>0</v>
      </c>
      <c r="Y1345" s="53">
        <f t="shared" si="124"/>
        <v>0</v>
      </c>
      <c r="Z1345" s="64">
        <f t="shared" si="125"/>
        <v>0</v>
      </c>
    </row>
    <row r="1346" spans="1:26">
      <c r="A1346" s="89" t="str">
        <f t="shared" si="120"/>
        <v/>
      </c>
      <c r="B1346" s="89" t="str">
        <f t="shared" si="121"/>
        <v/>
      </c>
      <c r="S1346" s="89" t="str">
        <f t="shared" si="122"/>
        <v/>
      </c>
      <c r="X1346" s="64">
        <f t="shared" si="123"/>
        <v>0</v>
      </c>
      <c r="Y1346" s="53">
        <f t="shared" si="124"/>
        <v>0</v>
      </c>
      <c r="Z1346" s="64">
        <f t="shared" si="125"/>
        <v>0</v>
      </c>
    </row>
    <row r="1347" spans="1:26">
      <c r="A1347" s="89" t="str">
        <f t="shared" ref="A1347:A1410" si="126">IF(G1347&amp;Q1347&lt;&gt;"",G1347&amp;Q1347,"")</f>
        <v/>
      </c>
      <c r="B1347" s="89" t="str">
        <f t="shared" ref="B1347:B1410" si="127">IF(C1347&lt;&gt;"",LEFT(C1347,9),"")</f>
        <v/>
      </c>
      <c r="S1347" s="89" t="str">
        <f t="shared" ref="S1347:S1410" si="128">IF(H1347&lt;&gt;"",H1347,"")</f>
        <v/>
      </c>
      <c r="X1347" s="64">
        <f t="shared" ref="X1347:X1410" si="129">IFERROR(VALUE(MID($C1347,1,2)),0)</f>
        <v>0</v>
      </c>
      <c r="Y1347" s="53">
        <f t="shared" ref="Y1347:Y1410" si="130">IFERROR(VALUE(MID($C1347,4,3)),0)</f>
        <v>0</v>
      </c>
      <c r="Z1347" s="64">
        <f t="shared" ref="Z1347:Z1410" si="131">VALUE(RIGHT("00"&amp;X1347,2)&amp;RIGHT("000"&amp;Y1347,3))</f>
        <v>0</v>
      </c>
    </row>
    <row r="1348" spans="1:26">
      <c r="A1348" s="89" t="str">
        <f t="shared" si="126"/>
        <v/>
      </c>
      <c r="B1348" s="89" t="str">
        <f t="shared" si="127"/>
        <v/>
      </c>
      <c r="S1348" s="89" t="str">
        <f t="shared" si="128"/>
        <v/>
      </c>
      <c r="X1348" s="64">
        <f t="shared" si="129"/>
        <v>0</v>
      </c>
      <c r="Y1348" s="53">
        <f t="shared" si="130"/>
        <v>0</v>
      </c>
      <c r="Z1348" s="64">
        <f t="shared" si="131"/>
        <v>0</v>
      </c>
    </row>
    <row r="1349" spans="1:26">
      <c r="A1349" s="89" t="str">
        <f t="shared" si="126"/>
        <v/>
      </c>
      <c r="B1349" s="89" t="str">
        <f t="shared" si="127"/>
        <v/>
      </c>
      <c r="S1349" s="89" t="str">
        <f t="shared" si="128"/>
        <v/>
      </c>
      <c r="X1349" s="64">
        <f t="shared" si="129"/>
        <v>0</v>
      </c>
      <c r="Y1349" s="53">
        <f t="shared" si="130"/>
        <v>0</v>
      </c>
      <c r="Z1349" s="64">
        <f t="shared" si="131"/>
        <v>0</v>
      </c>
    </row>
    <row r="1350" spans="1:26">
      <c r="A1350" s="89" t="str">
        <f t="shared" si="126"/>
        <v/>
      </c>
      <c r="B1350" s="89" t="str">
        <f t="shared" si="127"/>
        <v/>
      </c>
      <c r="S1350" s="89" t="str">
        <f t="shared" si="128"/>
        <v/>
      </c>
      <c r="X1350" s="64">
        <f t="shared" si="129"/>
        <v>0</v>
      </c>
      <c r="Y1350" s="53">
        <f t="shared" si="130"/>
        <v>0</v>
      </c>
      <c r="Z1350" s="64">
        <f t="shared" si="131"/>
        <v>0</v>
      </c>
    </row>
    <row r="1351" spans="1:26">
      <c r="A1351" s="89" t="str">
        <f t="shared" si="126"/>
        <v/>
      </c>
      <c r="B1351" s="89" t="str">
        <f t="shared" si="127"/>
        <v/>
      </c>
      <c r="S1351" s="89" t="str">
        <f t="shared" si="128"/>
        <v/>
      </c>
      <c r="X1351" s="64">
        <f t="shared" si="129"/>
        <v>0</v>
      </c>
      <c r="Y1351" s="53">
        <f t="shared" si="130"/>
        <v>0</v>
      </c>
      <c r="Z1351" s="64">
        <f t="shared" si="131"/>
        <v>0</v>
      </c>
    </row>
    <row r="1352" spans="1:26">
      <c r="A1352" s="89" t="str">
        <f t="shared" si="126"/>
        <v/>
      </c>
      <c r="B1352" s="89" t="str">
        <f t="shared" si="127"/>
        <v/>
      </c>
      <c r="S1352" s="89" t="str">
        <f t="shared" si="128"/>
        <v/>
      </c>
      <c r="X1352" s="64">
        <f t="shared" si="129"/>
        <v>0</v>
      </c>
      <c r="Y1352" s="53">
        <f t="shared" si="130"/>
        <v>0</v>
      </c>
      <c r="Z1352" s="64">
        <f t="shared" si="131"/>
        <v>0</v>
      </c>
    </row>
    <row r="1353" spans="1:26">
      <c r="A1353" s="89" t="str">
        <f t="shared" si="126"/>
        <v/>
      </c>
      <c r="B1353" s="89" t="str">
        <f t="shared" si="127"/>
        <v/>
      </c>
      <c r="S1353" s="89" t="str">
        <f t="shared" si="128"/>
        <v/>
      </c>
      <c r="X1353" s="64">
        <f t="shared" si="129"/>
        <v>0</v>
      </c>
      <c r="Y1353" s="53">
        <f t="shared" si="130"/>
        <v>0</v>
      </c>
      <c r="Z1353" s="64">
        <f t="shared" si="131"/>
        <v>0</v>
      </c>
    </row>
    <row r="1354" spans="1:26">
      <c r="A1354" s="89" t="str">
        <f t="shared" si="126"/>
        <v/>
      </c>
      <c r="B1354" s="89" t="str">
        <f t="shared" si="127"/>
        <v/>
      </c>
      <c r="S1354" s="89" t="str">
        <f t="shared" si="128"/>
        <v/>
      </c>
      <c r="X1354" s="64">
        <f t="shared" si="129"/>
        <v>0</v>
      </c>
      <c r="Y1354" s="53">
        <f t="shared" si="130"/>
        <v>0</v>
      </c>
      <c r="Z1354" s="64">
        <f t="shared" si="131"/>
        <v>0</v>
      </c>
    </row>
    <row r="1355" spans="1:26">
      <c r="A1355" s="89" t="str">
        <f t="shared" si="126"/>
        <v/>
      </c>
      <c r="B1355" s="89" t="str">
        <f t="shared" si="127"/>
        <v/>
      </c>
      <c r="S1355" s="89" t="str">
        <f t="shared" si="128"/>
        <v/>
      </c>
      <c r="X1355" s="64">
        <f t="shared" si="129"/>
        <v>0</v>
      </c>
      <c r="Y1355" s="53">
        <f t="shared" si="130"/>
        <v>0</v>
      </c>
      <c r="Z1355" s="64">
        <f t="shared" si="131"/>
        <v>0</v>
      </c>
    </row>
    <row r="1356" spans="1:26">
      <c r="A1356" s="89" t="str">
        <f t="shared" si="126"/>
        <v/>
      </c>
      <c r="B1356" s="89" t="str">
        <f t="shared" si="127"/>
        <v/>
      </c>
      <c r="S1356" s="89" t="str">
        <f t="shared" si="128"/>
        <v/>
      </c>
      <c r="X1356" s="64">
        <f t="shared" si="129"/>
        <v>0</v>
      </c>
      <c r="Y1356" s="53">
        <f t="shared" si="130"/>
        <v>0</v>
      </c>
      <c r="Z1356" s="64">
        <f t="shared" si="131"/>
        <v>0</v>
      </c>
    </row>
    <row r="1357" spans="1:26">
      <c r="A1357" s="89" t="str">
        <f t="shared" si="126"/>
        <v/>
      </c>
      <c r="B1357" s="89" t="str">
        <f t="shared" si="127"/>
        <v/>
      </c>
      <c r="S1357" s="89" t="str">
        <f t="shared" si="128"/>
        <v/>
      </c>
      <c r="X1357" s="64">
        <f t="shared" si="129"/>
        <v>0</v>
      </c>
      <c r="Y1357" s="53">
        <f t="shared" si="130"/>
        <v>0</v>
      </c>
      <c r="Z1357" s="64">
        <f t="shared" si="131"/>
        <v>0</v>
      </c>
    </row>
    <row r="1358" spans="1:26">
      <c r="A1358" s="89" t="str">
        <f t="shared" si="126"/>
        <v/>
      </c>
      <c r="B1358" s="89" t="str">
        <f t="shared" si="127"/>
        <v/>
      </c>
      <c r="S1358" s="89" t="str">
        <f t="shared" si="128"/>
        <v/>
      </c>
      <c r="X1358" s="64">
        <f t="shared" si="129"/>
        <v>0</v>
      </c>
      <c r="Y1358" s="53">
        <f t="shared" si="130"/>
        <v>0</v>
      </c>
      <c r="Z1358" s="64">
        <f t="shared" si="131"/>
        <v>0</v>
      </c>
    </row>
    <row r="1359" spans="1:26">
      <c r="A1359" s="89" t="str">
        <f t="shared" si="126"/>
        <v/>
      </c>
      <c r="B1359" s="89" t="str">
        <f t="shared" si="127"/>
        <v/>
      </c>
      <c r="S1359" s="89" t="str">
        <f t="shared" si="128"/>
        <v/>
      </c>
      <c r="X1359" s="64">
        <f t="shared" si="129"/>
        <v>0</v>
      </c>
      <c r="Y1359" s="53">
        <f t="shared" si="130"/>
        <v>0</v>
      </c>
      <c r="Z1359" s="64">
        <f t="shared" si="131"/>
        <v>0</v>
      </c>
    </row>
    <row r="1360" spans="1:26">
      <c r="A1360" s="89" t="str">
        <f t="shared" si="126"/>
        <v/>
      </c>
      <c r="B1360" s="89" t="str">
        <f t="shared" si="127"/>
        <v/>
      </c>
      <c r="S1360" s="89" t="str">
        <f t="shared" si="128"/>
        <v/>
      </c>
      <c r="X1360" s="64">
        <f t="shared" si="129"/>
        <v>0</v>
      </c>
      <c r="Y1360" s="53">
        <f t="shared" si="130"/>
        <v>0</v>
      </c>
      <c r="Z1360" s="64">
        <f t="shared" si="131"/>
        <v>0</v>
      </c>
    </row>
    <row r="1361" spans="1:26">
      <c r="A1361" s="89" t="str">
        <f t="shared" si="126"/>
        <v/>
      </c>
      <c r="B1361" s="89" t="str">
        <f t="shared" si="127"/>
        <v/>
      </c>
      <c r="S1361" s="89" t="str">
        <f t="shared" si="128"/>
        <v/>
      </c>
      <c r="X1361" s="64">
        <f t="shared" si="129"/>
        <v>0</v>
      </c>
      <c r="Y1361" s="53">
        <f t="shared" si="130"/>
        <v>0</v>
      </c>
      <c r="Z1361" s="64">
        <f t="shared" si="131"/>
        <v>0</v>
      </c>
    </row>
    <row r="1362" spans="1:26">
      <c r="A1362" s="89" t="str">
        <f t="shared" si="126"/>
        <v/>
      </c>
      <c r="B1362" s="89" t="str">
        <f t="shared" si="127"/>
        <v/>
      </c>
      <c r="S1362" s="89" t="str">
        <f t="shared" si="128"/>
        <v/>
      </c>
      <c r="X1362" s="64">
        <f t="shared" si="129"/>
        <v>0</v>
      </c>
      <c r="Y1362" s="53">
        <f t="shared" si="130"/>
        <v>0</v>
      </c>
      <c r="Z1362" s="64">
        <f t="shared" si="131"/>
        <v>0</v>
      </c>
    </row>
    <row r="1363" spans="1:26">
      <c r="A1363" s="89" t="str">
        <f t="shared" si="126"/>
        <v/>
      </c>
      <c r="B1363" s="89" t="str">
        <f t="shared" si="127"/>
        <v/>
      </c>
      <c r="S1363" s="89" t="str">
        <f t="shared" si="128"/>
        <v/>
      </c>
      <c r="X1363" s="64">
        <f t="shared" si="129"/>
        <v>0</v>
      </c>
      <c r="Y1363" s="53">
        <f t="shared" si="130"/>
        <v>0</v>
      </c>
      <c r="Z1363" s="64">
        <f t="shared" si="131"/>
        <v>0</v>
      </c>
    </row>
    <row r="1364" spans="1:26">
      <c r="A1364" s="89" t="str">
        <f t="shared" si="126"/>
        <v/>
      </c>
      <c r="B1364" s="89" t="str">
        <f t="shared" si="127"/>
        <v/>
      </c>
      <c r="S1364" s="89" t="str">
        <f t="shared" si="128"/>
        <v/>
      </c>
      <c r="X1364" s="64">
        <f t="shared" si="129"/>
        <v>0</v>
      </c>
      <c r="Y1364" s="53">
        <f t="shared" si="130"/>
        <v>0</v>
      </c>
      <c r="Z1364" s="64">
        <f t="shared" si="131"/>
        <v>0</v>
      </c>
    </row>
    <row r="1365" spans="1:26">
      <c r="A1365" s="89" t="str">
        <f t="shared" si="126"/>
        <v/>
      </c>
      <c r="B1365" s="89" t="str">
        <f t="shared" si="127"/>
        <v/>
      </c>
      <c r="S1365" s="89" t="str">
        <f t="shared" si="128"/>
        <v/>
      </c>
      <c r="X1365" s="64">
        <f t="shared" si="129"/>
        <v>0</v>
      </c>
      <c r="Y1365" s="53">
        <f t="shared" si="130"/>
        <v>0</v>
      </c>
      <c r="Z1365" s="64">
        <f t="shared" si="131"/>
        <v>0</v>
      </c>
    </row>
    <row r="1366" spans="1:26">
      <c r="A1366" s="89" t="str">
        <f t="shared" si="126"/>
        <v/>
      </c>
      <c r="B1366" s="89" t="str">
        <f t="shared" si="127"/>
        <v/>
      </c>
      <c r="S1366" s="89" t="str">
        <f t="shared" si="128"/>
        <v/>
      </c>
      <c r="X1366" s="64">
        <f t="shared" si="129"/>
        <v>0</v>
      </c>
      <c r="Y1366" s="53">
        <f t="shared" si="130"/>
        <v>0</v>
      </c>
      <c r="Z1366" s="64">
        <f t="shared" si="131"/>
        <v>0</v>
      </c>
    </row>
    <row r="1367" spans="1:26">
      <c r="A1367" s="89" t="str">
        <f t="shared" si="126"/>
        <v/>
      </c>
      <c r="B1367" s="89" t="str">
        <f t="shared" si="127"/>
        <v/>
      </c>
      <c r="S1367" s="89" t="str">
        <f t="shared" si="128"/>
        <v/>
      </c>
      <c r="X1367" s="64">
        <f t="shared" si="129"/>
        <v>0</v>
      </c>
      <c r="Y1367" s="53">
        <f t="shared" si="130"/>
        <v>0</v>
      </c>
      <c r="Z1367" s="64">
        <f t="shared" si="131"/>
        <v>0</v>
      </c>
    </row>
    <row r="1368" spans="1:26">
      <c r="A1368" s="89" t="str">
        <f t="shared" si="126"/>
        <v/>
      </c>
      <c r="B1368" s="89" t="str">
        <f t="shared" si="127"/>
        <v/>
      </c>
      <c r="S1368" s="89" t="str">
        <f t="shared" si="128"/>
        <v/>
      </c>
      <c r="X1368" s="64">
        <f t="shared" si="129"/>
        <v>0</v>
      </c>
      <c r="Y1368" s="53">
        <f t="shared" si="130"/>
        <v>0</v>
      </c>
      <c r="Z1368" s="64">
        <f t="shared" si="131"/>
        <v>0</v>
      </c>
    </row>
    <row r="1369" spans="1:26">
      <c r="A1369" s="89" t="str">
        <f t="shared" si="126"/>
        <v/>
      </c>
      <c r="B1369" s="89" t="str">
        <f t="shared" si="127"/>
        <v/>
      </c>
      <c r="S1369" s="89" t="str">
        <f t="shared" si="128"/>
        <v/>
      </c>
      <c r="X1369" s="64">
        <f t="shared" si="129"/>
        <v>0</v>
      </c>
      <c r="Y1369" s="53">
        <f t="shared" si="130"/>
        <v>0</v>
      </c>
      <c r="Z1369" s="64">
        <f t="shared" si="131"/>
        <v>0</v>
      </c>
    </row>
    <row r="1370" spans="1:26">
      <c r="A1370" s="89" t="str">
        <f t="shared" si="126"/>
        <v/>
      </c>
      <c r="B1370" s="89" t="str">
        <f t="shared" si="127"/>
        <v/>
      </c>
      <c r="S1370" s="89" t="str">
        <f t="shared" si="128"/>
        <v/>
      </c>
      <c r="X1370" s="64">
        <f t="shared" si="129"/>
        <v>0</v>
      </c>
      <c r="Y1370" s="53">
        <f t="shared" si="130"/>
        <v>0</v>
      </c>
      <c r="Z1370" s="64">
        <f t="shared" si="131"/>
        <v>0</v>
      </c>
    </row>
    <row r="1371" spans="1:26">
      <c r="A1371" s="89" t="str">
        <f t="shared" si="126"/>
        <v/>
      </c>
      <c r="B1371" s="89" t="str">
        <f t="shared" si="127"/>
        <v/>
      </c>
      <c r="S1371" s="89" t="str">
        <f t="shared" si="128"/>
        <v/>
      </c>
      <c r="X1371" s="64">
        <f t="shared" si="129"/>
        <v>0</v>
      </c>
      <c r="Y1371" s="53">
        <f t="shared" si="130"/>
        <v>0</v>
      </c>
      <c r="Z1371" s="64">
        <f t="shared" si="131"/>
        <v>0</v>
      </c>
    </row>
    <row r="1372" spans="1:26">
      <c r="A1372" s="89" t="str">
        <f t="shared" si="126"/>
        <v/>
      </c>
      <c r="B1372" s="89" t="str">
        <f t="shared" si="127"/>
        <v/>
      </c>
      <c r="S1372" s="89" t="str">
        <f t="shared" si="128"/>
        <v/>
      </c>
      <c r="X1372" s="64">
        <f t="shared" si="129"/>
        <v>0</v>
      </c>
      <c r="Y1372" s="53">
        <f t="shared" si="130"/>
        <v>0</v>
      </c>
      <c r="Z1372" s="64">
        <f t="shared" si="131"/>
        <v>0</v>
      </c>
    </row>
    <row r="1373" spans="1:26">
      <c r="A1373" s="89" t="str">
        <f t="shared" si="126"/>
        <v/>
      </c>
      <c r="B1373" s="89" t="str">
        <f t="shared" si="127"/>
        <v/>
      </c>
      <c r="S1373" s="89" t="str">
        <f t="shared" si="128"/>
        <v/>
      </c>
      <c r="X1373" s="64">
        <f t="shared" si="129"/>
        <v>0</v>
      </c>
      <c r="Y1373" s="53">
        <f t="shared" si="130"/>
        <v>0</v>
      </c>
      <c r="Z1373" s="64">
        <f t="shared" si="131"/>
        <v>0</v>
      </c>
    </row>
    <row r="1374" spans="1:26">
      <c r="A1374" s="89" t="str">
        <f t="shared" si="126"/>
        <v/>
      </c>
      <c r="B1374" s="89" t="str">
        <f t="shared" si="127"/>
        <v/>
      </c>
      <c r="S1374" s="89" t="str">
        <f t="shared" si="128"/>
        <v/>
      </c>
      <c r="X1374" s="64">
        <f t="shared" si="129"/>
        <v>0</v>
      </c>
      <c r="Y1374" s="53">
        <f t="shared" si="130"/>
        <v>0</v>
      </c>
      <c r="Z1374" s="64">
        <f t="shared" si="131"/>
        <v>0</v>
      </c>
    </row>
    <row r="1375" spans="1:26">
      <c r="A1375" s="89" t="str">
        <f t="shared" si="126"/>
        <v/>
      </c>
      <c r="B1375" s="89" t="str">
        <f t="shared" si="127"/>
        <v/>
      </c>
      <c r="S1375" s="89" t="str">
        <f t="shared" si="128"/>
        <v/>
      </c>
      <c r="X1375" s="64">
        <f t="shared" si="129"/>
        <v>0</v>
      </c>
      <c r="Y1375" s="53">
        <f t="shared" si="130"/>
        <v>0</v>
      </c>
      <c r="Z1375" s="64">
        <f t="shared" si="131"/>
        <v>0</v>
      </c>
    </row>
    <row r="1376" spans="1:26">
      <c r="A1376" s="89" t="str">
        <f t="shared" si="126"/>
        <v/>
      </c>
      <c r="B1376" s="89" t="str">
        <f t="shared" si="127"/>
        <v/>
      </c>
      <c r="S1376" s="89" t="str">
        <f t="shared" si="128"/>
        <v/>
      </c>
      <c r="X1376" s="64">
        <f t="shared" si="129"/>
        <v>0</v>
      </c>
      <c r="Y1376" s="53">
        <f t="shared" si="130"/>
        <v>0</v>
      </c>
      <c r="Z1376" s="64">
        <f t="shared" si="131"/>
        <v>0</v>
      </c>
    </row>
    <row r="1377" spans="1:26">
      <c r="A1377" s="89" t="str">
        <f t="shared" si="126"/>
        <v/>
      </c>
      <c r="B1377" s="89" t="str">
        <f t="shared" si="127"/>
        <v/>
      </c>
      <c r="S1377" s="89" t="str">
        <f t="shared" si="128"/>
        <v/>
      </c>
      <c r="X1377" s="64">
        <f t="shared" si="129"/>
        <v>0</v>
      </c>
      <c r="Y1377" s="53">
        <f t="shared" si="130"/>
        <v>0</v>
      </c>
      <c r="Z1377" s="64">
        <f t="shared" si="131"/>
        <v>0</v>
      </c>
    </row>
    <row r="1378" spans="1:26">
      <c r="A1378" s="89" t="str">
        <f t="shared" si="126"/>
        <v/>
      </c>
      <c r="B1378" s="89" t="str">
        <f t="shared" si="127"/>
        <v/>
      </c>
      <c r="S1378" s="89" t="str">
        <f t="shared" si="128"/>
        <v/>
      </c>
      <c r="X1378" s="64">
        <f t="shared" si="129"/>
        <v>0</v>
      </c>
      <c r="Y1378" s="53">
        <f t="shared" si="130"/>
        <v>0</v>
      </c>
      <c r="Z1378" s="64">
        <f t="shared" si="131"/>
        <v>0</v>
      </c>
    </row>
    <row r="1379" spans="1:26">
      <c r="A1379" s="89" t="str">
        <f t="shared" si="126"/>
        <v/>
      </c>
      <c r="B1379" s="89" t="str">
        <f t="shared" si="127"/>
        <v/>
      </c>
      <c r="S1379" s="89" t="str">
        <f t="shared" si="128"/>
        <v/>
      </c>
      <c r="X1379" s="64">
        <f t="shared" si="129"/>
        <v>0</v>
      </c>
      <c r="Y1379" s="53">
        <f t="shared" si="130"/>
        <v>0</v>
      </c>
      <c r="Z1379" s="64">
        <f t="shared" si="131"/>
        <v>0</v>
      </c>
    </row>
    <row r="1380" spans="1:26">
      <c r="A1380" s="89" t="str">
        <f t="shared" si="126"/>
        <v/>
      </c>
      <c r="B1380" s="89" t="str">
        <f t="shared" si="127"/>
        <v/>
      </c>
      <c r="S1380" s="89" t="str">
        <f t="shared" si="128"/>
        <v/>
      </c>
      <c r="X1380" s="64">
        <f t="shared" si="129"/>
        <v>0</v>
      </c>
      <c r="Y1380" s="53">
        <f t="shared" si="130"/>
        <v>0</v>
      </c>
      <c r="Z1380" s="64">
        <f t="shared" si="131"/>
        <v>0</v>
      </c>
    </row>
    <row r="1381" spans="1:26">
      <c r="A1381" s="89" t="str">
        <f t="shared" si="126"/>
        <v/>
      </c>
      <c r="B1381" s="89" t="str">
        <f t="shared" si="127"/>
        <v/>
      </c>
      <c r="S1381" s="89" t="str">
        <f t="shared" si="128"/>
        <v/>
      </c>
      <c r="X1381" s="64">
        <f t="shared" si="129"/>
        <v>0</v>
      </c>
      <c r="Y1381" s="53">
        <f t="shared" si="130"/>
        <v>0</v>
      </c>
      <c r="Z1381" s="64">
        <f t="shared" si="131"/>
        <v>0</v>
      </c>
    </row>
    <row r="1382" spans="1:26">
      <c r="A1382" s="89" t="str">
        <f t="shared" si="126"/>
        <v/>
      </c>
      <c r="B1382" s="89" t="str">
        <f t="shared" si="127"/>
        <v/>
      </c>
      <c r="S1382" s="89" t="str">
        <f t="shared" si="128"/>
        <v/>
      </c>
      <c r="X1382" s="64">
        <f t="shared" si="129"/>
        <v>0</v>
      </c>
      <c r="Y1382" s="53">
        <f t="shared" si="130"/>
        <v>0</v>
      </c>
      <c r="Z1382" s="64">
        <f t="shared" si="131"/>
        <v>0</v>
      </c>
    </row>
    <row r="1383" spans="1:26">
      <c r="A1383" s="89" t="str">
        <f t="shared" si="126"/>
        <v/>
      </c>
      <c r="B1383" s="89" t="str">
        <f t="shared" si="127"/>
        <v/>
      </c>
      <c r="S1383" s="89" t="str">
        <f t="shared" si="128"/>
        <v/>
      </c>
      <c r="X1383" s="64">
        <f t="shared" si="129"/>
        <v>0</v>
      </c>
      <c r="Y1383" s="53">
        <f t="shared" si="130"/>
        <v>0</v>
      </c>
      <c r="Z1383" s="64">
        <f t="shared" si="131"/>
        <v>0</v>
      </c>
    </row>
    <row r="1384" spans="1:26">
      <c r="A1384" s="89" t="str">
        <f t="shared" si="126"/>
        <v/>
      </c>
      <c r="B1384" s="89" t="str">
        <f t="shared" si="127"/>
        <v/>
      </c>
      <c r="S1384" s="89" t="str">
        <f t="shared" si="128"/>
        <v/>
      </c>
      <c r="X1384" s="64">
        <f t="shared" si="129"/>
        <v>0</v>
      </c>
      <c r="Y1384" s="53">
        <f t="shared" si="130"/>
        <v>0</v>
      </c>
      <c r="Z1384" s="64">
        <f t="shared" si="131"/>
        <v>0</v>
      </c>
    </row>
    <row r="1385" spans="1:26">
      <c r="A1385" s="89" t="str">
        <f t="shared" si="126"/>
        <v/>
      </c>
      <c r="B1385" s="89" t="str">
        <f t="shared" si="127"/>
        <v/>
      </c>
      <c r="S1385" s="89" t="str">
        <f t="shared" si="128"/>
        <v/>
      </c>
      <c r="X1385" s="64">
        <f t="shared" si="129"/>
        <v>0</v>
      </c>
      <c r="Y1385" s="53">
        <f t="shared" si="130"/>
        <v>0</v>
      </c>
      <c r="Z1385" s="64">
        <f t="shared" si="131"/>
        <v>0</v>
      </c>
    </row>
    <row r="1386" spans="1:26">
      <c r="A1386" s="89" t="str">
        <f t="shared" si="126"/>
        <v/>
      </c>
      <c r="B1386" s="89" t="str">
        <f t="shared" si="127"/>
        <v/>
      </c>
      <c r="S1386" s="89" t="str">
        <f t="shared" si="128"/>
        <v/>
      </c>
      <c r="X1386" s="64">
        <f t="shared" si="129"/>
        <v>0</v>
      </c>
      <c r="Y1386" s="53">
        <f t="shared" si="130"/>
        <v>0</v>
      </c>
      <c r="Z1386" s="64">
        <f t="shared" si="131"/>
        <v>0</v>
      </c>
    </row>
    <row r="1387" spans="1:26">
      <c r="A1387" s="89" t="str">
        <f t="shared" si="126"/>
        <v/>
      </c>
      <c r="B1387" s="89" t="str">
        <f t="shared" si="127"/>
        <v/>
      </c>
      <c r="S1387" s="89" t="str">
        <f t="shared" si="128"/>
        <v/>
      </c>
      <c r="X1387" s="64">
        <f t="shared" si="129"/>
        <v>0</v>
      </c>
      <c r="Y1387" s="53">
        <f t="shared" si="130"/>
        <v>0</v>
      </c>
      <c r="Z1387" s="64">
        <f t="shared" si="131"/>
        <v>0</v>
      </c>
    </row>
    <row r="1388" spans="1:26">
      <c r="A1388" s="89" t="str">
        <f t="shared" si="126"/>
        <v/>
      </c>
      <c r="B1388" s="89" t="str">
        <f t="shared" si="127"/>
        <v/>
      </c>
      <c r="S1388" s="89" t="str">
        <f t="shared" si="128"/>
        <v/>
      </c>
      <c r="X1388" s="64">
        <f t="shared" si="129"/>
        <v>0</v>
      </c>
      <c r="Y1388" s="53">
        <f t="shared" si="130"/>
        <v>0</v>
      </c>
      <c r="Z1388" s="64">
        <f t="shared" si="131"/>
        <v>0</v>
      </c>
    </row>
    <row r="1389" spans="1:26">
      <c r="A1389" s="89" t="str">
        <f t="shared" si="126"/>
        <v/>
      </c>
      <c r="B1389" s="89" t="str">
        <f t="shared" si="127"/>
        <v/>
      </c>
      <c r="S1389" s="89" t="str">
        <f t="shared" si="128"/>
        <v/>
      </c>
      <c r="X1389" s="64">
        <f t="shared" si="129"/>
        <v>0</v>
      </c>
      <c r="Y1389" s="53">
        <f t="shared" si="130"/>
        <v>0</v>
      </c>
      <c r="Z1389" s="64">
        <f t="shared" si="131"/>
        <v>0</v>
      </c>
    </row>
    <row r="1390" spans="1:26">
      <c r="A1390" s="89" t="str">
        <f t="shared" si="126"/>
        <v/>
      </c>
      <c r="B1390" s="89" t="str">
        <f t="shared" si="127"/>
        <v/>
      </c>
      <c r="S1390" s="89" t="str">
        <f t="shared" si="128"/>
        <v/>
      </c>
      <c r="X1390" s="64">
        <f t="shared" si="129"/>
        <v>0</v>
      </c>
      <c r="Y1390" s="53">
        <f t="shared" si="130"/>
        <v>0</v>
      </c>
      <c r="Z1390" s="64">
        <f t="shared" si="131"/>
        <v>0</v>
      </c>
    </row>
    <row r="1391" spans="1:26">
      <c r="A1391" s="89" t="str">
        <f t="shared" si="126"/>
        <v/>
      </c>
      <c r="B1391" s="89" t="str">
        <f t="shared" si="127"/>
        <v/>
      </c>
      <c r="S1391" s="89" t="str">
        <f t="shared" si="128"/>
        <v/>
      </c>
      <c r="X1391" s="64">
        <f t="shared" si="129"/>
        <v>0</v>
      </c>
      <c r="Y1391" s="53">
        <f t="shared" si="130"/>
        <v>0</v>
      </c>
      <c r="Z1391" s="64">
        <f t="shared" si="131"/>
        <v>0</v>
      </c>
    </row>
    <row r="1392" spans="1:26">
      <c r="A1392" s="89" t="str">
        <f t="shared" si="126"/>
        <v/>
      </c>
      <c r="B1392" s="89" t="str">
        <f t="shared" si="127"/>
        <v/>
      </c>
      <c r="S1392" s="89" t="str">
        <f t="shared" si="128"/>
        <v/>
      </c>
      <c r="X1392" s="64">
        <f t="shared" si="129"/>
        <v>0</v>
      </c>
      <c r="Y1392" s="53">
        <f t="shared" si="130"/>
        <v>0</v>
      </c>
      <c r="Z1392" s="64">
        <f t="shared" si="131"/>
        <v>0</v>
      </c>
    </row>
    <row r="1393" spans="1:26">
      <c r="A1393" s="89" t="str">
        <f t="shared" si="126"/>
        <v/>
      </c>
      <c r="B1393" s="89" t="str">
        <f t="shared" si="127"/>
        <v/>
      </c>
      <c r="S1393" s="89" t="str">
        <f t="shared" si="128"/>
        <v/>
      </c>
      <c r="X1393" s="64">
        <f t="shared" si="129"/>
        <v>0</v>
      </c>
      <c r="Y1393" s="53">
        <f t="shared" si="130"/>
        <v>0</v>
      </c>
      <c r="Z1393" s="64">
        <f t="shared" si="131"/>
        <v>0</v>
      </c>
    </row>
    <row r="1394" spans="1:26">
      <c r="A1394" s="89" t="str">
        <f t="shared" si="126"/>
        <v/>
      </c>
      <c r="B1394" s="89" t="str">
        <f t="shared" si="127"/>
        <v/>
      </c>
      <c r="S1394" s="89" t="str">
        <f t="shared" si="128"/>
        <v/>
      </c>
      <c r="X1394" s="64">
        <f t="shared" si="129"/>
        <v>0</v>
      </c>
      <c r="Y1394" s="53">
        <f t="shared" si="130"/>
        <v>0</v>
      </c>
      <c r="Z1394" s="64">
        <f t="shared" si="131"/>
        <v>0</v>
      </c>
    </row>
    <row r="1395" spans="1:26">
      <c r="A1395" s="89" t="str">
        <f t="shared" si="126"/>
        <v/>
      </c>
      <c r="B1395" s="89" t="str">
        <f t="shared" si="127"/>
        <v/>
      </c>
      <c r="S1395" s="89" t="str">
        <f t="shared" si="128"/>
        <v/>
      </c>
      <c r="X1395" s="64">
        <f t="shared" si="129"/>
        <v>0</v>
      </c>
      <c r="Y1395" s="53">
        <f t="shared" si="130"/>
        <v>0</v>
      </c>
      <c r="Z1395" s="64">
        <f t="shared" si="131"/>
        <v>0</v>
      </c>
    </row>
    <row r="1396" spans="1:26">
      <c r="A1396" s="89" t="str">
        <f t="shared" si="126"/>
        <v/>
      </c>
      <c r="B1396" s="89" t="str">
        <f t="shared" si="127"/>
        <v/>
      </c>
      <c r="S1396" s="89" t="str">
        <f t="shared" si="128"/>
        <v/>
      </c>
      <c r="X1396" s="64">
        <f t="shared" si="129"/>
        <v>0</v>
      </c>
      <c r="Y1396" s="53">
        <f t="shared" si="130"/>
        <v>0</v>
      </c>
      <c r="Z1396" s="64">
        <f t="shared" si="131"/>
        <v>0</v>
      </c>
    </row>
    <row r="1397" spans="1:26">
      <c r="A1397" s="89" t="str">
        <f t="shared" si="126"/>
        <v/>
      </c>
      <c r="B1397" s="89" t="str">
        <f t="shared" si="127"/>
        <v/>
      </c>
      <c r="S1397" s="89" t="str">
        <f t="shared" si="128"/>
        <v/>
      </c>
      <c r="X1397" s="64">
        <f t="shared" si="129"/>
        <v>0</v>
      </c>
      <c r="Y1397" s="53">
        <f t="shared" si="130"/>
        <v>0</v>
      </c>
      <c r="Z1397" s="64">
        <f t="shared" si="131"/>
        <v>0</v>
      </c>
    </row>
    <row r="1398" spans="1:26">
      <c r="A1398" s="89" t="str">
        <f t="shared" si="126"/>
        <v/>
      </c>
      <c r="B1398" s="89" t="str">
        <f t="shared" si="127"/>
        <v/>
      </c>
      <c r="S1398" s="89" t="str">
        <f t="shared" si="128"/>
        <v/>
      </c>
      <c r="X1398" s="64">
        <f t="shared" si="129"/>
        <v>0</v>
      </c>
      <c r="Y1398" s="53">
        <f t="shared" si="130"/>
        <v>0</v>
      </c>
      <c r="Z1398" s="64">
        <f t="shared" si="131"/>
        <v>0</v>
      </c>
    </row>
    <row r="1399" spans="1:26">
      <c r="A1399" s="89" t="str">
        <f t="shared" si="126"/>
        <v/>
      </c>
      <c r="B1399" s="89" t="str">
        <f t="shared" si="127"/>
        <v/>
      </c>
      <c r="S1399" s="89" t="str">
        <f t="shared" si="128"/>
        <v/>
      </c>
      <c r="X1399" s="64">
        <f t="shared" si="129"/>
        <v>0</v>
      </c>
      <c r="Y1399" s="53">
        <f t="shared" si="130"/>
        <v>0</v>
      </c>
      <c r="Z1399" s="64">
        <f t="shared" si="131"/>
        <v>0</v>
      </c>
    </row>
    <row r="1400" spans="1:26">
      <c r="A1400" s="89" t="str">
        <f t="shared" si="126"/>
        <v/>
      </c>
      <c r="B1400" s="89" t="str">
        <f t="shared" si="127"/>
        <v/>
      </c>
      <c r="S1400" s="89" t="str">
        <f t="shared" si="128"/>
        <v/>
      </c>
      <c r="X1400" s="64">
        <f t="shared" si="129"/>
        <v>0</v>
      </c>
      <c r="Y1400" s="53">
        <f t="shared" si="130"/>
        <v>0</v>
      </c>
      <c r="Z1400" s="64">
        <f t="shared" si="131"/>
        <v>0</v>
      </c>
    </row>
    <row r="1401" spans="1:26">
      <c r="A1401" s="89" t="str">
        <f t="shared" si="126"/>
        <v/>
      </c>
      <c r="B1401" s="89" t="str">
        <f t="shared" si="127"/>
        <v/>
      </c>
      <c r="S1401" s="89" t="str">
        <f t="shared" si="128"/>
        <v/>
      </c>
      <c r="X1401" s="64">
        <f t="shared" si="129"/>
        <v>0</v>
      </c>
      <c r="Y1401" s="53">
        <f t="shared" si="130"/>
        <v>0</v>
      </c>
      <c r="Z1401" s="64">
        <f t="shared" si="131"/>
        <v>0</v>
      </c>
    </row>
    <row r="1402" spans="1:26">
      <c r="A1402" s="89" t="str">
        <f t="shared" si="126"/>
        <v/>
      </c>
      <c r="B1402" s="89" t="str">
        <f t="shared" si="127"/>
        <v/>
      </c>
      <c r="S1402" s="89" t="str">
        <f t="shared" si="128"/>
        <v/>
      </c>
      <c r="X1402" s="64">
        <f t="shared" si="129"/>
        <v>0</v>
      </c>
      <c r="Y1402" s="53">
        <f t="shared" si="130"/>
        <v>0</v>
      </c>
      <c r="Z1402" s="64">
        <f t="shared" si="131"/>
        <v>0</v>
      </c>
    </row>
    <row r="1403" spans="1:26">
      <c r="A1403" s="89" t="str">
        <f t="shared" si="126"/>
        <v/>
      </c>
      <c r="B1403" s="89" t="str">
        <f t="shared" si="127"/>
        <v/>
      </c>
      <c r="S1403" s="89" t="str">
        <f t="shared" si="128"/>
        <v/>
      </c>
      <c r="X1403" s="64">
        <f t="shared" si="129"/>
        <v>0</v>
      </c>
      <c r="Y1403" s="53">
        <f t="shared" si="130"/>
        <v>0</v>
      </c>
      <c r="Z1403" s="64">
        <f t="shared" si="131"/>
        <v>0</v>
      </c>
    </row>
    <row r="1404" spans="1:26">
      <c r="A1404" s="89" t="str">
        <f t="shared" si="126"/>
        <v/>
      </c>
      <c r="B1404" s="89" t="str">
        <f t="shared" si="127"/>
        <v/>
      </c>
      <c r="S1404" s="89" t="str">
        <f t="shared" si="128"/>
        <v/>
      </c>
      <c r="X1404" s="64">
        <f t="shared" si="129"/>
        <v>0</v>
      </c>
      <c r="Y1404" s="53">
        <f t="shared" si="130"/>
        <v>0</v>
      </c>
      <c r="Z1404" s="64">
        <f t="shared" si="131"/>
        <v>0</v>
      </c>
    </row>
    <row r="1405" spans="1:26">
      <c r="A1405" s="89" t="str">
        <f t="shared" si="126"/>
        <v/>
      </c>
      <c r="B1405" s="89" t="str">
        <f t="shared" si="127"/>
        <v/>
      </c>
      <c r="S1405" s="89" t="str">
        <f t="shared" si="128"/>
        <v/>
      </c>
      <c r="X1405" s="64">
        <f t="shared" si="129"/>
        <v>0</v>
      </c>
      <c r="Y1405" s="53">
        <f t="shared" si="130"/>
        <v>0</v>
      </c>
      <c r="Z1405" s="64">
        <f t="shared" si="131"/>
        <v>0</v>
      </c>
    </row>
    <row r="1406" spans="1:26">
      <c r="A1406" s="89" t="str">
        <f t="shared" si="126"/>
        <v/>
      </c>
      <c r="B1406" s="89" t="str">
        <f t="shared" si="127"/>
        <v/>
      </c>
      <c r="S1406" s="89" t="str">
        <f t="shared" si="128"/>
        <v/>
      </c>
      <c r="X1406" s="64">
        <f t="shared" si="129"/>
        <v>0</v>
      </c>
      <c r="Y1406" s="53">
        <f t="shared" si="130"/>
        <v>0</v>
      </c>
      <c r="Z1406" s="64">
        <f t="shared" si="131"/>
        <v>0</v>
      </c>
    </row>
    <row r="1407" spans="1:26">
      <c r="A1407" s="89" t="str">
        <f t="shared" si="126"/>
        <v/>
      </c>
      <c r="B1407" s="89" t="str">
        <f t="shared" si="127"/>
        <v/>
      </c>
      <c r="S1407" s="89" t="str">
        <f t="shared" si="128"/>
        <v/>
      </c>
      <c r="X1407" s="64">
        <f t="shared" si="129"/>
        <v>0</v>
      </c>
      <c r="Y1407" s="53">
        <f t="shared" si="130"/>
        <v>0</v>
      </c>
      <c r="Z1407" s="64">
        <f t="shared" si="131"/>
        <v>0</v>
      </c>
    </row>
    <row r="1408" spans="1:26">
      <c r="A1408" s="89" t="str">
        <f t="shared" si="126"/>
        <v/>
      </c>
      <c r="B1408" s="89" t="str">
        <f t="shared" si="127"/>
        <v/>
      </c>
      <c r="S1408" s="89" t="str">
        <f t="shared" si="128"/>
        <v/>
      </c>
      <c r="X1408" s="64">
        <f t="shared" si="129"/>
        <v>0</v>
      </c>
      <c r="Y1408" s="53">
        <f t="shared" si="130"/>
        <v>0</v>
      </c>
      <c r="Z1408" s="64">
        <f t="shared" si="131"/>
        <v>0</v>
      </c>
    </row>
    <row r="1409" spans="1:26">
      <c r="A1409" s="89" t="str">
        <f t="shared" si="126"/>
        <v/>
      </c>
      <c r="B1409" s="89" t="str">
        <f t="shared" si="127"/>
        <v/>
      </c>
      <c r="S1409" s="89" t="str">
        <f t="shared" si="128"/>
        <v/>
      </c>
      <c r="X1409" s="64">
        <f t="shared" si="129"/>
        <v>0</v>
      </c>
      <c r="Y1409" s="53">
        <f t="shared" si="130"/>
        <v>0</v>
      </c>
      <c r="Z1409" s="64">
        <f t="shared" si="131"/>
        <v>0</v>
      </c>
    </row>
    <row r="1410" spans="1:26">
      <c r="A1410" s="89" t="str">
        <f t="shared" si="126"/>
        <v/>
      </c>
      <c r="B1410" s="89" t="str">
        <f t="shared" si="127"/>
        <v/>
      </c>
      <c r="S1410" s="89" t="str">
        <f t="shared" si="128"/>
        <v/>
      </c>
      <c r="X1410" s="64">
        <f t="shared" si="129"/>
        <v>0</v>
      </c>
      <c r="Y1410" s="53">
        <f t="shared" si="130"/>
        <v>0</v>
      </c>
      <c r="Z1410" s="64">
        <f t="shared" si="131"/>
        <v>0</v>
      </c>
    </row>
    <row r="1411" spans="1:26">
      <c r="A1411" s="89" t="str">
        <f t="shared" ref="A1411:A1474" si="132">IF(G1411&amp;Q1411&lt;&gt;"",G1411&amp;Q1411,"")</f>
        <v/>
      </c>
      <c r="B1411" s="89" t="str">
        <f t="shared" ref="B1411:B1474" si="133">IF(C1411&lt;&gt;"",LEFT(C1411,9),"")</f>
        <v/>
      </c>
      <c r="S1411" s="89" t="str">
        <f t="shared" ref="S1411:S1474" si="134">IF(H1411&lt;&gt;"",H1411,"")</f>
        <v/>
      </c>
      <c r="X1411" s="64">
        <f t="shared" ref="X1411:X1474" si="135">IFERROR(VALUE(MID($C1411,1,2)),0)</f>
        <v>0</v>
      </c>
      <c r="Y1411" s="53">
        <f t="shared" ref="Y1411:Y1474" si="136">IFERROR(VALUE(MID($C1411,4,3)),0)</f>
        <v>0</v>
      </c>
      <c r="Z1411" s="64">
        <f t="shared" ref="Z1411:Z1474" si="137">VALUE(RIGHT("00"&amp;X1411,2)&amp;RIGHT("000"&amp;Y1411,3))</f>
        <v>0</v>
      </c>
    </row>
    <row r="1412" spans="1:26">
      <c r="A1412" s="89" t="str">
        <f t="shared" si="132"/>
        <v/>
      </c>
      <c r="B1412" s="89" t="str">
        <f t="shared" si="133"/>
        <v/>
      </c>
      <c r="S1412" s="89" t="str">
        <f t="shared" si="134"/>
        <v/>
      </c>
      <c r="X1412" s="64">
        <f t="shared" si="135"/>
        <v>0</v>
      </c>
      <c r="Y1412" s="53">
        <f t="shared" si="136"/>
        <v>0</v>
      </c>
      <c r="Z1412" s="64">
        <f t="shared" si="137"/>
        <v>0</v>
      </c>
    </row>
    <row r="1413" spans="1:26">
      <c r="A1413" s="89" t="str">
        <f t="shared" si="132"/>
        <v/>
      </c>
      <c r="B1413" s="89" t="str">
        <f t="shared" si="133"/>
        <v/>
      </c>
      <c r="S1413" s="89" t="str">
        <f t="shared" si="134"/>
        <v/>
      </c>
      <c r="X1413" s="64">
        <f t="shared" si="135"/>
        <v>0</v>
      </c>
      <c r="Y1413" s="53">
        <f t="shared" si="136"/>
        <v>0</v>
      </c>
      <c r="Z1413" s="64">
        <f t="shared" si="137"/>
        <v>0</v>
      </c>
    </row>
    <row r="1414" spans="1:26">
      <c r="A1414" s="89" t="str">
        <f t="shared" si="132"/>
        <v/>
      </c>
      <c r="B1414" s="89" t="str">
        <f t="shared" si="133"/>
        <v/>
      </c>
      <c r="S1414" s="89" t="str">
        <f t="shared" si="134"/>
        <v/>
      </c>
      <c r="X1414" s="64">
        <f t="shared" si="135"/>
        <v>0</v>
      </c>
      <c r="Y1414" s="53">
        <f t="shared" si="136"/>
        <v>0</v>
      </c>
      <c r="Z1414" s="64">
        <f t="shared" si="137"/>
        <v>0</v>
      </c>
    </row>
    <row r="1415" spans="1:26">
      <c r="A1415" s="89" t="str">
        <f t="shared" si="132"/>
        <v/>
      </c>
      <c r="B1415" s="89" t="str">
        <f t="shared" si="133"/>
        <v/>
      </c>
      <c r="S1415" s="89" t="str">
        <f t="shared" si="134"/>
        <v/>
      </c>
      <c r="X1415" s="64">
        <f t="shared" si="135"/>
        <v>0</v>
      </c>
      <c r="Y1415" s="53">
        <f t="shared" si="136"/>
        <v>0</v>
      </c>
      <c r="Z1415" s="64">
        <f t="shared" si="137"/>
        <v>0</v>
      </c>
    </row>
    <row r="1416" spans="1:26">
      <c r="A1416" s="89" t="str">
        <f t="shared" si="132"/>
        <v/>
      </c>
      <c r="B1416" s="89" t="str">
        <f t="shared" si="133"/>
        <v/>
      </c>
      <c r="S1416" s="89" t="str">
        <f t="shared" si="134"/>
        <v/>
      </c>
      <c r="X1416" s="64">
        <f t="shared" si="135"/>
        <v>0</v>
      </c>
      <c r="Y1416" s="53">
        <f t="shared" si="136"/>
        <v>0</v>
      </c>
      <c r="Z1416" s="64">
        <f t="shared" si="137"/>
        <v>0</v>
      </c>
    </row>
    <row r="1417" spans="1:26">
      <c r="A1417" s="89" t="str">
        <f t="shared" si="132"/>
        <v/>
      </c>
      <c r="B1417" s="89" t="str">
        <f t="shared" si="133"/>
        <v/>
      </c>
      <c r="S1417" s="89" t="str">
        <f t="shared" si="134"/>
        <v/>
      </c>
      <c r="X1417" s="64">
        <f t="shared" si="135"/>
        <v>0</v>
      </c>
      <c r="Y1417" s="53">
        <f t="shared" si="136"/>
        <v>0</v>
      </c>
      <c r="Z1417" s="64">
        <f t="shared" si="137"/>
        <v>0</v>
      </c>
    </row>
    <row r="1418" spans="1:26">
      <c r="A1418" s="89" t="str">
        <f t="shared" si="132"/>
        <v/>
      </c>
      <c r="B1418" s="89" t="str">
        <f t="shared" si="133"/>
        <v/>
      </c>
      <c r="S1418" s="89" t="str">
        <f t="shared" si="134"/>
        <v/>
      </c>
      <c r="X1418" s="64">
        <f t="shared" si="135"/>
        <v>0</v>
      </c>
      <c r="Y1418" s="53">
        <f t="shared" si="136"/>
        <v>0</v>
      </c>
      <c r="Z1418" s="64">
        <f t="shared" si="137"/>
        <v>0</v>
      </c>
    </row>
    <row r="1419" spans="1:26">
      <c r="A1419" s="89" t="str">
        <f t="shared" si="132"/>
        <v/>
      </c>
      <c r="B1419" s="89" t="str">
        <f t="shared" si="133"/>
        <v/>
      </c>
      <c r="S1419" s="89" t="str">
        <f t="shared" si="134"/>
        <v/>
      </c>
      <c r="X1419" s="64">
        <f t="shared" si="135"/>
        <v>0</v>
      </c>
      <c r="Y1419" s="53">
        <f t="shared" si="136"/>
        <v>0</v>
      </c>
      <c r="Z1419" s="64">
        <f t="shared" si="137"/>
        <v>0</v>
      </c>
    </row>
    <row r="1420" spans="1:26">
      <c r="A1420" s="89" t="str">
        <f t="shared" si="132"/>
        <v/>
      </c>
      <c r="B1420" s="89" t="str">
        <f t="shared" si="133"/>
        <v/>
      </c>
      <c r="S1420" s="89" t="str">
        <f t="shared" si="134"/>
        <v/>
      </c>
      <c r="X1420" s="64">
        <f t="shared" si="135"/>
        <v>0</v>
      </c>
      <c r="Y1420" s="53">
        <f t="shared" si="136"/>
        <v>0</v>
      </c>
      <c r="Z1420" s="64">
        <f t="shared" si="137"/>
        <v>0</v>
      </c>
    </row>
    <row r="1421" spans="1:26">
      <c r="A1421" s="89" t="str">
        <f t="shared" si="132"/>
        <v/>
      </c>
      <c r="B1421" s="89" t="str">
        <f t="shared" si="133"/>
        <v/>
      </c>
      <c r="S1421" s="89" t="str">
        <f t="shared" si="134"/>
        <v/>
      </c>
      <c r="X1421" s="64">
        <f t="shared" si="135"/>
        <v>0</v>
      </c>
      <c r="Y1421" s="53">
        <f t="shared" si="136"/>
        <v>0</v>
      </c>
      <c r="Z1421" s="64">
        <f t="shared" si="137"/>
        <v>0</v>
      </c>
    </row>
    <row r="1422" spans="1:26">
      <c r="A1422" s="89" t="str">
        <f t="shared" si="132"/>
        <v/>
      </c>
      <c r="B1422" s="89" t="str">
        <f t="shared" si="133"/>
        <v/>
      </c>
      <c r="S1422" s="89" t="str">
        <f t="shared" si="134"/>
        <v/>
      </c>
      <c r="X1422" s="64">
        <f t="shared" si="135"/>
        <v>0</v>
      </c>
      <c r="Y1422" s="53">
        <f t="shared" si="136"/>
        <v>0</v>
      </c>
      <c r="Z1422" s="64">
        <f t="shared" si="137"/>
        <v>0</v>
      </c>
    </row>
    <row r="1423" spans="1:26">
      <c r="A1423" s="89" t="str">
        <f t="shared" si="132"/>
        <v/>
      </c>
      <c r="B1423" s="89" t="str">
        <f t="shared" si="133"/>
        <v/>
      </c>
      <c r="S1423" s="89" t="str">
        <f t="shared" si="134"/>
        <v/>
      </c>
      <c r="X1423" s="64">
        <f t="shared" si="135"/>
        <v>0</v>
      </c>
      <c r="Y1423" s="53">
        <f t="shared" si="136"/>
        <v>0</v>
      </c>
      <c r="Z1423" s="64">
        <f t="shared" si="137"/>
        <v>0</v>
      </c>
    </row>
    <row r="1424" spans="1:26">
      <c r="A1424" s="89" t="str">
        <f t="shared" si="132"/>
        <v/>
      </c>
      <c r="B1424" s="89" t="str">
        <f t="shared" si="133"/>
        <v/>
      </c>
      <c r="S1424" s="89" t="str">
        <f t="shared" si="134"/>
        <v/>
      </c>
      <c r="X1424" s="64">
        <f t="shared" si="135"/>
        <v>0</v>
      </c>
      <c r="Y1424" s="53">
        <f t="shared" si="136"/>
        <v>0</v>
      </c>
      <c r="Z1424" s="64">
        <f t="shared" si="137"/>
        <v>0</v>
      </c>
    </row>
    <row r="1425" spans="1:26">
      <c r="A1425" s="89" t="str">
        <f t="shared" si="132"/>
        <v/>
      </c>
      <c r="B1425" s="89" t="str">
        <f t="shared" si="133"/>
        <v/>
      </c>
      <c r="S1425" s="89" t="str">
        <f t="shared" si="134"/>
        <v/>
      </c>
      <c r="X1425" s="64">
        <f t="shared" si="135"/>
        <v>0</v>
      </c>
      <c r="Y1425" s="53">
        <f t="shared" si="136"/>
        <v>0</v>
      </c>
      <c r="Z1425" s="64">
        <f t="shared" si="137"/>
        <v>0</v>
      </c>
    </row>
    <row r="1426" spans="1:26">
      <c r="A1426" s="89" t="str">
        <f t="shared" si="132"/>
        <v/>
      </c>
      <c r="B1426" s="89" t="str">
        <f t="shared" si="133"/>
        <v/>
      </c>
      <c r="S1426" s="89" t="str">
        <f t="shared" si="134"/>
        <v/>
      </c>
      <c r="X1426" s="64">
        <f t="shared" si="135"/>
        <v>0</v>
      </c>
      <c r="Y1426" s="53">
        <f t="shared" si="136"/>
        <v>0</v>
      </c>
      <c r="Z1426" s="64">
        <f t="shared" si="137"/>
        <v>0</v>
      </c>
    </row>
    <row r="1427" spans="1:26">
      <c r="A1427" s="89" t="str">
        <f t="shared" si="132"/>
        <v/>
      </c>
      <c r="B1427" s="89" t="str">
        <f t="shared" si="133"/>
        <v/>
      </c>
      <c r="S1427" s="89" t="str">
        <f t="shared" si="134"/>
        <v/>
      </c>
      <c r="X1427" s="64">
        <f t="shared" si="135"/>
        <v>0</v>
      </c>
      <c r="Y1427" s="53">
        <f t="shared" si="136"/>
        <v>0</v>
      </c>
      <c r="Z1427" s="64">
        <f t="shared" si="137"/>
        <v>0</v>
      </c>
    </row>
    <row r="1428" spans="1:26">
      <c r="A1428" s="89" t="str">
        <f t="shared" si="132"/>
        <v/>
      </c>
      <c r="B1428" s="89" t="str">
        <f t="shared" si="133"/>
        <v/>
      </c>
      <c r="S1428" s="89" t="str">
        <f t="shared" si="134"/>
        <v/>
      </c>
      <c r="X1428" s="64">
        <f t="shared" si="135"/>
        <v>0</v>
      </c>
      <c r="Y1428" s="53">
        <f t="shared" si="136"/>
        <v>0</v>
      </c>
      <c r="Z1428" s="64">
        <f t="shared" si="137"/>
        <v>0</v>
      </c>
    </row>
    <row r="1429" spans="1:26">
      <c r="A1429" s="89" t="str">
        <f t="shared" si="132"/>
        <v/>
      </c>
      <c r="B1429" s="89" t="str">
        <f t="shared" si="133"/>
        <v/>
      </c>
      <c r="S1429" s="89" t="str">
        <f t="shared" si="134"/>
        <v/>
      </c>
      <c r="X1429" s="64">
        <f t="shared" si="135"/>
        <v>0</v>
      </c>
      <c r="Y1429" s="53">
        <f t="shared" si="136"/>
        <v>0</v>
      </c>
      <c r="Z1429" s="64">
        <f t="shared" si="137"/>
        <v>0</v>
      </c>
    </row>
    <row r="1430" spans="1:26">
      <c r="A1430" s="89" t="str">
        <f t="shared" si="132"/>
        <v/>
      </c>
      <c r="B1430" s="89" t="str">
        <f t="shared" si="133"/>
        <v/>
      </c>
      <c r="S1430" s="89" t="str">
        <f t="shared" si="134"/>
        <v/>
      </c>
      <c r="X1430" s="64">
        <f t="shared" si="135"/>
        <v>0</v>
      </c>
      <c r="Y1430" s="53">
        <f t="shared" si="136"/>
        <v>0</v>
      </c>
      <c r="Z1430" s="64">
        <f t="shared" si="137"/>
        <v>0</v>
      </c>
    </row>
    <row r="1431" spans="1:26">
      <c r="A1431" s="89" t="str">
        <f t="shared" si="132"/>
        <v/>
      </c>
      <c r="B1431" s="89" t="str">
        <f t="shared" si="133"/>
        <v/>
      </c>
      <c r="S1431" s="89" t="str">
        <f t="shared" si="134"/>
        <v/>
      </c>
      <c r="X1431" s="64">
        <f t="shared" si="135"/>
        <v>0</v>
      </c>
      <c r="Y1431" s="53">
        <f t="shared" si="136"/>
        <v>0</v>
      </c>
      <c r="Z1431" s="64">
        <f t="shared" si="137"/>
        <v>0</v>
      </c>
    </row>
    <row r="1432" spans="1:26">
      <c r="A1432" s="89" t="str">
        <f t="shared" si="132"/>
        <v/>
      </c>
      <c r="B1432" s="89" t="str">
        <f t="shared" si="133"/>
        <v/>
      </c>
      <c r="S1432" s="89" t="str">
        <f t="shared" si="134"/>
        <v/>
      </c>
      <c r="X1432" s="64">
        <f t="shared" si="135"/>
        <v>0</v>
      </c>
      <c r="Y1432" s="53">
        <f t="shared" si="136"/>
        <v>0</v>
      </c>
      <c r="Z1432" s="64">
        <f t="shared" si="137"/>
        <v>0</v>
      </c>
    </row>
    <row r="1433" spans="1:26">
      <c r="A1433" s="89" t="str">
        <f t="shared" si="132"/>
        <v/>
      </c>
      <c r="B1433" s="89" t="str">
        <f t="shared" si="133"/>
        <v/>
      </c>
      <c r="S1433" s="89" t="str">
        <f t="shared" si="134"/>
        <v/>
      </c>
      <c r="X1433" s="64">
        <f t="shared" si="135"/>
        <v>0</v>
      </c>
      <c r="Y1433" s="53">
        <f t="shared" si="136"/>
        <v>0</v>
      </c>
      <c r="Z1433" s="64">
        <f t="shared" si="137"/>
        <v>0</v>
      </c>
    </row>
    <row r="1434" spans="1:26">
      <c r="A1434" s="89" t="str">
        <f t="shared" si="132"/>
        <v/>
      </c>
      <c r="B1434" s="89" t="str">
        <f t="shared" si="133"/>
        <v/>
      </c>
      <c r="S1434" s="89" t="str">
        <f t="shared" si="134"/>
        <v/>
      </c>
      <c r="X1434" s="64">
        <f t="shared" si="135"/>
        <v>0</v>
      </c>
      <c r="Y1434" s="53">
        <f t="shared" si="136"/>
        <v>0</v>
      </c>
      <c r="Z1434" s="64">
        <f t="shared" si="137"/>
        <v>0</v>
      </c>
    </row>
    <row r="1435" spans="1:26">
      <c r="A1435" s="89" t="str">
        <f t="shared" si="132"/>
        <v/>
      </c>
      <c r="B1435" s="89" t="str">
        <f t="shared" si="133"/>
        <v/>
      </c>
      <c r="S1435" s="89" t="str">
        <f t="shared" si="134"/>
        <v/>
      </c>
      <c r="X1435" s="64">
        <f t="shared" si="135"/>
        <v>0</v>
      </c>
      <c r="Y1435" s="53">
        <f t="shared" si="136"/>
        <v>0</v>
      </c>
      <c r="Z1435" s="64">
        <f t="shared" si="137"/>
        <v>0</v>
      </c>
    </row>
    <row r="1436" spans="1:26">
      <c r="A1436" s="89" t="str">
        <f t="shared" si="132"/>
        <v/>
      </c>
      <c r="B1436" s="89" t="str">
        <f t="shared" si="133"/>
        <v/>
      </c>
      <c r="S1436" s="89" t="str">
        <f t="shared" si="134"/>
        <v/>
      </c>
      <c r="X1436" s="64">
        <f t="shared" si="135"/>
        <v>0</v>
      </c>
      <c r="Y1436" s="53">
        <f t="shared" si="136"/>
        <v>0</v>
      </c>
      <c r="Z1436" s="64">
        <f t="shared" si="137"/>
        <v>0</v>
      </c>
    </row>
    <row r="1437" spans="1:26">
      <c r="A1437" s="89" t="str">
        <f t="shared" si="132"/>
        <v/>
      </c>
      <c r="B1437" s="89" t="str">
        <f t="shared" si="133"/>
        <v/>
      </c>
      <c r="S1437" s="89" t="str">
        <f t="shared" si="134"/>
        <v/>
      </c>
      <c r="X1437" s="64">
        <f t="shared" si="135"/>
        <v>0</v>
      </c>
      <c r="Y1437" s="53">
        <f t="shared" si="136"/>
        <v>0</v>
      </c>
      <c r="Z1437" s="64">
        <f t="shared" si="137"/>
        <v>0</v>
      </c>
    </row>
    <row r="1438" spans="1:26">
      <c r="A1438" s="89" t="str">
        <f t="shared" si="132"/>
        <v/>
      </c>
      <c r="B1438" s="89" t="str">
        <f t="shared" si="133"/>
        <v/>
      </c>
      <c r="S1438" s="89" t="str">
        <f t="shared" si="134"/>
        <v/>
      </c>
      <c r="X1438" s="64">
        <f t="shared" si="135"/>
        <v>0</v>
      </c>
      <c r="Y1438" s="53">
        <f t="shared" si="136"/>
        <v>0</v>
      </c>
      <c r="Z1438" s="64">
        <f t="shared" si="137"/>
        <v>0</v>
      </c>
    </row>
    <row r="1439" spans="1:26">
      <c r="A1439" s="89" t="str">
        <f t="shared" si="132"/>
        <v/>
      </c>
      <c r="B1439" s="89" t="str">
        <f t="shared" si="133"/>
        <v/>
      </c>
      <c r="S1439" s="89" t="str">
        <f t="shared" si="134"/>
        <v/>
      </c>
      <c r="X1439" s="64">
        <f t="shared" si="135"/>
        <v>0</v>
      </c>
      <c r="Y1439" s="53">
        <f t="shared" si="136"/>
        <v>0</v>
      </c>
      <c r="Z1439" s="64">
        <f t="shared" si="137"/>
        <v>0</v>
      </c>
    </row>
    <row r="1440" spans="1:26">
      <c r="A1440" s="89" t="str">
        <f t="shared" si="132"/>
        <v/>
      </c>
      <c r="B1440" s="89" t="str">
        <f t="shared" si="133"/>
        <v/>
      </c>
      <c r="S1440" s="89" t="str">
        <f t="shared" si="134"/>
        <v/>
      </c>
      <c r="X1440" s="64">
        <f t="shared" si="135"/>
        <v>0</v>
      </c>
      <c r="Y1440" s="53">
        <f t="shared" si="136"/>
        <v>0</v>
      </c>
      <c r="Z1440" s="64">
        <f t="shared" si="137"/>
        <v>0</v>
      </c>
    </row>
    <row r="1441" spans="1:26">
      <c r="A1441" s="89" t="str">
        <f t="shared" si="132"/>
        <v/>
      </c>
      <c r="B1441" s="89" t="str">
        <f t="shared" si="133"/>
        <v/>
      </c>
      <c r="S1441" s="89" t="str">
        <f t="shared" si="134"/>
        <v/>
      </c>
      <c r="X1441" s="64">
        <f t="shared" si="135"/>
        <v>0</v>
      </c>
      <c r="Y1441" s="53">
        <f t="shared" si="136"/>
        <v>0</v>
      </c>
      <c r="Z1441" s="64">
        <f t="shared" si="137"/>
        <v>0</v>
      </c>
    </row>
    <row r="1442" spans="1:26">
      <c r="A1442" s="89" t="str">
        <f t="shared" si="132"/>
        <v/>
      </c>
      <c r="B1442" s="89" t="str">
        <f t="shared" si="133"/>
        <v/>
      </c>
      <c r="S1442" s="89" t="str">
        <f t="shared" si="134"/>
        <v/>
      </c>
      <c r="X1442" s="64">
        <f t="shared" si="135"/>
        <v>0</v>
      </c>
      <c r="Y1442" s="53">
        <f t="shared" si="136"/>
        <v>0</v>
      </c>
      <c r="Z1442" s="64">
        <f t="shared" si="137"/>
        <v>0</v>
      </c>
    </row>
    <row r="1443" spans="1:26">
      <c r="A1443" s="89" t="str">
        <f t="shared" si="132"/>
        <v/>
      </c>
      <c r="B1443" s="89" t="str">
        <f t="shared" si="133"/>
        <v/>
      </c>
      <c r="S1443" s="89" t="str">
        <f t="shared" si="134"/>
        <v/>
      </c>
      <c r="X1443" s="64">
        <f t="shared" si="135"/>
        <v>0</v>
      </c>
      <c r="Y1443" s="53">
        <f t="shared" si="136"/>
        <v>0</v>
      </c>
      <c r="Z1443" s="64">
        <f t="shared" si="137"/>
        <v>0</v>
      </c>
    </row>
    <row r="1444" spans="1:26">
      <c r="A1444" s="89" t="str">
        <f t="shared" si="132"/>
        <v/>
      </c>
      <c r="B1444" s="89" t="str">
        <f t="shared" si="133"/>
        <v/>
      </c>
      <c r="S1444" s="89" t="str">
        <f t="shared" si="134"/>
        <v/>
      </c>
      <c r="X1444" s="64">
        <f t="shared" si="135"/>
        <v>0</v>
      </c>
      <c r="Y1444" s="53">
        <f t="shared" si="136"/>
        <v>0</v>
      </c>
      <c r="Z1444" s="64">
        <f t="shared" si="137"/>
        <v>0</v>
      </c>
    </row>
    <row r="1445" spans="1:26">
      <c r="A1445" s="89" t="str">
        <f t="shared" si="132"/>
        <v/>
      </c>
      <c r="B1445" s="89" t="str">
        <f t="shared" si="133"/>
        <v/>
      </c>
      <c r="S1445" s="89" t="str">
        <f t="shared" si="134"/>
        <v/>
      </c>
      <c r="X1445" s="64">
        <f t="shared" si="135"/>
        <v>0</v>
      </c>
      <c r="Y1445" s="53">
        <f t="shared" si="136"/>
        <v>0</v>
      </c>
      <c r="Z1445" s="64">
        <f t="shared" si="137"/>
        <v>0</v>
      </c>
    </row>
    <row r="1446" spans="1:26">
      <c r="A1446" s="89" t="str">
        <f t="shared" si="132"/>
        <v/>
      </c>
      <c r="B1446" s="89" t="str">
        <f t="shared" si="133"/>
        <v/>
      </c>
      <c r="S1446" s="89" t="str">
        <f t="shared" si="134"/>
        <v/>
      </c>
      <c r="X1446" s="64">
        <f t="shared" si="135"/>
        <v>0</v>
      </c>
      <c r="Y1446" s="53">
        <f t="shared" si="136"/>
        <v>0</v>
      </c>
      <c r="Z1446" s="64">
        <f t="shared" si="137"/>
        <v>0</v>
      </c>
    </row>
    <row r="1447" spans="1:26">
      <c r="A1447" s="89" t="str">
        <f t="shared" si="132"/>
        <v/>
      </c>
      <c r="B1447" s="89" t="str">
        <f t="shared" si="133"/>
        <v/>
      </c>
      <c r="S1447" s="89" t="str">
        <f t="shared" si="134"/>
        <v/>
      </c>
      <c r="X1447" s="64">
        <f t="shared" si="135"/>
        <v>0</v>
      </c>
      <c r="Y1447" s="53">
        <f t="shared" si="136"/>
        <v>0</v>
      </c>
      <c r="Z1447" s="64">
        <f t="shared" si="137"/>
        <v>0</v>
      </c>
    </row>
    <row r="1448" spans="1:26">
      <c r="A1448" s="89" t="str">
        <f t="shared" si="132"/>
        <v/>
      </c>
      <c r="B1448" s="89" t="str">
        <f t="shared" si="133"/>
        <v/>
      </c>
      <c r="S1448" s="89" t="str">
        <f t="shared" si="134"/>
        <v/>
      </c>
      <c r="X1448" s="64">
        <f t="shared" si="135"/>
        <v>0</v>
      </c>
      <c r="Y1448" s="53">
        <f t="shared" si="136"/>
        <v>0</v>
      </c>
      <c r="Z1448" s="64">
        <f t="shared" si="137"/>
        <v>0</v>
      </c>
    </row>
    <row r="1449" spans="1:26">
      <c r="A1449" s="89" t="str">
        <f t="shared" si="132"/>
        <v/>
      </c>
      <c r="B1449" s="89" t="str">
        <f t="shared" si="133"/>
        <v/>
      </c>
      <c r="S1449" s="89" t="str">
        <f t="shared" si="134"/>
        <v/>
      </c>
      <c r="X1449" s="64">
        <f t="shared" si="135"/>
        <v>0</v>
      </c>
      <c r="Y1449" s="53">
        <f t="shared" si="136"/>
        <v>0</v>
      </c>
      <c r="Z1449" s="64">
        <f t="shared" si="137"/>
        <v>0</v>
      </c>
    </row>
    <row r="1450" spans="1:26">
      <c r="A1450" s="89" t="str">
        <f t="shared" si="132"/>
        <v/>
      </c>
      <c r="B1450" s="89" t="str">
        <f t="shared" si="133"/>
        <v/>
      </c>
      <c r="S1450" s="89" t="str">
        <f t="shared" si="134"/>
        <v/>
      </c>
      <c r="X1450" s="64">
        <f t="shared" si="135"/>
        <v>0</v>
      </c>
      <c r="Y1450" s="53">
        <f t="shared" si="136"/>
        <v>0</v>
      </c>
      <c r="Z1450" s="64">
        <f t="shared" si="137"/>
        <v>0</v>
      </c>
    </row>
    <row r="1451" spans="1:26">
      <c r="A1451" s="89" t="str">
        <f t="shared" si="132"/>
        <v/>
      </c>
      <c r="B1451" s="89" t="str">
        <f t="shared" si="133"/>
        <v/>
      </c>
      <c r="S1451" s="89" t="str">
        <f t="shared" si="134"/>
        <v/>
      </c>
      <c r="X1451" s="64">
        <f t="shared" si="135"/>
        <v>0</v>
      </c>
      <c r="Y1451" s="53">
        <f t="shared" si="136"/>
        <v>0</v>
      </c>
      <c r="Z1451" s="64">
        <f t="shared" si="137"/>
        <v>0</v>
      </c>
    </row>
    <row r="1452" spans="1:26">
      <c r="A1452" s="89" t="str">
        <f t="shared" si="132"/>
        <v/>
      </c>
      <c r="B1452" s="89" t="str">
        <f t="shared" si="133"/>
        <v/>
      </c>
      <c r="S1452" s="89" t="str">
        <f t="shared" si="134"/>
        <v/>
      </c>
      <c r="X1452" s="64">
        <f t="shared" si="135"/>
        <v>0</v>
      </c>
      <c r="Y1452" s="53">
        <f t="shared" si="136"/>
        <v>0</v>
      </c>
      <c r="Z1452" s="64">
        <f t="shared" si="137"/>
        <v>0</v>
      </c>
    </row>
    <row r="1453" spans="1:26">
      <c r="A1453" s="89" t="str">
        <f t="shared" si="132"/>
        <v/>
      </c>
      <c r="B1453" s="89" t="str">
        <f t="shared" si="133"/>
        <v/>
      </c>
      <c r="S1453" s="89" t="str">
        <f t="shared" si="134"/>
        <v/>
      </c>
      <c r="X1453" s="64">
        <f t="shared" si="135"/>
        <v>0</v>
      </c>
      <c r="Y1453" s="53">
        <f t="shared" si="136"/>
        <v>0</v>
      </c>
      <c r="Z1453" s="64">
        <f t="shared" si="137"/>
        <v>0</v>
      </c>
    </row>
    <row r="1454" spans="1:26">
      <c r="A1454" s="89" t="str">
        <f t="shared" si="132"/>
        <v/>
      </c>
      <c r="B1454" s="89" t="str">
        <f t="shared" si="133"/>
        <v/>
      </c>
      <c r="S1454" s="89" t="str">
        <f t="shared" si="134"/>
        <v/>
      </c>
      <c r="X1454" s="64">
        <f t="shared" si="135"/>
        <v>0</v>
      </c>
      <c r="Y1454" s="53">
        <f t="shared" si="136"/>
        <v>0</v>
      </c>
      <c r="Z1454" s="64">
        <f t="shared" si="137"/>
        <v>0</v>
      </c>
    </row>
    <row r="1455" spans="1:26">
      <c r="A1455" s="89" t="str">
        <f t="shared" si="132"/>
        <v/>
      </c>
      <c r="B1455" s="89" t="str">
        <f t="shared" si="133"/>
        <v/>
      </c>
      <c r="S1455" s="89" t="str">
        <f t="shared" si="134"/>
        <v/>
      </c>
      <c r="X1455" s="64">
        <f t="shared" si="135"/>
        <v>0</v>
      </c>
      <c r="Y1455" s="53">
        <f t="shared" si="136"/>
        <v>0</v>
      </c>
      <c r="Z1455" s="64">
        <f t="shared" si="137"/>
        <v>0</v>
      </c>
    </row>
    <row r="1456" spans="1:26">
      <c r="A1456" s="89" t="str">
        <f t="shared" si="132"/>
        <v/>
      </c>
      <c r="B1456" s="89" t="str">
        <f t="shared" si="133"/>
        <v/>
      </c>
      <c r="S1456" s="89" t="str">
        <f t="shared" si="134"/>
        <v/>
      </c>
      <c r="X1456" s="64">
        <f t="shared" si="135"/>
        <v>0</v>
      </c>
      <c r="Y1456" s="53">
        <f t="shared" si="136"/>
        <v>0</v>
      </c>
      <c r="Z1456" s="64">
        <f t="shared" si="137"/>
        <v>0</v>
      </c>
    </row>
    <row r="1457" spans="1:26">
      <c r="A1457" s="89" t="str">
        <f t="shared" si="132"/>
        <v/>
      </c>
      <c r="B1457" s="89" t="str">
        <f t="shared" si="133"/>
        <v/>
      </c>
      <c r="S1457" s="89" t="str">
        <f t="shared" si="134"/>
        <v/>
      </c>
      <c r="X1457" s="64">
        <f t="shared" si="135"/>
        <v>0</v>
      </c>
      <c r="Y1457" s="53">
        <f t="shared" si="136"/>
        <v>0</v>
      </c>
      <c r="Z1457" s="64">
        <f t="shared" si="137"/>
        <v>0</v>
      </c>
    </row>
    <row r="1458" spans="1:26">
      <c r="A1458" s="89" t="str">
        <f t="shared" si="132"/>
        <v/>
      </c>
      <c r="B1458" s="89" t="str">
        <f t="shared" si="133"/>
        <v/>
      </c>
      <c r="S1458" s="89" t="str">
        <f t="shared" si="134"/>
        <v/>
      </c>
      <c r="X1458" s="64">
        <f t="shared" si="135"/>
        <v>0</v>
      </c>
      <c r="Y1458" s="53">
        <f t="shared" si="136"/>
        <v>0</v>
      </c>
      <c r="Z1458" s="64">
        <f t="shared" si="137"/>
        <v>0</v>
      </c>
    </row>
    <row r="1459" spans="1:26">
      <c r="A1459" s="89" t="str">
        <f t="shared" si="132"/>
        <v/>
      </c>
      <c r="B1459" s="89" t="str">
        <f t="shared" si="133"/>
        <v/>
      </c>
      <c r="S1459" s="89" t="str">
        <f t="shared" si="134"/>
        <v/>
      </c>
      <c r="X1459" s="64">
        <f t="shared" si="135"/>
        <v>0</v>
      </c>
      <c r="Y1459" s="53">
        <f t="shared" si="136"/>
        <v>0</v>
      </c>
      <c r="Z1459" s="64">
        <f t="shared" si="137"/>
        <v>0</v>
      </c>
    </row>
    <row r="1460" spans="1:26">
      <c r="A1460" s="89" t="str">
        <f t="shared" si="132"/>
        <v/>
      </c>
      <c r="B1460" s="89" t="str">
        <f t="shared" si="133"/>
        <v/>
      </c>
      <c r="S1460" s="89" t="str">
        <f t="shared" si="134"/>
        <v/>
      </c>
      <c r="X1460" s="64">
        <f t="shared" si="135"/>
        <v>0</v>
      </c>
      <c r="Y1460" s="53">
        <f t="shared" si="136"/>
        <v>0</v>
      </c>
      <c r="Z1460" s="64">
        <f t="shared" si="137"/>
        <v>0</v>
      </c>
    </row>
    <row r="1461" spans="1:26">
      <c r="A1461" s="89" t="str">
        <f t="shared" si="132"/>
        <v/>
      </c>
      <c r="B1461" s="89" t="str">
        <f t="shared" si="133"/>
        <v/>
      </c>
      <c r="S1461" s="89" t="str">
        <f t="shared" si="134"/>
        <v/>
      </c>
      <c r="X1461" s="64">
        <f t="shared" si="135"/>
        <v>0</v>
      </c>
      <c r="Y1461" s="53">
        <f t="shared" si="136"/>
        <v>0</v>
      </c>
      <c r="Z1461" s="64">
        <f t="shared" si="137"/>
        <v>0</v>
      </c>
    </row>
    <row r="1462" spans="1:26">
      <c r="A1462" s="89" t="str">
        <f t="shared" si="132"/>
        <v/>
      </c>
      <c r="B1462" s="89" t="str">
        <f t="shared" si="133"/>
        <v/>
      </c>
      <c r="S1462" s="89" t="str">
        <f t="shared" si="134"/>
        <v/>
      </c>
      <c r="X1462" s="64">
        <f t="shared" si="135"/>
        <v>0</v>
      </c>
      <c r="Y1462" s="53">
        <f t="shared" si="136"/>
        <v>0</v>
      </c>
      <c r="Z1462" s="64">
        <f t="shared" si="137"/>
        <v>0</v>
      </c>
    </row>
    <row r="1463" spans="1:26">
      <c r="A1463" s="89" t="str">
        <f t="shared" si="132"/>
        <v/>
      </c>
      <c r="B1463" s="89" t="str">
        <f t="shared" si="133"/>
        <v/>
      </c>
      <c r="S1463" s="89" t="str">
        <f t="shared" si="134"/>
        <v/>
      </c>
      <c r="X1463" s="64">
        <f t="shared" si="135"/>
        <v>0</v>
      </c>
      <c r="Y1463" s="53">
        <f t="shared" si="136"/>
        <v>0</v>
      </c>
      <c r="Z1463" s="64">
        <f t="shared" si="137"/>
        <v>0</v>
      </c>
    </row>
    <row r="1464" spans="1:26">
      <c r="A1464" s="89" t="str">
        <f t="shared" si="132"/>
        <v/>
      </c>
      <c r="B1464" s="89" t="str">
        <f t="shared" si="133"/>
        <v/>
      </c>
      <c r="S1464" s="89" t="str">
        <f t="shared" si="134"/>
        <v/>
      </c>
      <c r="X1464" s="64">
        <f t="shared" si="135"/>
        <v>0</v>
      </c>
      <c r="Y1464" s="53">
        <f t="shared" si="136"/>
        <v>0</v>
      </c>
      <c r="Z1464" s="64">
        <f t="shared" si="137"/>
        <v>0</v>
      </c>
    </row>
    <row r="1465" spans="1:26">
      <c r="A1465" s="89" t="str">
        <f t="shared" si="132"/>
        <v/>
      </c>
      <c r="B1465" s="89" t="str">
        <f t="shared" si="133"/>
        <v/>
      </c>
      <c r="S1465" s="89" t="str">
        <f t="shared" si="134"/>
        <v/>
      </c>
      <c r="X1465" s="64">
        <f t="shared" si="135"/>
        <v>0</v>
      </c>
      <c r="Y1465" s="53">
        <f t="shared" si="136"/>
        <v>0</v>
      </c>
      <c r="Z1465" s="64">
        <f t="shared" si="137"/>
        <v>0</v>
      </c>
    </row>
    <row r="1466" spans="1:26">
      <c r="A1466" s="89" t="str">
        <f t="shared" si="132"/>
        <v/>
      </c>
      <c r="B1466" s="89" t="str">
        <f t="shared" si="133"/>
        <v/>
      </c>
      <c r="S1466" s="89" t="str">
        <f t="shared" si="134"/>
        <v/>
      </c>
      <c r="X1466" s="64">
        <f t="shared" si="135"/>
        <v>0</v>
      </c>
      <c r="Y1466" s="53">
        <f t="shared" si="136"/>
        <v>0</v>
      </c>
      <c r="Z1466" s="64">
        <f t="shared" si="137"/>
        <v>0</v>
      </c>
    </row>
    <row r="1467" spans="1:26">
      <c r="A1467" s="89" t="str">
        <f t="shared" si="132"/>
        <v/>
      </c>
      <c r="B1467" s="89" t="str">
        <f t="shared" si="133"/>
        <v/>
      </c>
      <c r="S1467" s="89" t="str">
        <f t="shared" si="134"/>
        <v/>
      </c>
      <c r="X1467" s="64">
        <f t="shared" si="135"/>
        <v>0</v>
      </c>
      <c r="Y1467" s="53">
        <f t="shared" si="136"/>
        <v>0</v>
      </c>
      <c r="Z1467" s="64">
        <f t="shared" si="137"/>
        <v>0</v>
      </c>
    </row>
    <row r="1468" spans="1:26">
      <c r="A1468" s="89" t="str">
        <f t="shared" si="132"/>
        <v/>
      </c>
      <c r="B1468" s="89" t="str">
        <f t="shared" si="133"/>
        <v/>
      </c>
      <c r="S1468" s="89" t="str">
        <f t="shared" si="134"/>
        <v/>
      </c>
      <c r="X1468" s="64">
        <f t="shared" si="135"/>
        <v>0</v>
      </c>
      <c r="Y1468" s="53">
        <f t="shared" si="136"/>
        <v>0</v>
      </c>
      <c r="Z1468" s="64">
        <f t="shared" si="137"/>
        <v>0</v>
      </c>
    </row>
    <row r="1469" spans="1:26">
      <c r="A1469" s="89" t="str">
        <f t="shared" si="132"/>
        <v/>
      </c>
      <c r="B1469" s="89" t="str">
        <f t="shared" si="133"/>
        <v/>
      </c>
      <c r="S1469" s="89" t="str">
        <f t="shared" si="134"/>
        <v/>
      </c>
      <c r="X1469" s="64">
        <f t="shared" si="135"/>
        <v>0</v>
      </c>
      <c r="Y1469" s="53">
        <f t="shared" si="136"/>
        <v>0</v>
      </c>
      <c r="Z1469" s="64">
        <f t="shared" si="137"/>
        <v>0</v>
      </c>
    </row>
    <row r="1470" spans="1:26">
      <c r="A1470" s="89" t="str">
        <f t="shared" si="132"/>
        <v/>
      </c>
      <c r="B1470" s="89" t="str">
        <f t="shared" si="133"/>
        <v/>
      </c>
      <c r="S1470" s="89" t="str">
        <f t="shared" si="134"/>
        <v/>
      </c>
      <c r="X1470" s="64">
        <f t="shared" si="135"/>
        <v>0</v>
      </c>
      <c r="Y1470" s="53">
        <f t="shared" si="136"/>
        <v>0</v>
      </c>
      <c r="Z1470" s="64">
        <f t="shared" si="137"/>
        <v>0</v>
      </c>
    </row>
    <row r="1471" spans="1:26">
      <c r="A1471" s="89" t="str">
        <f t="shared" si="132"/>
        <v/>
      </c>
      <c r="B1471" s="89" t="str">
        <f t="shared" si="133"/>
        <v/>
      </c>
      <c r="S1471" s="89" t="str">
        <f t="shared" si="134"/>
        <v/>
      </c>
      <c r="X1471" s="64">
        <f t="shared" si="135"/>
        <v>0</v>
      </c>
      <c r="Y1471" s="53">
        <f t="shared" si="136"/>
        <v>0</v>
      </c>
      <c r="Z1471" s="64">
        <f t="shared" si="137"/>
        <v>0</v>
      </c>
    </row>
    <row r="1472" spans="1:26">
      <c r="A1472" s="89" t="str">
        <f t="shared" si="132"/>
        <v/>
      </c>
      <c r="B1472" s="89" t="str">
        <f t="shared" si="133"/>
        <v/>
      </c>
      <c r="S1472" s="89" t="str">
        <f t="shared" si="134"/>
        <v/>
      </c>
      <c r="X1472" s="64">
        <f t="shared" si="135"/>
        <v>0</v>
      </c>
      <c r="Y1472" s="53">
        <f t="shared" si="136"/>
        <v>0</v>
      </c>
      <c r="Z1472" s="64">
        <f t="shared" si="137"/>
        <v>0</v>
      </c>
    </row>
    <row r="1473" spans="1:26">
      <c r="A1473" s="89" t="str">
        <f t="shared" si="132"/>
        <v/>
      </c>
      <c r="B1473" s="89" t="str">
        <f t="shared" si="133"/>
        <v/>
      </c>
      <c r="S1473" s="89" t="str">
        <f t="shared" si="134"/>
        <v/>
      </c>
      <c r="X1473" s="64">
        <f t="shared" si="135"/>
        <v>0</v>
      </c>
      <c r="Y1473" s="53">
        <f t="shared" si="136"/>
        <v>0</v>
      </c>
      <c r="Z1473" s="64">
        <f t="shared" si="137"/>
        <v>0</v>
      </c>
    </row>
    <row r="1474" spans="1:26">
      <c r="A1474" s="89" t="str">
        <f t="shared" si="132"/>
        <v/>
      </c>
      <c r="B1474" s="89" t="str">
        <f t="shared" si="133"/>
        <v/>
      </c>
      <c r="S1474" s="89" t="str">
        <f t="shared" si="134"/>
        <v/>
      </c>
      <c r="X1474" s="64">
        <f t="shared" si="135"/>
        <v>0</v>
      </c>
      <c r="Y1474" s="53">
        <f t="shared" si="136"/>
        <v>0</v>
      </c>
      <c r="Z1474" s="64">
        <f t="shared" si="137"/>
        <v>0</v>
      </c>
    </row>
    <row r="1475" spans="1:26">
      <c r="A1475" s="89" t="str">
        <f t="shared" ref="A1475:A1538" si="138">IF(G1475&amp;Q1475&lt;&gt;"",G1475&amp;Q1475,"")</f>
        <v/>
      </c>
      <c r="B1475" s="89" t="str">
        <f t="shared" ref="B1475:B1538" si="139">IF(C1475&lt;&gt;"",LEFT(C1475,9),"")</f>
        <v/>
      </c>
      <c r="S1475" s="89" t="str">
        <f t="shared" ref="S1475:S1538" si="140">IF(H1475&lt;&gt;"",H1475,"")</f>
        <v/>
      </c>
      <c r="X1475" s="64">
        <f t="shared" ref="X1475:X1538" si="141">IFERROR(VALUE(MID($C1475,1,2)),0)</f>
        <v>0</v>
      </c>
      <c r="Y1475" s="53">
        <f t="shared" ref="Y1475:Y1538" si="142">IFERROR(VALUE(MID($C1475,4,3)),0)</f>
        <v>0</v>
      </c>
      <c r="Z1475" s="64">
        <f t="shared" ref="Z1475:Z1538" si="143">VALUE(RIGHT("00"&amp;X1475,2)&amp;RIGHT("000"&amp;Y1475,3))</f>
        <v>0</v>
      </c>
    </row>
    <row r="1476" spans="1:26">
      <c r="A1476" s="89" t="str">
        <f t="shared" si="138"/>
        <v/>
      </c>
      <c r="B1476" s="89" t="str">
        <f t="shared" si="139"/>
        <v/>
      </c>
      <c r="S1476" s="89" t="str">
        <f t="shared" si="140"/>
        <v/>
      </c>
      <c r="X1476" s="64">
        <f t="shared" si="141"/>
        <v>0</v>
      </c>
      <c r="Y1476" s="53">
        <f t="shared" si="142"/>
        <v>0</v>
      </c>
      <c r="Z1476" s="64">
        <f t="shared" si="143"/>
        <v>0</v>
      </c>
    </row>
    <row r="1477" spans="1:26">
      <c r="A1477" s="89" t="str">
        <f t="shared" si="138"/>
        <v/>
      </c>
      <c r="B1477" s="89" t="str">
        <f t="shared" si="139"/>
        <v/>
      </c>
      <c r="S1477" s="89" t="str">
        <f t="shared" si="140"/>
        <v/>
      </c>
      <c r="X1477" s="64">
        <f t="shared" si="141"/>
        <v>0</v>
      </c>
      <c r="Y1477" s="53">
        <f t="shared" si="142"/>
        <v>0</v>
      </c>
      <c r="Z1477" s="64">
        <f t="shared" si="143"/>
        <v>0</v>
      </c>
    </row>
    <row r="1478" spans="1:26">
      <c r="A1478" s="89" t="str">
        <f t="shared" si="138"/>
        <v/>
      </c>
      <c r="B1478" s="89" t="str">
        <f t="shared" si="139"/>
        <v/>
      </c>
      <c r="S1478" s="89" t="str">
        <f t="shared" si="140"/>
        <v/>
      </c>
      <c r="X1478" s="64">
        <f t="shared" si="141"/>
        <v>0</v>
      </c>
      <c r="Y1478" s="53">
        <f t="shared" si="142"/>
        <v>0</v>
      </c>
      <c r="Z1478" s="64">
        <f t="shared" si="143"/>
        <v>0</v>
      </c>
    </row>
    <row r="1479" spans="1:26">
      <c r="A1479" s="89" t="str">
        <f t="shared" si="138"/>
        <v/>
      </c>
      <c r="B1479" s="89" t="str">
        <f t="shared" si="139"/>
        <v/>
      </c>
      <c r="S1479" s="89" t="str">
        <f t="shared" si="140"/>
        <v/>
      </c>
      <c r="X1479" s="64">
        <f t="shared" si="141"/>
        <v>0</v>
      </c>
      <c r="Y1479" s="53">
        <f t="shared" si="142"/>
        <v>0</v>
      </c>
      <c r="Z1479" s="64">
        <f t="shared" si="143"/>
        <v>0</v>
      </c>
    </row>
    <row r="1480" spans="1:26">
      <c r="A1480" s="89" t="str">
        <f t="shared" si="138"/>
        <v/>
      </c>
      <c r="B1480" s="89" t="str">
        <f t="shared" si="139"/>
        <v/>
      </c>
      <c r="S1480" s="89" t="str">
        <f t="shared" si="140"/>
        <v/>
      </c>
      <c r="X1480" s="64">
        <f t="shared" si="141"/>
        <v>0</v>
      </c>
      <c r="Y1480" s="53">
        <f t="shared" si="142"/>
        <v>0</v>
      </c>
      <c r="Z1480" s="64">
        <f t="shared" si="143"/>
        <v>0</v>
      </c>
    </row>
    <row r="1481" spans="1:26">
      <c r="A1481" s="89" t="str">
        <f t="shared" si="138"/>
        <v/>
      </c>
      <c r="B1481" s="89" t="str">
        <f t="shared" si="139"/>
        <v/>
      </c>
      <c r="S1481" s="89" t="str">
        <f t="shared" si="140"/>
        <v/>
      </c>
      <c r="X1481" s="64">
        <f t="shared" si="141"/>
        <v>0</v>
      </c>
      <c r="Y1481" s="53">
        <f t="shared" si="142"/>
        <v>0</v>
      </c>
      <c r="Z1481" s="64">
        <f t="shared" si="143"/>
        <v>0</v>
      </c>
    </row>
    <row r="1482" spans="1:26">
      <c r="A1482" s="89" t="str">
        <f t="shared" si="138"/>
        <v/>
      </c>
      <c r="B1482" s="89" t="str">
        <f t="shared" si="139"/>
        <v/>
      </c>
      <c r="S1482" s="89" t="str">
        <f t="shared" si="140"/>
        <v/>
      </c>
      <c r="X1482" s="64">
        <f t="shared" si="141"/>
        <v>0</v>
      </c>
      <c r="Y1482" s="53">
        <f t="shared" si="142"/>
        <v>0</v>
      </c>
      <c r="Z1482" s="64">
        <f t="shared" si="143"/>
        <v>0</v>
      </c>
    </row>
    <row r="1483" spans="1:26">
      <c r="A1483" s="89" t="str">
        <f t="shared" si="138"/>
        <v/>
      </c>
      <c r="B1483" s="89" t="str">
        <f t="shared" si="139"/>
        <v/>
      </c>
      <c r="S1483" s="89" t="str">
        <f t="shared" si="140"/>
        <v/>
      </c>
      <c r="X1483" s="64">
        <f t="shared" si="141"/>
        <v>0</v>
      </c>
      <c r="Y1483" s="53">
        <f t="shared" si="142"/>
        <v>0</v>
      </c>
      <c r="Z1483" s="64">
        <f t="shared" si="143"/>
        <v>0</v>
      </c>
    </row>
    <row r="1484" spans="1:26">
      <c r="A1484" s="89" t="str">
        <f t="shared" si="138"/>
        <v/>
      </c>
      <c r="B1484" s="89" t="str">
        <f t="shared" si="139"/>
        <v/>
      </c>
      <c r="S1484" s="89" t="str">
        <f t="shared" si="140"/>
        <v/>
      </c>
      <c r="X1484" s="64">
        <f t="shared" si="141"/>
        <v>0</v>
      </c>
      <c r="Y1484" s="53">
        <f t="shared" si="142"/>
        <v>0</v>
      </c>
      <c r="Z1484" s="64">
        <f t="shared" si="143"/>
        <v>0</v>
      </c>
    </row>
    <row r="1485" spans="1:26">
      <c r="A1485" s="89" t="str">
        <f t="shared" si="138"/>
        <v/>
      </c>
      <c r="B1485" s="89" t="str">
        <f t="shared" si="139"/>
        <v/>
      </c>
      <c r="S1485" s="89" t="str">
        <f t="shared" si="140"/>
        <v/>
      </c>
      <c r="X1485" s="64">
        <f t="shared" si="141"/>
        <v>0</v>
      </c>
      <c r="Y1485" s="53">
        <f t="shared" si="142"/>
        <v>0</v>
      </c>
      <c r="Z1485" s="64">
        <f t="shared" si="143"/>
        <v>0</v>
      </c>
    </row>
    <row r="1486" spans="1:26">
      <c r="A1486" s="89" t="str">
        <f t="shared" si="138"/>
        <v/>
      </c>
      <c r="B1486" s="89" t="str">
        <f t="shared" si="139"/>
        <v/>
      </c>
      <c r="S1486" s="89" t="str">
        <f t="shared" si="140"/>
        <v/>
      </c>
      <c r="X1486" s="64">
        <f t="shared" si="141"/>
        <v>0</v>
      </c>
      <c r="Y1486" s="53">
        <f t="shared" si="142"/>
        <v>0</v>
      </c>
      <c r="Z1486" s="64">
        <f t="shared" si="143"/>
        <v>0</v>
      </c>
    </row>
    <row r="1487" spans="1:26">
      <c r="A1487" s="89" t="str">
        <f t="shared" si="138"/>
        <v/>
      </c>
      <c r="B1487" s="89" t="str">
        <f t="shared" si="139"/>
        <v/>
      </c>
      <c r="S1487" s="89" t="str">
        <f t="shared" si="140"/>
        <v/>
      </c>
      <c r="X1487" s="64">
        <f t="shared" si="141"/>
        <v>0</v>
      </c>
      <c r="Y1487" s="53">
        <f t="shared" si="142"/>
        <v>0</v>
      </c>
      <c r="Z1487" s="64">
        <f t="shared" si="143"/>
        <v>0</v>
      </c>
    </row>
    <row r="1488" spans="1:26">
      <c r="A1488" s="89" t="str">
        <f t="shared" si="138"/>
        <v/>
      </c>
      <c r="B1488" s="89" t="str">
        <f t="shared" si="139"/>
        <v/>
      </c>
      <c r="S1488" s="89" t="str">
        <f t="shared" si="140"/>
        <v/>
      </c>
      <c r="X1488" s="64">
        <f t="shared" si="141"/>
        <v>0</v>
      </c>
      <c r="Y1488" s="53">
        <f t="shared" si="142"/>
        <v>0</v>
      </c>
      <c r="Z1488" s="64">
        <f t="shared" si="143"/>
        <v>0</v>
      </c>
    </row>
    <row r="1489" spans="1:26">
      <c r="A1489" s="89" t="str">
        <f t="shared" si="138"/>
        <v/>
      </c>
      <c r="B1489" s="89" t="str">
        <f t="shared" si="139"/>
        <v/>
      </c>
      <c r="S1489" s="89" t="str">
        <f t="shared" si="140"/>
        <v/>
      </c>
      <c r="X1489" s="64">
        <f t="shared" si="141"/>
        <v>0</v>
      </c>
      <c r="Y1489" s="53">
        <f t="shared" si="142"/>
        <v>0</v>
      </c>
      <c r="Z1489" s="64">
        <f t="shared" si="143"/>
        <v>0</v>
      </c>
    </row>
    <row r="1490" spans="1:26">
      <c r="A1490" s="89" t="str">
        <f t="shared" si="138"/>
        <v/>
      </c>
      <c r="B1490" s="89" t="str">
        <f t="shared" si="139"/>
        <v/>
      </c>
      <c r="S1490" s="89" t="str">
        <f t="shared" si="140"/>
        <v/>
      </c>
      <c r="X1490" s="64">
        <f t="shared" si="141"/>
        <v>0</v>
      </c>
      <c r="Y1490" s="53">
        <f t="shared" si="142"/>
        <v>0</v>
      </c>
      <c r="Z1490" s="64">
        <f t="shared" si="143"/>
        <v>0</v>
      </c>
    </row>
    <row r="1491" spans="1:26">
      <c r="A1491" s="89" t="str">
        <f t="shared" si="138"/>
        <v/>
      </c>
      <c r="B1491" s="89" t="str">
        <f t="shared" si="139"/>
        <v/>
      </c>
      <c r="S1491" s="89" t="str">
        <f t="shared" si="140"/>
        <v/>
      </c>
      <c r="X1491" s="64">
        <f t="shared" si="141"/>
        <v>0</v>
      </c>
      <c r="Y1491" s="53">
        <f t="shared" si="142"/>
        <v>0</v>
      </c>
      <c r="Z1491" s="64">
        <f t="shared" si="143"/>
        <v>0</v>
      </c>
    </row>
    <row r="1492" spans="1:26">
      <c r="A1492" s="89" t="str">
        <f t="shared" si="138"/>
        <v/>
      </c>
      <c r="B1492" s="89" t="str">
        <f t="shared" si="139"/>
        <v/>
      </c>
      <c r="S1492" s="89" t="str">
        <f t="shared" si="140"/>
        <v/>
      </c>
      <c r="X1492" s="64">
        <f t="shared" si="141"/>
        <v>0</v>
      </c>
      <c r="Y1492" s="53">
        <f t="shared" si="142"/>
        <v>0</v>
      </c>
      <c r="Z1492" s="64">
        <f t="shared" si="143"/>
        <v>0</v>
      </c>
    </row>
    <row r="1493" spans="1:26">
      <c r="A1493" s="89" t="str">
        <f t="shared" si="138"/>
        <v/>
      </c>
      <c r="B1493" s="89" t="str">
        <f t="shared" si="139"/>
        <v/>
      </c>
      <c r="S1493" s="89" t="str">
        <f t="shared" si="140"/>
        <v/>
      </c>
      <c r="X1493" s="64">
        <f t="shared" si="141"/>
        <v>0</v>
      </c>
      <c r="Y1493" s="53">
        <f t="shared" si="142"/>
        <v>0</v>
      </c>
      <c r="Z1493" s="64">
        <f t="shared" si="143"/>
        <v>0</v>
      </c>
    </row>
    <row r="1494" spans="1:26">
      <c r="A1494" s="89" t="str">
        <f t="shared" si="138"/>
        <v/>
      </c>
      <c r="B1494" s="89" t="str">
        <f t="shared" si="139"/>
        <v/>
      </c>
      <c r="S1494" s="89" t="str">
        <f t="shared" si="140"/>
        <v/>
      </c>
      <c r="X1494" s="64">
        <f t="shared" si="141"/>
        <v>0</v>
      </c>
      <c r="Y1494" s="53">
        <f t="shared" si="142"/>
        <v>0</v>
      </c>
      <c r="Z1494" s="64">
        <f t="shared" si="143"/>
        <v>0</v>
      </c>
    </row>
    <row r="1495" spans="1:26">
      <c r="A1495" s="89" t="str">
        <f t="shared" si="138"/>
        <v/>
      </c>
      <c r="B1495" s="89" t="str">
        <f t="shared" si="139"/>
        <v/>
      </c>
      <c r="S1495" s="89" t="str">
        <f t="shared" si="140"/>
        <v/>
      </c>
      <c r="X1495" s="64">
        <f t="shared" si="141"/>
        <v>0</v>
      </c>
      <c r="Y1495" s="53">
        <f t="shared" si="142"/>
        <v>0</v>
      </c>
      <c r="Z1495" s="64">
        <f t="shared" si="143"/>
        <v>0</v>
      </c>
    </row>
    <row r="1496" spans="1:26">
      <c r="A1496" s="89" t="str">
        <f t="shared" si="138"/>
        <v/>
      </c>
      <c r="B1496" s="89" t="str">
        <f t="shared" si="139"/>
        <v/>
      </c>
      <c r="S1496" s="89" t="str">
        <f t="shared" si="140"/>
        <v/>
      </c>
      <c r="X1496" s="64">
        <f t="shared" si="141"/>
        <v>0</v>
      </c>
      <c r="Y1496" s="53">
        <f t="shared" si="142"/>
        <v>0</v>
      </c>
      <c r="Z1496" s="64">
        <f t="shared" si="143"/>
        <v>0</v>
      </c>
    </row>
    <row r="1497" spans="1:26">
      <c r="A1497" s="89" t="str">
        <f t="shared" si="138"/>
        <v/>
      </c>
      <c r="B1497" s="89" t="str">
        <f t="shared" si="139"/>
        <v/>
      </c>
      <c r="S1497" s="89" t="str">
        <f t="shared" si="140"/>
        <v/>
      </c>
      <c r="X1497" s="64">
        <f t="shared" si="141"/>
        <v>0</v>
      </c>
      <c r="Y1497" s="53">
        <f t="shared" si="142"/>
        <v>0</v>
      </c>
      <c r="Z1497" s="64">
        <f t="shared" si="143"/>
        <v>0</v>
      </c>
    </row>
    <row r="1498" spans="1:26">
      <c r="A1498" s="89" t="str">
        <f t="shared" si="138"/>
        <v/>
      </c>
      <c r="B1498" s="89" t="str">
        <f t="shared" si="139"/>
        <v/>
      </c>
      <c r="S1498" s="89" t="str">
        <f t="shared" si="140"/>
        <v/>
      </c>
      <c r="X1498" s="64">
        <f t="shared" si="141"/>
        <v>0</v>
      </c>
      <c r="Y1498" s="53">
        <f t="shared" si="142"/>
        <v>0</v>
      </c>
      <c r="Z1498" s="64">
        <f t="shared" si="143"/>
        <v>0</v>
      </c>
    </row>
    <row r="1499" spans="1:26">
      <c r="A1499" s="89" t="str">
        <f t="shared" si="138"/>
        <v/>
      </c>
      <c r="B1499" s="89" t="str">
        <f t="shared" si="139"/>
        <v/>
      </c>
      <c r="S1499" s="89" t="str">
        <f t="shared" si="140"/>
        <v/>
      </c>
      <c r="X1499" s="64">
        <f t="shared" si="141"/>
        <v>0</v>
      </c>
      <c r="Y1499" s="53">
        <f t="shared" si="142"/>
        <v>0</v>
      </c>
      <c r="Z1499" s="64">
        <f t="shared" si="143"/>
        <v>0</v>
      </c>
    </row>
    <row r="1500" spans="1:26">
      <c r="A1500" s="89" t="str">
        <f t="shared" si="138"/>
        <v/>
      </c>
      <c r="B1500" s="89" t="str">
        <f t="shared" si="139"/>
        <v/>
      </c>
      <c r="S1500" s="89" t="str">
        <f t="shared" si="140"/>
        <v/>
      </c>
      <c r="X1500" s="64">
        <f t="shared" si="141"/>
        <v>0</v>
      </c>
      <c r="Y1500" s="53">
        <f t="shared" si="142"/>
        <v>0</v>
      </c>
      <c r="Z1500" s="64">
        <f t="shared" si="143"/>
        <v>0</v>
      </c>
    </row>
    <row r="1501" spans="1:26">
      <c r="A1501" s="89" t="str">
        <f t="shared" si="138"/>
        <v/>
      </c>
      <c r="B1501" s="89" t="str">
        <f t="shared" si="139"/>
        <v/>
      </c>
      <c r="S1501" s="89" t="str">
        <f t="shared" si="140"/>
        <v/>
      </c>
      <c r="X1501" s="64">
        <f t="shared" si="141"/>
        <v>0</v>
      </c>
      <c r="Y1501" s="53">
        <f t="shared" si="142"/>
        <v>0</v>
      </c>
      <c r="Z1501" s="64">
        <f t="shared" si="143"/>
        <v>0</v>
      </c>
    </row>
    <row r="1502" spans="1:26">
      <c r="A1502" s="89" t="str">
        <f t="shared" si="138"/>
        <v/>
      </c>
      <c r="B1502" s="89" t="str">
        <f t="shared" si="139"/>
        <v/>
      </c>
      <c r="S1502" s="89" t="str">
        <f t="shared" si="140"/>
        <v/>
      </c>
      <c r="X1502" s="64">
        <f t="shared" si="141"/>
        <v>0</v>
      </c>
      <c r="Y1502" s="53">
        <f t="shared" si="142"/>
        <v>0</v>
      </c>
      <c r="Z1502" s="64">
        <f t="shared" si="143"/>
        <v>0</v>
      </c>
    </row>
    <row r="1503" spans="1:26">
      <c r="A1503" s="89" t="str">
        <f t="shared" si="138"/>
        <v/>
      </c>
      <c r="B1503" s="89" t="str">
        <f t="shared" si="139"/>
        <v/>
      </c>
      <c r="S1503" s="89" t="str">
        <f t="shared" si="140"/>
        <v/>
      </c>
      <c r="X1503" s="64">
        <f t="shared" si="141"/>
        <v>0</v>
      </c>
      <c r="Y1503" s="53">
        <f t="shared" si="142"/>
        <v>0</v>
      </c>
      <c r="Z1503" s="64">
        <f t="shared" si="143"/>
        <v>0</v>
      </c>
    </row>
    <row r="1504" spans="1:26">
      <c r="A1504" s="89" t="str">
        <f t="shared" si="138"/>
        <v/>
      </c>
      <c r="B1504" s="89" t="str">
        <f t="shared" si="139"/>
        <v/>
      </c>
      <c r="S1504" s="89" t="str">
        <f t="shared" si="140"/>
        <v/>
      </c>
      <c r="X1504" s="64">
        <f t="shared" si="141"/>
        <v>0</v>
      </c>
      <c r="Y1504" s="53">
        <f t="shared" si="142"/>
        <v>0</v>
      </c>
      <c r="Z1504" s="64">
        <f t="shared" si="143"/>
        <v>0</v>
      </c>
    </row>
    <row r="1505" spans="1:26">
      <c r="A1505" s="89" t="str">
        <f t="shared" si="138"/>
        <v/>
      </c>
      <c r="B1505" s="89" t="str">
        <f t="shared" si="139"/>
        <v/>
      </c>
      <c r="S1505" s="89" t="str">
        <f t="shared" si="140"/>
        <v/>
      </c>
      <c r="X1505" s="64">
        <f t="shared" si="141"/>
        <v>0</v>
      </c>
      <c r="Y1505" s="53">
        <f t="shared" si="142"/>
        <v>0</v>
      </c>
      <c r="Z1505" s="64">
        <f t="shared" si="143"/>
        <v>0</v>
      </c>
    </row>
    <row r="1506" spans="1:26">
      <c r="A1506" s="89" t="str">
        <f t="shared" si="138"/>
        <v/>
      </c>
      <c r="B1506" s="89" t="str">
        <f t="shared" si="139"/>
        <v/>
      </c>
      <c r="S1506" s="89" t="str">
        <f t="shared" si="140"/>
        <v/>
      </c>
      <c r="X1506" s="64">
        <f t="shared" si="141"/>
        <v>0</v>
      </c>
      <c r="Y1506" s="53">
        <f t="shared" si="142"/>
        <v>0</v>
      </c>
      <c r="Z1506" s="64">
        <f t="shared" si="143"/>
        <v>0</v>
      </c>
    </row>
    <row r="1507" spans="1:26">
      <c r="A1507" s="89" t="str">
        <f t="shared" si="138"/>
        <v/>
      </c>
      <c r="B1507" s="89" t="str">
        <f t="shared" si="139"/>
        <v/>
      </c>
      <c r="S1507" s="89" t="str">
        <f t="shared" si="140"/>
        <v/>
      </c>
      <c r="X1507" s="64">
        <f t="shared" si="141"/>
        <v>0</v>
      </c>
      <c r="Y1507" s="53">
        <f t="shared" si="142"/>
        <v>0</v>
      </c>
      <c r="Z1507" s="64">
        <f t="shared" si="143"/>
        <v>0</v>
      </c>
    </row>
    <row r="1508" spans="1:26">
      <c r="A1508" s="89" t="str">
        <f t="shared" si="138"/>
        <v/>
      </c>
      <c r="B1508" s="89" t="str">
        <f t="shared" si="139"/>
        <v/>
      </c>
      <c r="S1508" s="89" t="str">
        <f t="shared" si="140"/>
        <v/>
      </c>
      <c r="X1508" s="64">
        <f t="shared" si="141"/>
        <v>0</v>
      </c>
      <c r="Y1508" s="53">
        <f t="shared" si="142"/>
        <v>0</v>
      </c>
      <c r="Z1508" s="64">
        <f t="shared" si="143"/>
        <v>0</v>
      </c>
    </row>
    <row r="1509" spans="1:26">
      <c r="A1509" s="89" t="str">
        <f t="shared" si="138"/>
        <v/>
      </c>
      <c r="B1509" s="89" t="str">
        <f t="shared" si="139"/>
        <v/>
      </c>
      <c r="S1509" s="89" t="str">
        <f t="shared" si="140"/>
        <v/>
      </c>
      <c r="X1509" s="64">
        <f t="shared" si="141"/>
        <v>0</v>
      </c>
      <c r="Y1509" s="53">
        <f t="shared" si="142"/>
        <v>0</v>
      </c>
      <c r="Z1509" s="64">
        <f t="shared" si="143"/>
        <v>0</v>
      </c>
    </row>
    <row r="1510" spans="1:26">
      <c r="A1510" s="89" t="str">
        <f t="shared" si="138"/>
        <v/>
      </c>
      <c r="B1510" s="89" t="str">
        <f t="shared" si="139"/>
        <v/>
      </c>
      <c r="S1510" s="89" t="str">
        <f t="shared" si="140"/>
        <v/>
      </c>
      <c r="X1510" s="64">
        <f t="shared" si="141"/>
        <v>0</v>
      </c>
      <c r="Y1510" s="53">
        <f t="shared" si="142"/>
        <v>0</v>
      </c>
      <c r="Z1510" s="64">
        <f t="shared" si="143"/>
        <v>0</v>
      </c>
    </row>
    <row r="1511" spans="1:26">
      <c r="A1511" s="89" t="str">
        <f t="shared" si="138"/>
        <v/>
      </c>
      <c r="B1511" s="89" t="str">
        <f t="shared" si="139"/>
        <v/>
      </c>
      <c r="S1511" s="89" t="str">
        <f t="shared" si="140"/>
        <v/>
      </c>
      <c r="X1511" s="64">
        <f t="shared" si="141"/>
        <v>0</v>
      </c>
      <c r="Y1511" s="53">
        <f t="shared" si="142"/>
        <v>0</v>
      </c>
      <c r="Z1511" s="64">
        <f t="shared" si="143"/>
        <v>0</v>
      </c>
    </row>
    <row r="1512" spans="1:26">
      <c r="A1512" s="89" t="str">
        <f t="shared" si="138"/>
        <v/>
      </c>
      <c r="B1512" s="89" t="str">
        <f t="shared" si="139"/>
        <v/>
      </c>
      <c r="S1512" s="89" t="str">
        <f t="shared" si="140"/>
        <v/>
      </c>
      <c r="X1512" s="64">
        <f t="shared" si="141"/>
        <v>0</v>
      </c>
      <c r="Y1512" s="53">
        <f t="shared" si="142"/>
        <v>0</v>
      </c>
      <c r="Z1512" s="64">
        <f t="shared" si="143"/>
        <v>0</v>
      </c>
    </row>
    <row r="1513" spans="1:26">
      <c r="A1513" s="89" t="str">
        <f t="shared" si="138"/>
        <v/>
      </c>
      <c r="B1513" s="89" t="str">
        <f t="shared" si="139"/>
        <v/>
      </c>
      <c r="S1513" s="89" t="str">
        <f t="shared" si="140"/>
        <v/>
      </c>
      <c r="X1513" s="64">
        <f t="shared" si="141"/>
        <v>0</v>
      </c>
      <c r="Y1513" s="53">
        <f t="shared" si="142"/>
        <v>0</v>
      </c>
      <c r="Z1513" s="64">
        <f t="shared" si="143"/>
        <v>0</v>
      </c>
    </row>
    <row r="1514" spans="1:26">
      <c r="A1514" s="89" t="str">
        <f t="shared" si="138"/>
        <v/>
      </c>
      <c r="B1514" s="89" t="str">
        <f t="shared" si="139"/>
        <v/>
      </c>
      <c r="S1514" s="89" t="str">
        <f t="shared" si="140"/>
        <v/>
      </c>
      <c r="X1514" s="64">
        <f t="shared" si="141"/>
        <v>0</v>
      </c>
      <c r="Y1514" s="53">
        <f t="shared" si="142"/>
        <v>0</v>
      </c>
      <c r="Z1514" s="64">
        <f t="shared" si="143"/>
        <v>0</v>
      </c>
    </row>
    <row r="1515" spans="1:26">
      <c r="A1515" s="89" t="str">
        <f t="shared" si="138"/>
        <v/>
      </c>
      <c r="B1515" s="89" t="str">
        <f t="shared" si="139"/>
        <v/>
      </c>
      <c r="S1515" s="89" t="str">
        <f t="shared" si="140"/>
        <v/>
      </c>
      <c r="X1515" s="64">
        <f t="shared" si="141"/>
        <v>0</v>
      </c>
      <c r="Y1515" s="53">
        <f t="shared" si="142"/>
        <v>0</v>
      </c>
      <c r="Z1515" s="64">
        <f t="shared" si="143"/>
        <v>0</v>
      </c>
    </row>
    <row r="1516" spans="1:26">
      <c r="A1516" s="89" t="str">
        <f t="shared" si="138"/>
        <v/>
      </c>
      <c r="B1516" s="89" t="str">
        <f t="shared" si="139"/>
        <v/>
      </c>
      <c r="S1516" s="89" t="str">
        <f t="shared" si="140"/>
        <v/>
      </c>
      <c r="X1516" s="64">
        <f t="shared" si="141"/>
        <v>0</v>
      </c>
      <c r="Y1516" s="53">
        <f t="shared" si="142"/>
        <v>0</v>
      </c>
      <c r="Z1516" s="64">
        <f t="shared" si="143"/>
        <v>0</v>
      </c>
    </row>
    <row r="1517" spans="1:26">
      <c r="A1517" s="89" t="str">
        <f t="shared" si="138"/>
        <v/>
      </c>
      <c r="B1517" s="89" t="str">
        <f t="shared" si="139"/>
        <v/>
      </c>
      <c r="S1517" s="89" t="str">
        <f t="shared" si="140"/>
        <v/>
      </c>
      <c r="X1517" s="64">
        <f t="shared" si="141"/>
        <v>0</v>
      </c>
      <c r="Y1517" s="53">
        <f t="shared" si="142"/>
        <v>0</v>
      </c>
      <c r="Z1517" s="64">
        <f t="shared" si="143"/>
        <v>0</v>
      </c>
    </row>
    <row r="1518" spans="1:26">
      <c r="A1518" s="89" t="str">
        <f t="shared" si="138"/>
        <v/>
      </c>
      <c r="B1518" s="89" t="str">
        <f t="shared" si="139"/>
        <v/>
      </c>
      <c r="S1518" s="89" t="str">
        <f t="shared" si="140"/>
        <v/>
      </c>
      <c r="X1518" s="64">
        <f t="shared" si="141"/>
        <v>0</v>
      </c>
      <c r="Y1518" s="53">
        <f t="shared" si="142"/>
        <v>0</v>
      </c>
      <c r="Z1518" s="64">
        <f t="shared" si="143"/>
        <v>0</v>
      </c>
    </row>
    <row r="1519" spans="1:26">
      <c r="A1519" s="89" t="str">
        <f t="shared" si="138"/>
        <v/>
      </c>
      <c r="B1519" s="89" t="str">
        <f t="shared" si="139"/>
        <v/>
      </c>
      <c r="S1519" s="89" t="str">
        <f t="shared" si="140"/>
        <v/>
      </c>
      <c r="X1519" s="64">
        <f t="shared" si="141"/>
        <v>0</v>
      </c>
      <c r="Y1519" s="53">
        <f t="shared" si="142"/>
        <v>0</v>
      </c>
      <c r="Z1519" s="64">
        <f t="shared" si="143"/>
        <v>0</v>
      </c>
    </row>
    <row r="1520" spans="1:26">
      <c r="A1520" s="89" t="str">
        <f t="shared" si="138"/>
        <v/>
      </c>
      <c r="B1520" s="89" t="str">
        <f t="shared" si="139"/>
        <v/>
      </c>
      <c r="S1520" s="89" t="str">
        <f t="shared" si="140"/>
        <v/>
      </c>
      <c r="X1520" s="64">
        <f t="shared" si="141"/>
        <v>0</v>
      </c>
      <c r="Y1520" s="53">
        <f t="shared" si="142"/>
        <v>0</v>
      </c>
      <c r="Z1520" s="64">
        <f t="shared" si="143"/>
        <v>0</v>
      </c>
    </row>
    <row r="1521" spans="1:26">
      <c r="A1521" s="89" t="str">
        <f t="shared" si="138"/>
        <v/>
      </c>
      <c r="B1521" s="89" t="str">
        <f t="shared" si="139"/>
        <v/>
      </c>
      <c r="S1521" s="89" t="str">
        <f t="shared" si="140"/>
        <v/>
      </c>
      <c r="X1521" s="64">
        <f t="shared" si="141"/>
        <v>0</v>
      </c>
      <c r="Y1521" s="53">
        <f t="shared" si="142"/>
        <v>0</v>
      </c>
      <c r="Z1521" s="64">
        <f t="shared" si="143"/>
        <v>0</v>
      </c>
    </row>
    <row r="1522" spans="1:26">
      <c r="A1522" s="89" t="str">
        <f t="shared" si="138"/>
        <v/>
      </c>
      <c r="B1522" s="89" t="str">
        <f t="shared" si="139"/>
        <v/>
      </c>
      <c r="S1522" s="89" t="str">
        <f t="shared" si="140"/>
        <v/>
      </c>
      <c r="X1522" s="64">
        <f t="shared" si="141"/>
        <v>0</v>
      </c>
      <c r="Y1522" s="53">
        <f t="shared" si="142"/>
        <v>0</v>
      </c>
      <c r="Z1522" s="64">
        <f t="shared" si="143"/>
        <v>0</v>
      </c>
    </row>
    <row r="1523" spans="1:26">
      <c r="A1523" s="89" t="str">
        <f t="shared" si="138"/>
        <v/>
      </c>
      <c r="B1523" s="89" t="str">
        <f t="shared" si="139"/>
        <v/>
      </c>
      <c r="S1523" s="89" t="str">
        <f t="shared" si="140"/>
        <v/>
      </c>
      <c r="X1523" s="64">
        <f t="shared" si="141"/>
        <v>0</v>
      </c>
      <c r="Y1523" s="53">
        <f t="shared" si="142"/>
        <v>0</v>
      </c>
      <c r="Z1523" s="64">
        <f t="shared" si="143"/>
        <v>0</v>
      </c>
    </row>
    <row r="1524" spans="1:26">
      <c r="A1524" s="89" t="str">
        <f t="shared" si="138"/>
        <v/>
      </c>
      <c r="B1524" s="89" t="str">
        <f t="shared" si="139"/>
        <v/>
      </c>
      <c r="S1524" s="89" t="str">
        <f t="shared" si="140"/>
        <v/>
      </c>
      <c r="X1524" s="64">
        <f t="shared" si="141"/>
        <v>0</v>
      </c>
      <c r="Y1524" s="53">
        <f t="shared" si="142"/>
        <v>0</v>
      </c>
      <c r="Z1524" s="64">
        <f t="shared" si="143"/>
        <v>0</v>
      </c>
    </row>
    <row r="1525" spans="1:26">
      <c r="A1525" s="89" t="str">
        <f t="shared" si="138"/>
        <v/>
      </c>
      <c r="B1525" s="89" t="str">
        <f t="shared" si="139"/>
        <v/>
      </c>
      <c r="S1525" s="89" t="str">
        <f t="shared" si="140"/>
        <v/>
      </c>
      <c r="X1525" s="64">
        <f t="shared" si="141"/>
        <v>0</v>
      </c>
      <c r="Y1525" s="53">
        <f t="shared" si="142"/>
        <v>0</v>
      </c>
      <c r="Z1525" s="64">
        <f t="shared" si="143"/>
        <v>0</v>
      </c>
    </row>
    <row r="1526" spans="1:26">
      <c r="A1526" s="89" t="str">
        <f t="shared" si="138"/>
        <v/>
      </c>
      <c r="B1526" s="89" t="str">
        <f t="shared" si="139"/>
        <v/>
      </c>
      <c r="S1526" s="89" t="str">
        <f t="shared" si="140"/>
        <v/>
      </c>
      <c r="X1526" s="64">
        <f t="shared" si="141"/>
        <v>0</v>
      </c>
      <c r="Y1526" s="53">
        <f t="shared" si="142"/>
        <v>0</v>
      </c>
      <c r="Z1526" s="64">
        <f t="shared" si="143"/>
        <v>0</v>
      </c>
    </row>
    <row r="1527" spans="1:26">
      <c r="A1527" s="89" t="str">
        <f t="shared" si="138"/>
        <v/>
      </c>
      <c r="B1527" s="89" t="str">
        <f t="shared" si="139"/>
        <v/>
      </c>
      <c r="S1527" s="89" t="str">
        <f t="shared" si="140"/>
        <v/>
      </c>
      <c r="X1527" s="64">
        <f t="shared" si="141"/>
        <v>0</v>
      </c>
      <c r="Y1527" s="53">
        <f t="shared" si="142"/>
        <v>0</v>
      </c>
      <c r="Z1527" s="64">
        <f t="shared" si="143"/>
        <v>0</v>
      </c>
    </row>
    <row r="1528" spans="1:26">
      <c r="A1528" s="89" t="str">
        <f t="shared" si="138"/>
        <v/>
      </c>
      <c r="B1528" s="89" t="str">
        <f t="shared" si="139"/>
        <v/>
      </c>
      <c r="S1528" s="89" t="str">
        <f t="shared" si="140"/>
        <v/>
      </c>
      <c r="X1528" s="64">
        <f t="shared" si="141"/>
        <v>0</v>
      </c>
      <c r="Y1528" s="53">
        <f t="shared" si="142"/>
        <v>0</v>
      </c>
      <c r="Z1528" s="64">
        <f t="shared" si="143"/>
        <v>0</v>
      </c>
    </row>
    <row r="1529" spans="1:26">
      <c r="A1529" s="89" t="str">
        <f t="shared" si="138"/>
        <v/>
      </c>
      <c r="B1529" s="89" t="str">
        <f t="shared" si="139"/>
        <v/>
      </c>
      <c r="S1529" s="89" t="str">
        <f t="shared" si="140"/>
        <v/>
      </c>
      <c r="X1529" s="64">
        <f t="shared" si="141"/>
        <v>0</v>
      </c>
      <c r="Y1529" s="53">
        <f t="shared" si="142"/>
        <v>0</v>
      </c>
      <c r="Z1529" s="64">
        <f t="shared" si="143"/>
        <v>0</v>
      </c>
    </row>
    <row r="1530" spans="1:26">
      <c r="A1530" s="89" t="str">
        <f t="shared" si="138"/>
        <v/>
      </c>
      <c r="B1530" s="89" t="str">
        <f t="shared" si="139"/>
        <v/>
      </c>
      <c r="S1530" s="89" t="str">
        <f t="shared" si="140"/>
        <v/>
      </c>
      <c r="X1530" s="64">
        <f t="shared" si="141"/>
        <v>0</v>
      </c>
      <c r="Y1530" s="53">
        <f t="shared" si="142"/>
        <v>0</v>
      </c>
      <c r="Z1530" s="64">
        <f t="shared" si="143"/>
        <v>0</v>
      </c>
    </row>
    <row r="1531" spans="1:26">
      <c r="A1531" s="89" t="str">
        <f t="shared" si="138"/>
        <v/>
      </c>
      <c r="B1531" s="89" t="str">
        <f t="shared" si="139"/>
        <v/>
      </c>
      <c r="S1531" s="89" t="str">
        <f t="shared" si="140"/>
        <v/>
      </c>
      <c r="X1531" s="64">
        <f t="shared" si="141"/>
        <v>0</v>
      </c>
      <c r="Y1531" s="53">
        <f t="shared" si="142"/>
        <v>0</v>
      </c>
      <c r="Z1531" s="64">
        <f t="shared" si="143"/>
        <v>0</v>
      </c>
    </row>
    <row r="1532" spans="1:26">
      <c r="A1532" s="89" t="str">
        <f t="shared" si="138"/>
        <v/>
      </c>
      <c r="B1532" s="89" t="str">
        <f t="shared" si="139"/>
        <v/>
      </c>
      <c r="S1532" s="89" t="str">
        <f t="shared" si="140"/>
        <v/>
      </c>
      <c r="X1532" s="64">
        <f t="shared" si="141"/>
        <v>0</v>
      </c>
      <c r="Y1532" s="53">
        <f t="shared" si="142"/>
        <v>0</v>
      </c>
      <c r="Z1532" s="64">
        <f t="shared" si="143"/>
        <v>0</v>
      </c>
    </row>
    <row r="1533" spans="1:26">
      <c r="A1533" s="89" t="str">
        <f t="shared" si="138"/>
        <v/>
      </c>
      <c r="B1533" s="89" t="str">
        <f t="shared" si="139"/>
        <v/>
      </c>
      <c r="S1533" s="89" t="str">
        <f t="shared" si="140"/>
        <v/>
      </c>
      <c r="X1533" s="64">
        <f t="shared" si="141"/>
        <v>0</v>
      </c>
      <c r="Y1533" s="53">
        <f t="shared" si="142"/>
        <v>0</v>
      </c>
      <c r="Z1533" s="64">
        <f t="shared" si="143"/>
        <v>0</v>
      </c>
    </row>
    <row r="1534" spans="1:26">
      <c r="A1534" s="89" t="str">
        <f t="shared" si="138"/>
        <v/>
      </c>
      <c r="B1534" s="89" t="str">
        <f t="shared" si="139"/>
        <v/>
      </c>
      <c r="S1534" s="89" t="str">
        <f t="shared" si="140"/>
        <v/>
      </c>
      <c r="X1534" s="64">
        <f t="shared" si="141"/>
        <v>0</v>
      </c>
      <c r="Y1534" s="53">
        <f t="shared" si="142"/>
        <v>0</v>
      </c>
      <c r="Z1534" s="64">
        <f t="shared" si="143"/>
        <v>0</v>
      </c>
    </row>
    <row r="1535" spans="1:26">
      <c r="A1535" s="89" t="str">
        <f t="shared" si="138"/>
        <v/>
      </c>
      <c r="B1535" s="89" t="str">
        <f t="shared" si="139"/>
        <v/>
      </c>
      <c r="S1535" s="89" t="str">
        <f t="shared" si="140"/>
        <v/>
      </c>
      <c r="X1535" s="64">
        <f t="shared" si="141"/>
        <v>0</v>
      </c>
      <c r="Y1535" s="53">
        <f t="shared" si="142"/>
        <v>0</v>
      </c>
      <c r="Z1535" s="64">
        <f t="shared" si="143"/>
        <v>0</v>
      </c>
    </row>
    <row r="1536" spans="1:26">
      <c r="A1536" s="89" t="str">
        <f t="shared" si="138"/>
        <v/>
      </c>
      <c r="B1536" s="89" t="str">
        <f t="shared" si="139"/>
        <v/>
      </c>
      <c r="S1536" s="89" t="str">
        <f t="shared" si="140"/>
        <v/>
      </c>
      <c r="X1536" s="64">
        <f t="shared" si="141"/>
        <v>0</v>
      </c>
      <c r="Y1536" s="53">
        <f t="shared" si="142"/>
        <v>0</v>
      </c>
      <c r="Z1536" s="64">
        <f t="shared" si="143"/>
        <v>0</v>
      </c>
    </row>
    <row r="1537" spans="1:26">
      <c r="A1537" s="89" t="str">
        <f t="shared" si="138"/>
        <v/>
      </c>
      <c r="B1537" s="89" t="str">
        <f t="shared" si="139"/>
        <v/>
      </c>
      <c r="S1537" s="89" t="str">
        <f t="shared" si="140"/>
        <v/>
      </c>
      <c r="X1537" s="64">
        <f t="shared" si="141"/>
        <v>0</v>
      </c>
      <c r="Y1537" s="53">
        <f t="shared" si="142"/>
        <v>0</v>
      </c>
      <c r="Z1537" s="64">
        <f t="shared" si="143"/>
        <v>0</v>
      </c>
    </row>
    <row r="1538" spans="1:26">
      <c r="A1538" s="89" t="str">
        <f t="shared" si="138"/>
        <v/>
      </c>
      <c r="B1538" s="89" t="str">
        <f t="shared" si="139"/>
        <v/>
      </c>
      <c r="S1538" s="89" t="str">
        <f t="shared" si="140"/>
        <v/>
      </c>
      <c r="X1538" s="64">
        <f t="shared" si="141"/>
        <v>0</v>
      </c>
      <c r="Y1538" s="53">
        <f t="shared" si="142"/>
        <v>0</v>
      </c>
      <c r="Z1538" s="64">
        <f t="shared" si="143"/>
        <v>0</v>
      </c>
    </row>
    <row r="1539" spans="1:26">
      <c r="A1539" s="89" t="str">
        <f t="shared" ref="A1539:A1602" si="144">IF(G1539&amp;Q1539&lt;&gt;"",G1539&amp;Q1539,"")</f>
        <v/>
      </c>
      <c r="B1539" s="89" t="str">
        <f t="shared" ref="B1539:B1602" si="145">IF(C1539&lt;&gt;"",LEFT(C1539,9),"")</f>
        <v/>
      </c>
      <c r="S1539" s="89" t="str">
        <f t="shared" ref="S1539:S1602" si="146">IF(H1539&lt;&gt;"",H1539,"")</f>
        <v/>
      </c>
      <c r="X1539" s="64">
        <f t="shared" ref="X1539:X1602" si="147">IFERROR(VALUE(MID($C1539,1,2)),0)</f>
        <v>0</v>
      </c>
      <c r="Y1539" s="53">
        <f t="shared" ref="Y1539:Y1602" si="148">IFERROR(VALUE(MID($C1539,4,3)),0)</f>
        <v>0</v>
      </c>
      <c r="Z1539" s="64">
        <f t="shared" ref="Z1539:Z1602" si="149">VALUE(RIGHT("00"&amp;X1539,2)&amp;RIGHT("000"&amp;Y1539,3))</f>
        <v>0</v>
      </c>
    </row>
    <row r="1540" spans="1:26">
      <c r="A1540" s="89" t="str">
        <f t="shared" si="144"/>
        <v/>
      </c>
      <c r="B1540" s="89" t="str">
        <f t="shared" si="145"/>
        <v/>
      </c>
      <c r="S1540" s="89" t="str">
        <f t="shared" si="146"/>
        <v/>
      </c>
      <c r="X1540" s="64">
        <f t="shared" si="147"/>
        <v>0</v>
      </c>
      <c r="Y1540" s="53">
        <f t="shared" si="148"/>
        <v>0</v>
      </c>
      <c r="Z1540" s="64">
        <f t="shared" si="149"/>
        <v>0</v>
      </c>
    </row>
    <row r="1541" spans="1:26">
      <c r="A1541" s="89" t="str">
        <f t="shared" si="144"/>
        <v/>
      </c>
      <c r="B1541" s="89" t="str">
        <f t="shared" si="145"/>
        <v/>
      </c>
      <c r="S1541" s="89" t="str">
        <f t="shared" si="146"/>
        <v/>
      </c>
      <c r="X1541" s="64">
        <f t="shared" si="147"/>
        <v>0</v>
      </c>
      <c r="Y1541" s="53">
        <f t="shared" si="148"/>
        <v>0</v>
      </c>
      <c r="Z1541" s="64">
        <f t="shared" si="149"/>
        <v>0</v>
      </c>
    </row>
    <row r="1542" spans="1:26">
      <c r="A1542" s="89" t="str">
        <f t="shared" si="144"/>
        <v/>
      </c>
      <c r="B1542" s="89" t="str">
        <f t="shared" si="145"/>
        <v/>
      </c>
      <c r="S1542" s="89" t="str">
        <f t="shared" si="146"/>
        <v/>
      </c>
      <c r="X1542" s="64">
        <f t="shared" si="147"/>
        <v>0</v>
      </c>
      <c r="Y1542" s="53">
        <f t="shared" si="148"/>
        <v>0</v>
      </c>
      <c r="Z1542" s="64">
        <f t="shared" si="149"/>
        <v>0</v>
      </c>
    </row>
    <row r="1543" spans="1:26">
      <c r="A1543" s="89" t="str">
        <f t="shared" si="144"/>
        <v/>
      </c>
      <c r="B1543" s="89" t="str">
        <f t="shared" si="145"/>
        <v/>
      </c>
      <c r="S1543" s="89" t="str">
        <f t="shared" si="146"/>
        <v/>
      </c>
      <c r="X1543" s="64">
        <f t="shared" si="147"/>
        <v>0</v>
      </c>
      <c r="Y1543" s="53">
        <f t="shared" si="148"/>
        <v>0</v>
      </c>
      <c r="Z1543" s="64">
        <f t="shared" si="149"/>
        <v>0</v>
      </c>
    </row>
    <row r="1544" spans="1:26">
      <c r="A1544" s="89" t="str">
        <f t="shared" si="144"/>
        <v/>
      </c>
      <c r="B1544" s="89" t="str">
        <f t="shared" si="145"/>
        <v/>
      </c>
      <c r="S1544" s="89" t="str">
        <f t="shared" si="146"/>
        <v/>
      </c>
      <c r="X1544" s="64">
        <f t="shared" si="147"/>
        <v>0</v>
      </c>
      <c r="Y1544" s="53">
        <f t="shared" si="148"/>
        <v>0</v>
      </c>
      <c r="Z1544" s="64">
        <f t="shared" si="149"/>
        <v>0</v>
      </c>
    </row>
    <row r="1545" spans="1:26">
      <c r="A1545" s="89" t="str">
        <f t="shared" si="144"/>
        <v/>
      </c>
      <c r="B1545" s="89" t="str">
        <f t="shared" si="145"/>
        <v/>
      </c>
      <c r="S1545" s="89" t="str">
        <f t="shared" si="146"/>
        <v/>
      </c>
      <c r="X1545" s="64">
        <f t="shared" si="147"/>
        <v>0</v>
      </c>
      <c r="Y1545" s="53">
        <f t="shared" si="148"/>
        <v>0</v>
      </c>
      <c r="Z1545" s="64">
        <f t="shared" si="149"/>
        <v>0</v>
      </c>
    </row>
    <row r="1546" spans="1:26">
      <c r="A1546" s="89" t="str">
        <f t="shared" si="144"/>
        <v/>
      </c>
      <c r="B1546" s="89" t="str">
        <f t="shared" si="145"/>
        <v/>
      </c>
      <c r="S1546" s="89" t="str">
        <f t="shared" si="146"/>
        <v/>
      </c>
      <c r="X1546" s="64">
        <f t="shared" si="147"/>
        <v>0</v>
      </c>
      <c r="Y1546" s="53">
        <f t="shared" si="148"/>
        <v>0</v>
      </c>
      <c r="Z1546" s="64">
        <f t="shared" si="149"/>
        <v>0</v>
      </c>
    </row>
    <row r="1547" spans="1:26">
      <c r="A1547" s="89" t="str">
        <f t="shared" si="144"/>
        <v/>
      </c>
      <c r="B1547" s="89" t="str">
        <f t="shared" si="145"/>
        <v/>
      </c>
      <c r="S1547" s="89" t="str">
        <f t="shared" si="146"/>
        <v/>
      </c>
      <c r="X1547" s="64">
        <f t="shared" si="147"/>
        <v>0</v>
      </c>
      <c r="Y1547" s="53">
        <f t="shared" si="148"/>
        <v>0</v>
      </c>
      <c r="Z1547" s="64">
        <f t="shared" si="149"/>
        <v>0</v>
      </c>
    </row>
    <row r="1548" spans="1:26">
      <c r="A1548" s="89" t="str">
        <f t="shared" si="144"/>
        <v/>
      </c>
      <c r="B1548" s="89" t="str">
        <f t="shared" si="145"/>
        <v/>
      </c>
      <c r="S1548" s="89" t="str">
        <f t="shared" si="146"/>
        <v/>
      </c>
      <c r="X1548" s="64">
        <f t="shared" si="147"/>
        <v>0</v>
      </c>
      <c r="Y1548" s="53">
        <f t="shared" si="148"/>
        <v>0</v>
      </c>
      <c r="Z1548" s="64">
        <f t="shared" si="149"/>
        <v>0</v>
      </c>
    </row>
    <row r="1549" spans="1:26">
      <c r="A1549" s="89" t="str">
        <f t="shared" si="144"/>
        <v/>
      </c>
      <c r="B1549" s="89" t="str">
        <f t="shared" si="145"/>
        <v/>
      </c>
      <c r="S1549" s="89" t="str">
        <f t="shared" si="146"/>
        <v/>
      </c>
      <c r="X1549" s="64">
        <f t="shared" si="147"/>
        <v>0</v>
      </c>
      <c r="Y1549" s="53">
        <f t="shared" si="148"/>
        <v>0</v>
      </c>
      <c r="Z1549" s="64">
        <f t="shared" si="149"/>
        <v>0</v>
      </c>
    </row>
    <row r="1550" spans="1:26">
      <c r="A1550" s="89" t="str">
        <f t="shared" si="144"/>
        <v/>
      </c>
      <c r="B1550" s="89" t="str">
        <f t="shared" si="145"/>
        <v/>
      </c>
      <c r="S1550" s="89" t="str">
        <f t="shared" si="146"/>
        <v/>
      </c>
      <c r="X1550" s="64">
        <f t="shared" si="147"/>
        <v>0</v>
      </c>
      <c r="Y1550" s="53">
        <f t="shared" si="148"/>
        <v>0</v>
      </c>
      <c r="Z1550" s="64">
        <f t="shared" si="149"/>
        <v>0</v>
      </c>
    </row>
    <row r="1551" spans="1:26">
      <c r="A1551" s="89" t="str">
        <f t="shared" si="144"/>
        <v/>
      </c>
      <c r="B1551" s="89" t="str">
        <f t="shared" si="145"/>
        <v/>
      </c>
      <c r="S1551" s="89" t="str">
        <f t="shared" si="146"/>
        <v/>
      </c>
      <c r="X1551" s="64">
        <f t="shared" si="147"/>
        <v>0</v>
      </c>
      <c r="Y1551" s="53">
        <f t="shared" si="148"/>
        <v>0</v>
      </c>
      <c r="Z1551" s="64">
        <f t="shared" si="149"/>
        <v>0</v>
      </c>
    </row>
    <row r="1552" spans="1:26">
      <c r="A1552" s="89" t="str">
        <f t="shared" si="144"/>
        <v/>
      </c>
      <c r="B1552" s="89" t="str">
        <f t="shared" si="145"/>
        <v/>
      </c>
      <c r="S1552" s="89" t="str">
        <f t="shared" si="146"/>
        <v/>
      </c>
      <c r="X1552" s="64">
        <f t="shared" si="147"/>
        <v>0</v>
      </c>
      <c r="Y1552" s="53">
        <f t="shared" si="148"/>
        <v>0</v>
      </c>
      <c r="Z1552" s="64">
        <f t="shared" si="149"/>
        <v>0</v>
      </c>
    </row>
    <row r="1553" spans="1:26">
      <c r="A1553" s="89" t="str">
        <f t="shared" si="144"/>
        <v/>
      </c>
      <c r="B1553" s="89" t="str">
        <f t="shared" si="145"/>
        <v/>
      </c>
      <c r="S1553" s="89" t="str">
        <f t="shared" si="146"/>
        <v/>
      </c>
      <c r="X1553" s="64">
        <f t="shared" si="147"/>
        <v>0</v>
      </c>
      <c r="Y1553" s="53">
        <f t="shared" si="148"/>
        <v>0</v>
      </c>
      <c r="Z1553" s="64">
        <f t="shared" si="149"/>
        <v>0</v>
      </c>
    </row>
    <row r="1554" spans="1:26">
      <c r="A1554" s="89" t="str">
        <f t="shared" si="144"/>
        <v/>
      </c>
      <c r="B1554" s="89" t="str">
        <f t="shared" si="145"/>
        <v/>
      </c>
      <c r="S1554" s="89" t="str">
        <f t="shared" si="146"/>
        <v/>
      </c>
      <c r="X1554" s="64">
        <f t="shared" si="147"/>
        <v>0</v>
      </c>
      <c r="Y1554" s="53">
        <f t="shared" si="148"/>
        <v>0</v>
      </c>
      <c r="Z1554" s="64">
        <f t="shared" si="149"/>
        <v>0</v>
      </c>
    </row>
    <row r="1555" spans="1:26">
      <c r="A1555" s="89" t="str">
        <f t="shared" si="144"/>
        <v/>
      </c>
      <c r="B1555" s="89" t="str">
        <f t="shared" si="145"/>
        <v/>
      </c>
      <c r="S1555" s="89" t="str">
        <f t="shared" si="146"/>
        <v/>
      </c>
      <c r="X1555" s="64">
        <f t="shared" si="147"/>
        <v>0</v>
      </c>
      <c r="Y1555" s="53">
        <f t="shared" si="148"/>
        <v>0</v>
      </c>
      <c r="Z1555" s="64">
        <f t="shared" si="149"/>
        <v>0</v>
      </c>
    </row>
    <row r="1556" spans="1:26">
      <c r="A1556" s="89" t="str">
        <f t="shared" si="144"/>
        <v/>
      </c>
      <c r="B1556" s="89" t="str">
        <f t="shared" si="145"/>
        <v/>
      </c>
      <c r="S1556" s="89" t="str">
        <f t="shared" si="146"/>
        <v/>
      </c>
      <c r="X1556" s="64">
        <f t="shared" si="147"/>
        <v>0</v>
      </c>
      <c r="Y1556" s="53">
        <f t="shared" si="148"/>
        <v>0</v>
      </c>
      <c r="Z1556" s="64">
        <f t="shared" si="149"/>
        <v>0</v>
      </c>
    </row>
    <row r="1557" spans="1:26">
      <c r="A1557" s="89" t="str">
        <f t="shared" si="144"/>
        <v/>
      </c>
      <c r="B1557" s="89" t="str">
        <f t="shared" si="145"/>
        <v/>
      </c>
      <c r="S1557" s="89" t="str">
        <f t="shared" si="146"/>
        <v/>
      </c>
      <c r="X1557" s="64">
        <f t="shared" si="147"/>
        <v>0</v>
      </c>
      <c r="Y1557" s="53">
        <f t="shared" si="148"/>
        <v>0</v>
      </c>
      <c r="Z1557" s="64">
        <f t="shared" si="149"/>
        <v>0</v>
      </c>
    </row>
    <row r="1558" spans="1:26">
      <c r="A1558" s="89" t="str">
        <f t="shared" si="144"/>
        <v/>
      </c>
      <c r="B1558" s="89" t="str">
        <f t="shared" si="145"/>
        <v/>
      </c>
      <c r="S1558" s="89" t="str">
        <f t="shared" si="146"/>
        <v/>
      </c>
      <c r="X1558" s="64">
        <f t="shared" si="147"/>
        <v>0</v>
      </c>
      <c r="Y1558" s="53">
        <f t="shared" si="148"/>
        <v>0</v>
      </c>
      <c r="Z1558" s="64">
        <f t="shared" si="149"/>
        <v>0</v>
      </c>
    </row>
    <row r="1559" spans="1:26">
      <c r="A1559" s="89" t="str">
        <f t="shared" si="144"/>
        <v/>
      </c>
      <c r="B1559" s="89" t="str">
        <f t="shared" si="145"/>
        <v/>
      </c>
      <c r="S1559" s="89" t="str">
        <f t="shared" si="146"/>
        <v/>
      </c>
      <c r="X1559" s="64">
        <f t="shared" si="147"/>
        <v>0</v>
      </c>
      <c r="Y1559" s="53">
        <f t="shared" si="148"/>
        <v>0</v>
      </c>
      <c r="Z1559" s="64">
        <f t="shared" si="149"/>
        <v>0</v>
      </c>
    </row>
    <row r="1560" spans="1:26">
      <c r="A1560" s="89" t="str">
        <f t="shared" si="144"/>
        <v/>
      </c>
      <c r="B1560" s="89" t="str">
        <f t="shared" si="145"/>
        <v/>
      </c>
      <c r="S1560" s="89" t="str">
        <f t="shared" si="146"/>
        <v/>
      </c>
      <c r="X1560" s="64">
        <f t="shared" si="147"/>
        <v>0</v>
      </c>
      <c r="Y1560" s="53">
        <f t="shared" si="148"/>
        <v>0</v>
      </c>
      <c r="Z1560" s="64">
        <f t="shared" si="149"/>
        <v>0</v>
      </c>
    </row>
    <row r="1561" spans="1:26">
      <c r="A1561" s="89" t="str">
        <f t="shared" si="144"/>
        <v/>
      </c>
      <c r="B1561" s="89" t="str">
        <f t="shared" si="145"/>
        <v/>
      </c>
      <c r="S1561" s="89" t="str">
        <f t="shared" si="146"/>
        <v/>
      </c>
      <c r="X1561" s="64">
        <f t="shared" si="147"/>
        <v>0</v>
      </c>
      <c r="Y1561" s="53">
        <f t="shared" si="148"/>
        <v>0</v>
      </c>
      <c r="Z1561" s="64">
        <f t="shared" si="149"/>
        <v>0</v>
      </c>
    </row>
    <row r="1562" spans="1:26">
      <c r="A1562" s="89" t="str">
        <f t="shared" si="144"/>
        <v/>
      </c>
      <c r="B1562" s="89" t="str">
        <f t="shared" si="145"/>
        <v/>
      </c>
      <c r="S1562" s="89" t="str">
        <f t="shared" si="146"/>
        <v/>
      </c>
      <c r="X1562" s="64">
        <f t="shared" si="147"/>
        <v>0</v>
      </c>
      <c r="Y1562" s="53">
        <f t="shared" si="148"/>
        <v>0</v>
      </c>
      <c r="Z1562" s="64">
        <f t="shared" si="149"/>
        <v>0</v>
      </c>
    </row>
    <row r="1563" spans="1:26">
      <c r="A1563" s="89" t="str">
        <f t="shared" si="144"/>
        <v/>
      </c>
      <c r="B1563" s="89" t="str">
        <f t="shared" si="145"/>
        <v/>
      </c>
      <c r="S1563" s="89" t="str">
        <f t="shared" si="146"/>
        <v/>
      </c>
      <c r="X1563" s="64">
        <f t="shared" si="147"/>
        <v>0</v>
      </c>
      <c r="Y1563" s="53">
        <f t="shared" si="148"/>
        <v>0</v>
      </c>
      <c r="Z1563" s="64">
        <f t="shared" si="149"/>
        <v>0</v>
      </c>
    </row>
    <row r="1564" spans="1:26">
      <c r="A1564" s="89" t="str">
        <f t="shared" si="144"/>
        <v/>
      </c>
      <c r="B1564" s="89" t="str">
        <f t="shared" si="145"/>
        <v/>
      </c>
      <c r="S1564" s="89" t="str">
        <f t="shared" si="146"/>
        <v/>
      </c>
      <c r="X1564" s="64">
        <f t="shared" si="147"/>
        <v>0</v>
      </c>
      <c r="Y1564" s="53">
        <f t="shared" si="148"/>
        <v>0</v>
      </c>
      <c r="Z1564" s="64">
        <f t="shared" si="149"/>
        <v>0</v>
      </c>
    </row>
    <row r="1565" spans="1:26">
      <c r="A1565" s="89" t="str">
        <f t="shared" si="144"/>
        <v/>
      </c>
      <c r="B1565" s="89" t="str">
        <f t="shared" si="145"/>
        <v/>
      </c>
      <c r="S1565" s="89" t="str">
        <f t="shared" si="146"/>
        <v/>
      </c>
      <c r="X1565" s="64">
        <f t="shared" si="147"/>
        <v>0</v>
      </c>
      <c r="Y1565" s="53">
        <f t="shared" si="148"/>
        <v>0</v>
      </c>
      <c r="Z1565" s="64">
        <f t="shared" si="149"/>
        <v>0</v>
      </c>
    </row>
    <row r="1566" spans="1:26">
      <c r="A1566" s="89" t="str">
        <f t="shared" si="144"/>
        <v/>
      </c>
      <c r="B1566" s="89" t="str">
        <f t="shared" si="145"/>
        <v/>
      </c>
      <c r="S1566" s="89" t="str">
        <f t="shared" si="146"/>
        <v/>
      </c>
      <c r="X1566" s="64">
        <f t="shared" si="147"/>
        <v>0</v>
      </c>
      <c r="Y1566" s="53">
        <f t="shared" si="148"/>
        <v>0</v>
      </c>
      <c r="Z1566" s="64">
        <f t="shared" si="149"/>
        <v>0</v>
      </c>
    </row>
    <row r="1567" spans="1:26">
      <c r="A1567" s="89" t="str">
        <f t="shared" si="144"/>
        <v/>
      </c>
      <c r="B1567" s="89" t="str">
        <f t="shared" si="145"/>
        <v/>
      </c>
      <c r="S1567" s="89" t="str">
        <f t="shared" si="146"/>
        <v/>
      </c>
      <c r="X1567" s="64">
        <f t="shared" si="147"/>
        <v>0</v>
      </c>
      <c r="Y1567" s="53">
        <f t="shared" si="148"/>
        <v>0</v>
      </c>
      <c r="Z1567" s="64">
        <f t="shared" si="149"/>
        <v>0</v>
      </c>
    </row>
    <row r="1568" spans="1:26">
      <c r="A1568" s="89" t="str">
        <f t="shared" si="144"/>
        <v/>
      </c>
      <c r="B1568" s="89" t="str">
        <f t="shared" si="145"/>
        <v/>
      </c>
      <c r="S1568" s="89" t="str">
        <f t="shared" si="146"/>
        <v/>
      </c>
      <c r="X1568" s="64">
        <f t="shared" si="147"/>
        <v>0</v>
      </c>
      <c r="Y1568" s="53">
        <f t="shared" si="148"/>
        <v>0</v>
      </c>
      <c r="Z1568" s="64">
        <f t="shared" si="149"/>
        <v>0</v>
      </c>
    </row>
    <row r="1569" spans="1:26">
      <c r="A1569" s="89" t="str">
        <f t="shared" si="144"/>
        <v/>
      </c>
      <c r="B1569" s="89" t="str">
        <f t="shared" si="145"/>
        <v/>
      </c>
      <c r="S1569" s="89" t="str">
        <f t="shared" si="146"/>
        <v/>
      </c>
      <c r="X1569" s="64">
        <f t="shared" si="147"/>
        <v>0</v>
      </c>
      <c r="Y1569" s="53">
        <f t="shared" si="148"/>
        <v>0</v>
      </c>
      <c r="Z1569" s="64">
        <f t="shared" si="149"/>
        <v>0</v>
      </c>
    </row>
    <row r="1570" spans="1:26">
      <c r="A1570" s="89" t="str">
        <f t="shared" si="144"/>
        <v/>
      </c>
      <c r="B1570" s="89" t="str">
        <f t="shared" si="145"/>
        <v/>
      </c>
      <c r="S1570" s="89" t="str">
        <f t="shared" si="146"/>
        <v/>
      </c>
      <c r="X1570" s="64">
        <f t="shared" si="147"/>
        <v>0</v>
      </c>
      <c r="Y1570" s="53">
        <f t="shared" si="148"/>
        <v>0</v>
      </c>
      <c r="Z1570" s="64">
        <f t="shared" si="149"/>
        <v>0</v>
      </c>
    </row>
    <row r="1571" spans="1:26">
      <c r="A1571" s="89" t="str">
        <f t="shared" si="144"/>
        <v/>
      </c>
      <c r="B1571" s="89" t="str">
        <f t="shared" si="145"/>
        <v/>
      </c>
      <c r="S1571" s="89" t="str">
        <f t="shared" si="146"/>
        <v/>
      </c>
      <c r="X1571" s="64">
        <f t="shared" si="147"/>
        <v>0</v>
      </c>
      <c r="Y1571" s="53">
        <f t="shared" si="148"/>
        <v>0</v>
      </c>
      <c r="Z1571" s="64">
        <f t="shared" si="149"/>
        <v>0</v>
      </c>
    </row>
    <row r="1572" spans="1:26">
      <c r="A1572" s="89" t="str">
        <f t="shared" si="144"/>
        <v/>
      </c>
      <c r="B1572" s="89" t="str">
        <f t="shared" si="145"/>
        <v/>
      </c>
      <c r="S1572" s="89" t="str">
        <f t="shared" si="146"/>
        <v/>
      </c>
      <c r="X1572" s="64">
        <f t="shared" si="147"/>
        <v>0</v>
      </c>
      <c r="Y1572" s="53">
        <f t="shared" si="148"/>
        <v>0</v>
      </c>
      <c r="Z1572" s="64">
        <f t="shared" si="149"/>
        <v>0</v>
      </c>
    </row>
    <row r="1573" spans="1:26">
      <c r="A1573" s="89" t="str">
        <f t="shared" si="144"/>
        <v/>
      </c>
      <c r="B1573" s="89" t="str">
        <f t="shared" si="145"/>
        <v/>
      </c>
      <c r="S1573" s="89" t="str">
        <f t="shared" si="146"/>
        <v/>
      </c>
      <c r="X1573" s="64">
        <f t="shared" si="147"/>
        <v>0</v>
      </c>
      <c r="Y1573" s="53">
        <f t="shared" si="148"/>
        <v>0</v>
      </c>
      <c r="Z1573" s="64">
        <f t="shared" si="149"/>
        <v>0</v>
      </c>
    </row>
    <row r="1574" spans="1:26">
      <c r="A1574" s="89" t="str">
        <f t="shared" si="144"/>
        <v/>
      </c>
      <c r="B1574" s="89" t="str">
        <f t="shared" si="145"/>
        <v/>
      </c>
      <c r="S1574" s="89" t="str">
        <f t="shared" si="146"/>
        <v/>
      </c>
      <c r="X1574" s="64">
        <f t="shared" si="147"/>
        <v>0</v>
      </c>
      <c r="Y1574" s="53">
        <f t="shared" si="148"/>
        <v>0</v>
      </c>
      <c r="Z1574" s="64">
        <f t="shared" si="149"/>
        <v>0</v>
      </c>
    </row>
    <row r="1575" spans="1:26">
      <c r="A1575" s="89" t="str">
        <f t="shared" si="144"/>
        <v/>
      </c>
      <c r="B1575" s="89" t="str">
        <f t="shared" si="145"/>
        <v/>
      </c>
      <c r="S1575" s="89" t="str">
        <f t="shared" si="146"/>
        <v/>
      </c>
      <c r="X1575" s="64">
        <f t="shared" si="147"/>
        <v>0</v>
      </c>
      <c r="Y1575" s="53">
        <f t="shared" si="148"/>
        <v>0</v>
      </c>
      <c r="Z1575" s="64">
        <f t="shared" si="149"/>
        <v>0</v>
      </c>
    </row>
    <row r="1576" spans="1:26">
      <c r="A1576" s="89" t="str">
        <f t="shared" si="144"/>
        <v/>
      </c>
      <c r="B1576" s="89" t="str">
        <f t="shared" si="145"/>
        <v/>
      </c>
      <c r="S1576" s="89" t="str">
        <f t="shared" si="146"/>
        <v/>
      </c>
      <c r="X1576" s="64">
        <f t="shared" si="147"/>
        <v>0</v>
      </c>
      <c r="Y1576" s="53">
        <f t="shared" si="148"/>
        <v>0</v>
      </c>
      <c r="Z1576" s="64">
        <f t="shared" si="149"/>
        <v>0</v>
      </c>
    </row>
    <row r="1577" spans="1:26">
      <c r="A1577" s="89" t="str">
        <f t="shared" si="144"/>
        <v/>
      </c>
      <c r="B1577" s="89" t="str">
        <f t="shared" si="145"/>
        <v/>
      </c>
      <c r="S1577" s="89" t="str">
        <f t="shared" si="146"/>
        <v/>
      </c>
      <c r="X1577" s="64">
        <f t="shared" si="147"/>
        <v>0</v>
      </c>
      <c r="Y1577" s="53">
        <f t="shared" si="148"/>
        <v>0</v>
      </c>
      <c r="Z1577" s="64">
        <f t="shared" si="149"/>
        <v>0</v>
      </c>
    </row>
    <row r="1578" spans="1:26">
      <c r="A1578" s="89" t="str">
        <f t="shared" si="144"/>
        <v/>
      </c>
      <c r="B1578" s="89" t="str">
        <f t="shared" si="145"/>
        <v/>
      </c>
      <c r="S1578" s="89" t="str">
        <f t="shared" si="146"/>
        <v/>
      </c>
      <c r="X1578" s="64">
        <f t="shared" si="147"/>
        <v>0</v>
      </c>
      <c r="Y1578" s="53">
        <f t="shared" si="148"/>
        <v>0</v>
      </c>
      <c r="Z1578" s="64">
        <f t="shared" si="149"/>
        <v>0</v>
      </c>
    </row>
    <row r="1579" spans="1:26">
      <c r="A1579" s="89" t="str">
        <f t="shared" si="144"/>
        <v/>
      </c>
      <c r="B1579" s="89" t="str">
        <f t="shared" si="145"/>
        <v/>
      </c>
      <c r="S1579" s="89" t="str">
        <f t="shared" si="146"/>
        <v/>
      </c>
      <c r="X1579" s="64">
        <f t="shared" si="147"/>
        <v>0</v>
      </c>
      <c r="Y1579" s="53">
        <f t="shared" si="148"/>
        <v>0</v>
      </c>
      <c r="Z1579" s="64">
        <f t="shared" si="149"/>
        <v>0</v>
      </c>
    </row>
    <row r="1580" spans="1:26">
      <c r="A1580" s="89" t="str">
        <f t="shared" si="144"/>
        <v/>
      </c>
      <c r="B1580" s="89" t="str">
        <f t="shared" si="145"/>
        <v/>
      </c>
      <c r="S1580" s="89" t="str">
        <f t="shared" si="146"/>
        <v/>
      </c>
      <c r="X1580" s="64">
        <f t="shared" si="147"/>
        <v>0</v>
      </c>
      <c r="Y1580" s="53">
        <f t="shared" si="148"/>
        <v>0</v>
      </c>
      <c r="Z1580" s="64">
        <f t="shared" si="149"/>
        <v>0</v>
      </c>
    </row>
    <row r="1581" spans="1:26">
      <c r="A1581" s="89" t="str">
        <f t="shared" si="144"/>
        <v/>
      </c>
      <c r="B1581" s="89" t="str">
        <f t="shared" si="145"/>
        <v/>
      </c>
      <c r="S1581" s="89" t="str">
        <f t="shared" si="146"/>
        <v/>
      </c>
      <c r="X1581" s="64">
        <f t="shared" si="147"/>
        <v>0</v>
      </c>
      <c r="Y1581" s="53">
        <f t="shared" si="148"/>
        <v>0</v>
      </c>
      <c r="Z1581" s="64">
        <f t="shared" si="149"/>
        <v>0</v>
      </c>
    </row>
    <row r="1582" spans="1:26">
      <c r="A1582" s="89" t="str">
        <f t="shared" si="144"/>
        <v/>
      </c>
      <c r="B1582" s="89" t="str">
        <f t="shared" si="145"/>
        <v/>
      </c>
      <c r="S1582" s="89" t="str">
        <f t="shared" si="146"/>
        <v/>
      </c>
      <c r="X1582" s="64">
        <f t="shared" si="147"/>
        <v>0</v>
      </c>
      <c r="Y1582" s="53">
        <f t="shared" si="148"/>
        <v>0</v>
      </c>
      <c r="Z1582" s="64">
        <f t="shared" si="149"/>
        <v>0</v>
      </c>
    </row>
    <row r="1583" spans="1:26">
      <c r="A1583" s="89" t="str">
        <f t="shared" si="144"/>
        <v/>
      </c>
      <c r="B1583" s="89" t="str">
        <f t="shared" si="145"/>
        <v/>
      </c>
      <c r="S1583" s="89" t="str">
        <f t="shared" si="146"/>
        <v/>
      </c>
      <c r="X1583" s="64">
        <f t="shared" si="147"/>
        <v>0</v>
      </c>
      <c r="Y1583" s="53">
        <f t="shared" si="148"/>
        <v>0</v>
      </c>
      <c r="Z1583" s="64">
        <f t="shared" si="149"/>
        <v>0</v>
      </c>
    </row>
    <row r="1584" spans="1:26">
      <c r="A1584" s="89" t="str">
        <f t="shared" si="144"/>
        <v/>
      </c>
      <c r="B1584" s="89" t="str">
        <f t="shared" si="145"/>
        <v/>
      </c>
      <c r="S1584" s="89" t="str">
        <f t="shared" si="146"/>
        <v/>
      </c>
      <c r="X1584" s="64">
        <f t="shared" si="147"/>
        <v>0</v>
      </c>
      <c r="Y1584" s="53">
        <f t="shared" si="148"/>
        <v>0</v>
      </c>
      <c r="Z1584" s="64">
        <f t="shared" si="149"/>
        <v>0</v>
      </c>
    </row>
    <row r="1585" spans="1:26">
      <c r="A1585" s="89" t="str">
        <f t="shared" si="144"/>
        <v/>
      </c>
      <c r="B1585" s="89" t="str">
        <f t="shared" si="145"/>
        <v/>
      </c>
      <c r="S1585" s="89" t="str">
        <f t="shared" si="146"/>
        <v/>
      </c>
      <c r="X1585" s="64">
        <f t="shared" si="147"/>
        <v>0</v>
      </c>
      <c r="Y1585" s="53">
        <f t="shared" si="148"/>
        <v>0</v>
      </c>
      <c r="Z1585" s="64">
        <f t="shared" si="149"/>
        <v>0</v>
      </c>
    </row>
    <row r="1586" spans="1:26">
      <c r="A1586" s="89" t="str">
        <f t="shared" si="144"/>
        <v/>
      </c>
      <c r="B1586" s="89" t="str">
        <f t="shared" si="145"/>
        <v/>
      </c>
      <c r="S1586" s="89" t="str">
        <f t="shared" si="146"/>
        <v/>
      </c>
      <c r="X1586" s="64">
        <f t="shared" si="147"/>
        <v>0</v>
      </c>
      <c r="Y1586" s="53">
        <f t="shared" si="148"/>
        <v>0</v>
      </c>
      <c r="Z1586" s="64">
        <f t="shared" si="149"/>
        <v>0</v>
      </c>
    </row>
    <row r="1587" spans="1:26">
      <c r="A1587" s="89" t="str">
        <f t="shared" si="144"/>
        <v/>
      </c>
      <c r="B1587" s="89" t="str">
        <f t="shared" si="145"/>
        <v/>
      </c>
      <c r="S1587" s="89" t="str">
        <f t="shared" si="146"/>
        <v/>
      </c>
      <c r="X1587" s="64">
        <f t="shared" si="147"/>
        <v>0</v>
      </c>
      <c r="Y1587" s="53">
        <f t="shared" si="148"/>
        <v>0</v>
      </c>
      <c r="Z1587" s="64">
        <f t="shared" si="149"/>
        <v>0</v>
      </c>
    </row>
    <row r="1588" spans="1:26">
      <c r="A1588" s="89" t="str">
        <f t="shared" si="144"/>
        <v/>
      </c>
      <c r="B1588" s="89" t="str">
        <f t="shared" si="145"/>
        <v/>
      </c>
      <c r="S1588" s="89" t="str">
        <f t="shared" si="146"/>
        <v/>
      </c>
      <c r="X1588" s="64">
        <f t="shared" si="147"/>
        <v>0</v>
      </c>
      <c r="Y1588" s="53">
        <f t="shared" si="148"/>
        <v>0</v>
      </c>
      <c r="Z1588" s="64">
        <f t="shared" si="149"/>
        <v>0</v>
      </c>
    </row>
    <row r="1589" spans="1:26">
      <c r="A1589" s="89" t="str">
        <f t="shared" si="144"/>
        <v/>
      </c>
      <c r="B1589" s="89" t="str">
        <f t="shared" si="145"/>
        <v/>
      </c>
      <c r="S1589" s="89" t="str">
        <f t="shared" si="146"/>
        <v/>
      </c>
      <c r="X1589" s="64">
        <f t="shared" si="147"/>
        <v>0</v>
      </c>
      <c r="Y1589" s="53">
        <f t="shared" si="148"/>
        <v>0</v>
      </c>
      <c r="Z1589" s="64">
        <f t="shared" si="149"/>
        <v>0</v>
      </c>
    </row>
    <row r="1590" spans="1:26">
      <c r="A1590" s="89" t="str">
        <f t="shared" si="144"/>
        <v/>
      </c>
      <c r="B1590" s="89" t="str">
        <f t="shared" si="145"/>
        <v/>
      </c>
      <c r="S1590" s="89" t="str">
        <f t="shared" si="146"/>
        <v/>
      </c>
      <c r="X1590" s="64">
        <f t="shared" si="147"/>
        <v>0</v>
      </c>
      <c r="Y1590" s="53">
        <f t="shared" si="148"/>
        <v>0</v>
      </c>
      <c r="Z1590" s="64">
        <f t="shared" si="149"/>
        <v>0</v>
      </c>
    </row>
    <row r="1591" spans="1:26">
      <c r="A1591" s="89" t="str">
        <f t="shared" si="144"/>
        <v/>
      </c>
      <c r="B1591" s="89" t="str">
        <f t="shared" si="145"/>
        <v/>
      </c>
      <c r="S1591" s="89" t="str">
        <f t="shared" si="146"/>
        <v/>
      </c>
      <c r="X1591" s="64">
        <f t="shared" si="147"/>
        <v>0</v>
      </c>
      <c r="Y1591" s="53">
        <f t="shared" si="148"/>
        <v>0</v>
      </c>
      <c r="Z1591" s="64">
        <f t="shared" si="149"/>
        <v>0</v>
      </c>
    </row>
    <row r="1592" spans="1:26">
      <c r="A1592" s="89" t="str">
        <f t="shared" si="144"/>
        <v/>
      </c>
      <c r="B1592" s="89" t="str">
        <f t="shared" si="145"/>
        <v/>
      </c>
      <c r="S1592" s="89" t="str">
        <f t="shared" si="146"/>
        <v/>
      </c>
      <c r="X1592" s="64">
        <f t="shared" si="147"/>
        <v>0</v>
      </c>
      <c r="Y1592" s="53">
        <f t="shared" si="148"/>
        <v>0</v>
      </c>
      <c r="Z1592" s="64">
        <f t="shared" si="149"/>
        <v>0</v>
      </c>
    </row>
    <row r="1593" spans="1:26">
      <c r="A1593" s="89" t="str">
        <f t="shared" si="144"/>
        <v/>
      </c>
      <c r="B1593" s="89" t="str">
        <f t="shared" si="145"/>
        <v/>
      </c>
      <c r="S1593" s="89" t="str">
        <f t="shared" si="146"/>
        <v/>
      </c>
      <c r="X1593" s="64">
        <f t="shared" si="147"/>
        <v>0</v>
      </c>
      <c r="Y1593" s="53">
        <f t="shared" si="148"/>
        <v>0</v>
      </c>
      <c r="Z1593" s="64">
        <f t="shared" si="149"/>
        <v>0</v>
      </c>
    </row>
    <row r="1594" spans="1:26">
      <c r="A1594" s="89" t="str">
        <f t="shared" si="144"/>
        <v/>
      </c>
      <c r="B1594" s="89" t="str">
        <f t="shared" si="145"/>
        <v/>
      </c>
      <c r="S1594" s="89" t="str">
        <f t="shared" si="146"/>
        <v/>
      </c>
      <c r="X1594" s="64">
        <f t="shared" si="147"/>
        <v>0</v>
      </c>
      <c r="Y1594" s="53">
        <f t="shared" si="148"/>
        <v>0</v>
      </c>
      <c r="Z1594" s="64">
        <f t="shared" si="149"/>
        <v>0</v>
      </c>
    </row>
    <row r="1595" spans="1:26">
      <c r="A1595" s="89" t="str">
        <f t="shared" si="144"/>
        <v/>
      </c>
      <c r="B1595" s="89" t="str">
        <f t="shared" si="145"/>
        <v/>
      </c>
      <c r="S1595" s="89" t="str">
        <f t="shared" si="146"/>
        <v/>
      </c>
      <c r="X1595" s="64">
        <f t="shared" si="147"/>
        <v>0</v>
      </c>
      <c r="Y1595" s="53">
        <f t="shared" si="148"/>
        <v>0</v>
      </c>
      <c r="Z1595" s="64">
        <f t="shared" si="149"/>
        <v>0</v>
      </c>
    </row>
    <row r="1596" spans="1:26">
      <c r="A1596" s="89" t="str">
        <f t="shared" si="144"/>
        <v/>
      </c>
      <c r="B1596" s="89" t="str">
        <f t="shared" si="145"/>
        <v/>
      </c>
      <c r="S1596" s="89" t="str">
        <f t="shared" si="146"/>
        <v/>
      </c>
      <c r="X1596" s="64">
        <f t="shared" si="147"/>
        <v>0</v>
      </c>
      <c r="Y1596" s="53">
        <f t="shared" si="148"/>
        <v>0</v>
      </c>
      <c r="Z1596" s="64">
        <f t="shared" si="149"/>
        <v>0</v>
      </c>
    </row>
    <row r="1597" spans="1:26">
      <c r="A1597" s="89" t="str">
        <f t="shared" si="144"/>
        <v/>
      </c>
      <c r="B1597" s="89" t="str">
        <f t="shared" si="145"/>
        <v/>
      </c>
      <c r="S1597" s="89" t="str">
        <f t="shared" si="146"/>
        <v/>
      </c>
      <c r="X1597" s="64">
        <f t="shared" si="147"/>
        <v>0</v>
      </c>
      <c r="Y1597" s="53">
        <f t="shared" si="148"/>
        <v>0</v>
      </c>
      <c r="Z1597" s="64">
        <f t="shared" si="149"/>
        <v>0</v>
      </c>
    </row>
    <row r="1598" spans="1:26">
      <c r="A1598" s="89" t="str">
        <f t="shared" si="144"/>
        <v/>
      </c>
      <c r="B1598" s="89" t="str">
        <f t="shared" si="145"/>
        <v/>
      </c>
      <c r="S1598" s="89" t="str">
        <f t="shared" si="146"/>
        <v/>
      </c>
      <c r="X1598" s="64">
        <f t="shared" si="147"/>
        <v>0</v>
      </c>
      <c r="Y1598" s="53">
        <f t="shared" si="148"/>
        <v>0</v>
      </c>
      <c r="Z1598" s="64">
        <f t="shared" si="149"/>
        <v>0</v>
      </c>
    </row>
    <row r="1599" spans="1:26">
      <c r="A1599" s="89" t="str">
        <f t="shared" si="144"/>
        <v/>
      </c>
      <c r="B1599" s="89" t="str">
        <f t="shared" si="145"/>
        <v/>
      </c>
      <c r="S1599" s="89" t="str">
        <f t="shared" si="146"/>
        <v/>
      </c>
      <c r="X1599" s="64">
        <f t="shared" si="147"/>
        <v>0</v>
      </c>
      <c r="Y1599" s="53">
        <f t="shared" si="148"/>
        <v>0</v>
      </c>
      <c r="Z1599" s="64">
        <f t="shared" si="149"/>
        <v>0</v>
      </c>
    </row>
    <row r="1600" spans="1:26">
      <c r="A1600" s="89" t="str">
        <f t="shared" si="144"/>
        <v/>
      </c>
      <c r="B1600" s="89" t="str">
        <f t="shared" si="145"/>
        <v/>
      </c>
      <c r="S1600" s="89" t="str">
        <f t="shared" si="146"/>
        <v/>
      </c>
      <c r="X1600" s="64">
        <f t="shared" si="147"/>
        <v>0</v>
      </c>
      <c r="Y1600" s="53">
        <f t="shared" si="148"/>
        <v>0</v>
      </c>
      <c r="Z1600" s="64">
        <f t="shared" si="149"/>
        <v>0</v>
      </c>
    </row>
    <row r="1601" spans="1:26">
      <c r="A1601" s="89" t="str">
        <f t="shared" si="144"/>
        <v/>
      </c>
      <c r="B1601" s="89" t="str">
        <f t="shared" si="145"/>
        <v/>
      </c>
      <c r="S1601" s="89" t="str">
        <f t="shared" si="146"/>
        <v/>
      </c>
      <c r="X1601" s="64">
        <f t="shared" si="147"/>
        <v>0</v>
      </c>
      <c r="Y1601" s="53">
        <f t="shared" si="148"/>
        <v>0</v>
      </c>
      <c r="Z1601" s="64">
        <f t="shared" si="149"/>
        <v>0</v>
      </c>
    </row>
    <row r="1602" spans="1:26">
      <c r="A1602" s="89" t="str">
        <f t="shared" si="144"/>
        <v/>
      </c>
      <c r="B1602" s="89" t="str">
        <f t="shared" si="145"/>
        <v/>
      </c>
      <c r="S1602" s="89" t="str">
        <f t="shared" si="146"/>
        <v/>
      </c>
      <c r="X1602" s="64">
        <f t="shared" si="147"/>
        <v>0</v>
      </c>
      <c r="Y1602" s="53">
        <f t="shared" si="148"/>
        <v>0</v>
      </c>
      <c r="Z1602" s="64">
        <f t="shared" si="149"/>
        <v>0</v>
      </c>
    </row>
    <row r="1603" spans="1:26">
      <c r="A1603" s="89" t="str">
        <f t="shared" ref="A1603:A1666" si="150">IF(G1603&amp;Q1603&lt;&gt;"",G1603&amp;Q1603,"")</f>
        <v/>
      </c>
      <c r="B1603" s="89" t="str">
        <f t="shared" ref="B1603:B1666" si="151">IF(C1603&lt;&gt;"",LEFT(C1603,9),"")</f>
        <v/>
      </c>
      <c r="S1603" s="89" t="str">
        <f t="shared" ref="S1603:S1666" si="152">IF(H1603&lt;&gt;"",H1603,"")</f>
        <v/>
      </c>
      <c r="X1603" s="64">
        <f t="shared" ref="X1603:X1666" si="153">IFERROR(VALUE(MID($C1603,1,2)),0)</f>
        <v>0</v>
      </c>
      <c r="Y1603" s="53">
        <f t="shared" ref="Y1603:Y1666" si="154">IFERROR(VALUE(MID($C1603,4,3)),0)</f>
        <v>0</v>
      </c>
      <c r="Z1603" s="64">
        <f t="shared" ref="Z1603:Z1666" si="155">VALUE(RIGHT("00"&amp;X1603,2)&amp;RIGHT("000"&amp;Y1603,3))</f>
        <v>0</v>
      </c>
    </row>
    <row r="1604" spans="1:26">
      <c r="A1604" s="89" t="str">
        <f t="shared" si="150"/>
        <v/>
      </c>
      <c r="B1604" s="89" t="str">
        <f t="shared" si="151"/>
        <v/>
      </c>
      <c r="S1604" s="89" t="str">
        <f t="shared" si="152"/>
        <v/>
      </c>
      <c r="X1604" s="64">
        <f t="shared" si="153"/>
        <v>0</v>
      </c>
      <c r="Y1604" s="53">
        <f t="shared" si="154"/>
        <v>0</v>
      </c>
      <c r="Z1604" s="64">
        <f t="shared" si="155"/>
        <v>0</v>
      </c>
    </row>
    <row r="1605" spans="1:26">
      <c r="A1605" s="89" t="str">
        <f t="shared" si="150"/>
        <v/>
      </c>
      <c r="B1605" s="89" t="str">
        <f t="shared" si="151"/>
        <v/>
      </c>
      <c r="S1605" s="89" t="str">
        <f t="shared" si="152"/>
        <v/>
      </c>
      <c r="X1605" s="64">
        <f t="shared" si="153"/>
        <v>0</v>
      </c>
      <c r="Y1605" s="53">
        <f t="shared" si="154"/>
        <v>0</v>
      </c>
      <c r="Z1605" s="64">
        <f t="shared" si="155"/>
        <v>0</v>
      </c>
    </row>
    <row r="1606" spans="1:26">
      <c r="A1606" s="89" t="str">
        <f t="shared" si="150"/>
        <v/>
      </c>
      <c r="B1606" s="89" t="str">
        <f t="shared" si="151"/>
        <v/>
      </c>
      <c r="S1606" s="89" t="str">
        <f t="shared" si="152"/>
        <v/>
      </c>
      <c r="X1606" s="64">
        <f t="shared" si="153"/>
        <v>0</v>
      </c>
      <c r="Y1606" s="53">
        <f t="shared" si="154"/>
        <v>0</v>
      </c>
      <c r="Z1606" s="64">
        <f t="shared" si="155"/>
        <v>0</v>
      </c>
    </row>
    <row r="1607" spans="1:26">
      <c r="A1607" s="89" t="str">
        <f t="shared" si="150"/>
        <v/>
      </c>
      <c r="B1607" s="89" t="str">
        <f t="shared" si="151"/>
        <v/>
      </c>
      <c r="S1607" s="89" t="str">
        <f t="shared" si="152"/>
        <v/>
      </c>
      <c r="X1607" s="64">
        <f t="shared" si="153"/>
        <v>0</v>
      </c>
      <c r="Y1607" s="53">
        <f t="shared" si="154"/>
        <v>0</v>
      </c>
      <c r="Z1607" s="64">
        <f t="shared" si="155"/>
        <v>0</v>
      </c>
    </row>
    <row r="1608" spans="1:26">
      <c r="A1608" s="89" t="str">
        <f t="shared" si="150"/>
        <v/>
      </c>
      <c r="B1608" s="89" t="str">
        <f t="shared" si="151"/>
        <v/>
      </c>
      <c r="S1608" s="89" t="str">
        <f t="shared" si="152"/>
        <v/>
      </c>
      <c r="X1608" s="64">
        <f t="shared" si="153"/>
        <v>0</v>
      </c>
      <c r="Y1608" s="53">
        <f t="shared" si="154"/>
        <v>0</v>
      </c>
      <c r="Z1608" s="64">
        <f t="shared" si="155"/>
        <v>0</v>
      </c>
    </row>
    <row r="1609" spans="1:26">
      <c r="A1609" s="89" t="str">
        <f t="shared" si="150"/>
        <v/>
      </c>
      <c r="B1609" s="89" t="str">
        <f t="shared" si="151"/>
        <v/>
      </c>
      <c r="S1609" s="89" t="str">
        <f t="shared" si="152"/>
        <v/>
      </c>
      <c r="X1609" s="64">
        <f t="shared" si="153"/>
        <v>0</v>
      </c>
      <c r="Y1609" s="53">
        <f t="shared" si="154"/>
        <v>0</v>
      </c>
      <c r="Z1609" s="64">
        <f t="shared" si="155"/>
        <v>0</v>
      </c>
    </row>
    <row r="1610" spans="1:26">
      <c r="A1610" s="89" t="str">
        <f t="shared" si="150"/>
        <v/>
      </c>
      <c r="B1610" s="89" t="str">
        <f t="shared" si="151"/>
        <v/>
      </c>
      <c r="S1610" s="89" t="str">
        <f t="shared" si="152"/>
        <v/>
      </c>
      <c r="X1610" s="64">
        <f t="shared" si="153"/>
        <v>0</v>
      </c>
      <c r="Y1610" s="53">
        <f t="shared" si="154"/>
        <v>0</v>
      </c>
      <c r="Z1610" s="64">
        <f t="shared" si="155"/>
        <v>0</v>
      </c>
    </row>
    <row r="1611" spans="1:26">
      <c r="A1611" s="89" t="str">
        <f t="shared" si="150"/>
        <v/>
      </c>
      <c r="B1611" s="89" t="str">
        <f t="shared" si="151"/>
        <v/>
      </c>
      <c r="S1611" s="89" t="str">
        <f t="shared" si="152"/>
        <v/>
      </c>
      <c r="X1611" s="64">
        <f t="shared" si="153"/>
        <v>0</v>
      </c>
      <c r="Y1611" s="53">
        <f t="shared" si="154"/>
        <v>0</v>
      </c>
      <c r="Z1611" s="64">
        <f t="shared" si="155"/>
        <v>0</v>
      </c>
    </row>
    <row r="1612" spans="1:26">
      <c r="A1612" s="89" t="str">
        <f t="shared" si="150"/>
        <v/>
      </c>
      <c r="B1612" s="89" t="str">
        <f t="shared" si="151"/>
        <v/>
      </c>
      <c r="S1612" s="89" t="str">
        <f t="shared" si="152"/>
        <v/>
      </c>
      <c r="X1612" s="64">
        <f t="shared" si="153"/>
        <v>0</v>
      </c>
      <c r="Y1612" s="53">
        <f t="shared" si="154"/>
        <v>0</v>
      </c>
      <c r="Z1612" s="64">
        <f t="shared" si="155"/>
        <v>0</v>
      </c>
    </row>
    <row r="1613" spans="1:26">
      <c r="A1613" s="89" t="str">
        <f t="shared" si="150"/>
        <v/>
      </c>
      <c r="B1613" s="89" t="str">
        <f t="shared" si="151"/>
        <v/>
      </c>
      <c r="S1613" s="89" t="str">
        <f t="shared" si="152"/>
        <v/>
      </c>
      <c r="X1613" s="64">
        <f t="shared" si="153"/>
        <v>0</v>
      </c>
      <c r="Y1613" s="53">
        <f t="shared" si="154"/>
        <v>0</v>
      </c>
      <c r="Z1613" s="64">
        <f t="shared" si="155"/>
        <v>0</v>
      </c>
    </row>
    <row r="1614" spans="1:26">
      <c r="A1614" s="89" t="str">
        <f t="shared" si="150"/>
        <v/>
      </c>
      <c r="B1614" s="89" t="str">
        <f t="shared" si="151"/>
        <v/>
      </c>
      <c r="S1614" s="89" t="str">
        <f t="shared" si="152"/>
        <v/>
      </c>
      <c r="X1614" s="64">
        <f t="shared" si="153"/>
        <v>0</v>
      </c>
      <c r="Y1614" s="53">
        <f t="shared" si="154"/>
        <v>0</v>
      </c>
      <c r="Z1614" s="64">
        <f t="shared" si="155"/>
        <v>0</v>
      </c>
    </row>
    <row r="1615" spans="1:26">
      <c r="A1615" s="89" t="str">
        <f t="shared" si="150"/>
        <v/>
      </c>
      <c r="B1615" s="89" t="str">
        <f t="shared" si="151"/>
        <v/>
      </c>
      <c r="S1615" s="89" t="str">
        <f t="shared" si="152"/>
        <v/>
      </c>
      <c r="X1615" s="64">
        <f t="shared" si="153"/>
        <v>0</v>
      </c>
      <c r="Y1615" s="53">
        <f t="shared" si="154"/>
        <v>0</v>
      </c>
      <c r="Z1615" s="64">
        <f t="shared" si="155"/>
        <v>0</v>
      </c>
    </row>
    <row r="1616" spans="1:26">
      <c r="A1616" s="89" t="str">
        <f t="shared" si="150"/>
        <v/>
      </c>
      <c r="B1616" s="89" t="str">
        <f t="shared" si="151"/>
        <v/>
      </c>
      <c r="S1616" s="89" t="str">
        <f t="shared" si="152"/>
        <v/>
      </c>
      <c r="X1616" s="64">
        <f t="shared" si="153"/>
        <v>0</v>
      </c>
      <c r="Y1616" s="53">
        <f t="shared" si="154"/>
        <v>0</v>
      </c>
      <c r="Z1616" s="64">
        <f t="shared" si="155"/>
        <v>0</v>
      </c>
    </row>
    <row r="1617" spans="1:26">
      <c r="A1617" s="89" t="str">
        <f t="shared" si="150"/>
        <v/>
      </c>
      <c r="B1617" s="89" t="str">
        <f t="shared" si="151"/>
        <v/>
      </c>
      <c r="S1617" s="89" t="str">
        <f t="shared" si="152"/>
        <v/>
      </c>
      <c r="X1617" s="64">
        <f t="shared" si="153"/>
        <v>0</v>
      </c>
      <c r="Y1617" s="53">
        <f t="shared" si="154"/>
        <v>0</v>
      </c>
      <c r="Z1617" s="64">
        <f t="shared" si="155"/>
        <v>0</v>
      </c>
    </row>
    <row r="1618" spans="1:26">
      <c r="A1618" s="89" t="str">
        <f t="shared" si="150"/>
        <v/>
      </c>
      <c r="B1618" s="89" t="str">
        <f t="shared" si="151"/>
        <v/>
      </c>
      <c r="S1618" s="89" t="str">
        <f t="shared" si="152"/>
        <v/>
      </c>
      <c r="X1618" s="64">
        <f t="shared" si="153"/>
        <v>0</v>
      </c>
      <c r="Y1618" s="53">
        <f t="shared" si="154"/>
        <v>0</v>
      </c>
      <c r="Z1618" s="64">
        <f t="shared" si="155"/>
        <v>0</v>
      </c>
    </row>
    <row r="1619" spans="1:26">
      <c r="A1619" s="89" t="str">
        <f t="shared" si="150"/>
        <v/>
      </c>
      <c r="B1619" s="89" t="str">
        <f t="shared" si="151"/>
        <v/>
      </c>
      <c r="S1619" s="89" t="str">
        <f t="shared" si="152"/>
        <v/>
      </c>
      <c r="X1619" s="64">
        <f t="shared" si="153"/>
        <v>0</v>
      </c>
      <c r="Y1619" s="53">
        <f t="shared" si="154"/>
        <v>0</v>
      </c>
      <c r="Z1619" s="64">
        <f t="shared" si="155"/>
        <v>0</v>
      </c>
    </row>
    <row r="1620" spans="1:26">
      <c r="A1620" s="89" t="str">
        <f t="shared" si="150"/>
        <v/>
      </c>
      <c r="B1620" s="89" t="str">
        <f t="shared" si="151"/>
        <v/>
      </c>
      <c r="S1620" s="89" t="str">
        <f t="shared" si="152"/>
        <v/>
      </c>
      <c r="X1620" s="64">
        <f t="shared" si="153"/>
        <v>0</v>
      </c>
      <c r="Y1620" s="53">
        <f t="shared" si="154"/>
        <v>0</v>
      </c>
      <c r="Z1620" s="64">
        <f t="shared" si="155"/>
        <v>0</v>
      </c>
    </row>
    <row r="1621" spans="1:26">
      <c r="A1621" s="89" t="str">
        <f t="shared" si="150"/>
        <v/>
      </c>
      <c r="B1621" s="89" t="str">
        <f t="shared" si="151"/>
        <v/>
      </c>
      <c r="S1621" s="89" t="str">
        <f t="shared" si="152"/>
        <v/>
      </c>
      <c r="X1621" s="64">
        <f t="shared" si="153"/>
        <v>0</v>
      </c>
      <c r="Y1621" s="53">
        <f t="shared" si="154"/>
        <v>0</v>
      </c>
      <c r="Z1621" s="64">
        <f t="shared" si="155"/>
        <v>0</v>
      </c>
    </row>
    <row r="1622" spans="1:26">
      <c r="A1622" s="89" t="str">
        <f t="shared" si="150"/>
        <v/>
      </c>
      <c r="B1622" s="89" t="str">
        <f t="shared" si="151"/>
        <v/>
      </c>
      <c r="S1622" s="89" t="str">
        <f t="shared" si="152"/>
        <v/>
      </c>
      <c r="X1622" s="64">
        <f t="shared" si="153"/>
        <v>0</v>
      </c>
      <c r="Y1622" s="53">
        <f t="shared" si="154"/>
        <v>0</v>
      </c>
      <c r="Z1622" s="64">
        <f t="shared" si="155"/>
        <v>0</v>
      </c>
    </row>
    <row r="1623" spans="1:26">
      <c r="A1623" s="89" t="str">
        <f t="shared" si="150"/>
        <v/>
      </c>
      <c r="B1623" s="89" t="str">
        <f t="shared" si="151"/>
        <v/>
      </c>
      <c r="S1623" s="89" t="str">
        <f t="shared" si="152"/>
        <v/>
      </c>
      <c r="X1623" s="64">
        <f t="shared" si="153"/>
        <v>0</v>
      </c>
      <c r="Y1623" s="53">
        <f t="shared" si="154"/>
        <v>0</v>
      </c>
      <c r="Z1623" s="64">
        <f t="shared" si="155"/>
        <v>0</v>
      </c>
    </row>
    <row r="1624" spans="1:26">
      <c r="A1624" s="89" t="str">
        <f t="shared" si="150"/>
        <v/>
      </c>
      <c r="B1624" s="89" t="str">
        <f t="shared" si="151"/>
        <v/>
      </c>
      <c r="S1624" s="89" t="str">
        <f t="shared" si="152"/>
        <v/>
      </c>
      <c r="X1624" s="64">
        <f t="shared" si="153"/>
        <v>0</v>
      </c>
      <c r="Y1624" s="53">
        <f t="shared" si="154"/>
        <v>0</v>
      </c>
      <c r="Z1624" s="64">
        <f t="shared" si="155"/>
        <v>0</v>
      </c>
    </row>
    <row r="1625" spans="1:26">
      <c r="A1625" s="89" t="str">
        <f t="shared" si="150"/>
        <v/>
      </c>
      <c r="B1625" s="89" t="str">
        <f t="shared" si="151"/>
        <v/>
      </c>
      <c r="S1625" s="89" t="str">
        <f t="shared" si="152"/>
        <v/>
      </c>
      <c r="X1625" s="64">
        <f t="shared" si="153"/>
        <v>0</v>
      </c>
      <c r="Y1625" s="53">
        <f t="shared" si="154"/>
        <v>0</v>
      </c>
      <c r="Z1625" s="64">
        <f t="shared" si="155"/>
        <v>0</v>
      </c>
    </row>
    <row r="1626" spans="1:26">
      <c r="A1626" s="89" t="str">
        <f t="shared" si="150"/>
        <v/>
      </c>
      <c r="B1626" s="89" t="str">
        <f t="shared" si="151"/>
        <v/>
      </c>
      <c r="S1626" s="89" t="str">
        <f t="shared" si="152"/>
        <v/>
      </c>
      <c r="X1626" s="64">
        <f t="shared" si="153"/>
        <v>0</v>
      </c>
      <c r="Y1626" s="53">
        <f t="shared" si="154"/>
        <v>0</v>
      </c>
      <c r="Z1626" s="64">
        <f t="shared" si="155"/>
        <v>0</v>
      </c>
    </row>
    <row r="1627" spans="1:26">
      <c r="A1627" s="89" t="str">
        <f t="shared" si="150"/>
        <v/>
      </c>
      <c r="B1627" s="89" t="str">
        <f t="shared" si="151"/>
        <v/>
      </c>
      <c r="S1627" s="89" t="str">
        <f t="shared" si="152"/>
        <v/>
      </c>
      <c r="X1627" s="64">
        <f t="shared" si="153"/>
        <v>0</v>
      </c>
      <c r="Y1627" s="53">
        <f t="shared" si="154"/>
        <v>0</v>
      </c>
      <c r="Z1627" s="64">
        <f t="shared" si="155"/>
        <v>0</v>
      </c>
    </row>
    <row r="1628" spans="1:26">
      <c r="A1628" s="89" t="str">
        <f t="shared" si="150"/>
        <v/>
      </c>
      <c r="B1628" s="89" t="str">
        <f t="shared" si="151"/>
        <v/>
      </c>
      <c r="S1628" s="89" t="str">
        <f t="shared" si="152"/>
        <v/>
      </c>
      <c r="X1628" s="64">
        <f t="shared" si="153"/>
        <v>0</v>
      </c>
      <c r="Y1628" s="53">
        <f t="shared" si="154"/>
        <v>0</v>
      </c>
      <c r="Z1628" s="64">
        <f t="shared" si="155"/>
        <v>0</v>
      </c>
    </row>
    <row r="1629" spans="1:26">
      <c r="A1629" s="89" t="str">
        <f t="shared" si="150"/>
        <v/>
      </c>
      <c r="B1629" s="89" t="str">
        <f t="shared" si="151"/>
        <v/>
      </c>
      <c r="S1629" s="89" t="str">
        <f t="shared" si="152"/>
        <v/>
      </c>
      <c r="X1629" s="64">
        <f t="shared" si="153"/>
        <v>0</v>
      </c>
      <c r="Y1629" s="53">
        <f t="shared" si="154"/>
        <v>0</v>
      </c>
      <c r="Z1629" s="64">
        <f t="shared" si="155"/>
        <v>0</v>
      </c>
    </row>
    <row r="1630" spans="1:26">
      <c r="A1630" s="89" t="str">
        <f t="shared" si="150"/>
        <v/>
      </c>
      <c r="B1630" s="89" t="str">
        <f t="shared" si="151"/>
        <v/>
      </c>
      <c r="S1630" s="89" t="str">
        <f t="shared" si="152"/>
        <v/>
      </c>
      <c r="X1630" s="64">
        <f t="shared" si="153"/>
        <v>0</v>
      </c>
      <c r="Y1630" s="53">
        <f t="shared" si="154"/>
        <v>0</v>
      </c>
      <c r="Z1630" s="64">
        <f t="shared" si="155"/>
        <v>0</v>
      </c>
    </row>
    <row r="1631" spans="1:26">
      <c r="A1631" s="89" t="str">
        <f t="shared" si="150"/>
        <v/>
      </c>
      <c r="B1631" s="89" t="str">
        <f t="shared" si="151"/>
        <v/>
      </c>
      <c r="S1631" s="89" t="str">
        <f t="shared" si="152"/>
        <v/>
      </c>
      <c r="X1631" s="64">
        <f t="shared" si="153"/>
        <v>0</v>
      </c>
      <c r="Y1631" s="53">
        <f t="shared" si="154"/>
        <v>0</v>
      </c>
      <c r="Z1631" s="64">
        <f t="shared" si="155"/>
        <v>0</v>
      </c>
    </row>
    <row r="1632" spans="1:26">
      <c r="A1632" s="89" t="str">
        <f t="shared" si="150"/>
        <v/>
      </c>
      <c r="B1632" s="89" t="str">
        <f t="shared" si="151"/>
        <v/>
      </c>
      <c r="S1632" s="89" t="str">
        <f t="shared" si="152"/>
        <v/>
      </c>
      <c r="X1632" s="64">
        <f t="shared" si="153"/>
        <v>0</v>
      </c>
      <c r="Y1632" s="53">
        <f t="shared" si="154"/>
        <v>0</v>
      </c>
      <c r="Z1632" s="64">
        <f t="shared" si="155"/>
        <v>0</v>
      </c>
    </row>
    <row r="1633" spans="1:26">
      <c r="A1633" s="89" t="str">
        <f t="shared" si="150"/>
        <v/>
      </c>
      <c r="B1633" s="89" t="str">
        <f t="shared" si="151"/>
        <v/>
      </c>
      <c r="S1633" s="89" t="str">
        <f t="shared" si="152"/>
        <v/>
      </c>
      <c r="X1633" s="64">
        <f t="shared" si="153"/>
        <v>0</v>
      </c>
      <c r="Y1633" s="53">
        <f t="shared" si="154"/>
        <v>0</v>
      </c>
      <c r="Z1633" s="64">
        <f t="shared" si="155"/>
        <v>0</v>
      </c>
    </row>
    <row r="1634" spans="1:26">
      <c r="A1634" s="89" t="str">
        <f t="shared" si="150"/>
        <v/>
      </c>
      <c r="B1634" s="89" t="str">
        <f t="shared" si="151"/>
        <v/>
      </c>
      <c r="S1634" s="89" t="str">
        <f t="shared" si="152"/>
        <v/>
      </c>
      <c r="X1634" s="64">
        <f t="shared" si="153"/>
        <v>0</v>
      </c>
      <c r="Y1634" s="53">
        <f t="shared" si="154"/>
        <v>0</v>
      </c>
      <c r="Z1634" s="64">
        <f t="shared" si="155"/>
        <v>0</v>
      </c>
    </row>
    <row r="1635" spans="1:26">
      <c r="A1635" s="89" t="str">
        <f t="shared" si="150"/>
        <v/>
      </c>
      <c r="B1635" s="89" t="str">
        <f t="shared" si="151"/>
        <v/>
      </c>
      <c r="S1635" s="89" t="str">
        <f t="shared" si="152"/>
        <v/>
      </c>
      <c r="X1635" s="64">
        <f t="shared" si="153"/>
        <v>0</v>
      </c>
      <c r="Y1635" s="53">
        <f t="shared" si="154"/>
        <v>0</v>
      </c>
      <c r="Z1635" s="64">
        <f t="shared" si="155"/>
        <v>0</v>
      </c>
    </row>
    <row r="1636" spans="1:26">
      <c r="A1636" s="89" t="str">
        <f t="shared" si="150"/>
        <v/>
      </c>
      <c r="B1636" s="89" t="str">
        <f t="shared" si="151"/>
        <v/>
      </c>
      <c r="S1636" s="89" t="str">
        <f t="shared" si="152"/>
        <v/>
      </c>
      <c r="X1636" s="64">
        <f t="shared" si="153"/>
        <v>0</v>
      </c>
      <c r="Y1636" s="53">
        <f t="shared" si="154"/>
        <v>0</v>
      </c>
      <c r="Z1636" s="64">
        <f t="shared" si="155"/>
        <v>0</v>
      </c>
    </row>
    <row r="1637" spans="1:26">
      <c r="A1637" s="89" t="str">
        <f t="shared" si="150"/>
        <v/>
      </c>
      <c r="B1637" s="89" t="str">
        <f t="shared" si="151"/>
        <v/>
      </c>
      <c r="S1637" s="89" t="str">
        <f t="shared" si="152"/>
        <v/>
      </c>
      <c r="X1637" s="64">
        <f t="shared" si="153"/>
        <v>0</v>
      </c>
      <c r="Y1637" s="53">
        <f t="shared" si="154"/>
        <v>0</v>
      </c>
      <c r="Z1637" s="64">
        <f t="shared" si="155"/>
        <v>0</v>
      </c>
    </row>
    <row r="1638" spans="1:26">
      <c r="A1638" s="89" t="str">
        <f t="shared" si="150"/>
        <v/>
      </c>
      <c r="B1638" s="89" t="str">
        <f t="shared" si="151"/>
        <v/>
      </c>
      <c r="S1638" s="89" t="str">
        <f t="shared" si="152"/>
        <v/>
      </c>
      <c r="X1638" s="64">
        <f t="shared" si="153"/>
        <v>0</v>
      </c>
      <c r="Y1638" s="53">
        <f t="shared" si="154"/>
        <v>0</v>
      </c>
      <c r="Z1638" s="64">
        <f t="shared" si="155"/>
        <v>0</v>
      </c>
    </row>
    <row r="1639" spans="1:26">
      <c r="A1639" s="89" t="str">
        <f t="shared" si="150"/>
        <v/>
      </c>
      <c r="B1639" s="89" t="str">
        <f t="shared" si="151"/>
        <v/>
      </c>
      <c r="S1639" s="89" t="str">
        <f t="shared" si="152"/>
        <v/>
      </c>
      <c r="X1639" s="64">
        <f t="shared" si="153"/>
        <v>0</v>
      </c>
      <c r="Y1639" s="53">
        <f t="shared" si="154"/>
        <v>0</v>
      </c>
      <c r="Z1639" s="64">
        <f t="shared" si="155"/>
        <v>0</v>
      </c>
    </row>
    <row r="1640" spans="1:26">
      <c r="A1640" s="89" t="str">
        <f t="shared" si="150"/>
        <v/>
      </c>
      <c r="B1640" s="89" t="str">
        <f t="shared" si="151"/>
        <v/>
      </c>
      <c r="S1640" s="89" t="str">
        <f t="shared" si="152"/>
        <v/>
      </c>
      <c r="X1640" s="64">
        <f t="shared" si="153"/>
        <v>0</v>
      </c>
      <c r="Y1640" s="53">
        <f t="shared" si="154"/>
        <v>0</v>
      </c>
      <c r="Z1640" s="64">
        <f t="shared" si="155"/>
        <v>0</v>
      </c>
    </row>
    <row r="1641" spans="1:26">
      <c r="A1641" s="89" t="str">
        <f t="shared" si="150"/>
        <v/>
      </c>
      <c r="B1641" s="89" t="str">
        <f t="shared" si="151"/>
        <v/>
      </c>
      <c r="S1641" s="89" t="str">
        <f t="shared" si="152"/>
        <v/>
      </c>
      <c r="X1641" s="64">
        <f t="shared" si="153"/>
        <v>0</v>
      </c>
      <c r="Y1641" s="53">
        <f t="shared" si="154"/>
        <v>0</v>
      </c>
      <c r="Z1641" s="64">
        <f t="shared" si="155"/>
        <v>0</v>
      </c>
    </row>
    <row r="1642" spans="1:26">
      <c r="A1642" s="89" t="str">
        <f t="shared" si="150"/>
        <v/>
      </c>
      <c r="B1642" s="89" t="str">
        <f t="shared" si="151"/>
        <v/>
      </c>
      <c r="S1642" s="89" t="str">
        <f t="shared" si="152"/>
        <v/>
      </c>
      <c r="X1642" s="64">
        <f t="shared" si="153"/>
        <v>0</v>
      </c>
      <c r="Y1642" s="53">
        <f t="shared" si="154"/>
        <v>0</v>
      </c>
      <c r="Z1642" s="64">
        <f t="shared" si="155"/>
        <v>0</v>
      </c>
    </row>
    <row r="1643" spans="1:26">
      <c r="A1643" s="89" t="str">
        <f t="shared" si="150"/>
        <v/>
      </c>
      <c r="B1643" s="89" t="str">
        <f t="shared" si="151"/>
        <v/>
      </c>
      <c r="S1643" s="89" t="str">
        <f t="shared" si="152"/>
        <v/>
      </c>
      <c r="X1643" s="64">
        <f t="shared" si="153"/>
        <v>0</v>
      </c>
      <c r="Y1643" s="53">
        <f t="shared" si="154"/>
        <v>0</v>
      </c>
      <c r="Z1643" s="64">
        <f t="shared" si="155"/>
        <v>0</v>
      </c>
    </row>
    <row r="1644" spans="1:26">
      <c r="A1644" s="89" t="str">
        <f t="shared" si="150"/>
        <v/>
      </c>
      <c r="B1644" s="89" t="str">
        <f t="shared" si="151"/>
        <v/>
      </c>
      <c r="S1644" s="89" t="str">
        <f t="shared" si="152"/>
        <v/>
      </c>
      <c r="X1644" s="64">
        <f t="shared" si="153"/>
        <v>0</v>
      </c>
      <c r="Y1644" s="53">
        <f t="shared" si="154"/>
        <v>0</v>
      </c>
      <c r="Z1644" s="64">
        <f t="shared" si="155"/>
        <v>0</v>
      </c>
    </row>
    <row r="1645" spans="1:26">
      <c r="A1645" s="89" t="str">
        <f t="shared" si="150"/>
        <v/>
      </c>
      <c r="B1645" s="89" t="str">
        <f t="shared" si="151"/>
        <v/>
      </c>
      <c r="S1645" s="89" t="str">
        <f t="shared" si="152"/>
        <v/>
      </c>
      <c r="X1645" s="64">
        <f t="shared" si="153"/>
        <v>0</v>
      </c>
      <c r="Y1645" s="53">
        <f t="shared" si="154"/>
        <v>0</v>
      </c>
      <c r="Z1645" s="64">
        <f t="shared" si="155"/>
        <v>0</v>
      </c>
    </row>
    <row r="1646" spans="1:26">
      <c r="A1646" s="89" t="str">
        <f t="shared" si="150"/>
        <v/>
      </c>
      <c r="B1646" s="89" t="str">
        <f t="shared" si="151"/>
        <v/>
      </c>
      <c r="S1646" s="89" t="str">
        <f t="shared" si="152"/>
        <v/>
      </c>
      <c r="X1646" s="64">
        <f t="shared" si="153"/>
        <v>0</v>
      </c>
      <c r="Y1646" s="53">
        <f t="shared" si="154"/>
        <v>0</v>
      </c>
      <c r="Z1646" s="64">
        <f t="shared" si="155"/>
        <v>0</v>
      </c>
    </row>
    <row r="1647" spans="1:26">
      <c r="A1647" s="89" t="str">
        <f t="shared" si="150"/>
        <v/>
      </c>
      <c r="B1647" s="89" t="str">
        <f t="shared" si="151"/>
        <v/>
      </c>
      <c r="S1647" s="89" t="str">
        <f t="shared" si="152"/>
        <v/>
      </c>
      <c r="X1647" s="64">
        <f t="shared" si="153"/>
        <v>0</v>
      </c>
      <c r="Y1647" s="53">
        <f t="shared" si="154"/>
        <v>0</v>
      </c>
      <c r="Z1647" s="64">
        <f t="shared" si="155"/>
        <v>0</v>
      </c>
    </row>
    <row r="1648" spans="1:26">
      <c r="A1648" s="89" t="str">
        <f t="shared" si="150"/>
        <v/>
      </c>
      <c r="B1648" s="89" t="str">
        <f t="shared" si="151"/>
        <v/>
      </c>
      <c r="S1648" s="89" t="str">
        <f t="shared" si="152"/>
        <v/>
      </c>
      <c r="X1648" s="64">
        <f t="shared" si="153"/>
        <v>0</v>
      </c>
      <c r="Y1648" s="53">
        <f t="shared" si="154"/>
        <v>0</v>
      </c>
      <c r="Z1648" s="64">
        <f t="shared" si="155"/>
        <v>0</v>
      </c>
    </row>
    <row r="1649" spans="1:26">
      <c r="A1649" s="89" t="str">
        <f t="shared" si="150"/>
        <v/>
      </c>
      <c r="B1649" s="89" t="str">
        <f t="shared" si="151"/>
        <v/>
      </c>
      <c r="S1649" s="89" t="str">
        <f t="shared" si="152"/>
        <v/>
      </c>
      <c r="X1649" s="64">
        <f t="shared" si="153"/>
        <v>0</v>
      </c>
      <c r="Y1649" s="53">
        <f t="shared" si="154"/>
        <v>0</v>
      </c>
      <c r="Z1649" s="64">
        <f t="shared" si="155"/>
        <v>0</v>
      </c>
    </row>
    <row r="1650" spans="1:26">
      <c r="A1650" s="89" t="str">
        <f t="shared" si="150"/>
        <v/>
      </c>
      <c r="B1650" s="89" t="str">
        <f t="shared" si="151"/>
        <v/>
      </c>
      <c r="S1650" s="89" t="str">
        <f t="shared" si="152"/>
        <v/>
      </c>
      <c r="X1650" s="64">
        <f t="shared" si="153"/>
        <v>0</v>
      </c>
      <c r="Y1650" s="53">
        <f t="shared" si="154"/>
        <v>0</v>
      </c>
      <c r="Z1650" s="64">
        <f t="shared" si="155"/>
        <v>0</v>
      </c>
    </row>
    <row r="1651" spans="1:26">
      <c r="A1651" s="89" t="str">
        <f t="shared" si="150"/>
        <v/>
      </c>
      <c r="B1651" s="89" t="str">
        <f t="shared" si="151"/>
        <v/>
      </c>
      <c r="S1651" s="89" t="str">
        <f t="shared" si="152"/>
        <v/>
      </c>
      <c r="X1651" s="64">
        <f t="shared" si="153"/>
        <v>0</v>
      </c>
      <c r="Y1651" s="53">
        <f t="shared" si="154"/>
        <v>0</v>
      </c>
      <c r="Z1651" s="64">
        <f t="shared" si="155"/>
        <v>0</v>
      </c>
    </row>
    <row r="1652" spans="1:26">
      <c r="A1652" s="89" t="str">
        <f t="shared" si="150"/>
        <v/>
      </c>
      <c r="B1652" s="89" t="str">
        <f t="shared" si="151"/>
        <v/>
      </c>
      <c r="S1652" s="89" t="str">
        <f t="shared" si="152"/>
        <v/>
      </c>
      <c r="X1652" s="64">
        <f t="shared" si="153"/>
        <v>0</v>
      </c>
      <c r="Y1652" s="53">
        <f t="shared" si="154"/>
        <v>0</v>
      </c>
      <c r="Z1652" s="64">
        <f t="shared" si="155"/>
        <v>0</v>
      </c>
    </row>
    <row r="1653" spans="1:26">
      <c r="A1653" s="89" t="str">
        <f t="shared" si="150"/>
        <v/>
      </c>
      <c r="B1653" s="89" t="str">
        <f t="shared" si="151"/>
        <v/>
      </c>
      <c r="S1653" s="89" t="str">
        <f t="shared" si="152"/>
        <v/>
      </c>
      <c r="X1653" s="64">
        <f t="shared" si="153"/>
        <v>0</v>
      </c>
      <c r="Y1653" s="53">
        <f t="shared" si="154"/>
        <v>0</v>
      </c>
      <c r="Z1653" s="64">
        <f t="shared" si="155"/>
        <v>0</v>
      </c>
    </row>
    <row r="1654" spans="1:26">
      <c r="A1654" s="89" t="str">
        <f t="shared" si="150"/>
        <v/>
      </c>
      <c r="B1654" s="89" t="str">
        <f t="shared" si="151"/>
        <v/>
      </c>
      <c r="S1654" s="89" t="str">
        <f t="shared" si="152"/>
        <v/>
      </c>
      <c r="X1654" s="64">
        <f t="shared" si="153"/>
        <v>0</v>
      </c>
      <c r="Y1654" s="53">
        <f t="shared" si="154"/>
        <v>0</v>
      </c>
      <c r="Z1654" s="64">
        <f t="shared" si="155"/>
        <v>0</v>
      </c>
    </row>
    <row r="1655" spans="1:26">
      <c r="A1655" s="89" t="str">
        <f t="shared" si="150"/>
        <v/>
      </c>
      <c r="B1655" s="89" t="str">
        <f t="shared" si="151"/>
        <v/>
      </c>
      <c r="S1655" s="89" t="str">
        <f t="shared" si="152"/>
        <v/>
      </c>
      <c r="X1655" s="64">
        <f t="shared" si="153"/>
        <v>0</v>
      </c>
      <c r="Y1655" s="53">
        <f t="shared" si="154"/>
        <v>0</v>
      </c>
      <c r="Z1655" s="64">
        <f t="shared" si="155"/>
        <v>0</v>
      </c>
    </row>
    <row r="1656" spans="1:26">
      <c r="A1656" s="89" t="str">
        <f t="shared" si="150"/>
        <v/>
      </c>
      <c r="B1656" s="89" t="str">
        <f t="shared" si="151"/>
        <v/>
      </c>
      <c r="S1656" s="89" t="str">
        <f t="shared" si="152"/>
        <v/>
      </c>
      <c r="X1656" s="64">
        <f t="shared" si="153"/>
        <v>0</v>
      </c>
      <c r="Y1656" s="53">
        <f t="shared" si="154"/>
        <v>0</v>
      </c>
      <c r="Z1656" s="64">
        <f t="shared" si="155"/>
        <v>0</v>
      </c>
    </row>
    <row r="1657" spans="1:26">
      <c r="A1657" s="89" t="str">
        <f t="shared" si="150"/>
        <v/>
      </c>
      <c r="B1657" s="89" t="str">
        <f t="shared" si="151"/>
        <v/>
      </c>
      <c r="S1657" s="89" t="str">
        <f t="shared" si="152"/>
        <v/>
      </c>
      <c r="X1657" s="64">
        <f t="shared" si="153"/>
        <v>0</v>
      </c>
      <c r="Y1657" s="53">
        <f t="shared" si="154"/>
        <v>0</v>
      </c>
      <c r="Z1657" s="64">
        <f t="shared" si="155"/>
        <v>0</v>
      </c>
    </row>
    <row r="1658" spans="1:26">
      <c r="A1658" s="89" t="str">
        <f t="shared" si="150"/>
        <v/>
      </c>
      <c r="B1658" s="89" t="str">
        <f t="shared" si="151"/>
        <v/>
      </c>
      <c r="S1658" s="89" t="str">
        <f t="shared" si="152"/>
        <v/>
      </c>
      <c r="X1658" s="64">
        <f t="shared" si="153"/>
        <v>0</v>
      </c>
      <c r="Y1658" s="53">
        <f t="shared" si="154"/>
        <v>0</v>
      </c>
      <c r="Z1658" s="64">
        <f t="shared" si="155"/>
        <v>0</v>
      </c>
    </row>
    <row r="1659" spans="1:26">
      <c r="A1659" s="89" t="str">
        <f t="shared" si="150"/>
        <v/>
      </c>
      <c r="B1659" s="89" t="str">
        <f t="shared" si="151"/>
        <v/>
      </c>
      <c r="S1659" s="89" t="str">
        <f t="shared" si="152"/>
        <v/>
      </c>
      <c r="X1659" s="64">
        <f t="shared" si="153"/>
        <v>0</v>
      </c>
      <c r="Y1659" s="53">
        <f t="shared" si="154"/>
        <v>0</v>
      </c>
      <c r="Z1659" s="64">
        <f t="shared" si="155"/>
        <v>0</v>
      </c>
    </row>
    <row r="1660" spans="1:26">
      <c r="A1660" s="89" t="str">
        <f t="shared" si="150"/>
        <v/>
      </c>
      <c r="B1660" s="89" t="str">
        <f t="shared" si="151"/>
        <v/>
      </c>
      <c r="S1660" s="89" t="str">
        <f t="shared" si="152"/>
        <v/>
      </c>
      <c r="X1660" s="64">
        <f t="shared" si="153"/>
        <v>0</v>
      </c>
      <c r="Y1660" s="53">
        <f t="shared" si="154"/>
        <v>0</v>
      </c>
      <c r="Z1660" s="64">
        <f t="shared" si="155"/>
        <v>0</v>
      </c>
    </row>
    <row r="1661" spans="1:26">
      <c r="A1661" s="89" t="str">
        <f t="shared" si="150"/>
        <v/>
      </c>
      <c r="B1661" s="89" t="str">
        <f t="shared" si="151"/>
        <v/>
      </c>
      <c r="S1661" s="89" t="str">
        <f t="shared" si="152"/>
        <v/>
      </c>
      <c r="X1661" s="64">
        <f t="shared" si="153"/>
        <v>0</v>
      </c>
      <c r="Y1661" s="53">
        <f t="shared" si="154"/>
        <v>0</v>
      </c>
      <c r="Z1661" s="64">
        <f t="shared" si="155"/>
        <v>0</v>
      </c>
    </row>
    <row r="1662" spans="1:26">
      <c r="A1662" s="89" t="str">
        <f t="shared" si="150"/>
        <v/>
      </c>
      <c r="B1662" s="89" t="str">
        <f t="shared" si="151"/>
        <v/>
      </c>
      <c r="S1662" s="89" t="str">
        <f t="shared" si="152"/>
        <v/>
      </c>
      <c r="X1662" s="64">
        <f t="shared" si="153"/>
        <v>0</v>
      </c>
      <c r="Y1662" s="53">
        <f t="shared" si="154"/>
        <v>0</v>
      </c>
      <c r="Z1662" s="64">
        <f t="shared" si="155"/>
        <v>0</v>
      </c>
    </row>
    <row r="1663" spans="1:26">
      <c r="A1663" s="89" t="str">
        <f t="shared" si="150"/>
        <v/>
      </c>
      <c r="B1663" s="89" t="str">
        <f t="shared" si="151"/>
        <v/>
      </c>
      <c r="S1663" s="89" t="str">
        <f t="shared" si="152"/>
        <v/>
      </c>
      <c r="X1663" s="64">
        <f t="shared" si="153"/>
        <v>0</v>
      </c>
      <c r="Y1663" s="53">
        <f t="shared" si="154"/>
        <v>0</v>
      </c>
      <c r="Z1663" s="64">
        <f t="shared" si="155"/>
        <v>0</v>
      </c>
    </row>
    <row r="1664" spans="1:26">
      <c r="A1664" s="89" t="str">
        <f t="shared" si="150"/>
        <v/>
      </c>
      <c r="B1664" s="89" t="str">
        <f t="shared" si="151"/>
        <v/>
      </c>
      <c r="S1664" s="89" t="str">
        <f t="shared" si="152"/>
        <v/>
      </c>
      <c r="X1664" s="64">
        <f t="shared" si="153"/>
        <v>0</v>
      </c>
      <c r="Y1664" s="53">
        <f t="shared" si="154"/>
        <v>0</v>
      </c>
      <c r="Z1664" s="64">
        <f t="shared" si="155"/>
        <v>0</v>
      </c>
    </row>
    <row r="1665" spans="1:26">
      <c r="A1665" s="89" t="str">
        <f t="shared" si="150"/>
        <v/>
      </c>
      <c r="B1665" s="89" t="str">
        <f t="shared" si="151"/>
        <v/>
      </c>
      <c r="S1665" s="89" t="str">
        <f t="shared" si="152"/>
        <v/>
      </c>
      <c r="X1665" s="64">
        <f t="shared" si="153"/>
        <v>0</v>
      </c>
      <c r="Y1665" s="53">
        <f t="shared" si="154"/>
        <v>0</v>
      </c>
      <c r="Z1665" s="64">
        <f t="shared" si="155"/>
        <v>0</v>
      </c>
    </row>
    <row r="1666" spans="1:26">
      <c r="A1666" s="89" t="str">
        <f t="shared" si="150"/>
        <v/>
      </c>
      <c r="B1666" s="89" t="str">
        <f t="shared" si="151"/>
        <v/>
      </c>
      <c r="S1666" s="89" t="str">
        <f t="shared" si="152"/>
        <v/>
      </c>
      <c r="X1666" s="64">
        <f t="shared" si="153"/>
        <v>0</v>
      </c>
      <c r="Y1666" s="53">
        <f t="shared" si="154"/>
        <v>0</v>
      </c>
      <c r="Z1666" s="64">
        <f t="shared" si="155"/>
        <v>0</v>
      </c>
    </row>
    <row r="1667" spans="1:26">
      <c r="A1667" s="89" t="str">
        <f t="shared" ref="A1667:A1730" si="156">IF(G1667&amp;Q1667&lt;&gt;"",G1667&amp;Q1667,"")</f>
        <v/>
      </c>
      <c r="B1667" s="89" t="str">
        <f t="shared" ref="B1667:B1730" si="157">IF(C1667&lt;&gt;"",LEFT(C1667,9),"")</f>
        <v/>
      </c>
      <c r="S1667" s="89" t="str">
        <f t="shared" ref="S1667:S1730" si="158">IF(H1667&lt;&gt;"",H1667,"")</f>
        <v/>
      </c>
      <c r="X1667" s="64">
        <f t="shared" ref="X1667:X1730" si="159">IFERROR(VALUE(MID($C1667,1,2)),0)</f>
        <v>0</v>
      </c>
      <c r="Y1667" s="53">
        <f t="shared" ref="Y1667:Y1730" si="160">IFERROR(VALUE(MID($C1667,4,3)),0)</f>
        <v>0</v>
      </c>
      <c r="Z1667" s="64">
        <f t="shared" ref="Z1667:Z1730" si="161">VALUE(RIGHT("00"&amp;X1667,2)&amp;RIGHT("000"&amp;Y1667,3))</f>
        <v>0</v>
      </c>
    </row>
    <row r="1668" spans="1:26">
      <c r="A1668" s="89" t="str">
        <f t="shared" si="156"/>
        <v/>
      </c>
      <c r="B1668" s="89" t="str">
        <f t="shared" si="157"/>
        <v/>
      </c>
      <c r="S1668" s="89" t="str">
        <f t="shared" si="158"/>
        <v/>
      </c>
      <c r="X1668" s="64">
        <f t="shared" si="159"/>
        <v>0</v>
      </c>
      <c r="Y1668" s="53">
        <f t="shared" si="160"/>
        <v>0</v>
      </c>
      <c r="Z1668" s="64">
        <f t="shared" si="161"/>
        <v>0</v>
      </c>
    </row>
    <row r="1669" spans="1:26">
      <c r="A1669" s="89" t="str">
        <f t="shared" si="156"/>
        <v/>
      </c>
      <c r="B1669" s="89" t="str">
        <f t="shared" si="157"/>
        <v/>
      </c>
      <c r="S1669" s="89" t="str">
        <f t="shared" si="158"/>
        <v/>
      </c>
      <c r="X1669" s="64">
        <f t="shared" si="159"/>
        <v>0</v>
      </c>
      <c r="Y1669" s="53">
        <f t="shared" si="160"/>
        <v>0</v>
      </c>
      <c r="Z1669" s="64">
        <f t="shared" si="161"/>
        <v>0</v>
      </c>
    </row>
    <row r="1670" spans="1:26">
      <c r="A1670" s="89" t="str">
        <f t="shared" si="156"/>
        <v/>
      </c>
      <c r="B1670" s="89" t="str">
        <f t="shared" si="157"/>
        <v/>
      </c>
      <c r="S1670" s="89" t="str">
        <f t="shared" si="158"/>
        <v/>
      </c>
      <c r="X1670" s="64">
        <f t="shared" si="159"/>
        <v>0</v>
      </c>
      <c r="Y1670" s="53">
        <f t="shared" si="160"/>
        <v>0</v>
      </c>
      <c r="Z1670" s="64">
        <f t="shared" si="161"/>
        <v>0</v>
      </c>
    </row>
    <row r="1671" spans="1:26">
      <c r="A1671" s="89" t="str">
        <f t="shared" si="156"/>
        <v/>
      </c>
      <c r="B1671" s="89" t="str">
        <f t="shared" si="157"/>
        <v/>
      </c>
      <c r="S1671" s="89" t="str">
        <f t="shared" si="158"/>
        <v/>
      </c>
      <c r="X1671" s="64">
        <f t="shared" si="159"/>
        <v>0</v>
      </c>
      <c r="Y1671" s="53">
        <f t="shared" si="160"/>
        <v>0</v>
      </c>
      <c r="Z1671" s="64">
        <f t="shared" si="161"/>
        <v>0</v>
      </c>
    </row>
    <row r="1672" spans="1:26">
      <c r="A1672" s="89" t="str">
        <f t="shared" si="156"/>
        <v/>
      </c>
      <c r="B1672" s="89" t="str">
        <f t="shared" si="157"/>
        <v/>
      </c>
      <c r="S1672" s="89" t="str">
        <f t="shared" si="158"/>
        <v/>
      </c>
      <c r="X1672" s="64">
        <f t="shared" si="159"/>
        <v>0</v>
      </c>
      <c r="Y1672" s="53">
        <f t="shared" si="160"/>
        <v>0</v>
      </c>
      <c r="Z1672" s="64">
        <f t="shared" si="161"/>
        <v>0</v>
      </c>
    </row>
    <row r="1673" spans="1:26">
      <c r="A1673" s="89" t="str">
        <f t="shared" si="156"/>
        <v/>
      </c>
      <c r="B1673" s="89" t="str">
        <f t="shared" si="157"/>
        <v/>
      </c>
      <c r="S1673" s="89" t="str">
        <f t="shared" si="158"/>
        <v/>
      </c>
      <c r="X1673" s="64">
        <f t="shared" si="159"/>
        <v>0</v>
      </c>
      <c r="Y1673" s="53">
        <f t="shared" si="160"/>
        <v>0</v>
      </c>
      <c r="Z1673" s="64">
        <f t="shared" si="161"/>
        <v>0</v>
      </c>
    </row>
    <row r="1674" spans="1:26">
      <c r="A1674" s="89" t="str">
        <f t="shared" si="156"/>
        <v/>
      </c>
      <c r="B1674" s="89" t="str">
        <f t="shared" si="157"/>
        <v/>
      </c>
      <c r="S1674" s="89" t="str">
        <f t="shared" si="158"/>
        <v/>
      </c>
      <c r="X1674" s="64">
        <f t="shared" si="159"/>
        <v>0</v>
      </c>
      <c r="Y1674" s="53">
        <f t="shared" si="160"/>
        <v>0</v>
      </c>
      <c r="Z1674" s="64">
        <f t="shared" si="161"/>
        <v>0</v>
      </c>
    </row>
    <row r="1675" spans="1:26">
      <c r="A1675" s="89" t="str">
        <f t="shared" si="156"/>
        <v/>
      </c>
      <c r="B1675" s="89" t="str">
        <f t="shared" si="157"/>
        <v/>
      </c>
      <c r="S1675" s="89" t="str">
        <f t="shared" si="158"/>
        <v/>
      </c>
      <c r="X1675" s="64">
        <f t="shared" si="159"/>
        <v>0</v>
      </c>
      <c r="Y1675" s="53">
        <f t="shared" si="160"/>
        <v>0</v>
      </c>
      <c r="Z1675" s="64">
        <f t="shared" si="161"/>
        <v>0</v>
      </c>
    </row>
    <row r="1676" spans="1:26">
      <c r="A1676" s="89" t="str">
        <f t="shared" si="156"/>
        <v/>
      </c>
      <c r="B1676" s="89" t="str">
        <f t="shared" si="157"/>
        <v/>
      </c>
      <c r="S1676" s="89" t="str">
        <f t="shared" si="158"/>
        <v/>
      </c>
      <c r="X1676" s="64">
        <f t="shared" si="159"/>
        <v>0</v>
      </c>
      <c r="Y1676" s="53">
        <f t="shared" si="160"/>
        <v>0</v>
      </c>
      <c r="Z1676" s="64">
        <f t="shared" si="161"/>
        <v>0</v>
      </c>
    </row>
    <row r="1677" spans="1:26">
      <c r="A1677" s="89" t="str">
        <f t="shared" si="156"/>
        <v/>
      </c>
      <c r="B1677" s="89" t="str">
        <f t="shared" si="157"/>
        <v/>
      </c>
      <c r="S1677" s="89" t="str">
        <f t="shared" si="158"/>
        <v/>
      </c>
      <c r="X1677" s="64">
        <f t="shared" si="159"/>
        <v>0</v>
      </c>
      <c r="Y1677" s="53">
        <f t="shared" si="160"/>
        <v>0</v>
      </c>
      <c r="Z1677" s="64">
        <f t="shared" si="161"/>
        <v>0</v>
      </c>
    </row>
    <row r="1678" spans="1:26">
      <c r="A1678" s="89" t="str">
        <f t="shared" si="156"/>
        <v/>
      </c>
      <c r="B1678" s="89" t="str">
        <f t="shared" si="157"/>
        <v/>
      </c>
      <c r="S1678" s="89" t="str">
        <f t="shared" si="158"/>
        <v/>
      </c>
      <c r="X1678" s="64">
        <f t="shared" si="159"/>
        <v>0</v>
      </c>
      <c r="Y1678" s="53">
        <f t="shared" si="160"/>
        <v>0</v>
      </c>
      <c r="Z1678" s="64">
        <f t="shared" si="161"/>
        <v>0</v>
      </c>
    </row>
    <row r="1679" spans="1:26">
      <c r="A1679" s="89" t="str">
        <f t="shared" si="156"/>
        <v/>
      </c>
      <c r="B1679" s="89" t="str">
        <f t="shared" si="157"/>
        <v/>
      </c>
      <c r="S1679" s="89" t="str">
        <f t="shared" si="158"/>
        <v/>
      </c>
      <c r="X1679" s="64">
        <f t="shared" si="159"/>
        <v>0</v>
      </c>
      <c r="Y1679" s="53">
        <f t="shared" si="160"/>
        <v>0</v>
      </c>
      <c r="Z1679" s="64">
        <f t="shared" si="161"/>
        <v>0</v>
      </c>
    </row>
    <row r="1680" spans="1:26">
      <c r="A1680" s="89" t="str">
        <f t="shared" si="156"/>
        <v/>
      </c>
      <c r="B1680" s="89" t="str">
        <f t="shared" si="157"/>
        <v/>
      </c>
      <c r="S1680" s="89" t="str">
        <f t="shared" si="158"/>
        <v/>
      </c>
      <c r="X1680" s="64">
        <f t="shared" si="159"/>
        <v>0</v>
      </c>
      <c r="Y1680" s="53">
        <f t="shared" si="160"/>
        <v>0</v>
      </c>
      <c r="Z1680" s="64">
        <f t="shared" si="161"/>
        <v>0</v>
      </c>
    </row>
    <row r="1681" spans="1:26">
      <c r="A1681" s="89" t="str">
        <f t="shared" si="156"/>
        <v/>
      </c>
      <c r="B1681" s="89" t="str">
        <f t="shared" si="157"/>
        <v/>
      </c>
      <c r="S1681" s="89" t="str">
        <f t="shared" si="158"/>
        <v/>
      </c>
      <c r="X1681" s="64">
        <f t="shared" si="159"/>
        <v>0</v>
      </c>
      <c r="Y1681" s="53">
        <f t="shared" si="160"/>
        <v>0</v>
      </c>
      <c r="Z1681" s="64">
        <f t="shared" si="161"/>
        <v>0</v>
      </c>
    </row>
    <row r="1682" spans="1:26">
      <c r="A1682" s="89" t="str">
        <f t="shared" si="156"/>
        <v/>
      </c>
      <c r="B1682" s="89" t="str">
        <f t="shared" si="157"/>
        <v/>
      </c>
      <c r="S1682" s="89" t="str">
        <f t="shared" si="158"/>
        <v/>
      </c>
      <c r="X1682" s="64">
        <f t="shared" si="159"/>
        <v>0</v>
      </c>
      <c r="Y1682" s="53">
        <f t="shared" si="160"/>
        <v>0</v>
      </c>
      <c r="Z1682" s="64">
        <f t="shared" si="161"/>
        <v>0</v>
      </c>
    </row>
    <row r="1683" spans="1:26">
      <c r="A1683" s="89" t="str">
        <f t="shared" si="156"/>
        <v/>
      </c>
      <c r="B1683" s="89" t="str">
        <f t="shared" si="157"/>
        <v/>
      </c>
      <c r="S1683" s="89" t="str">
        <f t="shared" si="158"/>
        <v/>
      </c>
      <c r="X1683" s="64">
        <f t="shared" si="159"/>
        <v>0</v>
      </c>
      <c r="Y1683" s="53">
        <f t="shared" si="160"/>
        <v>0</v>
      </c>
      <c r="Z1683" s="64">
        <f t="shared" si="161"/>
        <v>0</v>
      </c>
    </row>
    <row r="1684" spans="1:26">
      <c r="A1684" s="89" t="str">
        <f t="shared" si="156"/>
        <v/>
      </c>
      <c r="B1684" s="89" t="str">
        <f t="shared" si="157"/>
        <v/>
      </c>
      <c r="S1684" s="89" t="str">
        <f t="shared" si="158"/>
        <v/>
      </c>
      <c r="X1684" s="64">
        <f t="shared" si="159"/>
        <v>0</v>
      </c>
      <c r="Y1684" s="53">
        <f t="shared" si="160"/>
        <v>0</v>
      </c>
      <c r="Z1684" s="64">
        <f t="shared" si="161"/>
        <v>0</v>
      </c>
    </row>
    <row r="1685" spans="1:26">
      <c r="A1685" s="89" t="str">
        <f t="shared" si="156"/>
        <v/>
      </c>
      <c r="B1685" s="89" t="str">
        <f t="shared" si="157"/>
        <v/>
      </c>
      <c r="S1685" s="89" t="str">
        <f t="shared" si="158"/>
        <v/>
      </c>
      <c r="X1685" s="64">
        <f t="shared" si="159"/>
        <v>0</v>
      </c>
      <c r="Y1685" s="53">
        <f t="shared" si="160"/>
        <v>0</v>
      </c>
      <c r="Z1685" s="64">
        <f t="shared" si="161"/>
        <v>0</v>
      </c>
    </row>
    <row r="1686" spans="1:26">
      <c r="A1686" s="89" t="str">
        <f t="shared" si="156"/>
        <v/>
      </c>
      <c r="B1686" s="89" t="str">
        <f t="shared" si="157"/>
        <v/>
      </c>
      <c r="S1686" s="89" t="str">
        <f t="shared" si="158"/>
        <v/>
      </c>
      <c r="X1686" s="64">
        <f t="shared" si="159"/>
        <v>0</v>
      </c>
      <c r="Y1686" s="53">
        <f t="shared" si="160"/>
        <v>0</v>
      </c>
      <c r="Z1686" s="64">
        <f t="shared" si="161"/>
        <v>0</v>
      </c>
    </row>
    <row r="1687" spans="1:26">
      <c r="A1687" s="89" t="str">
        <f t="shared" si="156"/>
        <v/>
      </c>
      <c r="B1687" s="89" t="str">
        <f t="shared" si="157"/>
        <v/>
      </c>
      <c r="S1687" s="89" t="str">
        <f t="shared" si="158"/>
        <v/>
      </c>
      <c r="X1687" s="64">
        <f t="shared" si="159"/>
        <v>0</v>
      </c>
      <c r="Y1687" s="53">
        <f t="shared" si="160"/>
        <v>0</v>
      </c>
      <c r="Z1687" s="64">
        <f t="shared" si="161"/>
        <v>0</v>
      </c>
    </row>
    <row r="1688" spans="1:26">
      <c r="A1688" s="89" t="str">
        <f t="shared" si="156"/>
        <v/>
      </c>
      <c r="B1688" s="89" t="str">
        <f t="shared" si="157"/>
        <v/>
      </c>
      <c r="S1688" s="89" t="str">
        <f t="shared" si="158"/>
        <v/>
      </c>
      <c r="X1688" s="64">
        <f t="shared" si="159"/>
        <v>0</v>
      </c>
      <c r="Y1688" s="53">
        <f t="shared" si="160"/>
        <v>0</v>
      </c>
      <c r="Z1688" s="64">
        <f t="shared" si="161"/>
        <v>0</v>
      </c>
    </row>
    <row r="1689" spans="1:26">
      <c r="A1689" s="89" t="str">
        <f t="shared" si="156"/>
        <v/>
      </c>
      <c r="B1689" s="89" t="str">
        <f t="shared" si="157"/>
        <v/>
      </c>
      <c r="S1689" s="89" t="str">
        <f t="shared" si="158"/>
        <v/>
      </c>
      <c r="X1689" s="64">
        <f t="shared" si="159"/>
        <v>0</v>
      </c>
      <c r="Y1689" s="53">
        <f t="shared" si="160"/>
        <v>0</v>
      </c>
      <c r="Z1689" s="64">
        <f t="shared" si="161"/>
        <v>0</v>
      </c>
    </row>
    <row r="1690" spans="1:26">
      <c r="A1690" s="89" t="str">
        <f t="shared" si="156"/>
        <v/>
      </c>
      <c r="B1690" s="89" t="str">
        <f t="shared" si="157"/>
        <v/>
      </c>
      <c r="S1690" s="89" t="str">
        <f t="shared" si="158"/>
        <v/>
      </c>
      <c r="X1690" s="64">
        <f t="shared" si="159"/>
        <v>0</v>
      </c>
      <c r="Y1690" s="53">
        <f t="shared" si="160"/>
        <v>0</v>
      </c>
      <c r="Z1690" s="64">
        <f t="shared" si="161"/>
        <v>0</v>
      </c>
    </row>
    <row r="1691" spans="1:26">
      <c r="A1691" s="89" t="str">
        <f t="shared" si="156"/>
        <v/>
      </c>
      <c r="B1691" s="89" t="str">
        <f t="shared" si="157"/>
        <v/>
      </c>
      <c r="S1691" s="89" t="str">
        <f t="shared" si="158"/>
        <v/>
      </c>
      <c r="X1691" s="64">
        <f t="shared" si="159"/>
        <v>0</v>
      </c>
      <c r="Y1691" s="53">
        <f t="shared" si="160"/>
        <v>0</v>
      </c>
      <c r="Z1691" s="64">
        <f t="shared" si="161"/>
        <v>0</v>
      </c>
    </row>
    <row r="1692" spans="1:26">
      <c r="A1692" s="89" t="str">
        <f t="shared" si="156"/>
        <v/>
      </c>
      <c r="B1692" s="89" t="str">
        <f t="shared" si="157"/>
        <v/>
      </c>
      <c r="S1692" s="89" t="str">
        <f t="shared" si="158"/>
        <v/>
      </c>
      <c r="X1692" s="64">
        <f t="shared" si="159"/>
        <v>0</v>
      </c>
      <c r="Y1692" s="53">
        <f t="shared" si="160"/>
        <v>0</v>
      </c>
      <c r="Z1692" s="64">
        <f t="shared" si="161"/>
        <v>0</v>
      </c>
    </row>
    <row r="1693" spans="1:26">
      <c r="A1693" s="89" t="str">
        <f t="shared" si="156"/>
        <v/>
      </c>
      <c r="B1693" s="89" t="str">
        <f t="shared" si="157"/>
        <v/>
      </c>
      <c r="S1693" s="89" t="str">
        <f t="shared" si="158"/>
        <v/>
      </c>
      <c r="X1693" s="64">
        <f t="shared" si="159"/>
        <v>0</v>
      </c>
      <c r="Y1693" s="53">
        <f t="shared" si="160"/>
        <v>0</v>
      </c>
      <c r="Z1693" s="64">
        <f t="shared" si="161"/>
        <v>0</v>
      </c>
    </row>
    <row r="1694" spans="1:26">
      <c r="A1694" s="89" t="str">
        <f t="shared" si="156"/>
        <v/>
      </c>
      <c r="B1694" s="89" t="str">
        <f t="shared" si="157"/>
        <v/>
      </c>
      <c r="S1694" s="89" t="str">
        <f t="shared" si="158"/>
        <v/>
      </c>
      <c r="X1694" s="64">
        <f t="shared" si="159"/>
        <v>0</v>
      </c>
      <c r="Y1694" s="53">
        <f t="shared" si="160"/>
        <v>0</v>
      </c>
      <c r="Z1694" s="64">
        <f t="shared" si="161"/>
        <v>0</v>
      </c>
    </row>
    <row r="1695" spans="1:26">
      <c r="A1695" s="89" t="str">
        <f t="shared" si="156"/>
        <v/>
      </c>
      <c r="B1695" s="89" t="str">
        <f t="shared" si="157"/>
        <v/>
      </c>
      <c r="S1695" s="89" t="str">
        <f t="shared" si="158"/>
        <v/>
      </c>
      <c r="X1695" s="64">
        <f t="shared" si="159"/>
        <v>0</v>
      </c>
      <c r="Y1695" s="53">
        <f t="shared" si="160"/>
        <v>0</v>
      </c>
      <c r="Z1695" s="64">
        <f t="shared" si="161"/>
        <v>0</v>
      </c>
    </row>
    <row r="1696" spans="1:26">
      <c r="A1696" s="89" t="str">
        <f t="shared" si="156"/>
        <v/>
      </c>
      <c r="B1696" s="89" t="str">
        <f t="shared" si="157"/>
        <v/>
      </c>
      <c r="S1696" s="89" t="str">
        <f t="shared" si="158"/>
        <v/>
      </c>
      <c r="X1696" s="64">
        <f t="shared" si="159"/>
        <v>0</v>
      </c>
      <c r="Y1696" s="53">
        <f t="shared" si="160"/>
        <v>0</v>
      </c>
      <c r="Z1696" s="64">
        <f t="shared" si="161"/>
        <v>0</v>
      </c>
    </row>
    <row r="1697" spans="1:26">
      <c r="A1697" s="89" t="str">
        <f t="shared" si="156"/>
        <v/>
      </c>
      <c r="B1697" s="89" t="str">
        <f t="shared" si="157"/>
        <v/>
      </c>
      <c r="S1697" s="89" t="str">
        <f t="shared" si="158"/>
        <v/>
      </c>
      <c r="X1697" s="64">
        <f t="shared" si="159"/>
        <v>0</v>
      </c>
      <c r="Y1697" s="53">
        <f t="shared" si="160"/>
        <v>0</v>
      </c>
      <c r="Z1697" s="64">
        <f t="shared" si="161"/>
        <v>0</v>
      </c>
    </row>
    <row r="1698" spans="1:26">
      <c r="A1698" s="89" t="str">
        <f t="shared" si="156"/>
        <v/>
      </c>
      <c r="B1698" s="89" t="str">
        <f t="shared" si="157"/>
        <v/>
      </c>
      <c r="S1698" s="89" t="str">
        <f t="shared" si="158"/>
        <v/>
      </c>
      <c r="X1698" s="64">
        <f t="shared" si="159"/>
        <v>0</v>
      </c>
      <c r="Y1698" s="53">
        <f t="shared" si="160"/>
        <v>0</v>
      </c>
      <c r="Z1698" s="64">
        <f t="shared" si="161"/>
        <v>0</v>
      </c>
    </row>
    <row r="1699" spans="1:26">
      <c r="A1699" s="89" t="str">
        <f t="shared" si="156"/>
        <v/>
      </c>
      <c r="B1699" s="89" t="str">
        <f t="shared" si="157"/>
        <v/>
      </c>
      <c r="S1699" s="89" t="str">
        <f t="shared" si="158"/>
        <v/>
      </c>
      <c r="X1699" s="64">
        <f t="shared" si="159"/>
        <v>0</v>
      </c>
      <c r="Y1699" s="53">
        <f t="shared" si="160"/>
        <v>0</v>
      </c>
      <c r="Z1699" s="64">
        <f t="shared" si="161"/>
        <v>0</v>
      </c>
    </row>
    <row r="1700" spans="1:26">
      <c r="A1700" s="89" t="str">
        <f t="shared" si="156"/>
        <v/>
      </c>
      <c r="B1700" s="89" t="str">
        <f t="shared" si="157"/>
        <v/>
      </c>
      <c r="S1700" s="89" t="str">
        <f t="shared" si="158"/>
        <v/>
      </c>
      <c r="X1700" s="64">
        <f t="shared" si="159"/>
        <v>0</v>
      </c>
      <c r="Y1700" s="53">
        <f t="shared" si="160"/>
        <v>0</v>
      </c>
      <c r="Z1700" s="64">
        <f t="shared" si="161"/>
        <v>0</v>
      </c>
    </row>
    <row r="1701" spans="1:26">
      <c r="A1701" s="89" t="str">
        <f t="shared" si="156"/>
        <v/>
      </c>
      <c r="B1701" s="89" t="str">
        <f t="shared" si="157"/>
        <v/>
      </c>
      <c r="S1701" s="89" t="str">
        <f t="shared" si="158"/>
        <v/>
      </c>
      <c r="X1701" s="64">
        <f t="shared" si="159"/>
        <v>0</v>
      </c>
      <c r="Y1701" s="53">
        <f t="shared" si="160"/>
        <v>0</v>
      </c>
      <c r="Z1701" s="64">
        <f t="shared" si="161"/>
        <v>0</v>
      </c>
    </row>
    <row r="1702" spans="1:26">
      <c r="A1702" s="89" t="str">
        <f t="shared" si="156"/>
        <v/>
      </c>
      <c r="B1702" s="89" t="str">
        <f t="shared" si="157"/>
        <v/>
      </c>
      <c r="S1702" s="89" t="str">
        <f t="shared" si="158"/>
        <v/>
      </c>
      <c r="X1702" s="64">
        <f t="shared" si="159"/>
        <v>0</v>
      </c>
      <c r="Y1702" s="53">
        <f t="shared" si="160"/>
        <v>0</v>
      </c>
      <c r="Z1702" s="64">
        <f t="shared" si="161"/>
        <v>0</v>
      </c>
    </row>
    <row r="1703" spans="1:26">
      <c r="A1703" s="89" t="str">
        <f t="shared" si="156"/>
        <v/>
      </c>
      <c r="B1703" s="89" t="str">
        <f t="shared" si="157"/>
        <v/>
      </c>
      <c r="S1703" s="89" t="str">
        <f t="shared" si="158"/>
        <v/>
      </c>
      <c r="X1703" s="64">
        <f t="shared" si="159"/>
        <v>0</v>
      </c>
      <c r="Y1703" s="53">
        <f t="shared" si="160"/>
        <v>0</v>
      </c>
      <c r="Z1703" s="64">
        <f t="shared" si="161"/>
        <v>0</v>
      </c>
    </row>
    <row r="1704" spans="1:26">
      <c r="A1704" s="89" t="str">
        <f t="shared" si="156"/>
        <v/>
      </c>
      <c r="B1704" s="89" t="str">
        <f t="shared" si="157"/>
        <v/>
      </c>
      <c r="S1704" s="89" t="str">
        <f t="shared" si="158"/>
        <v/>
      </c>
      <c r="X1704" s="64">
        <f t="shared" si="159"/>
        <v>0</v>
      </c>
      <c r="Y1704" s="53">
        <f t="shared" si="160"/>
        <v>0</v>
      </c>
      <c r="Z1704" s="64">
        <f t="shared" si="161"/>
        <v>0</v>
      </c>
    </row>
    <row r="1705" spans="1:26">
      <c r="A1705" s="89" t="str">
        <f t="shared" si="156"/>
        <v/>
      </c>
      <c r="B1705" s="89" t="str">
        <f t="shared" si="157"/>
        <v/>
      </c>
      <c r="S1705" s="89" t="str">
        <f t="shared" si="158"/>
        <v/>
      </c>
      <c r="X1705" s="64">
        <f t="shared" si="159"/>
        <v>0</v>
      </c>
      <c r="Y1705" s="53">
        <f t="shared" si="160"/>
        <v>0</v>
      </c>
      <c r="Z1705" s="64">
        <f t="shared" si="161"/>
        <v>0</v>
      </c>
    </row>
    <row r="1706" spans="1:26">
      <c r="A1706" s="89" t="str">
        <f t="shared" si="156"/>
        <v/>
      </c>
      <c r="B1706" s="89" t="str">
        <f t="shared" si="157"/>
        <v/>
      </c>
      <c r="S1706" s="89" t="str">
        <f t="shared" si="158"/>
        <v/>
      </c>
      <c r="X1706" s="64">
        <f t="shared" si="159"/>
        <v>0</v>
      </c>
      <c r="Y1706" s="53">
        <f t="shared" si="160"/>
        <v>0</v>
      </c>
      <c r="Z1706" s="64">
        <f t="shared" si="161"/>
        <v>0</v>
      </c>
    </row>
    <row r="1707" spans="1:26">
      <c r="A1707" s="89" t="str">
        <f t="shared" si="156"/>
        <v/>
      </c>
      <c r="B1707" s="89" t="str">
        <f t="shared" si="157"/>
        <v/>
      </c>
      <c r="S1707" s="89" t="str">
        <f t="shared" si="158"/>
        <v/>
      </c>
      <c r="X1707" s="64">
        <f t="shared" si="159"/>
        <v>0</v>
      </c>
      <c r="Y1707" s="53">
        <f t="shared" si="160"/>
        <v>0</v>
      </c>
      <c r="Z1707" s="64">
        <f t="shared" si="161"/>
        <v>0</v>
      </c>
    </row>
    <row r="1708" spans="1:26">
      <c r="A1708" s="89" t="str">
        <f t="shared" si="156"/>
        <v/>
      </c>
      <c r="B1708" s="89" t="str">
        <f t="shared" si="157"/>
        <v/>
      </c>
      <c r="S1708" s="89" t="str">
        <f t="shared" si="158"/>
        <v/>
      </c>
      <c r="X1708" s="64">
        <f t="shared" si="159"/>
        <v>0</v>
      </c>
      <c r="Y1708" s="53">
        <f t="shared" si="160"/>
        <v>0</v>
      </c>
      <c r="Z1708" s="64">
        <f t="shared" si="161"/>
        <v>0</v>
      </c>
    </row>
    <row r="1709" spans="1:26">
      <c r="A1709" s="89" t="str">
        <f t="shared" si="156"/>
        <v/>
      </c>
      <c r="B1709" s="89" t="str">
        <f t="shared" si="157"/>
        <v/>
      </c>
      <c r="S1709" s="89" t="str">
        <f t="shared" si="158"/>
        <v/>
      </c>
      <c r="X1709" s="64">
        <f t="shared" si="159"/>
        <v>0</v>
      </c>
      <c r="Y1709" s="53">
        <f t="shared" si="160"/>
        <v>0</v>
      </c>
      <c r="Z1709" s="64">
        <f t="shared" si="161"/>
        <v>0</v>
      </c>
    </row>
    <row r="1710" spans="1:26">
      <c r="A1710" s="89" t="str">
        <f t="shared" si="156"/>
        <v/>
      </c>
      <c r="B1710" s="89" t="str">
        <f t="shared" si="157"/>
        <v/>
      </c>
      <c r="S1710" s="89" t="str">
        <f t="shared" si="158"/>
        <v/>
      </c>
      <c r="X1710" s="64">
        <f t="shared" si="159"/>
        <v>0</v>
      </c>
      <c r="Y1710" s="53">
        <f t="shared" si="160"/>
        <v>0</v>
      </c>
      <c r="Z1710" s="64">
        <f t="shared" si="161"/>
        <v>0</v>
      </c>
    </row>
    <row r="1711" spans="1:26">
      <c r="A1711" s="89" t="str">
        <f t="shared" si="156"/>
        <v/>
      </c>
      <c r="B1711" s="89" t="str">
        <f t="shared" si="157"/>
        <v/>
      </c>
      <c r="S1711" s="89" t="str">
        <f t="shared" si="158"/>
        <v/>
      </c>
      <c r="X1711" s="64">
        <f t="shared" si="159"/>
        <v>0</v>
      </c>
      <c r="Y1711" s="53">
        <f t="shared" si="160"/>
        <v>0</v>
      </c>
      <c r="Z1711" s="64">
        <f t="shared" si="161"/>
        <v>0</v>
      </c>
    </row>
    <row r="1712" spans="1:26">
      <c r="A1712" s="89" t="str">
        <f t="shared" si="156"/>
        <v/>
      </c>
      <c r="B1712" s="89" t="str">
        <f t="shared" si="157"/>
        <v/>
      </c>
      <c r="S1712" s="89" t="str">
        <f t="shared" si="158"/>
        <v/>
      </c>
      <c r="X1712" s="64">
        <f t="shared" si="159"/>
        <v>0</v>
      </c>
      <c r="Y1712" s="53">
        <f t="shared" si="160"/>
        <v>0</v>
      </c>
      <c r="Z1712" s="64">
        <f t="shared" si="161"/>
        <v>0</v>
      </c>
    </row>
    <row r="1713" spans="1:26">
      <c r="A1713" s="89" t="str">
        <f t="shared" si="156"/>
        <v/>
      </c>
      <c r="B1713" s="89" t="str">
        <f t="shared" si="157"/>
        <v/>
      </c>
      <c r="S1713" s="89" t="str">
        <f t="shared" si="158"/>
        <v/>
      </c>
      <c r="X1713" s="64">
        <f t="shared" si="159"/>
        <v>0</v>
      </c>
      <c r="Y1713" s="53">
        <f t="shared" si="160"/>
        <v>0</v>
      </c>
      <c r="Z1713" s="64">
        <f t="shared" si="161"/>
        <v>0</v>
      </c>
    </row>
    <row r="1714" spans="1:26">
      <c r="A1714" s="89" t="str">
        <f t="shared" si="156"/>
        <v/>
      </c>
      <c r="B1714" s="89" t="str">
        <f t="shared" si="157"/>
        <v/>
      </c>
      <c r="S1714" s="89" t="str">
        <f t="shared" si="158"/>
        <v/>
      </c>
      <c r="X1714" s="64">
        <f t="shared" si="159"/>
        <v>0</v>
      </c>
      <c r="Y1714" s="53">
        <f t="shared" si="160"/>
        <v>0</v>
      </c>
      <c r="Z1714" s="64">
        <f t="shared" si="161"/>
        <v>0</v>
      </c>
    </row>
    <row r="1715" spans="1:26">
      <c r="A1715" s="89" t="str">
        <f t="shared" si="156"/>
        <v/>
      </c>
      <c r="B1715" s="89" t="str">
        <f t="shared" si="157"/>
        <v/>
      </c>
      <c r="S1715" s="89" t="str">
        <f t="shared" si="158"/>
        <v/>
      </c>
      <c r="X1715" s="64">
        <f t="shared" si="159"/>
        <v>0</v>
      </c>
      <c r="Y1715" s="53">
        <f t="shared" si="160"/>
        <v>0</v>
      </c>
      <c r="Z1715" s="64">
        <f t="shared" si="161"/>
        <v>0</v>
      </c>
    </row>
    <row r="1716" spans="1:26">
      <c r="A1716" s="89" t="str">
        <f t="shared" si="156"/>
        <v/>
      </c>
      <c r="B1716" s="89" t="str">
        <f t="shared" si="157"/>
        <v/>
      </c>
      <c r="S1716" s="89" t="str">
        <f t="shared" si="158"/>
        <v/>
      </c>
      <c r="X1716" s="64">
        <f t="shared" si="159"/>
        <v>0</v>
      </c>
      <c r="Y1716" s="53">
        <f t="shared" si="160"/>
        <v>0</v>
      </c>
      <c r="Z1716" s="64">
        <f t="shared" si="161"/>
        <v>0</v>
      </c>
    </row>
    <row r="1717" spans="1:26">
      <c r="A1717" s="89" t="str">
        <f t="shared" si="156"/>
        <v/>
      </c>
      <c r="B1717" s="89" t="str">
        <f t="shared" si="157"/>
        <v/>
      </c>
      <c r="S1717" s="89" t="str">
        <f t="shared" si="158"/>
        <v/>
      </c>
      <c r="X1717" s="64">
        <f t="shared" si="159"/>
        <v>0</v>
      </c>
      <c r="Y1717" s="53">
        <f t="shared" si="160"/>
        <v>0</v>
      </c>
      <c r="Z1717" s="64">
        <f t="shared" si="161"/>
        <v>0</v>
      </c>
    </row>
    <row r="1718" spans="1:26">
      <c r="A1718" s="89" t="str">
        <f t="shared" si="156"/>
        <v/>
      </c>
      <c r="B1718" s="89" t="str">
        <f t="shared" si="157"/>
        <v/>
      </c>
      <c r="S1718" s="89" t="str">
        <f t="shared" si="158"/>
        <v/>
      </c>
      <c r="X1718" s="64">
        <f t="shared" si="159"/>
        <v>0</v>
      </c>
      <c r="Y1718" s="53">
        <f t="shared" si="160"/>
        <v>0</v>
      </c>
      <c r="Z1718" s="64">
        <f t="shared" si="161"/>
        <v>0</v>
      </c>
    </row>
    <row r="1719" spans="1:26">
      <c r="A1719" s="89" t="str">
        <f t="shared" si="156"/>
        <v/>
      </c>
      <c r="B1719" s="89" t="str">
        <f t="shared" si="157"/>
        <v/>
      </c>
      <c r="S1719" s="89" t="str">
        <f t="shared" si="158"/>
        <v/>
      </c>
      <c r="X1719" s="64">
        <f t="shared" si="159"/>
        <v>0</v>
      </c>
      <c r="Y1719" s="53">
        <f t="shared" si="160"/>
        <v>0</v>
      </c>
      <c r="Z1719" s="64">
        <f t="shared" si="161"/>
        <v>0</v>
      </c>
    </row>
    <row r="1720" spans="1:26">
      <c r="A1720" s="89" t="str">
        <f t="shared" si="156"/>
        <v/>
      </c>
      <c r="B1720" s="89" t="str">
        <f t="shared" si="157"/>
        <v/>
      </c>
      <c r="S1720" s="89" t="str">
        <f t="shared" si="158"/>
        <v/>
      </c>
      <c r="X1720" s="64">
        <f t="shared" si="159"/>
        <v>0</v>
      </c>
      <c r="Y1720" s="53">
        <f t="shared" si="160"/>
        <v>0</v>
      </c>
      <c r="Z1720" s="64">
        <f t="shared" si="161"/>
        <v>0</v>
      </c>
    </row>
    <row r="1721" spans="1:26">
      <c r="A1721" s="89" t="str">
        <f t="shared" si="156"/>
        <v/>
      </c>
      <c r="B1721" s="89" t="str">
        <f t="shared" si="157"/>
        <v/>
      </c>
      <c r="S1721" s="89" t="str">
        <f t="shared" si="158"/>
        <v/>
      </c>
      <c r="X1721" s="64">
        <f t="shared" si="159"/>
        <v>0</v>
      </c>
      <c r="Y1721" s="53">
        <f t="shared" si="160"/>
        <v>0</v>
      </c>
      <c r="Z1721" s="64">
        <f t="shared" si="161"/>
        <v>0</v>
      </c>
    </row>
    <row r="1722" spans="1:26">
      <c r="A1722" s="89" t="str">
        <f t="shared" si="156"/>
        <v/>
      </c>
      <c r="B1722" s="89" t="str">
        <f t="shared" si="157"/>
        <v/>
      </c>
      <c r="S1722" s="89" t="str">
        <f t="shared" si="158"/>
        <v/>
      </c>
      <c r="X1722" s="64">
        <f t="shared" si="159"/>
        <v>0</v>
      </c>
      <c r="Y1722" s="53">
        <f t="shared" si="160"/>
        <v>0</v>
      </c>
      <c r="Z1722" s="64">
        <f t="shared" si="161"/>
        <v>0</v>
      </c>
    </row>
    <row r="1723" spans="1:26">
      <c r="A1723" s="89" t="str">
        <f t="shared" si="156"/>
        <v/>
      </c>
      <c r="B1723" s="89" t="str">
        <f t="shared" si="157"/>
        <v/>
      </c>
      <c r="S1723" s="89" t="str">
        <f t="shared" si="158"/>
        <v/>
      </c>
      <c r="X1723" s="64">
        <f t="shared" si="159"/>
        <v>0</v>
      </c>
      <c r="Y1723" s="53">
        <f t="shared" si="160"/>
        <v>0</v>
      </c>
      <c r="Z1723" s="64">
        <f t="shared" si="161"/>
        <v>0</v>
      </c>
    </row>
    <row r="1724" spans="1:26">
      <c r="A1724" s="89" t="str">
        <f t="shared" si="156"/>
        <v/>
      </c>
      <c r="B1724" s="89" t="str">
        <f t="shared" si="157"/>
        <v/>
      </c>
      <c r="S1724" s="89" t="str">
        <f t="shared" si="158"/>
        <v/>
      </c>
      <c r="X1724" s="64">
        <f t="shared" si="159"/>
        <v>0</v>
      </c>
      <c r="Y1724" s="53">
        <f t="shared" si="160"/>
        <v>0</v>
      </c>
      <c r="Z1724" s="64">
        <f t="shared" si="161"/>
        <v>0</v>
      </c>
    </row>
    <row r="1725" spans="1:26">
      <c r="A1725" s="89" t="str">
        <f t="shared" si="156"/>
        <v/>
      </c>
      <c r="B1725" s="89" t="str">
        <f t="shared" si="157"/>
        <v/>
      </c>
      <c r="S1725" s="89" t="str">
        <f t="shared" si="158"/>
        <v/>
      </c>
      <c r="X1725" s="64">
        <f t="shared" si="159"/>
        <v>0</v>
      </c>
      <c r="Y1725" s="53">
        <f t="shared" si="160"/>
        <v>0</v>
      </c>
      <c r="Z1725" s="64">
        <f t="shared" si="161"/>
        <v>0</v>
      </c>
    </row>
    <row r="1726" spans="1:26">
      <c r="A1726" s="89" t="str">
        <f t="shared" si="156"/>
        <v/>
      </c>
      <c r="B1726" s="89" t="str">
        <f t="shared" si="157"/>
        <v/>
      </c>
      <c r="S1726" s="89" t="str">
        <f t="shared" si="158"/>
        <v/>
      </c>
      <c r="X1726" s="64">
        <f t="shared" si="159"/>
        <v>0</v>
      </c>
      <c r="Y1726" s="53">
        <f t="shared" si="160"/>
        <v>0</v>
      </c>
      <c r="Z1726" s="64">
        <f t="shared" si="161"/>
        <v>0</v>
      </c>
    </row>
    <row r="1727" spans="1:26">
      <c r="A1727" s="89" t="str">
        <f t="shared" si="156"/>
        <v/>
      </c>
      <c r="B1727" s="89" t="str">
        <f t="shared" si="157"/>
        <v/>
      </c>
      <c r="S1727" s="89" t="str">
        <f t="shared" si="158"/>
        <v/>
      </c>
      <c r="X1727" s="64">
        <f t="shared" si="159"/>
        <v>0</v>
      </c>
      <c r="Y1727" s="53">
        <f t="shared" si="160"/>
        <v>0</v>
      </c>
      <c r="Z1727" s="64">
        <f t="shared" si="161"/>
        <v>0</v>
      </c>
    </row>
    <row r="1728" spans="1:26">
      <c r="A1728" s="89" t="str">
        <f t="shared" si="156"/>
        <v/>
      </c>
      <c r="B1728" s="89" t="str">
        <f t="shared" si="157"/>
        <v/>
      </c>
      <c r="S1728" s="89" t="str">
        <f t="shared" si="158"/>
        <v/>
      </c>
      <c r="X1728" s="64">
        <f t="shared" si="159"/>
        <v>0</v>
      </c>
      <c r="Y1728" s="53">
        <f t="shared" si="160"/>
        <v>0</v>
      </c>
      <c r="Z1728" s="64">
        <f t="shared" si="161"/>
        <v>0</v>
      </c>
    </row>
    <row r="1729" spans="1:26">
      <c r="A1729" s="89" t="str">
        <f t="shared" si="156"/>
        <v/>
      </c>
      <c r="B1729" s="89" t="str">
        <f t="shared" si="157"/>
        <v/>
      </c>
      <c r="S1729" s="89" t="str">
        <f t="shared" si="158"/>
        <v/>
      </c>
      <c r="X1729" s="64">
        <f t="shared" si="159"/>
        <v>0</v>
      </c>
      <c r="Y1729" s="53">
        <f t="shared" si="160"/>
        <v>0</v>
      </c>
      <c r="Z1729" s="64">
        <f t="shared" si="161"/>
        <v>0</v>
      </c>
    </row>
    <row r="1730" spans="1:26">
      <c r="A1730" s="89" t="str">
        <f t="shared" si="156"/>
        <v/>
      </c>
      <c r="B1730" s="89" t="str">
        <f t="shared" si="157"/>
        <v/>
      </c>
      <c r="S1730" s="89" t="str">
        <f t="shared" si="158"/>
        <v/>
      </c>
      <c r="X1730" s="64">
        <f t="shared" si="159"/>
        <v>0</v>
      </c>
      <c r="Y1730" s="53">
        <f t="shared" si="160"/>
        <v>0</v>
      </c>
      <c r="Z1730" s="64">
        <f t="shared" si="161"/>
        <v>0</v>
      </c>
    </row>
    <row r="1731" spans="1:26">
      <c r="A1731" s="89" t="str">
        <f t="shared" ref="A1731:A1794" si="162">IF(G1731&amp;Q1731&lt;&gt;"",G1731&amp;Q1731,"")</f>
        <v/>
      </c>
      <c r="B1731" s="89" t="str">
        <f t="shared" ref="B1731:B1794" si="163">IF(C1731&lt;&gt;"",LEFT(C1731,9),"")</f>
        <v/>
      </c>
      <c r="S1731" s="89" t="str">
        <f t="shared" ref="S1731:S1794" si="164">IF(H1731&lt;&gt;"",H1731,"")</f>
        <v/>
      </c>
      <c r="X1731" s="64">
        <f t="shared" ref="X1731:X1794" si="165">IFERROR(VALUE(MID($C1731,1,2)),0)</f>
        <v>0</v>
      </c>
      <c r="Y1731" s="53">
        <f t="shared" ref="Y1731:Y1794" si="166">IFERROR(VALUE(MID($C1731,4,3)),0)</f>
        <v>0</v>
      </c>
      <c r="Z1731" s="64">
        <f t="shared" ref="Z1731:Z1794" si="167">VALUE(RIGHT("00"&amp;X1731,2)&amp;RIGHT("000"&amp;Y1731,3))</f>
        <v>0</v>
      </c>
    </row>
    <row r="1732" spans="1:26">
      <c r="A1732" s="89" t="str">
        <f t="shared" si="162"/>
        <v/>
      </c>
      <c r="B1732" s="89" t="str">
        <f t="shared" si="163"/>
        <v/>
      </c>
      <c r="S1732" s="89" t="str">
        <f t="shared" si="164"/>
        <v/>
      </c>
      <c r="X1732" s="64">
        <f t="shared" si="165"/>
        <v>0</v>
      </c>
      <c r="Y1732" s="53">
        <f t="shared" si="166"/>
        <v>0</v>
      </c>
      <c r="Z1732" s="64">
        <f t="shared" si="167"/>
        <v>0</v>
      </c>
    </row>
    <row r="1733" spans="1:26">
      <c r="A1733" s="89" t="str">
        <f t="shared" si="162"/>
        <v/>
      </c>
      <c r="B1733" s="89" t="str">
        <f t="shared" si="163"/>
        <v/>
      </c>
      <c r="S1733" s="89" t="str">
        <f t="shared" si="164"/>
        <v/>
      </c>
      <c r="X1733" s="64">
        <f t="shared" si="165"/>
        <v>0</v>
      </c>
      <c r="Y1733" s="53">
        <f t="shared" si="166"/>
        <v>0</v>
      </c>
      <c r="Z1733" s="64">
        <f t="shared" si="167"/>
        <v>0</v>
      </c>
    </row>
    <row r="1734" spans="1:26">
      <c r="A1734" s="89" t="str">
        <f t="shared" si="162"/>
        <v/>
      </c>
      <c r="B1734" s="89" t="str">
        <f t="shared" si="163"/>
        <v/>
      </c>
      <c r="S1734" s="89" t="str">
        <f t="shared" si="164"/>
        <v/>
      </c>
      <c r="X1734" s="64">
        <f t="shared" si="165"/>
        <v>0</v>
      </c>
      <c r="Y1734" s="53">
        <f t="shared" si="166"/>
        <v>0</v>
      </c>
      <c r="Z1734" s="64">
        <f t="shared" si="167"/>
        <v>0</v>
      </c>
    </row>
    <row r="1735" spans="1:26">
      <c r="A1735" s="89" t="str">
        <f t="shared" si="162"/>
        <v/>
      </c>
      <c r="B1735" s="89" t="str">
        <f t="shared" si="163"/>
        <v/>
      </c>
      <c r="S1735" s="89" t="str">
        <f t="shared" si="164"/>
        <v/>
      </c>
      <c r="X1735" s="64">
        <f t="shared" si="165"/>
        <v>0</v>
      </c>
      <c r="Y1735" s="53">
        <f t="shared" si="166"/>
        <v>0</v>
      </c>
      <c r="Z1735" s="64">
        <f t="shared" si="167"/>
        <v>0</v>
      </c>
    </row>
    <row r="1736" spans="1:26">
      <c r="A1736" s="89" t="str">
        <f t="shared" si="162"/>
        <v/>
      </c>
      <c r="B1736" s="89" t="str">
        <f t="shared" si="163"/>
        <v/>
      </c>
      <c r="S1736" s="89" t="str">
        <f t="shared" si="164"/>
        <v/>
      </c>
      <c r="X1736" s="64">
        <f t="shared" si="165"/>
        <v>0</v>
      </c>
      <c r="Y1736" s="53">
        <f t="shared" si="166"/>
        <v>0</v>
      </c>
      <c r="Z1736" s="64">
        <f t="shared" si="167"/>
        <v>0</v>
      </c>
    </row>
    <row r="1737" spans="1:26">
      <c r="A1737" s="89" t="str">
        <f t="shared" si="162"/>
        <v/>
      </c>
      <c r="B1737" s="89" t="str">
        <f t="shared" si="163"/>
        <v/>
      </c>
      <c r="S1737" s="89" t="str">
        <f t="shared" si="164"/>
        <v/>
      </c>
      <c r="X1737" s="64">
        <f t="shared" si="165"/>
        <v>0</v>
      </c>
      <c r="Y1737" s="53">
        <f t="shared" si="166"/>
        <v>0</v>
      </c>
      <c r="Z1737" s="64">
        <f t="shared" si="167"/>
        <v>0</v>
      </c>
    </row>
    <row r="1738" spans="1:26">
      <c r="A1738" s="89" t="str">
        <f t="shared" si="162"/>
        <v/>
      </c>
      <c r="B1738" s="89" t="str">
        <f t="shared" si="163"/>
        <v/>
      </c>
      <c r="S1738" s="89" t="str">
        <f t="shared" si="164"/>
        <v/>
      </c>
      <c r="X1738" s="64">
        <f t="shared" si="165"/>
        <v>0</v>
      </c>
      <c r="Y1738" s="53">
        <f t="shared" si="166"/>
        <v>0</v>
      </c>
      <c r="Z1738" s="64">
        <f t="shared" si="167"/>
        <v>0</v>
      </c>
    </row>
    <row r="1739" spans="1:26">
      <c r="A1739" s="89" t="str">
        <f t="shared" si="162"/>
        <v/>
      </c>
      <c r="B1739" s="89" t="str">
        <f t="shared" si="163"/>
        <v/>
      </c>
      <c r="S1739" s="89" t="str">
        <f t="shared" si="164"/>
        <v/>
      </c>
      <c r="X1739" s="64">
        <f t="shared" si="165"/>
        <v>0</v>
      </c>
      <c r="Y1739" s="53">
        <f t="shared" si="166"/>
        <v>0</v>
      </c>
      <c r="Z1739" s="64">
        <f t="shared" si="167"/>
        <v>0</v>
      </c>
    </row>
    <row r="1740" spans="1:26">
      <c r="A1740" s="89" t="str">
        <f t="shared" si="162"/>
        <v/>
      </c>
      <c r="B1740" s="89" t="str">
        <f t="shared" si="163"/>
        <v/>
      </c>
      <c r="S1740" s="89" t="str">
        <f t="shared" si="164"/>
        <v/>
      </c>
      <c r="X1740" s="64">
        <f t="shared" si="165"/>
        <v>0</v>
      </c>
      <c r="Y1740" s="53">
        <f t="shared" si="166"/>
        <v>0</v>
      </c>
      <c r="Z1740" s="64">
        <f t="shared" si="167"/>
        <v>0</v>
      </c>
    </row>
    <row r="1741" spans="1:26">
      <c r="A1741" s="89" t="str">
        <f t="shared" si="162"/>
        <v/>
      </c>
      <c r="B1741" s="89" t="str">
        <f t="shared" si="163"/>
        <v/>
      </c>
      <c r="S1741" s="89" t="str">
        <f t="shared" si="164"/>
        <v/>
      </c>
      <c r="X1741" s="64">
        <f t="shared" si="165"/>
        <v>0</v>
      </c>
      <c r="Y1741" s="53">
        <f t="shared" si="166"/>
        <v>0</v>
      </c>
      <c r="Z1741" s="64">
        <f t="shared" si="167"/>
        <v>0</v>
      </c>
    </row>
    <row r="1742" spans="1:26">
      <c r="A1742" s="89" t="str">
        <f t="shared" si="162"/>
        <v/>
      </c>
      <c r="B1742" s="89" t="str">
        <f t="shared" si="163"/>
        <v/>
      </c>
      <c r="S1742" s="89" t="str">
        <f t="shared" si="164"/>
        <v/>
      </c>
      <c r="X1742" s="64">
        <f t="shared" si="165"/>
        <v>0</v>
      </c>
      <c r="Y1742" s="53">
        <f t="shared" si="166"/>
        <v>0</v>
      </c>
      <c r="Z1742" s="64">
        <f t="shared" si="167"/>
        <v>0</v>
      </c>
    </row>
    <row r="1743" spans="1:26">
      <c r="A1743" s="89" t="str">
        <f t="shared" si="162"/>
        <v/>
      </c>
      <c r="B1743" s="89" t="str">
        <f t="shared" si="163"/>
        <v/>
      </c>
      <c r="S1743" s="89" t="str">
        <f t="shared" si="164"/>
        <v/>
      </c>
      <c r="X1743" s="64">
        <f t="shared" si="165"/>
        <v>0</v>
      </c>
      <c r="Y1743" s="53">
        <f t="shared" si="166"/>
        <v>0</v>
      </c>
      <c r="Z1743" s="64">
        <f t="shared" si="167"/>
        <v>0</v>
      </c>
    </row>
    <row r="1744" spans="1:26">
      <c r="A1744" s="89" t="str">
        <f t="shared" si="162"/>
        <v/>
      </c>
      <c r="B1744" s="89" t="str">
        <f t="shared" si="163"/>
        <v/>
      </c>
      <c r="S1744" s="89" t="str">
        <f t="shared" si="164"/>
        <v/>
      </c>
      <c r="X1744" s="64">
        <f t="shared" si="165"/>
        <v>0</v>
      </c>
      <c r="Y1744" s="53">
        <f t="shared" si="166"/>
        <v>0</v>
      </c>
      <c r="Z1744" s="64">
        <f t="shared" si="167"/>
        <v>0</v>
      </c>
    </row>
    <row r="1745" spans="1:26">
      <c r="A1745" s="89" t="str">
        <f t="shared" si="162"/>
        <v/>
      </c>
      <c r="B1745" s="89" t="str">
        <f t="shared" si="163"/>
        <v/>
      </c>
      <c r="S1745" s="89" t="str">
        <f t="shared" si="164"/>
        <v/>
      </c>
      <c r="X1745" s="64">
        <f t="shared" si="165"/>
        <v>0</v>
      </c>
      <c r="Y1745" s="53">
        <f t="shared" si="166"/>
        <v>0</v>
      </c>
      <c r="Z1745" s="64">
        <f t="shared" si="167"/>
        <v>0</v>
      </c>
    </row>
    <row r="1746" spans="1:26">
      <c r="A1746" s="89" t="str">
        <f t="shared" si="162"/>
        <v/>
      </c>
      <c r="B1746" s="89" t="str">
        <f t="shared" si="163"/>
        <v/>
      </c>
      <c r="S1746" s="89" t="str">
        <f t="shared" si="164"/>
        <v/>
      </c>
      <c r="X1746" s="64">
        <f t="shared" si="165"/>
        <v>0</v>
      </c>
      <c r="Y1746" s="53">
        <f t="shared" si="166"/>
        <v>0</v>
      </c>
      <c r="Z1746" s="64">
        <f t="shared" si="167"/>
        <v>0</v>
      </c>
    </row>
    <row r="1747" spans="1:26">
      <c r="A1747" s="89" t="str">
        <f t="shared" si="162"/>
        <v/>
      </c>
      <c r="B1747" s="89" t="str">
        <f t="shared" si="163"/>
        <v/>
      </c>
      <c r="S1747" s="89" t="str">
        <f t="shared" si="164"/>
        <v/>
      </c>
      <c r="X1747" s="64">
        <f t="shared" si="165"/>
        <v>0</v>
      </c>
      <c r="Y1747" s="53">
        <f t="shared" si="166"/>
        <v>0</v>
      </c>
      <c r="Z1747" s="64">
        <f t="shared" si="167"/>
        <v>0</v>
      </c>
    </row>
    <row r="1748" spans="1:26">
      <c r="A1748" s="89" t="str">
        <f t="shared" si="162"/>
        <v/>
      </c>
      <c r="B1748" s="89" t="str">
        <f t="shared" si="163"/>
        <v/>
      </c>
      <c r="S1748" s="89" t="str">
        <f t="shared" si="164"/>
        <v/>
      </c>
      <c r="X1748" s="64">
        <f t="shared" si="165"/>
        <v>0</v>
      </c>
      <c r="Y1748" s="53">
        <f t="shared" si="166"/>
        <v>0</v>
      </c>
      <c r="Z1748" s="64">
        <f t="shared" si="167"/>
        <v>0</v>
      </c>
    </row>
    <row r="1749" spans="1:26">
      <c r="A1749" s="89" t="str">
        <f t="shared" si="162"/>
        <v/>
      </c>
      <c r="B1749" s="89" t="str">
        <f t="shared" si="163"/>
        <v/>
      </c>
      <c r="S1749" s="89" t="str">
        <f t="shared" si="164"/>
        <v/>
      </c>
      <c r="X1749" s="64">
        <f t="shared" si="165"/>
        <v>0</v>
      </c>
      <c r="Y1749" s="53">
        <f t="shared" si="166"/>
        <v>0</v>
      </c>
      <c r="Z1749" s="64">
        <f t="shared" si="167"/>
        <v>0</v>
      </c>
    </row>
    <row r="1750" spans="1:26">
      <c r="A1750" s="89" t="str">
        <f t="shared" si="162"/>
        <v/>
      </c>
      <c r="B1750" s="89" t="str">
        <f t="shared" si="163"/>
        <v/>
      </c>
      <c r="S1750" s="89" t="str">
        <f t="shared" si="164"/>
        <v/>
      </c>
      <c r="X1750" s="64">
        <f t="shared" si="165"/>
        <v>0</v>
      </c>
      <c r="Y1750" s="53">
        <f t="shared" si="166"/>
        <v>0</v>
      </c>
      <c r="Z1750" s="64">
        <f t="shared" si="167"/>
        <v>0</v>
      </c>
    </row>
    <row r="1751" spans="1:26">
      <c r="A1751" s="89" t="str">
        <f t="shared" si="162"/>
        <v/>
      </c>
      <c r="B1751" s="89" t="str">
        <f t="shared" si="163"/>
        <v/>
      </c>
      <c r="S1751" s="89" t="str">
        <f t="shared" si="164"/>
        <v/>
      </c>
      <c r="X1751" s="64">
        <f t="shared" si="165"/>
        <v>0</v>
      </c>
      <c r="Y1751" s="53">
        <f t="shared" si="166"/>
        <v>0</v>
      </c>
      <c r="Z1751" s="64">
        <f t="shared" si="167"/>
        <v>0</v>
      </c>
    </row>
    <row r="1752" spans="1:26">
      <c r="A1752" s="89" t="str">
        <f t="shared" si="162"/>
        <v/>
      </c>
      <c r="B1752" s="89" t="str">
        <f t="shared" si="163"/>
        <v/>
      </c>
      <c r="S1752" s="89" t="str">
        <f t="shared" si="164"/>
        <v/>
      </c>
      <c r="X1752" s="64">
        <f t="shared" si="165"/>
        <v>0</v>
      </c>
      <c r="Y1752" s="53">
        <f t="shared" si="166"/>
        <v>0</v>
      </c>
      <c r="Z1752" s="64">
        <f t="shared" si="167"/>
        <v>0</v>
      </c>
    </row>
    <row r="1753" spans="1:26">
      <c r="A1753" s="89" t="str">
        <f t="shared" si="162"/>
        <v/>
      </c>
      <c r="B1753" s="89" t="str">
        <f t="shared" si="163"/>
        <v/>
      </c>
      <c r="S1753" s="89" t="str">
        <f t="shared" si="164"/>
        <v/>
      </c>
      <c r="X1753" s="64">
        <f t="shared" si="165"/>
        <v>0</v>
      </c>
      <c r="Y1753" s="53">
        <f t="shared" si="166"/>
        <v>0</v>
      </c>
      <c r="Z1753" s="64">
        <f t="shared" si="167"/>
        <v>0</v>
      </c>
    </row>
    <row r="1754" spans="1:26">
      <c r="A1754" s="89" t="str">
        <f t="shared" si="162"/>
        <v/>
      </c>
      <c r="B1754" s="89" t="str">
        <f t="shared" si="163"/>
        <v/>
      </c>
      <c r="S1754" s="89" t="str">
        <f t="shared" si="164"/>
        <v/>
      </c>
      <c r="X1754" s="64">
        <f t="shared" si="165"/>
        <v>0</v>
      </c>
      <c r="Y1754" s="53">
        <f t="shared" si="166"/>
        <v>0</v>
      </c>
      <c r="Z1754" s="64">
        <f t="shared" si="167"/>
        <v>0</v>
      </c>
    </row>
    <row r="1755" spans="1:26">
      <c r="A1755" s="89" t="str">
        <f t="shared" si="162"/>
        <v/>
      </c>
      <c r="B1755" s="89" t="str">
        <f t="shared" si="163"/>
        <v/>
      </c>
      <c r="S1755" s="89" t="str">
        <f t="shared" si="164"/>
        <v/>
      </c>
      <c r="X1755" s="64">
        <f t="shared" si="165"/>
        <v>0</v>
      </c>
      <c r="Y1755" s="53">
        <f t="shared" si="166"/>
        <v>0</v>
      </c>
      <c r="Z1755" s="64">
        <f t="shared" si="167"/>
        <v>0</v>
      </c>
    </row>
    <row r="1756" spans="1:26">
      <c r="A1756" s="89" t="str">
        <f t="shared" si="162"/>
        <v/>
      </c>
      <c r="B1756" s="89" t="str">
        <f t="shared" si="163"/>
        <v/>
      </c>
      <c r="S1756" s="89" t="str">
        <f t="shared" si="164"/>
        <v/>
      </c>
      <c r="X1756" s="64">
        <f t="shared" si="165"/>
        <v>0</v>
      </c>
      <c r="Y1756" s="53">
        <f t="shared" si="166"/>
        <v>0</v>
      </c>
      <c r="Z1756" s="64">
        <f t="shared" si="167"/>
        <v>0</v>
      </c>
    </row>
    <row r="1757" spans="1:26">
      <c r="A1757" s="89" t="str">
        <f t="shared" si="162"/>
        <v/>
      </c>
      <c r="B1757" s="89" t="str">
        <f t="shared" si="163"/>
        <v/>
      </c>
      <c r="S1757" s="89" t="str">
        <f t="shared" si="164"/>
        <v/>
      </c>
      <c r="X1757" s="64">
        <f t="shared" si="165"/>
        <v>0</v>
      </c>
      <c r="Y1757" s="53">
        <f t="shared" si="166"/>
        <v>0</v>
      </c>
      <c r="Z1757" s="64">
        <f t="shared" si="167"/>
        <v>0</v>
      </c>
    </row>
    <row r="1758" spans="1:26">
      <c r="A1758" s="89" t="str">
        <f t="shared" si="162"/>
        <v/>
      </c>
      <c r="B1758" s="89" t="str">
        <f t="shared" si="163"/>
        <v/>
      </c>
      <c r="S1758" s="89" t="str">
        <f t="shared" si="164"/>
        <v/>
      </c>
      <c r="X1758" s="64">
        <f t="shared" si="165"/>
        <v>0</v>
      </c>
      <c r="Y1758" s="53">
        <f t="shared" si="166"/>
        <v>0</v>
      </c>
      <c r="Z1758" s="64">
        <f t="shared" si="167"/>
        <v>0</v>
      </c>
    </row>
    <row r="1759" spans="1:26">
      <c r="A1759" s="89" t="str">
        <f t="shared" si="162"/>
        <v/>
      </c>
      <c r="B1759" s="89" t="str">
        <f t="shared" si="163"/>
        <v/>
      </c>
      <c r="S1759" s="89" t="str">
        <f t="shared" si="164"/>
        <v/>
      </c>
      <c r="X1759" s="64">
        <f t="shared" si="165"/>
        <v>0</v>
      </c>
      <c r="Y1759" s="53">
        <f t="shared" si="166"/>
        <v>0</v>
      </c>
      <c r="Z1759" s="64">
        <f t="shared" si="167"/>
        <v>0</v>
      </c>
    </row>
    <row r="1760" spans="1:26">
      <c r="A1760" s="89" t="str">
        <f t="shared" si="162"/>
        <v/>
      </c>
      <c r="B1760" s="89" t="str">
        <f t="shared" si="163"/>
        <v/>
      </c>
      <c r="S1760" s="89" t="str">
        <f t="shared" si="164"/>
        <v/>
      </c>
      <c r="X1760" s="64">
        <f t="shared" si="165"/>
        <v>0</v>
      </c>
      <c r="Y1760" s="53">
        <f t="shared" si="166"/>
        <v>0</v>
      </c>
      <c r="Z1760" s="64">
        <f t="shared" si="167"/>
        <v>0</v>
      </c>
    </row>
    <row r="1761" spans="1:26">
      <c r="A1761" s="89" t="str">
        <f t="shared" si="162"/>
        <v/>
      </c>
      <c r="B1761" s="89" t="str">
        <f t="shared" si="163"/>
        <v/>
      </c>
      <c r="S1761" s="89" t="str">
        <f t="shared" si="164"/>
        <v/>
      </c>
      <c r="X1761" s="64">
        <f t="shared" si="165"/>
        <v>0</v>
      </c>
      <c r="Y1761" s="53">
        <f t="shared" si="166"/>
        <v>0</v>
      </c>
      <c r="Z1761" s="64">
        <f t="shared" si="167"/>
        <v>0</v>
      </c>
    </row>
    <row r="1762" spans="1:26">
      <c r="A1762" s="89" t="str">
        <f t="shared" si="162"/>
        <v/>
      </c>
      <c r="B1762" s="89" t="str">
        <f t="shared" si="163"/>
        <v/>
      </c>
      <c r="S1762" s="89" t="str">
        <f t="shared" si="164"/>
        <v/>
      </c>
      <c r="X1762" s="64">
        <f t="shared" si="165"/>
        <v>0</v>
      </c>
      <c r="Y1762" s="53">
        <f t="shared" si="166"/>
        <v>0</v>
      </c>
      <c r="Z1762" s="64">
        <f t="shared" si="167"/>
        <v>0</v>
      </c>
    </row>
    <row r="1763" spans="1:26">
      <c r="A1763" s="89" t="str">
        <f t="shared" si="162"/>
        <v/>
      </c>
      <c r="B1763" s="89" t="str">
        <f t="shared" si="163"/>
        <v/>
      </c>
      <c r="S1763" s="89" t="str">
        <f t="shared" si="164"/>
        <v/>
      </c>
      <c r="X1763" s="64">
        <f t="shared" si="165"/>
        <v>0</v>
      </c>
      <c r="Y1763" s="53">
        <f t="shared" si="166"/>
        <v>0</v>
      </c>
      <c r="Z1763" s="64">
        <f t="shared" si="167"/>
        <v>0</v>
      </c>
    </row>
    <row r="1764" spans="1:26">
      <c r="A1764" s="89" t="str">
        <f t="shared" si="162"/>
        <v/>
      </c>
      <c r="B1764" s="89" t="str">
        <f t="shared" si="163"/>
        <v/>
      </c>
      <c r="S1764" s="89" t="str">
        <f t="shared" si="164"/>
        <v/>
      </c>
      <c r="X1764" s="64">
        <f t="shared" si="165"/>
        <v>0</v>
      </c>
      <c r="Y1764" s="53">
        <f t="shared" si="166"/>
        <v>0</v>
      </c>
      <c r="Z1764" s="64">
        <f t="shared" si="167"/>
        <v>0</v>
      </c>
    </row>
    <row r="1765" spans="1:26">
      <c r="A1765" s="89" t="str">
        <f t="shared" si="162"/>
        <v/>
      </c>
      <c r="B1765" s="89" t="str">
        <f t="shared" si="163"/>
        <v/>
      </c>
      <c r="S1765" s="89" t="str">
        <f t="shared" si="164"/>
        <v/>
      </c>
      <c r="X1765" s="64">
        <f t="shared" si="165"/>
        <v>0</v>
      </c>
      <c r="Y1765" s="53">
        <f t="shared" si="166"/>
        <v>0</v>
      </c>
      <c r="Z1765" s="64">
        <f t="shared" si="167"/>
        <v>0</v>
      </c>
    </row>
    <row r="1766" spans="1:26">
      <c r="A1766" s="89" t="str">
        <f t="shared" si="162"/>
        <v/>
      </c>
      <c r="B1766" s="89" t="str">
        <f t="shared" si="163"/>
        <v/>
      </c>
      <c r="S1766" s="89" t="str">
        <f t="shared" si="164"/>
        <v/>
      </c>
      <c r="X1766" s="64">
        <f t="shared" si="165"/>
        <v>0</v>
      </c>
      <c r="Y1766" s="53">
        <f t="shared" si="166"/>
        <v>0</v>
      </c>
      <c r="Z1766" s="64">
        <f t="shared" si="167"/>
        <v>0</v>
      </c>
    </row>
    <row r="1767" spans="1:26">
      <c r="A1767" s="89" t="str">
        <f t="shared" si="162"/>
        <v/>
      </c>
      <c r="B1767" s="89" t="str">
        <f t="shared" si="163"/>
        <v/>
      </c>
      <c r="S1767" s="89" t="str">
        <f t="shared" si="164"/>
        <v/>
      </c>
      <c r="X1767" s="64">
        <f t="shared" si="165"/>
        <v>0</v>
      </c>
      <c r="Y1767" s="53">
        <f t="shared" si="166"/>
        <v>0</v>
      </c>
      <c r="Z1767" s="64">
        <f t="shared" si="167"/>
        <v>0</v>
      </c>
    </row>
    <row r="1768" spans="1:26">
      <c r="A1768" s="89" t="str">
        <f t="shared" si="162"/>
        <v/>
      </c>
      <c r="B1768" s="89" t="str">
        <f t="shared" si="163"/>
        <v/>
      </c>
      <c r="S1768" s="89" t="str">
        <f t="shared" si="164"/>
        <v/>
      </c>
      <c r="X1768" s="64">
        <f t="shared" si="165"/>
        <v>0</v>
      </c>
      <c r="Y1768" s="53">
        <f t="shared" si="166"/>
        <v>0</v>
      </c>
      <c r="Z1768" s="64">
        <f t="shared" si="167"/>
        <v>0</v>
      </c>
    </row>
    <row r="1769" spans="1:26">
      <c r="A1769" s="89" t="str">
        <f t="shared" si="162"/>
        <v/>
      </c>
      <c r="B1769" s="89" t="str">
        <f t="shared" si="163"/>
        <v/>
      </c>
      <c r="S1769" s="89" t="str">
        <f t="shared" si="164"/>
        <v/>
      </c>
      <c r="X1769" s="64">
        <f t="shared" si="165"/>
        <v>0</v>
      </c>
      <c r="Y1769" s="53">
        <f t="shared" si="166"/>
        <v>0</v>
      </c>
      <c r="Z1769" s="64">
        <f t="shared" si="167"/>
        <v>0</v>
      </c>
    </row>
    <row r="1770" spans="1:26">
      <c r="A1770" s="89" t="str">
        <f t="shared" si="162"/>
        <v/>
      </c>
      <c r="B1770" s="89" t="str">
        <f t="shared" si="163"/>
        <v/>
      </c>
      <c r="S1770" s="89" t="str">
        <f t="shared" si="164"/>
        <v/>
      </c>
      <c r="X1770" s="64">
        <f t="shared" si="165"/>
        <v>0</v>
      </c>
      <c r="Y1770" s="53">
        <f t="shared" si="166"/>
        <v>0</v>
      </c>
      <c r="Z1770" s="64">
        <f t="shared" si="167"/>
        <v>0</v>
      </c>
    </row>
    <row r="1771" spans="1:26">
      <c r="A1771" s="89" t="str">
        <f t="shared" si="162"/>
        <v/>
      </c>
      <c r="B1771" s="89" t="str">
        <f t="shared" si="163"/>
        <v/>
      </c>
      <c r="S1771" s="89" t="str">
        <f t="shared" si="164"/>
        <v/>
      </c>
      <c r="X1771" s="64">
        <f t="shared" si="165"/>
        <v>0</v>
      </c>
      <c r="Y1771" s="53">
        <f t="shared" si="166"/>
        <v>0</v>
      </c>
      <c r="Z1771" s="64">
        <f t="shared" si="167"/>
        <v>0</v>
      </c>
    </row>
    <row r="1772" spans="1:26">
      <c r="A1772" s="89" t="str">
        <f t="shared" si="162"/>
        <v/>
      </c>
      <c r="B1772" s="89" t="str">
        <f t="shared" si="163"/>
        <v/>
      </c>
      <c r="S1772" s="89" t="str">
        <f t="shared" si="164"/>
        <v/>
      </c>
      <c r="X1772" s="64">
        <f t="shared" si="165"/>
        <v>0</v>
      </c>
      <c r="Y1772" s="53">
        <f t="shared" si="166"/>
        <v>0</v>
      </c>
      <c r="Z1772" s="64">
        <f t="shared" si="167"/>
        <v>0</v>
      </c>
    </row>
    <row r="1773" spans="1:26">
      <c r="A1773" s="89" t="str">
        <f t="shared" si="162"/>
        <v/>
      </c>
      <c r="B1773" s="89" t="str">
        <f t="shared" si="163"/>
        <v/>
      </c>
      <c r="S1773" s="89" t="str">
        <f t="shared" si="164"/>
        <v/>
      </c>
      <c r="X1773" s="64">
        <f t="shared" si="165"/>
        <v>0</v>
      </c>
      <c r="Y1773" s="53">
        <f t="shared" si="166"/>
        <v>0</v>
      </c>
      <c r="Z1773" s="64">
        <f t="shared" si="167"/>
        <v>0</v>
      </c>
    </row>
    <row r="1774" spans="1:26">
      <c r="A1774" s="89" t="str">
        <f t="shared" si="162"/>
        <v/>
      </c>
      <c r="B1774" s="89" t="str">
        <f t="shared" si="163"/>
        <v/>
      </c>
      <c r="S1774" s="89" t="str">
        <f t="shared" si="164"/>
        <v/>
      </c>
      <c r="X1774" s="64">
        <f t="shared" si="165"/>
        <v>0</v>
      </c>
      <c r="Y1774" s="53">
        <f t="shared" si="166"/>
        <v>0</v>
      </c>
      <c r="Z1774" s="64">
        <f t="shared" si="167"/>
        <v>0</v>
      </c>
    </row>
    <row r="1775" spans="1:26">
      <c r="A1775" s="89" t="str">
        <f t="shared" si="162"/>
        <v/>
      </c>
      <c r="B1775" s="89" t="str">
        <f t="shared" si="163"/>
        <v/>
      </c>
      <c r="S1775" s="89" t="str">
        <f t="shared" si="164"/>
        <v/>
      </c>
      <c r="X1775" s="64">
        <f t="shared" si="165"/>
        <v>0</v>
      </c>
      <c r="Y1775" s="53">
        <f t="shared" si="166"/>
        <v>0</v>
      </c>
      <c r="Z1775" s="64">
        <f t="shared" si="167"/>
        <v>0</v>
      </c>
    </row>
    <row r="1776" spans="1:26">
      <c r="A1776" s="89" t="str">
        <f t="shared" si="162"/>
        <v/>
      </c>
      <c r="B1776" s="89" t="str">
        <f t="shared" si="163"/>
        <v/>
      </c>
      <c r="S1776" s="89" t="str">
        <f t="shared" si="164"/>
        <v/>
      </c>
      <c r="X1776" s="64">
        <f t="shared" si="165"/>
        <v>0</v>
      </c>
      <c r="Y1776" s="53">
        <f t="shared" si="166"/>
        <v>0</v>
      </c>
      <c r="Z1776" s="64">
        <f t="shared" si="167"/>
        <v>0</v>
      </c>
    </row>
    <row r="1777" spans="1:26">
      <c r="A1777" s="89" t="str">
        <f t="shared" si="162"/>
        <v/>
      </c>
      <c r="B1777" s="89" t="str">
        <f t="shared" si="163"/>
        <v/>
      </c>
      <c r="S1777" s="89" t="str">
        <f t="shared" si="164"/>
        <v/>
      </c>
      <c r="X1777" s="64">
        <f t="shared" si="165"/>
        <v>0</v>
      </c>
      <c r="Y1777" s="53">
        <f t="shared" si="166"/>
        <v>0</v>
      </c>
      <c r="Z1777" s="64">
        <f t="shared" si="167"/>
        <v>0</v>
      </c>
    </row>
    <row r="1778" spans="1:26">
      <c r="A1778" s="89" t="str">
        <f t="shared" si="162"/>
        <v/>
      </c>
      <c r="B1778" s="89" t="str">
        <f t="shared" si="163"/>
        <v/>
      </c>
      <c r="S1778" s="89" t="str">
        <f t="shared" si="164"/>
        <v/>
      </c>
      <c r="X1778" s="64">
        <f t="shared" si="165"/>
        <v>0</v>
      </c>
      <c r="Y1778" s="53">
        <f t="shared" si="166"/>
        <v>0</v>
      </c>
      <c r="Z1778" s="64">
        <f t="shared" si="167"/>
        <v>0</v>
      </c>
    </row>
    <row r="1779" spans="1:26">
      <c r="A1779" s="89" t="str">
        <f t="shared" si="162"/>
        <v/>
      </c>
      <c r="B1779" s="89" t="str">
        <f t="shared" si="163"/>
        <v/>
      </c>
      <c r="S1779" s="89" t="str">
        <f t="shared" si="164"/>
        <v/>
      </c>
      <c r="X1779" s="64">
        <f t="shared" si="165"/>
        <v>0</v>
      </c>
      <c r="Y1779" s="53">
        <f t="shared" si="166"/>
        <v>0</v>
      </c>
      <c r="Z1779" s="64">
        <f t="shared" si="167"/>
        <v>0</v>
      </c>
    </row>
    <row r="1780" spans="1:26">
      <c r="A1780" s="89" t="str">
        <f t="shared" si="162"/>
        <v/>
      </c>
      <c r="B1780" s="89" t="str">
        <f t="shared" si="163"/>
        <v/>
      </c>
      <c r="S1780" s="89" t="str">
        <f t="shared" si="164"/>
        <v/>
      </c>
      <c r="X1780" s="64">
        <f t="shared" si="165"/>
        <v>0</v>
      </c>
      <c r="Y1780" s="53">
        <f t="shared" si="166"/>
        <v>0</v>
      </c>
      <c r="Z1780" s="64">
        <f t="shared" si="167"/>
        <v>0</v>
      </c>
    </row>
    <row r="1781" spans="1:26">
      <c r="A1781" s="89" t="str">
        <f t="shared" si="162"/>
        <v/>
      </c>
      <c r="B1781" s="89" t="str">
        <f t="shared" si="163"/>
        <v/>
      </c>
      <c r="S1781" s="89" t="str">
        <f t="shared" si="164"/>
        <v/>
      </c>
      <c r="X1781" s="64">
        <f t="shared" si="165"/>
        <v>0</v>
      </c>
      <c r="Y1781" s="53">
        <f t="shared" si="166"/>
        <v>0</v>
      </c>
      <c r="Z1781" s="64">
        <f t="shared" si="167"/>
        <v>0</v>
      </c>
    </row>
    <row r="1782" spans="1:26">
      <c r="A1782" s="89" t="str">
        <f t="shared" si="162"/>
        <v/>
      </c>
      <c r="B1782" s="89" t="str">
        <f t="shared" si="163"/>
        <v/>
      </c>
      <c r="S1782" s="89" t="str">
        <f t="shared" si="164"/>
        <v/>
      </c>
      <c r="X1782" s="64">
        <f t="shared" si="165"/>
        <v>0</v>
      </c>
      <c r="Y1782" s="53">
        <f t="shared" si="166"/>
        <v>0</v>
      </c>
      <c r="Z1782" s="64">
        <f t="shared" si="167"/>
        <v>0</v>
      </c>
    </row>
    <row r="1783" spans="1:26">
      <c r="A1783" s="89" t="str">
        <f t="shared" si="162"/>
        <v/>
      </c>
      <c r="B1783" s="89" t="str">
        <f t="shared" si="163"/>
        <v/>
      </c>
      <c r="S1783" s="89" t="str">
        <f t="shared" si="164"/>
        <v/>
      </c>
      <c r="X1783" s="64">
        <f t="shared" si="165"/>
        <v>0</v>
      </c>
      <c r="Y1783" s="53">
        <f t="shared" si="166"/>
        <v>0</v>
      </c>
      <c r="Z1783" s="64">
        <f t="shared" si="167"/>
        <v>0</v>
      </c>
    </row>
    <row r="1784" spans="1:26">
      <c r="A1784" s="89" t="str">
        <f t="shared" si="162"/>
        <v/>
      </c>
      <c r="B1784" s="89" t="str">
        <f t="shared" si="163"/>
        <v/>
      </c>
      <c r="S1784" s="89" t="str">
        <f t="shared" si="164"/>
        <v/>
      </c>
      <c r="X1784" s="64">
        <f t="shared" si="165"/>
        <v>0</v>
      </c>
      <c r="Y1784" s="53">
        <f t="shared" si="166"/>
        <v>0</v>
      </c>
      <c r="Z1784" s="64">
        <f t="shared" si="167"/>
        <v>0</v>
      </c>
    </row>
    <row r="1785" spans="1:26">
      <c r="A1785" s="89" t="str">
        <f t="shared" si="162"/>
        <v/>
      </c>
      <c r="B1785" s="89" t="str">
        <f t="shared" si="163"/>
        <v/>
      </c>
      <c r="S1785" s="89" t="str">
        <f t="shared" si="164"/>
        <v/>
      </c>
      <c r="X1785" s="64">
        <f t="shared" si="165"/>
        <v>0</v>
      </c>
      <c r="Y1785" s="53">
        <f t="shared" si="166"/>
        <v>0</v>
      </c>
      <c r="Z1785" s="64">
        <f t="shared" si="167"/>
        <v>0</v>
      </c>
    </row>
    <row r="1786" spans="1:26">
      <c r="A1786" s="89" t="str">
        <f t="shared" si="162"/>
        <v/>
      </c>
      <c r="B1786" s="89" t="str">
        <f t="shared" si="163"/>
        <v/>
      </c>
      <c r="S1786" s="89" t="str">
        <f t="shared" si="164"/>
        <v/>
      </c>
      <c r="X1786" s="64">
        <f t="shared" si="165"/>
        <v>0</v>
      </c>
      <c r="Y1786" s="53">
        <f t="shared" si="166"/>
        <v>0</v>
      </c>
      <c r="Z1786" s="64">
        <f t="shared" si="167"/>
        <v>0</v>
      </c>
    </row>
    <row r="1787" spans="1:26">
      <c r="A1787" s="89" t="str">
        <f t="shared" si="162"/>
        <v/>
      </c>
      <c r="B1787" s="89" t="str">
        <f t="shared" si="163"/>
        <v/>
      </c>
      <c r="S1787" s="89" t="str">
        <f t="shared" si="164"/>
        <v/>
      </c>
      <c r="X1787" s="64">
        <f t="shared" si="165"/>
        <v>0</v>
      </c>
      <c r="Y1787" s="53">
        <f t="shared" si="166"/>
        <v>0</v>
      </c>
      <c r="Z1787" s="64">
        <f t="shared" si="167"/>
        <v>0</v>
      </c>
    </row>
    <row r="1788" spans="1:26">
      <c r="A1788" s="89" t="str">
        <f t="shared" si="162"/>
        <v/>
      </c>
      <c r="B1788" s="89" t="str">
        <f t="shared" si="163"/>
        <v/>
      </c>
      <c r="S1788" s="89" t="str">
        <f t="shared" si="164"/>
        <v/>
      </c>
      <c r="X1788" s="64">
        <f t="shared" si="165"/>
        <v>0</v>
      </c>
      <c r="Y1788" s="53">
        <f t="shared" si="166"/>
        <v>0</v>
      </c>
      <c r="Z1788" s="64">
        <f t="shared" si="167"/>
        <v>0</v>
      </c>
    </row>
    <row r="1789" spans="1:26">
      <c r="A1789" s="89" t="str">
        <f t="shared" si="162"/>
        <v/>
      </c>
      <c r="B1789" s="89" t="str">
        <f t="shared" si="163"/>
        <v/>
      </c>
      <c r="S1789" s="89" t="str">
        <f t="shared" si="164"/>
        <v/>
      </c>
      <c r="X1789" s="64">
        <f t="shared" si="165"/>
        <v>0</v>
      </c>
      <c r="Y1789" s="53">
        <f t="shared" si="166"/>
        <v>0</v>
      </c>
      <c r="Z1789" s="64">
        <f t="shared" si="167"/>
        <v>0</v>
      </c>
    </row>
    <row r="1790" spans="1:26">
      <c r="A1790" s="89" t="str">
        <f t="shared" si="162"/>
        <v/>
      </c>
      <c r="B1790" s="89" t="str">
        <f t="shared" si="163"/>
        <v/>
      </c>
      <c r="S1790" s="89" t="str">
        <f t="shared" si="164"/>
        <v/>
      </c>
      <c r="X1790" s="64">
        <f t="shared" si="165"/>
        <v>0</v>
      </c>
      <c r="Y1790" s="53">
        <f t="shared" si="166"/>
        <v>0</v>
      </c>
      <c r="Z1790" s="64">
        <f t="shared" si="167"/>
        <v>0</v>
      </c>
    </row>
    <row r="1791" spans="1:26">
      <c r="A1791" s="89" t="str">
        <f t="shared" si="162"/>
        <v/>
      </c>
      <c r="B1791" s="89" t="str">
        <f t="shared" si="163"/>
        <v/>
      </c>
      <c r="S1791" s="89" t="str">
        <f t="shared" si="164"/>
        <v/>
      </c>
      <c r="X1791" s="64">
        <f t="shared" si="165"/>
        <v>0</v>
      </c>
      <c r="Y1791" s="53">
        <f t="shared" si="166"/>
        <v>0</v>
      </c>
      <c r="Z1791" s="64">
        <f t="shared" si="167"/>
        <v>0</v>
      </c>
    </row>
    <row r="1792" spans="1:26">
      <c r="A1792" s="89" t="str">
        <f t="shared" si="162"/>
        <v/>
      </c>
      <c r="B1792" s="89" t="str">
        <f t="shared" si="163"/>
        <v/>
      </c>
      <c r="S1792" s="89" t="str">
        <f t="shared" si="164"/>
        <v/>
      </c>
      <c r="X1792" s="64">
        <f t="shared" si="165"/>
        <v>0</v>
      </c>
      <c r="Y1792" s="53">
        <f t="shared" si="166"/>
        <v>0</v>
      </c>
      <c r="Z1792" s="64">
        <f t="shared" si="167"/>
        <v>0</v>
      </c>
    </row>
    <row r="1793" spans="1:26">
      <c r="A1793" s="89" t="str">
        <f t="shared" si="162"/>
        <v/>
      </c>
      <c r="B1793" s="89" t="str">
        <f t="shared" si="163"/>
        <v/>
      </c>
      <c r="S1793" s="89" t="str">
        <f t="shared" si="164"/>
        <v/>
      </c>
      <c r="X1793" s="64">
        <f t="shared" si="165"/>
        <v>0</v>
      </c>
      <c r="Y1793" s="53">
        <f t="shared" si="166"/>
        <v>0</v>
      </c>
      <c r="Z1793" s="64">
        <f t="shared" si="167"/>
        <v>0</v>
      </c>
    </row>
    <row r="1794" spans="1:26">
      <c r="A1794" s="89" t="str">
        <f t="shared" si="162"/>
        <v/>
      </c>
      <c r="B1794" s="89" t="str">
        <f t="shared" si="163"/>
        <v/>
      </c>
      <c r="S1794" s="89" t="str">
        <f t="shared" si="164"/>
        <v/>
      </c>
      <c r="X1794" s="64">
        <f t="shared" si="165"/>
        <v>0</v>
      </c>
      <c r="Y1794" s="53">
        <f t="shared" si="166"/>
        <v>0</v>
      </c>
      <c r="Z1794" s="64">
        <f t="shared" si="167"/>
        <v>0</v>
      </c>
    </row>
    <row r="1795" spans="1:26">
      <c r="A1795" s="89" t="str">
        <f t="shared" ref="A1795:A1858" si="168">IF(G1795&amp;Q1795&lt;&gt;"",G1795&amp;Q1795,"")</f>
        <v/>
      </c>
      <c r="B1795" s="89" t="str">
        <f t="shared" ref="B1795:B1858" si="169">IF(C1795&lt;&gt;"",LEFT(C1795,9),"")</f>
        <v/>
      </c>
      <c r="S1795" s="89" t="str">
        <f t="shared" ref="S1795:S1858" si="170">IF(H1795&lt;&gt;"",H1795,"")</f>
        <v/>
      </c>
      <c r="X1795" s="64">
        <f t="shared" ref="X1795:X1858" si="171">IFERROR(VALUE(MID($C1795,1,2)),0)</f>
        <v>0</v>
      </c>
      <c r="Y1795" s="53">
        <f t="shared" ref="Y1795:Y1858" si="172">IFERROR(VALUE(MID($C1795,4,3)),0)</f>
        <v>0</v>
      </c>
      <c r="Z1795" s="64">
        <f t="shared" ref="Z1795:Z1858" si="173">VALUE(RIGHT("00"&amp;X1795,2)&amp;RIGHT("000"&amp;Y1795,3))</f>
        <v>0</v>
      </c>
    </row>
    <row r="1796" spans="1:26">
      <c r="A1796" s="89" t="str">
        <f t="shared" si="168"/>
        <v/>
      </c>
      <c r="B1796" s="89" t="str">
        <f t="shared" si="169"/>
        <v/>
      </c>
      <c r="S1796" s="89" t="str">
        <f t="shared" si="170"/>
        <v/>
      </c>
      <c r="X1796" s="64">
        <f t="shared" si="171"/>
        <v>0</v>
      </c>
      <c r="Y1796" s="53">
        <f t="shared" si="172"/>
        <v>0</v>
      </c>
      <c r="Z1796" s="64">
        <f t="shared" si="173"/>
        <v>0</v>
      </c>
    </row>
    <row r="1797" spans="1:26">
      <c r="A1797" s="89" t="str">
        <f t="shared" si="168"/>
        <v/>
      </c>
      <c r="B1797" s="89" t="str">
        <f t="shared" si="169"/>
        <v/>
      </c>
      <c r="S1797" s="89" t="str">
        <f t="shared" si="170"/>
        <v/>
      </c>
      <c r="X1797" s="64">
        <f t="shared" si="171"/>
        <v>0</v>
      </c>
      <c r="Y1797" s="53">
        <f t="shared" si="172"/>
        <v>0</v>
      </c>
      <c r="Z1797" s="64">
        <f t="shared" si="173"/>
        <v>0</v>
      </c>
    </row>
    <row r="1798" spans="1:26">
      <c r="A1798" s="89" t="str">
        <f t="shared" si="168"/>
        <v/>
      </c>
      <c r="B1798" s="89" t="str">
        <f t="shared" si="169"/>
        <v/>
      </c>
      <c r="S1798" s="89" t="str">
        <f t="shared" si="170"/>
        <v/>
      </c>
      <c r="X1798" s="64">
        <f t="shared" si="171"/>
        <v>0</v>
      </c>
      <c r="Y1798" s="53">
        <f t="shared" si="172"/>
        <v>0</v>
      </c>
      <c r="Z1798" s="64">
        <f t="shared" si="173"/>
        <v>0</v>
      </c>
    </row>
    <row r="1799" spans="1:26">
      <c r="A1799" s="89" t="str">
        <f t="shared" si="168"/>
        <v/>
      </c>
      <c r="B1799" s="89" t="str">
        <f t="shared" si="169"/>
        <v/>
      </c>
      <c r="S1799" s="89" t="str">
        <f t="shared" si="170"/>
        <v/>
      </c>
      <c r="X1799" s="64">
        <f t="shared" si="171"/>
        <v>0</v>
      </c>
      <c r="Y1799" s="53">
        <f t="shared" si="172"/>
        <v>0</v>
      </c>
      <c r="Z1799" s="64">
        <f t="shared" si="173"/>
        <v>0</v>
      </c>
    </row>
    <row r="1800" spans="1:26">
      <c r="A1800" s="89" t="str">
        <f t="shared" si="168"/>
        <v/>
      </c>
      <c r="B1800" s="89" t="str">
        <f t="shared" si="169"/>
        <v/>
      </c>
      <c r="S1800" s="89" t="str">
        <f t="shared" si="170"/>
        <v/>
      </c>
      <c r="X1800" s="64">
        <f t="shared" si="171"/>
        <v>0</v>
      </c>
      <c r="Y1800" s="53">
        <f t="shared" si="172"/>
        <v>0</v>
      </c>
      <c r="Z1800" s="64">
        <f t="shared" si="173"/>
        <v>0</v>
      </c>
    </row>
    <row r="1801" spans="1:26">
      <c r="A1801" s="89" t="str">
        <f t="shared" si="168"/>
        <v/>
      </c>
      <c r="B1801" s="89" t="str">
        <f t="shared" si="169"/>
        <v/>
      </c>
      <c r="S1801" s="89" t="str">
        <f t="shared" si="170"/>
        <v/>
      </c>
      <c r="X1801" s="64">
        <f t="shared" si="171"/>
        <v>0</v>
      </c>
      <c r="Y1801" s="53">
        <f t="shared" si="172"/>
        <v>0</v>
      </c>
      <c r="Z1801" s="64">
        <f t="shared" si="173"/>
        <v>0</v>
      </c>
    </row>
    <row r="1802" spans="1:26">
      <c r="A1802" s="89" t="str">
        <f t="shared" si="168"/>
        <v/>
      </c>
      <c r="B1802" s="89" t="str">
        <f t="shared" si="169"/>
        <v/>
      </c>
      <c r="S1802" s="89" t="str">
        <f t="shared" si="170"/>
        <v/>
      </c>
      <c r="X1802" s="64">
        <f t="shared" si="171"/>
        <v>0</v>
      </c>
      <c r="Y1802" s="53">
        <f t="shared" si="172"/>
        <v>0</v>
      </c>
      <c r="Z1802" s="64">
        <f t="shared" si="173"/>
        <v>0</v>
      </c>
    </row>
    <row r="1803" spans="1:26">
      <c r="A1803" s="89" t="str">
        <f t="shared" si="168"/>
        <v/>
      </c>
      <c r="B1803" s="89" t="str">
        <f t="shared" si="169"/>
        <v/>
      </c>
      <c r="S1803" s="89" t="str">
        <f t="shared" si="170"/>
        <v/>
      </c>
      <c r="X1803" s="64">
        <f t="shared" si="171"/>
        <v>0</v>
      </c>
      <c r="Y1803" s="53">
        <f t="shared" si="172"/>
        <v>0</v>
      </c>
      <c r="Z1803" s="64">
        <f t="shared" si="173"/>
        <v>0</v>
      </c>
    </row>
    <row r="1804" spans="1:26">
      <c r="A1804" s="89" t="str">
        <f t="shared" si="168"/>
        <v/>
      </c>
      <c r="B1804" s="89" t="str">
        <f t="shared" si="169"/>
        <v/>
      </c>
      <c r="S1804" s="89" t="str">
        <f t="shared" si="170"/>
        <v/>
      </c>
      <c r="X1804" s="64">
        <f t="shared" si="171"/>
        <v>0</v>
      </c>
      <c r="Y1804" s="53">
        <f t="shared" si="172"/>
        <v>0</v>
      </c>
      <c r="Z1804" s="64">
        <f t="shared" si="173"/>
        <v>0</v>
      </c>
    </row>
    <row r="1805" spans="1:26">
      <c r="A1805" s="89" t="str">
        <f t="shared" si="168"/>
        <v/>
      </c>
      <c r="B1805" s="89" t="str">
        <f t="shared" si="169"/>
        <v/>
      </c>
      <c r="S1805" s="89" t="str">
        <f t="shared" si="170"/>
        <v/>
      </c>
      <c r="X1805" s="64">
        <f t="shared" si="171"/>
        <v>0</v>
      </c>
      <c r="Y1805" s="53">
        <f t="shared" si="172"/>
        <v>0</v>
      </c>
      <c r="Z1805" s="64">
        <f t="shared" si="173"/>
        <v>0</v>
      </c>
    </row>
    <row r="1806" spans="1:26">
      <c r="A1806" s="89" t="str">
        <f t="shared" si="168"/>
        <v/>
      </c>
      <c r="B1806" s="89" t="str">
        <f t="shared" si="169"/>
        <v/>
      </c>
      <c r="S1806" s="89" t="str">
        <f t="shared" si="170"/>
        <v/>
      </c>
      <c r="X1806" s="64">
        <f t="shared" si="171"/>
        <v>0</v>
      </c>
      <c r="Y1806" s="53">
        <f t="shared" si="172"/>
        <v>0</v>
      </c>
      <c r="Z1806" s="64">
        <f t="shared" si="173"/>
        <v>0</v>
      </c>
    </row>
    <row r="1807" spans="1:26">
      <c r="A1807" s="89" t="str">
        <f t="shared" si="168"/>
        <v/>
      </c>
      <c r="B1807" s="89" t="str">
        <f t="shared" si="169"/>
        <v/>
      </c>
      <c r="S1807" s="89" t="str">
        <f t="shared" si="170"/>
        <v/>
      </c>
      <c r="X1807" s="64">
        <f t="shared" si="171"/>
        <v>0</v>
      </c>
      <c r="Y1807" s="53">
        <f t="shared" si="172"/>
        <v>0</v>
      </c>
      <c r="Z1807" s="64">
        <f t="shared" si="173"/>
        <v>0</v>
      </c>
    </row>
    <row r="1808" spans="1:26">
      <c r="A1808" s="89" t="str">
        <f t="shared" si="168"/>
        <v/>
      </c>
      <c r="B1808" s="89" t="str">
        <f t="shared" si="169"/>
        <v/>
      </c>
      <c r="S1808" s="89" t="str">
        <f t="shared" si="170"/>
        <v/>
      </c>
      <c r="X1808" s="64">
        <f t="shared" si="171"/>
        <v>0</v>
      </c>
      <c r="Y1808" s="53">
        <f t="shared" si="172"/>
        <v>0</v>
      </c>
      <c r="Z1808" s="64">
        <f t="shared" si="173"/>
        <v>0</v>
      </c>
    </row>
    <row r="1809" spans="1:26">
      <c r="A1809" s="89" t="str">
        <f t="shared" si="168"/>
        <v/>
      </c>
      <c r="B1809" s="89" t="str">
        <f t="shared" si="169"/>
        <v/>
      </c>
      <c r="S1809" s="89" t="str">
        <f t="shared" si="170"/>
        <v/>
      </c>
      <c r="X1809" s="64">
        <f t="shared" si="171"/>
        <v>0</v>
      </c>
      <c r="Y1809" s="53">
        <f t="shared" si="172"/>
        <v>0</v>
      </c>
      <c r="Z1809" s="64">
        <f t="shared" si="173"/>
        <v>0</v>
      </c>
    </row>
    <row r="1810" spans="1:26">
      <c r="A1810" s="89" t="str">
        <f t="shared" si="168"/>
        <v/>
      </c>
      <c r="B1810" s="89" t="str">
        <f t="shared" si="169"/>
        <v/>
      </c>
      <c r="S1810" s="89" t="str">
        <f t="shared" si="170"/>
        <v/>
      </c>
      <c r="X1810" s="64">
        <f t="shared" si="171"/>
        <v>0</v>
      </c>
      <c r="Y1810" s="53">
        <f t="shared" si="172"/>
        <v>0</v>
      </c>
      <c r="Z1810" s="64">
        <f t="shared" si="173"/>
        <v>0</v>
      </c>
    </row>
    <row r="1811" spans="1:26">
      <c r="A1811" s="89" t="str">
        <f t="shared" si="168"/>
        <v/>
      </c>
      <c r="B1811" s="89" t="str">
        <f t="shared" si="169"/>
        <v/>
      </c>
      <c r="S1811" s="89" t="str">
        <f t="shared" si="170"/>
        <v/>
      </c>
      <c r="X1811" s="64">
        <f t="shared" si="171"/>
        <v>0</v>
      </c>
      <c r="Y1811" s="53">
        <f t="shared" si="172"/>
        <v>0</v>
      </c>
      <c r="Z1811" s="64">
        <f t="shared" si="173"/>
        <v>0</v>
      </c>
    </row>
    <row r="1812" spans="1:26">
      <c r="A1812" s="89" t="str">
        <f t="shared" si="168"/>
        <v/>
      </c>
      <c r="B1812" s="89" t="str">
        <f t="shared" si="169"/>
        <v/>
      </c>
      <c r="S1812" s="89" t="str">
        <f t="shared" si="170"/>
        <v/>
      </c>
      <c r="X1812" s="64">
        <f t="shared" si="171"/>
        <v>0</v>
      </c>
      <c r="Y1812" s="53">
        <f t="shared" si="172"/>
        <v>0</v>
      </c>
      <c r="Z1812" s="64">
        <f t="shared" si="173"/>
        <v>0</v>
      </c>
    </row>
    <row r="1813" spans="1:26">
      <c r="A1813" s="89" t="str">
        <f t="shared" si="168"/>
        <v/>
      </c>
      <c r="B1813" s="89" t="str">
        <f t="shared" si="169"/>
        <v/>
      </c>
      <c r="S1813" s="89" t="str">
        <f t="shared" si="170"/>
        <v/>
      </c>
      <c r="X1813" s="64">
        <f t="shared" si="171"/>
        <v>0</v>
      </c>
      <c r="Y1813" s="53">
        <f t="shared" si="172"/>
        <v>0</v>
      </c>
      <c r="Z1813" s="64">
        <f t="shared" si="173"/>
        <v>0</v>
      </c>
    </row>
    <row r="1814" spans="1:26">
      <c r="A1814" s="89" t="str">
        <f t="shared" si="168"/>
        <v/>
      </c>
      <c r="B1814" s="89" t="str">
        <f t="shared" si="169"/>
        <v/>
      </c>
      <c r="S1814" s="89" t="str">
        <f t="shared" si="170"/>
        <v/>
      </c>
      <c r="X1814" s="64">
        <f t="shared" si="171"/>
        <v>0</v>
      </c>
      <c r="Y1814" s="53">
        <f t="shared" si="172"/>
        <v>0</v>
      </c>
      <c r="Z1814" s="64">
        <f t="shared" si="173"/>
        <v>0</v>
      </c>
    </row>
    <row r="1815" spans="1:26">
      <c r="A1815" s="89" t="str">
        <f t="shared" si="168"/>
        <v/>
      </c>
      <c r="B1815" s="89" t="str">
        <f t="shared" si="169"/>
        <v/>
      </c>
      <c r="S1815" s="89" t="str">
        <f t="shared" si="170"/>
        <v/>
      </c>
      <c r="X1815" s="64">
        <f t="shared" si="171"/>
        <v>0</v>
      </c>
      <c r="Y1815" s="53">
        <f t="shared" si="172"/>
        <v>0</v>
      </c>
      <c r="Z1815" s="64">
        <f t="shared" si="173"/>
        <v>0</v>
      </c>
    </row>
    <row r="1816" spans="1:26">
      <c r="A1816" s="89" t="str">
        <f t="shared" si="168"/>
        <v/>
      </c>
      <c r="B1816" s="89" t="str">
        <f t="shared" si="169"/>
        <v/>
      </c>
      <c r="S1816" s="89" t="str">
        <f t="shared" si="170"/>
        <v/>
      </c>
      <c r="X1816" s="64">
        <f t="shared" si="171"/>
        <v>0</v>
      </c>
      <c r="Y1816" s="53">
        <f t="shared" si="172"/>
        <v>0</v>
      </c>
      <c r="Z1816" s="64">
        <f t="shared" si="173"/>
        <v>0</v>
      </c>
    </row>
    <row r="1817" spans="1:26">
      <c r="A1817" s="89" t="str">
        <f t="shared" si="168"/>
        <v/>
      </c>
      <c r="B1817" s="89" t="str">
        <f t="shared" si="169"/>
        <v/>
      </c>
      <c r="S1817" s="89" t="str">
        <f t="shared" si="170"/>
        <v/>
      </c>
      <c r="X1817" s="64">
        <f t="shared" si="171"/>
        <v>0</v>
      </c>
      <c r="Y1817" s="53">
        <f t="shared" si="172"/>
        <v>0</v>
      </c>
      <c r="Z1817" s="64">
        <f t="shared" si="173"/>
        <v>0</v>
      </c>
    </row>
    <row r="1818" spans="1:26">
      <c r="A1818" s="89" t="str">
        <f t="shared" si="168"/>
        <v/>
      </c>
      <c r="B1818" s="89" t="str">
        <f t="shared" si="169"/>
        <v/>
      </c>
      <c r="S1818" s="89" t="str">
        <f t="shared" si="170"/>
        <v/>
      </c>
      <c r="X1818" s="64">
        <f t="shared" si="171"/>
        <v>0</v>
      </c>
      <c r="Y1818" s="53">
        <f t="shared" si="172"/>
        <v>0</v>
      </c>
      <c r="Z1818" s="64">
        <f t="shared" si="173"/>
        <v>0</v>
      </c>
    </row>
    <row r="1819" spans="1:26">
      <c r="A1819" s="89" t="str">
        <f t="shared" si="168"/>
        <v/>
      </c>
      <c r="B1819" s="89" t="str">
        <f t="shared" si="169"/>
        <v/>
      </c>
      <c r="S1819" s="89" t="str">
        <f t="shared" si="170"/>
        <v/>
      </c>
      <c r="X1819" s="64">
        <f t="shared" si="171"/>
        <v>0</v>
      </c>
      <c r="Y1819" s="53">
        <f t="shared" si="172"/>
        <v>0</v>
      </c>
      <c r="Z1819" s="64">
        <f t="shared" si="173"/>
        <v>0</v>
      </c>
    </row>
    <row r="1820" spans="1:26">
      <c r="A1820" s="89" t="str">
        <f t="shared" si="168"/>
        <v/>
      </c>
      <c r="B1820" s="89" t="str">
        <f t="shared" si="169"/>
        <v/>
      </c>
      <c r="S1820" s="89" t="str">
        <f t="shared" si="170"/>
        <v/>
      </c>
      <c r="X1820" s="64">
        <f t="shared" si="171"/>
        <v>0</v>
      </c>
      <c r="Y1820" s="53">
        <f t="shared" si="172"/>
        <v>0</v>
      </c>
      <c r="Z1820" s="64">
        <f t="shared" si="173"/>
        <v>0</v>
      </c>
    </row>
    <row r="1821" spans="1:26">
      <c r="A1821" s="89" t="str">
        <f t="shared" si="168"/>
        <v/>
      </c>
      <c r="B1821" s="89" t="str">
        <f t="shared" si="169"/>
        <v/>
      </c>
      <c r="S1821" s="89" t="str">
        <f t="shared" si="170"/>
        <v/>
      </c>
      <c r="X1821" s="64">
        <f t="shared" si="171"/>
        <v>0</v>
      </c>
      <c r="Y1821" s="53">
        <f t="shared" si="172"/>
        <v>0</v>
      </c>
      <c r="Z1821" s="64">
        <f t="shared" si="173"/>
        <v>0</v>
      </c>
    </row>
    <row r="1822" spans="1:26">
      <c r="A1822" s="89" t="str">
        <f t="shared" si="168"/>
        <v/>
      </c>
      <c r="B1822" s="89" t="str">
        <f t="shared" si="169"/>
        <v/>
      </c>
      <c r="S1822" s="89" t="str">
        <f t="shared" si="170"/>
        <v/>
      </c>
      <c r="X1822" s="64">
        <f t="shared" si="171"/>
        <v>0</v>
      </c>
      <c r="Y1822" s="53">
        <f t="shared" si="172"/>
        <v>0</v>
      </c>
      <c r="Z1822" s="64">
        <f t="shared" si="173"/>
        <v>0</v>
      </c>
    </row>
    <row r="1823" spans="1:26">
      <c r="A1823" s="89" t="str">
        <f t="shared" si="168"/>
        <v/>
      </c>
      <c r="B1823" s="89" t="str">
        <f t="shared" si="169"/>
        <v/>
      </c>
      <c r="S1823" s="89" t="str">
        <f t="shared" si="170"/>
        <v/>
      </c>
      <c r="X1823" s="64">
        <f t="shared" si="171"/>
        <v>0</v>
      </c>
      <c r="Y1823" s="53">
        <f t="shared" si="172"/>
        <v>0</v>
      </c>
      <c r="Z1823" s="64">
        <f t="shared" si="173"/>
        <v>0</v>
      </c>
    </row>
    <row r="1824" spans="1:26">
      <c r="A1824" s="89" t="str">
        <f t="shared" si="168"/>
        <v/>
      </c>
      <c r="B1824" s="89" t="str">
        <f t="shared" si="169"/>
        <v/>
      </c>
      <c r="S1824" s="89" t="str">
        <f t="shared" si="170"/>
        <v/>
      </c>
      <c r="X1824" s="64">
        <f t="shared" si="171"/>
        <v>0</v>
      </c>
      <c r="Y1824" s="53">
        <f t="shared" si="172"/>
        <v>0</v>
      </c>
      <c r="Z1824" s="64">
        <f t="shared" si="173"/>
        <v>0</v>
      </c>
    </row>
    <row r="1825" spans="1:26">
      <c r="A1825" s="89" t="str">
        <f t="shared" si="168"/>
        <v/>
      </c>
      <c r="B1825" s="89" t="str">
        <f t="shared" si="169"/>
        <v/>
      </c>
      <c r="S1825" s="89" t="str">
        <f t="shared" si="170"/>
        <v/>
      </c>
      <c r="X1825" s="64">
        <f t="shared" si="171"/>
        <v>0</v>
      </c>
      <c r="Y1825" s="53">
        <f t="shared" si="172"/>
        <v>0</v>
      </c>
      <c r="Z1825" s="64">
        <f t="shared" si="173"/>
        <v>0</v>
      </c>
    </row>
    <row r="1826" spans="1:26">
      <c r="A1826" s="89" t="str">
        <f t="shared" si="168"/>
        <v/>
      </c>
      <c r="B1826" s="89" t="str">
        <f t="shared" si="169"/>
        <v/>
      </c>
      <c r="S1826" s="89" t="str">
        <f t="shared" si="170"/>
        <v/>
      </c>
      <c r="X1826" s="64">
        <f t="shared" si="171"/>
        <v>0</v>
      </c>
      <c r="Y1826" s="53">
        <f t="shared" si="172"/>
        <v>0</v>
      </c>
      <c r="Z1826" s="64">
        <f t="shared" si="173"/>
        <v>0</v>
      </c>
    </row>
    <row r="1827" spans="1:26">
      <c r="A1827" s="89" t="str">
        <f t="shared" si="168"/>
        <v/>
      </c>
      <c r="B1827" s="89" t="str">
        <f t="shared" si="169"/>
        <v/>
      </c>
      <c r="S1827" s="89" t="str">
        <f t="shared" si="170"/>
        <v/>
      </c>
      <c r="X1827" s="64">
        <f t="shared" si="171"/>
        <v>0</v>
      </c>
      <c r="Y1827" s="53">
        <f t="shared" si="172"/>
        <v>0</v>
      </c>
      <c r="Z1827" s="64">
        <f t="shared" si="173"/>
        <v>0</v>
      </c>
    </row>
    <row r="1828" spans="1:26">
      <c r="A1828" s="89" t="str">
        <f t="shared" si="168"/>
        <v/>
      </c>
      <c r="B1828" s="89" t="str">
        <f t="shared" si="169"/>
        <v/>
      </c>
      <c r="S1828" s="89" t="str">
        <f t="shared" si="170"/>
        <v/>
      </c>
      <c r="X1828" s="64">
        <f t="shared" si="171"/>
        <v>0</v>
      </c>
      <c r="Y1828" s="53">
        <f t="shared" si="172"/>
        <v>0</v>
      </c>
      <c r="Z1828" s="64">
        <f t="shared" si="173"/>
        <v>0</v>
      </c>
    </row>
    <row r="1829" spans="1:26">
      <c r="A1829" s="89" t="str">
        <f t="shared" si="168"/>
        <v/>
      </c>
      <c r="B1829" s="89" t="str">
        <f t="shared" si="169"/>
        <v/>
      </c>
      <c r="S1829" s="89" t="str">
        <f t="shared" si="170"/>
        <v/>
      </c>
      <c r="X1829" s="64">
        <f t="shared" si="171"/>
        <v>0</v>
      </c>
      <c r="Y1829" s="53">
        <f t="shared" si="172"/>
        <v>0</v>
      </c>
      <c r="Z1829" s="64">
        <f t="shared" si="173"/>
        <v>0</v>
      </c>
    </row>
    <row r="1830" spans="1:26">
      <c r="A1830" s="89" t="str">
        <f t="shared" si="168"/>
        <v/>
      </c>
      <c r="B1830" s="89" t="str">
        <f t="shared" si="169"/>
        <v/>
      </c>
      <c r="S1830" s="89" t="str">
        <f t="shared" si="170"/>
        <v/>
      </c>
      <c r="X1830" s="64">
        <f t="shared" si="171"/>
        <v>0</v>
      </c>
      <c r="Y1830" s="53">
        <f t="shared" si="172"/>
        <v>0</v>
      </c>
      <c r="Z1830" s="64">
        <f t="shared" si="173"/>
        <v>0</v>
      </c>
    </row>
    <row r="1831" spans="1:26">
      <c r="A1831" s="89" t="str">
        <f t="shared" si="168"/>
        <v/>
      </c>
      <c r="B1831" s="89" t="str">
        <f t="shared" si="169"/>
        <v/>
      </c>
      <c r="S1831" s="89" t="str">
        <f t="shared" si="170"/>
        <v/>
      </c>
      <c r="X1831" s="64">
        <f t="shared" si="171"/>
        <v>0</v>
      </c>
      <c r="Y1831" s="53">
        <f t="shared" si="172"/>
        <v>0</v>
      </c>
      <c r="Z1831" s="64">
        <f t="shared" si="173"/>
        <v>0</v>
      </c>
    </row>
    <row r="1832" spans="1:26">
      <c r="A1832" s="89" t="str">
        <f t="shared" si="168"/>
        <v/>
      </c>
      <c r="B1832" s="89" t="str">
        <f t="shared" si="169"/>
        <v/>
      </c>
      <c r="S1832" s="89" t="str">
        <f t="shared" si="170"/>
        <v/>
      </c>
      <c r="X1832" s="64">
        <f t="shared" si="171"/>
        <v>0</v>
      </c>
      <c r="Y1832" s="53">
        <f t="shared" si="172"/>
        <v>0</v>
      </c>
      <c r="Z1832" s="64">
        <f t="shared" si="173"/>
        <v>0</v>
      </c>
    </row>
    <row r="1833" spans="1:26">
      <c r="A1833" s="89" t="str">
        <f t="shared" si="168"/>
        <v/>
      </c>
      <c r="B1833" s="89" t="str">
        <f t="shared" si="169"/>
        <v/>
      </c>
      <c r="S1833" s="89" t="str">
        <f t="shared" si="170"/>
        <v/>
      </c>
      <c r="X1833" s="64">
        <f t="shared" si="171"/>
        <v>0</v>
      </c>
      <c r="Y1833" s="53">
        <f t="shared" si="172"/>
        <v>0</v>
      </c>
      <c r="Z1833" s="64">
        <f t="shared" si="173"/>
        <v>0</v>
      </c>
    </row>
    <row r="1834" spans="1:26">
      <c r="A1834" s="89" t="str">
        <f t="shared" si="168"/>
        <v/>
      </c>
      <c r="B1834" s="89" t="str">
        <f t="shared" si="169"/>
        <v/>
      </c>
      <c r="S1834" s="89" t="str">
        <f t="shared" si="170"/>
        <v/>
      </c>
      <c r="X1834" s="64">
        <f t="shared" si="171"/>
        <v>0</v>
      </c>
      <c r="Y1834" s="53">
        <f t="shared" si="172"/>
        <v>0</v>
      </c>
      <c r="Z1834" s="64">
        <f t="shared" si="173"/>
        <v>0</v>
      </c>
    </row>
    <row r="1835" spans="1:26">
      <c r="A1835" s="89" t="str">
        <f t="shared" si="168"/>
        <v/>
      </c>
      <c r="B1835" s="89" t="str">
        <f t="shared" si="169"/>
        <v/>
      </c>
      <c r="S1835" s="89" t="str">
        <f t="shared" si="170"/>
        <v/>
      </c>
      <c r="X1835" s="64">
        <f t="shared" si="171"/>
        <v>0</v>
      </c>
      <c r="Y1835" s="53">
        <f t="shared" si="172"/>
        <v>0</v>
      </c>
      <c r="Z1835" s="64">
        <f t="shared" si="173"/>
        <v>0</v>
      </c>
    </row>
    <row r="1836" spans="1:26">
      <c r="A1836" s="89" t="str">
        <f t="shared" si="168"/>
        <v/>
      </c>
      <c r="B1836" s="89" t="str">
        <f t="shared" si="169"/>
        <v/>
      </c>
      <c r="S1836" s="89" t="str">
        <f t="shared" si="170"/>
        <v/>
      </c>
      <c r="X1836" s="64">
        <f t="shared" si="171"/>
        <v>0</v>
      </c>
      <c r="Y1836" s="53">
        <f t="shared" si="172"/>
        <v>0</v>
      </c>
      <c r="Z1836" s="64">
        <f t="shared" si="173"/>
        <v>0</v>
      </c>
    </row>
    <row r="1837" spans="1:26">
      <c r="A1837" s="89" t="str">
        <f t="shared" si="168"/>
        <v/>
      </c>
      <c r="B1837" s="89" t="str">
        <f t="shared" si="169"/>
        <v/>
      </c>
      <c r="S1837" s="89" t="str">
        <f t="shared" si="170"/>
        <v/>
      </c>
      <c r="X1837" s="64">
        <f t="shared" si="171"/>
        <v>0</v>
      </c>
      <c r="Y1837" s="53">
        <f t="shared" si="172"/>
        <v>0</v>
      </c>
      <c r="Z1837" s="64">
        <f t="shared" si="173"/>
        <v>0</v>
      </c>
    </row>
    <row r="1838" spans="1:26">
      <c r="A1838" s="89" t="str">
        <f t="shared" si="168"/>
        <v/>
      </c>
      <c r="B1838" s="89" t="str">
        <f t="shared" si="169"/>
        <v/>
      </c>
      <c r="S1838" s="89" t="str">
        <f t="shared" si="170"/>
        <v/>
      </c>
      <c r="X1838" s="64">
        <f t="shared" si="171"/>
        <v>0</v>
      </c>
      <c r="Y1838" s="53">
        <f t="shared" si="172"/>
        <v>0</v>
      </c>
      <c r="Z1838" s="64">
        <f t="shared" si="173"/>
        <v>0</v>
      </c>
    </row>
    <row r="1839" spans="1:26">
      <c r="A1839" s="89" t="str">
        <f t="shared" si="168"/>
        <v/>
      </c>
      <c r="B1839" s="89" t="str">
        <f t="shared" si="169"/>
        <v/>
      </c>
      <c r="S1839" s="89" t="str">
        <f t="shared" si="170"/>
        <v/>
      </c>
      <c r="X1839" s="64">
        <f t="shared" si="171"/>
        <v>0</v>
      </c>
      <c r="Y1839" s="53">
        <f t="shared" si="172"/>
        <v>0</v>
      </c>
      <c r="Z1839" s="64">
        <f t="shared" si="173"/>
        <v>0</v>
      </c>
    </row>
    <row r="1840" spans="1:26">
      <c r="A1840" s="89" t="str">
        <f t="shared" si="168"/>
        <v/>
      </c>
      <c r="B1840" s="89" t="str">
        <f t="shared" si="169"/>
        <v/>
      </c>
      <c r="S1840" s="89" t="str">
        <f t="shared" si="170"/>
        <v/>
      </c>
      <c r="X1840" s="64">
        <f t="shared" si="171"/>
        <v>0</v>
      </c>
      <c r="Y1840" s="53">
        <f t="shared" si="172"/>
        <v>0</v>
      </c>
      <c r="Z1840" s="64">
        <f t="shared" si="173"/>
        <v>0</v>
      </c>
    </row>
    <row r="1841" spans="1:26">
      <c r="A1841" s="89" t="str">
        <f t="shared" si="168"/>
        <v/>
      </c>
      <c r="B1841" s="89" t="str">
        <f t="shared" si="169"/>
        <v/>
      </c>
      <c r="S1841" s="89" t="str">
        <f t="shared" si="170"/>
        <v/>
      </c>
      <c r="X1841" s="64">
        <f t="shared" si="171"/>
        <v>0</v>
      </c>
      <c r="Y1841" s="53">
        <f t="shared" si="172"/>
        <v>0</v>
      </c>
      <c r="Z1841" s="64">
        <f t="shared" si="173"/>
        <v>0</v>
      </c>
    </row>
    <row r="1842" spans="1:26">
      <c r="A1842" s="89" t="str">
        <f t="shared" si="168"/>
        <v/>
      </c>
      <c r="B1842" s="89" t="str">
        <f t="shared" si="169"/>
        <v/>
      </c>
      <c r="S1842" s="89" t="str">
        <f t="shared" si="170"/>
        <v/>
      </c>
      <c r="X1842" s="64">
        <f t="shared" si="171"/>
        <v>0</v>
      </c>
      <c r="Y1842" s="53">
        <f t="shared" si="172"/>
        <v>0</v>
      </c>
      <c r="Z1842" s="64">
        <f t="shared" si="173"/>
        <v>0</v>
      </c>
    </row>
    <row r="1843" spans="1:26">
      <c r="A1843" s="89" t="str">
        <f t="shared" si="168"/>
        <v/>
      </c>
      <c r="B1843" s="89" t="str">
        <f t="shared" si="169"/>
        <v/>
      </c>
      <c r="S1843" s="89" t="str">
        <f t="shared" si="170"/>
        <v/>
      </c>
      <c r="X1843" s="64">
        <f t="shared" si="171"/>
        <v>0</v>
      </c>
      <c r="Y1843" s="53">
        <f t="shared" si="172"/>
        <v>0</v>
      </c>
      <c r="Z1843" s="64">
        <f t="shared" si="173"/>
        <v>0</v>
      </c>
    </row>
    <row r="1844" spans="1:26">
      <c r="A1844" s="89" t="str">
        <f t="shared" si="168"/>
        <v/>
      </c>
      <c r="B1844" s="89" t="str">
        <f t="shared" si="169"/>
        <v/>
      </c>
      <c r="S1844" s="89" t="str">
        <f t="shared" si="170"/>
        <v/>
      </c>
      <c r="X1844" s="64">
        <f t="shared" si="171"/>
        <v>0</v>
      </c>
      <c r="Y1844" s="53">
        <f t="shared" si="172"/>
        <v>0</v>
      </c>
      <c r="Z1844" s="64">
        <f t="shared" si="173"/>
        <v>0</v>
      </c>
    </row>
    <row r="1845" spans="1:26">
      <c r="A1845" s="89" t="str">
        <f t="shared" si="168"/>
        <v/>
      </c>
      <c r="B1845" s="89" t="str">
        <f t="shared" si="169"/>
        <v/>
      </c>
      <c r="S1845" s="89" t="str">
        <f t="shared" si="170"/>
        <v/>
      </c>
      <c r="X1845" s="64">
        <f t="shared" si="171"/>
        <v>0</v>
      </c>
      <c r="Y1845" s="53">
        <f t="shared" si="172"/>
        <v>0</v>
      </c>
      <c r="Z1845" s="64">
        <f t="shared" si="173"/>
        <v>0</v>
      </c>
    </row>
    <row r="1846" spans="1:26">
      <c r="A1846" s="89" t="str">
        <f t="shared" si="168"/>
        <v/>
      </c>
      <c r="B1846" s="89" t="str">
        <f t="shared" si="169"/>
        <v/>
      </c>
      <c r="S1846" s="89" t="str">
        <f t="shared" si="170"/>
        <v/>
      </c>
      <c r="X1846" s="64">
        <f t="shared" si="171"/>
        <v>0</v>
      </c>
      <c r="Y1846" s="53">
        <f t="shared" si="172"/>
        <v>0</v>
      </c>
      <c r="Z1846" s="64">
        <f t="shared" si="173"/>
        <v>0</v>
      </c>
    </row>
    <row r="1847" spans="1:26">
      <c r="A1847" s="89" t="str">
        <f t="shared" si="168"/>
        <v/>
      </c>
      <c r="B1847" s="89" t="str">
        <f t="shared" si="169"/>
        <v/>
      </c>
      <c r="S1847" s="89" t="str">
        <f t="shared" si="170"/>
        <v/>
      </c>
      <c r="X1847" s="64">
        <f t="shared" si="171"/>
        <v>0</v>
      </c>
      <c r="Y1847" s="53">
        <f t="shared" si="172"/>
        <v>0</v>
      </c>
      <c r="Z1847" s="64">
        <f t="shared" si="173"/>
        <v>0</v>
      </c>
    </row>
    <row r="1848" spans="1:26">
      <c r="A1848" s="89" t="str">
        <f t="shared" si="168"/>
        <v/>
      </c>
      <c r="B1848" s="89" t="str">
        <f t="shared" si="169"/>
        <v/>
      </c>
      <c r="S1848" s="89" t="str">
        <f t="shared" si="170"/>
        <v/>
      </c>
      <c r="X1848" s="64">
        <f t="shared" si="171"/>
        <v>0</v>
      </c>
      <c r="Y1848" s="53">
        <f t="shared" si="172"/>
        <v>0</v>
      </c>
      <c r="Z1848" s="64">
        <f t="shared" si="173"/>
        <v>0</v>
      </c>
    </row>
    <row r="1849" spans="1:26">
      <c r="A1849" s="89" t="str">
        <f t="shared" si="168"/>
        <v/>
      </c>
      <c r="B1849" s="89" t="str">
        <f t="shared" si="169"/>
        <v/>
      </c>
      <c r="S1849" s="89" t="str">
        <f t="shared" si="170"/>
        <v/>
      </c>
      <c r="X1849" s="64">
        <f t="shared" si="171"/>
        <v>0</v>
      </c>
      <c r="Y1849" s="53">
        <f t="shared" si="172"/>
        <v>0</v>
      </c>
      <c r="Z1849" s="64">
        <f t="shared" si="173"/>
        <v>0</v>
      </c>
    </row>
    <row r="1850" spans="1:26">
      <c r="A1850" s="89" t="str">
        <f t="shared" si="168"/>
        <v/>
      </c>
      <c r="B1850" s="89" t="str">
        <f t="shared" si="169"/>
        <v/>
      </c>
      <c r="S1850" s="89" t="str">
        <f t="shared" si="170"/>
        <v/>
      </c>
      <c r="X1850" s="64">
        <f t="shared" si="171"/>
        <v>0</v>
      </c>
      <c r="Y1850" s="53">
        <f t="shared" si="172"/>
        <v>0</v>
      </c>
      <c r="Z1850" s="64">
        <f t="shared" si="173"/>
        <v>0</v>
      </c>
    </row>
    <row r="1851" spans="1:26">
      <c r="A1851" s="89" t="str">
        <f t="shared" si="168"/>
        <v/>
      </c>
      <c r="B1851" s="89" t="str">
        <f t="shared" si="169"/>
        <v/>
      </c>
      <c r="S1851" s="89" t="str">
        <f t="shared" si="170"/>
        <v/>
      </c>
      <c r="X1851" s="64">
        <f t="shared" si="171"/>
        <v>0</v>
      </c>
      <c r="Y1851" s="53">
        <f t="shared" si="172"/>
        <v>0</v>
      </c>
      <c r="Z1851" s="64">
        <f t="shared" si="173"/>
        <v>0</v>
      </c>
    </row>
    <row r="1852" spans="1:26">
      <c r="A1852" s="89" t="str">
        <f t="shared" si="168"/>
        <v/>
      </c>
      <c r="B1852" s="89" t="str">
        <f t="shared" si="169"/>
        <v/>
      </c>
      <c r="S1852" s="89" t="str">
        <f t="shared" si="170"/>
        <v/>
      </c>
      <c r="X1852" s="64">
        <f t="shared" si="171"/>
        <v>0</v>
      </c>
      <c r="Y1852" s="53">
        <f t="shared" si="172"/>
        <v>0</v>
      </c>
      <c r="Z1852" s="64">
        <f t="shared" si="173"/>
        <v>0</v>
      </c>
    </row>
    <row r="1853" spans="1:26">
      <c r="A1853" s="89" t="str">
        <f t="shared" si="168"/>
        <v/>
      </c>
      <c r="B1853" s="89" t="str">
        <f t="shared" si="169"/>
        <v/>
      </c>
      <c r="S1853" s="89" t="str">
        <f t="shared" si="170"/>
        <v/>
      </c>
      <c r="X1853" s="64">
        <f t="shared" si="171"/>
        <v>0</v>
      </c>
      <c r="Y1853" s="53">
        <f t="shared" si="172"/>
        <v>0</v>
      </c>
      <c r="Z1853" s="64">
        <f t="shared" si="173"/>
        <v>0</v>
      </c>
    </row>
    <row r="1854" spans="1:26">
      <c r="A1854" s="89" t="str">
        <f t="shared" si="168"/>
        <v/>
      </c>
      <c r="B1854" s="89" t="str">
        <f t="shared" si="169"/>
        <v/>
      </c>
      <c r="S1854" s="89" t="str">
        <f t="shared" si="170"/>
        <v/>
      </c>
      <c r="X1854" s="64">
        <f t="shared" si="171"/>
        <v>0</v>
      </c>
      <c r="Y1854" s="53">
        <f t="shared" si="172"/>
        <v>0</v>
      </c>
      <c r="Z1854" s="64">
        <f t="shared" si="173"/>
        <v>0</v>
      </c>
    </row>
    <row r="1855" spans="1:26">
      <c r="A1855" s="89" t="str">
        <f t="shared" si="168"/>
        <v/>
      </c>
      <c r="B1855" s="89" t="str">
        <f t="shared" si="169"/>
        <v/>
      </c>
      <c r="S1855" s="89" t="str">
        <f t="shared" si="170"/>
        <v/>
      </c>
      <c r="X1855" s="64">
        <f t="shared" si="171"/>
        <v>0</v>
      </c>
      <c r="Y1855" s="53">
        <f t="shared" si="172"/>
        <v>0</v>
      </c>
      <c r="Z1855" s="64">
        <f t="shared" si="173"/>
        <v>0</v>
      </c>
    </row>
    <row r="1856" spans="1:26">
      <c r="A1856" s="89" t="str">
        <f t="shared" si="168"/>
        <v/>
      </c>
      <c r="B1856" s="89" t="str">
        <f t="shared" si="169"/>
        <v/>
      </c>
      <c r="S1856" s="89" t="str">
        <f t="shared" si="170"/>
        <v/>
      </c>
      <c r="X1856" s="64">
        <f t="shared" si="171"/>
        <v>0</v>
      </c>
      <c r="Y1856" s="53">
        <f t="shared" si="172"/>
        <v>0</v>
      </c>
      <c r="Z1856" s="64">
        <f t="shared" si="173"/>
        <v>0</v>
      </c>
    </row>
    <row r="1857" spans="1:26">
      <c r="A1857" s="89" t="str">
        <f t="shared" si="168"/>
        <v/>
      </c>
      <c r="B1857" s="89" t="str">
        <f t="shared" si="169"/>
        <v/>
      </c>
      <c r="S1857" s="89" t="str">
        <f t="shared" si="170"/>
        <v/>
      </c>
      <c r="X1857" s="64">
        <f t="shared" si="171"/>
        <v>0</v>
      </c>
      <c r="Y1857" s="53">
        <f t="shared" si="172"/>
        <v>0</v>
      </c>
      <c r="Z1857" s="64">
        <f t="shared" si="173"/>
        <v>0</v>
      </c>
    </row>
    <row r="1858" spans="1:26">
      <c r="A1858" s="89" t="str">
        <f t="shared" si="168"/>
        <v/>
      </c>
      <c r="B1858" s="89" t="str">
        <f t="shared" si="169"/>
        <v/>
      </c>
      <c r="S1858" s="89" t="str">
        <f t="shared" si="170"/>
        <v/>
      </c>
      <c r="X1858" s="64">
        <f t="shared" si="171"/>
        <v>0</v>
      </c>
      <c r="Y1858" s="53">
        <f t="shared" si="172"/>
        <v>0</v>
      </c>
      <c r="Z1858" s="64">
        <f t="shared" si="173"/>
        <v>0</v>
      </c>
    </row>
    <row r="1859" spans="1:26">
      <c r="A1859" s="89" t="str">
        <f t="shared" ref="A1859:A1922" si="174">IF(G1859&amp;Q1859&lt;&gt;"",G1859&amp;Q1859,"")</f>
        <v/>
      </c>
      <c r="B1859" s="89" t="str">
        <f t="shared" ref="B1859:B1922" si="175">IF(C1859&lt;&gt;"",LEFT(C1859,9),"")</f>
        <v/>
      </c>
      <c r="S1859" s="89" t="str">
        <f t="shared" ref="S1859:S1922" si="176">IF(H1859&lt;&gt;"",H1859,"")</f>
        <v/>
      </c>
      <c r="X1859" s="64">
        <f t="shared" ref="X1859:X1922" si="177">IFERROR(VALUE(MID($C1859,1,2)),0)</f>
        <v>0</v>
      </c>
      <c r="Y1859" s="53">
        <f t="shared" ref="Y1859:Y1922" si="178">IFERROR(VALUE(MID($C1859,4,3)),0)</f>
        <v>0</v>
      </c>
      <c r="Z1859" s="64">
        <f t="shared" ref="Z1859:Z1922" si="179">VALUE(RIGHT("00"&amp;X1859,2)&amp;RIGHT("000"&amp;Y1859,3))</f>
        <v>0</v>
      </c>
    </row>
    <row r="1860" spans="1:26">
      <c r="A1860" s="89" t="str">
        <f t="shared" si="174"/>
        <v/>
      </c>
      <c r="B1860" s="89" t="str">
        <f t="shared" si="175"/>
        <v/>
      </c>
      <c r="S1860" s="89" t="str">
        <f t="shared" si="176"/>
        <v/>
      </c>
      <c r="X1860" s="64">
        <f t="shared" si="177"/>
        <v>0</v>
      </c>
      <c r="Y1860" s="53">
        <f t="shared" si="178"/>
        <v>0</v>
      </c>
      <c r="Z1860" s="64">
        <f t="shared" si="179"/>
        <v>0</v>
      </c>
    </row>
    <row r="1861" spans="1:26">
      <c r="A1861" s="89" t="str">
        <f t="shared" si="174"/>
        <v/>
      </c>
      <c r="B1861" s="89" t="str">
        <f t="shared" si="175"/>
        <v/>
      </c>
      <c r="S1861" s="89" t="str">
        <f t="shared" si="176"/>
        <v/>
      </c>
      <c r="X1861" s="64">
        <f t="shared" si="177"/>
        <v>0</v>
      </c>
      <c r="Y1861" s="53">
        <f t="shared" si="178"/>
        <v>0</v>
      </c>
      <c r="Z1861" s="64">
        <f t="shared" si="179"/>
        <v>0</v>
      </c>
    </row>
    <row r="1862" spans="1:26">
      <c r="A1862" s="89" t="str">
        <f t="shared" si="174"/>
        <v/>
      </c>
      <c r="B1862" s="89" t="str">
        <f t="shared" si="175"/>
        <v/>
      </c>
      <c r="S1862" s="89" t="str">
        <f t="shared" si="176"/>
        <v/>
      </c>
      <c r="X1862" s="64">
        <f t="shared" si="177"/>
        <v>0</v>
      </c>
      <c r="Y1862" s="53">
        <f t="shared" si="178"/>
        <v>0</v>
      </c>
      <c r="Z1862" s="64">
        <f t="shared" si="179"/>
        <v>0</v>
      </c>
    </row>
    <row r="1863" spans="1:26">
      <c r="A1863" s="89" t="str">
        <f t="shared" si="174"/>
        <v/>
      </c>
      <c r="B1863" s="89" t="str">
        <f t="shared" si="175"/>
        <v/>
      </c>
      <c r="S1863" s="89" t="str">
        <f t="shared" si="176"/>
        <v/>
      </c>
      <c r="X1863" s="64">
        <f t="shared" si="177"/>
        <v>0</v>
      </c>
      <c r="Y1863" s="53">
        <f t="shared" si="178"/>
        <v>0</v>
      </c>
      <c r="Z1863" s="64">
        <f t="shared" si="179"/>
        <v>0</v>
      </c>
    </row>
    <row r="1864" spans="1:26">
      <c r="A1864" s="89" t="str">
        <f t="shared" si="174"/>
        <v/>
      </c>
      <c r="B1864" s="89" t="str">
        <f t="shared" si="175"/>
        <v/>
      </c>
      <c r="S1864" s="89" t="str">
        <f t="shared" si="176"/>
        <v/>
      </c>
      <c r="X1864" s="64">
        <f t="shared" si="177"/>
        <v>0</v>
      </c>
      <c r="Y1864" s="53">
        <f t="shared" si="178"/>
        <v>0</v>
      </c>
      <c r="Z1864" s="64">
        <f t="shared" si="179"/>
        <v>0</v>
      </c>
    </row>
    <row r="1865" spans="1:26">
      <c r="A1865" s="89" t="str">
        <f t="shared" si="174"/>
        <v/>
      </c>
      <c r="B1865" s="89" t="str">
        <f t="shared" si="175"/>
        <v/>
      </c>
      <c r="S1865" s="89" t="str">
        <f t="shared" si="176"/>
        <v/>
      </c>
      <c r="X1865" s="64">
        <f t="shared" si="177"/>
        <v>0</v>
      </c>
      <c r="Y1865" s="53">
        <f t="shared" si="178"/>
        <v>0</v>
      </c>
      <c r="Z1865" s="64">
        <f t="shared" si="179"/>
        <v>0</v>
      </c>
    </row>
    <row r="1866" spans="1:26">
      <c r="A1866" s="89" t="str">
        <f t="shared" si="174"/>
        <v/>
      </c>
      <c r="B1866" s="89" t="str">
        <f t="shared" si="175"/>
        <v/>
      </c>
      <c r="S1866" s="89" t="str">
        <f t="shared" si="176"/>
        <v/>
      </c>
      <c r="X1866" s="64">
        <f t="shared" si="177"/>
        <v>0</v>
      </c>
      <c r="Y1866" s="53">
        <f t="shared" si="178"/>
        <v>0</v>
      </c>
      <c r="Z1866" s="64">
        <f t="shared" si="179"/>
        <v>0</v>
      </c>
    </row>
    <row r="1867" spans="1:26">
      <c r="A1867" s="89" t="str">
        <f t="shared" si="174"/>
        <v/>
      </c>
      <c r="B1867" s="89" t="str">
        <f t="shared" si="175"/>
        <v/>
      </c>
      <c r="S1867" s="89" t="str">
        <f t="shared" si="176"/>
        <v/>
      </c>
      <c r="X1867" s="64">
        <f t="shared" si="177"/>
        <v>0</v>
      </c>
      <c r="Y1867" s="53">
        <f t="shared" si="178"/>
        <v>0</v>
      </c>
      <c r="Z1867" s="64">
        <f t="shared" si="179"/>
        <v>0</v>
      </c>
    </row>
    <row r="1868" spans="1:26">
      <c r="A1868" s="89" t="str">
        <f t="shared" si="174"/>
        <v/>
      </c>
      <c r="B1868" s="89" t="str">
        <f t="shared" si="175"/>
        <v/>
      </c>
      <c r="S1868" s="89" t="str">
        <f t="shared" si="176"/>
        <v/>
      </c>
      <c r="X1868" s="64">
        <f t="shared" si="177"/>
        <v>0</v>
      </c>
      <c r="Y1868" s="53">
        <f t="shared" si="178"/>
        <v>0</v>
      </c>
      <c r="Z1868" s="64">
        <f t="shared" si="179"/>
        <v>0</v>
      </c>
    </row>
    <row r="1869" spans="1:26">
      <c r="A1869" s="89" t="str">
        <f t="shared" si="174"/>
        <v/>
      </c>
      <c r="B1869" s="89" t="str">
        <f t="shared" si="175"/>
        <v/>
      </c>
      <c r="S1869" s="89" t="str">
        <f t="shared" si="176"/>
        <v/>
      </c>
      <c r="X1869" s="64">
        <f t="shared" si="177"/>
        <v>0</v>
      </c>
      <c r="Y1869" s="53">
        <f t="shared" si="178"/>
        <v>0</v>
      </c>
      <c r="Z1869" s="64">
        <f t="shared" si="179"/>
        <v>0</v>
      </c>
    </row>
    <row r="1870" spans="1:26">
      <c r="A1870" s="89" t="str">
        <f t="shared" si="174"/>
        <v/>
      </c>
      <c r="B1870" s="89" t="str">
        <f t="shared" si="175"/>
        <v/>
      </c>
      <c r="S1870" s="89" t="str">
        <f t="shared" si="176"/>
        <v/>
      </c>
      <c r="X1870" s="64">
        <f t="shared" si="177"/>
        <v>0</v>
      </c>
      <c r="Y1870" s="53">
        <f t="shared" si="178"/>
        <v>0</v>
      </c>
      <c r="Z1870" s="64">
        <f t="shared" si="179"/>
        <v>0</v>
      </c>
    </row>
    <row r="1871" spans="1:26">
      <c r="A1871" s="89" t="str">
        <f t="shared" si="174"/>
        <v/>
      </c>
      <c r="B1871" s="89" t="str">
        <f t="shared" si="175"/>
        <v/>
      </c>
      <c r="S1871" s="89" t="str">
        <f t="shared" si="176"/>
        <v/>
      </c>
      <c r="X1871" s="64">
        <f t="shared" si="177"/>
        <v>0</v>
      </c>
      <c r="Y1871" s="53">
        <f t="shared" si="178"/>
        <v>0</v>
      </c>
      <c r="Z1871" s="64">
        <f t="shared" si="179"/>
        <v>0</v>
      </c>
    </row>
    <row r="1872" spans="1:26">
      <c r="A1872" s="89" t="str">
        <f t="shared" si="174"/>
        <v/>
      </c>
      <c r="B1872" s="89" t="str">
        <f t="shared" si="175"/>
        <v/>
      </c>
      <c r="S1872" s="89" t="str">
        <f t="shared" si="176"/>
        <v/>
      </c>
      <c r="X1872" s="64">
        <f t="shared" si="177"/>
        <v>0</v>
      </c>
      <c r="Y1872" s="53">
        <f t="shared" si="178"/>
        <v>0</v>
      </c>
      <c r="Z1872" s="64">
        <f t="shared" si="179"/>
        <v>0</v>
      </c>
    </row>
    <row r="1873" spans="1:26">
      <c r="A1873" s="89" t="str">
        <f t="shared" si="174"/>
        <v/>
      </c>
      <c r="B1873" s="89" t="str">
        <f t="shared" si="175"/>
        <v/>
      </c>
      <c r="S1873" s="89" t="str">
        <f t="shared" si="176"/>
        <v/>
      </c>
      <c r="X1873" s="64">
        <f t="shared" si="177"/>
        <v>0</v>
      </c>
      <c r="Y1873" s="53">
        <f t="shared" si="178"/>
        <v>0</v>
      </c>
      <c r="Z1873" s="64">
        <f t="shared" si="179"/>
        <v>0</v>
      </c>
    </row>
    <row r="1874" spans="1:26">
      <c r="A1874" s="89" t="str">
        <f t="shared" si="174"/>
        <v/>
      </c>
      <c r="B1874" s="89" t="str">
        <f t="shared" si="175"/>
        <v/>
      </c>
      <c r="S1874" s="89" t="str">
        <f t="shared" si="176"/>
        <v/>
      </c>
      <c r="X1874" s="64">
        <f t="shared" si="177"/>
        <v>0</v>
      </c>
      <c r="Y1874" s="53">
        <f t="shared" si="178"/>
        <v>0</v>
      </c>
      <c r="Z1874" s="64">
        <f t="shared" si="179"/>
        <v>0</v>
      </c>
    </row>
    <row r="1875" spans="1:26">
      <c r="A1875" s="89" t="str">
        <f t="shared" si="174"/>
        <v/>
      </c>
      <c r="B1875" s="89" t="str">
        <f t="shared" si="175"/>
        <v/>
      </c>
      <c r="S1875" s="89" t="str">
        <f t="shared" si="176"/>
        <v/>
      </c>
      <c r="X1875" s="64">
        <f t="shared" si="177"/>
        <v>0</v>
      </c>
      <c r="Y1875" s="53">
        <f t="shared" si="178"/>
        <v>0</v>
      </c>
      <c r="Z1875" s="64">
        <f t="shared" si="179"/>
        <v>0</v>
      </c>
    </row>
    <row r="1876" spans="1:26">
      <c r="A1876" s="89" t="str">
        <f t="shared" si="174"/>
        <v/>
      </c>
      <c r="B1876" s="89" t="str">
        <f t="shared" si="175"/>
        <v/>
      </c>
      <c r="S1876" s="89" t="str">
        <f t="shared" si="176"/>
        <v/>
      </c>
      <c r="X1876" s="64">
        <f t="shared" si="177"/>
        <v>0</v>
      </c>
      <c r="Y1876" s="53">
        <f t="shared" si="178"/>
        <v>0</v>
      </c>
      <c r="Z1876" s="64">
        <f t="shared" si="179"/>
        <v>0</v>
      </c>
    </row>
    <row r="1877" spans="1:26">
      <c r="A1877" s="89" t="str">
        <f t="shared" si="174"/>
        <v/>
      </c>
      <c r="B1877" s="89" t="str">
        <f t="shared" si="175"/>
        <v/>
      </c>
      <c r="S1877" s="89" t="str">
        <f t="shared" si="176"/>
        <v/>
      </c>
      <c r="X1877" s="64">
        <f t="shared" si="177"/>
        <v>0</v>
      </c>
      <c r="Y1877" s="53">
        <f t="shared" si="178"/>
        <v>0</v>
      </c>
      <c r="Z1877" s="64">
        <f t="shared" si="179"/>
        <v>0</v>
      </c>
    </row>
    <row r="1878" spans="1:26">
      <c r="A1878" s="89" t="str">
        <f t="shared" si="174"/>
        <v/>
      </c>
      <c r="B1878" s="89" t="str">
        <f t="shared" si="175"/>
        <v/>
      </c>
      <c r="S1878" s="89" t="str">
        <f t="shared" si="176"/>
        <v/>
      </c>
      <c r="X1878" s="64">
        <f t="shared" si="177"/>
        <v>0</v>
      </c>
      <c r="Y1878" s="53">
        <f t="shared" si="178"/>
        <v>0</v>
      </c>
      <c r="Z1878" s="64">
        <f t="shared" si="179"/>
        <v>0</v>
      </c>
    </row>
    <row r="1879" spans="1:26">
      <c r="A1879" s="89" t="str">
        <f t="shared" si="174"/>
        <v/>
      </c>
      <c r="B1879" s="89" t="str">
        <f t="shared" si="175"/>
        <v/>
      </c>
      <c r="S1879" s="89" t="str">
        <f t="shared" si="176"/>
        <v/>
      </c>
      <c r="X1879" s="64">
        <f t="shared" si="177"/>
        <v>0</v>
      </c>
      <c r="Y1879" s="53">
        <f t="shared" si="178"/>
        <v>0</v>
      </c>
      <c r="Z1879" s="64">
        <f t="shared" si="179"/>
        <v>0</v>
      </c>
    </row>
    <row r="1880" spans="1:26">
      <c r="A1880" s="89" t="str">
        <f t="shared" si="174"/>
        <v/>
      </c>
      <c r="B1880" s="89" t="str">
        <f t="shared" si="175"/>
        <v/>
      </c>
      <c r="S1880" s="89" t="str">
        <f t="shared" si="176"/>
        <v/>
      </c>
      <c r="X1880" s="64">
        <f t="shared" si="177"/>
        <v>0</v>
      </c>
      <c r="Y1880" s="53">
        <f t="shared" si="178"/>
        <v>0</v>
      </c>
      <c r="Z1880" s="64">
        <f t="shared" si="179"/>
        <v>0</v>
      </c>
    </row>
    <row r="1881" spans="1:26">
      <c r="A1881" s="89" t="str">
        <f t="shared" si="174"/>
        <v/>
      </c>
      <c r="B1881" s="89" t="str">
        <f t="shared" si="175"/>
        <v/>
      </c>
      <c r="S1881" s="89" t="str">
        <f t="shared" si="176"/>
        <v/>
      </c>
      <c r="X1881" s="64">
        <f t="shared" si="177"/>
        <v>0</v>
      </c>
      <c r="Y1881" s="53">
        <f t="shared" si="178"/>
        <v>0</v>
      </c>
      <c r="Z1881" s="64">
        <f t="shared" si="179"/>
        <v>0</v>
      </c>
    </row>
    <row r="1882" spans="1:26">
      <c r="A1882" s="89" t="str">
        <f t="shared" si="174"/>
        <v/>
      </c>
      <c r="B1882" s="89" t="str">
        <f t="shared" si="175"/>
        <v/>
      </c>
      <c r="S1882" s="89" t="str">
        <f t="shared" si="176"/>
        <v/>
      </c>
      <c r="X1882" s="64">
        <f t="shared" si="177"/>
        <v>0</v>
      </c>
      <c r="Y1882" s="53">
        <f t="shared" si="178"/>
        <v>0</v>
      </c>
      <c r="Z1882" s="64">
        <f t="shared" si="179"/>
        <v>0</v>
      </c>
    </row>
    <row r="1883" spans="1:26">
      <c r="A1883" s="89" t="str">
        <f t="shared" si="174"/>
        <v/>
      </c>
      <c r="B1883" s="89" t="str">
        <f t="shared" si="175"/>
        <v/>
      </c>
      <c r="S1883" s="89" t="str">
        <f t="shared" si="176"/>
        <v/>
      </c>
      <c r="X1883" s="64">
        <f t="shared" si="177"/>
        <v>0</v>
      </c>
      <c r="Y1883" s="53">
        <f t="shared" si="178"/>
        <v>0</v>
      </c>
      <c r="Z1883" s="64">
        <f t="shared" si="179"/>
        <v>0</v>
      </c>
    </row>
    <row r="1884" spans="1:26">
      <c r="A1884" s="89" t="str">
        <f t="shared" si="174"/>
        <v/>
      </c>
      <c r="B1884" s="89" t="str">
        <f t="shared" si="175"/>
        <v/>
      </c>
      <c r="S1884" s="89" t="str">
        <f t="shared" si="176"/>
        <v/>
      </c>
      <c r="X1884" s="64">
        <f t="shared" si="177"/>
        <v>0</v>
      </c>
      <c r="Y1884" s="53">
        <f t="shared" si="178"/>
        <v>0</v>
      </c>
      <c r="Z1884" s="64">
        <f t="shared" si="179"/>
        <v>0</v>
      </c>
    </row>
    <row r="1885" spans="1:26">
      <c r="A1885" s="89" t="str">
        <f t="shared" si="174"/>
        <v/>
      </c>
      <c r="B1885" s="89" t="str">
        <f t="shared" si="175"/>
        <v/>
      </c>
      <c r="S1885" s="89" t="str">
        <f t="shared" si="176"/>
        <v/>
      </c>
      <c r="X1885" s="64">
        <f t="shared" si="177"/>
        <v>0</v>
      </c>
      <c r="Y1885" s="53">
        <f t="shared" si="178"/>
        <v>0</v>
      </c>
      <c r="Z1885" s="64">
        <f t="shared" si="179"/>
        <v>0</v>
      </c>
    </row>
    <row r="1886" spans="1:26">
      <c r="A1886" s="89" t="str">
        <f t="shared" si="174"/>
        <v/>
      </c>
      <c r="B1886" s="89" t="str">
        <f t="shared" si="175"/>
        <v/>
      </c>
      <c r="S1886" s="89" t="str">
        <f t="shared" si="176"/>
        <v/>
      </c>
      <c r="X1886" s="64">
        <f t="shared" si="177"/>
        <v>0</v>
      </c>
      <c r="Y1886" s="53">
        <f t="shared" si="178"/>
        <v>0</v>
      </c>
      <c r="Z1886" s="64">
        <f t="shared" si="179"/>
        <v>0</v>
      </c>
    </row>
    <row r="1887" spans="1:26">
      <c r="A1887" s="89" t="str">
        <f t="shared" si="174"/>
        <v/>
      </c>
      <c r="B1887" s="89" t="str">
        <f t="shared" si="175"/>
        <v/>
      </c>
      <c r="S1887" s="89" t="str">
        <f t="shared" si="176"/>
        <v/>
      </c>
      <c r="X1887" s="64">
        <f t="shared" si="177"/>
        <v>0</v>
      </c>
      <c r="Y1887" s="53">
        <f t="shared" si="178"/>
        <v>0</v>
      </c>
      <c r="Z1887" s="64">
        <f t="shared" si="179"/>
        <v>0</v>
      </c>
    </row>
    <row r="1888" spans="1:26">
      <c r="A1888" s="89" t="str">
        <f t="shared" si="174"/>
        <v/>
      </c>
      <c r="B1888" s="89" t="str">
        <f t="shared" si="175"/>
        <v/>
      </c>
      <c r="S1888" s="89" t="str">
        <f t="shared" si="176"/>
        <v/>
      </c>
      <c r="X1888" s="64">
        <f t="shared" si="177"/>
        <v>0</v>
      </c>
      <c r="Y1888" s="53">
        <f t="shared" si="178"/>
        <v>0</v>
      </c>
      <c r="Z1888" s="64">
        <f t="shared" si="179"/>
        <v>0</v>
      </c>
    </row>
    <row r="1889" spans="1:26">
      <c r="A1889" s="89" t="str">
        <f t="shared" si="174"/>
        <v/>
      </c>
      <c r="B1889" s="89" t="str">
        <f t="shared" si="175"/>
        <v/>
      </c>
      <c r="S1889" s="89" t="str">
        <f t="shared" si="176"/>
        <v/>
      </c>
      <c r="X1889" s="64">
        <f t="shared" si="177"/>
        <v>0</v>
      </c>
      <c r="Y1889" s="53">
        <f t="shared" si="178"/>
        <v>0</v>
      </c>
      <c r="Z1889" s="64">
        <f t="shared" si="179"/>
        <v>0</v>
      </c>
    </row>
    <row r="1890" spans="1:26">
      <c r="A1890" s="89" t="str">
        <f t="shared" si="174"/>
        <v/>
      </c>
      <c r="B1890" s="89" t="str">
        <f t="shared" si="175"/>
        <v/>
      </c>
      <c r="S1890" s="89" t="str">
        <f t="shared" si="176"/>
        <v/>
      </c>
      <c r="X1890" s="64">
        <f t="shared" si="177"/>
        <v>0</v>
      </c>
      <c r="Y1890" s="53">
        <f t="shared" si="178"/>
        <v>0</v>
      </c>
      <c r="Z1890" s="64">
        <f t="shared" si="179"/>
        <v>0</v>
      </c>
    </row>
    <row r="1891" spans="1:26">
      <c r="A1891" s="89" t="str">
        <f t="shared" si="174"/>
        <v/>
      </c>
      <c r="B1891" s="89" t="str">
        <f t="shared" si="175"/>
        <v/>
      </c>
      <c r="S1891" s="89" t="str">
        <f t="shared" si="176"/>
        <v/>
      </c>
      <c r="X1891" s="64">
        <f t="shared" si="177"/>
        <v>0</v>
      </c>
      <c r="Y1891" s="53">
        <f t="shared" si="178"/>
        <v>0</v>
      </c>
      <c r="Z1891" s="64">
        <f t="shared" si="179"/>
        <v>0</v>
      </c>
    </row>
    <row r="1892" spans="1:26">
      <c r="A1892" s="89" t="str">
        <f t="shared" si="174"/>
        <v/>
      </c>
      <c r="B1892" s="89" t="str">
        <f t="shared" si="175"/>
        <v/>
      </c>
      <c r="S1892" s="89" t="str">
        <f t="shared" si="176"/>
        <v/>
      </c>
      <c r="X1892" s="64">
        <f t="shared" si="177"/>
        <v>0</v>
      </c>
      <c r="Y1892" s="53">
        <f t="shared" si="178"/>
        <v>0</v>
      </c>
      <c r="Z1892" s="64">
        <f t="shared" si="179"/>
        <v>0</v>
      </c>
    </row>
    <row r="1893" spans="1:26">
      <c r="A1893" s="89" t="str">
        <f t="shared" si="174"/>
        <v/>
      </c>
      <c r="B1893" s="89" t="str">
        <f t="shared" si="175"/>
        <v/>
      </c>
      <c r="S1893" s="89" t="str">
        <f t="shared" si="176"/>
        <v/>
      </c>
      <c r="X1893" s="64">
        <f t="shared" si="177"/>
        <v>0</v>
      </c>
      <c r="Y1893" s="53">
        <f t="shared" si="178"/>
        <v>0</v>
      </c>
      <c r="Z1893" s="64">
        <f t="shared" si="179"/>
        <v>0</v>
      </c>
    </row>
    <row r="1894" spans="1:26">
      <c r="A1894" s="89" t="str">
        <f t="shared" si="174"/>
        <v/>
      </c>
      <c r="B1894" s="89" t="str">
        <f t="shared" si="175"/>
        <v/>
      </c>
      <c r="S1894" s="89" t="str">
        <f t="shared" si="176"/>
        <v/>
      </c>
      <c r="X1894" s="64">
        <f t="shared" si="177"/>
        <v>0</v>
      </c>
      <c r="Y1894" s="53">
        <f t="shared" si="178"/>
        <v>0</v>
      </c>
      <c r="Z1894" s="64">
        <f t="shared" si="179"/>
        <v>0</v>
      </c>
    </row>
    <row r="1895" spans="1:26">
      <c r="A1895" s="89" t="str">
        <f t="shared" si="174"/>
        <v/>
      </c>
      <c r="B1895" s="89" t="str">
        <f t="shared" si="175"/>
        <v/>
      </c>
      <c r="S1895" s="89" t="str">
        <f t="shared" si="176"/>
        <v/>
      </c>
      <c r="X1895" s="64">
        <f t="shared" si="177"/>
        <v>0</v>
      </c>
      <c r="Y1895" s="53">
        <f t="shared" si="178"/>
        <v>0</v>
      </c>
      <c r="Z1895" s="64">
        <f t="shared" si="179"/>
        <v>0</v>
      </c>
    </row>
    <row r="1896" spans="1:26">
      <c r="A1896" s="89" t="str">
        <f t="shared" si="174"/>
        <v/>
      </c>
      <c r="B1896" s="89" t="str">
        <f t="shared" si="175"/>
        <v/>
      </c>
      <c r="S1896" s="89" t="str">
        <f t="shared" si="176"/>
        <v/>
      </c>
      <c r="X1896" s="64">
        <f t="shared" si="177"/>
        <v>0</v>
      </c>
      <c r="Y1896" s="53">
        <f t="shared" si="178"/>
        <v>0</v>
      </c>
      <c r="Z1896" s="64">
        <f t="shared" si="179"/>
        <v>0</v>
      </c>
    </row>
    <row r="1897" spans="1:26">
      <c r="A1897" s="89" t="str">
        <f t="shared" si="174"/>
        <v/>
      </c>
      <c r="B1897" s="89" t="str">
        <f t="shared" si="175"/>
        <v/>
      </c>
      <c r="S1897" s="89" t="str">
        <f t="shared" si="176"/>
        <v/>
      </c>
      <c r="X1897" s="64">
        <f t="shared" si="177"/>
        <v>0</v>
      </c>
      <c r="Y1897" s="53">
        <f t="shared" si="178"/>
        <v>0</v>
      </c>
      <c r="Z1897" s="64">
        <f t="shared" si="179"/>
        <v>0</v>
      </c>
    </row>
    <row r="1898" spans="1:26">
      <c r="A1898" s="89" t="str">
        <f t="shared" si="174"/>
        <v/>
      </c>
      <c r="B1898" s="89" t="str">
        <f t="shared" si="175"/>
        <v/>
      </c>
      <c r="S1898" s="89" t="str">
        <f t="shared" si="176"/>
        <v/>
      </c>
      <c r="X1898" s="64">
        <f t="shared" si="177"/>
        <v>0</v>
      </c>
      <c r="Y1898" s="53">
        <f t="shared" si="178"/>
        <v>0</v>
      </c>
      <c r="Z1898" s="64">
        <f t="shared" si="179"/>
        <v>0</v>
      </c>
    </row>
    <row r="1899" spans="1:26">
      <c r="A1899" s="89" t="str">
        <f t="shared" si="174"/>
        <v/>
      </c>
      <c r="B1899" s="89" t="str">
        <f t="shared" si="175"/>
        <v/>
      </c>
      <c r="S1899" s="89" t="str">
        <f t="shared" si="176"/>
        <v/>
      </c>
      <c r="X1899" s="64">
        <f t="shared" si="177"/>
        <v>0</v>
      </c>
      <c r="Y1899" s="53">
        <f t="shared" si="178"/>
        <v>0</v>
      </c>
      <c r="Z1899" s="64">
        <f t="shared" si="179"/>
        <v>0</v>
      </c>
    </row>
    <row r="1900" spans="1:26">
      <c r="A1900" s="89" t="str">
        <f t="shared" si="174"/>
        <v/>
      </c>
      <c r="B1900" s="89" t="str">
        <f t="shared" si="175"/>
        <v/>
      </c>
      <c r="S1900" s="89" t="str">
        <f t="shared" si="176"/>
        <v/>
      </c>
      <c r="X1900" s="64">
        <f t="shared" si="177"/>
        <v>0</v>
      </c>
      <c r="Y1900" s="53">
        <f t="shared" si="178"/>
        <v>0</v>
      </c>
      <c r="Z1900" s="64">
        <f t="shared" si="179"/>
        <v>0</v>
      </c>
    </row>
    <row r="1901" spans="1:26">
      <c r="A1901" s="89" t="str">
        <f t="shared" si="174"/>
        <v/>
      </c>
      <c r="B1901" s="89" t="str">
        <f t="shared" si="175"/>
        <v/>
      </c>
      <c r="S1901" s="89" t="str">
        <f t="shared" si="176"/>
        <v/>
      </c>
      <c r="X1901" s="64">
        <f t="shared" si="177"/>
        <v>0</v>
      </c>
      <c r="Y1901" s="53">
        <f t="shared" si="178"/>
        <v>0</v>
      </c>
      <c r="Z1901" s="64">
        <f t="shared" si="179"/>
        <v>0</v>
      </c>
    </row>
    <row r="1902" spans="1:26">
      <c r="A1902" s="89" t="str">
        <f t="shared" si="174"/>
        <v/>
      </c>
      <c r="B1902" s="89" t="str">
        <f t="shared" si="175"/>
        <v/>
      </c>
      <c r="S1902" s="89" t="str">
        <f t="shared" si="176"/>
        <v/>
      </c>
      <c r="X1902" s="64">
        <f t="shared" si="177"/>
        <v>0</v>
      </c>
      <c r="Y1902" s="53">
        <f t="shared" si="178"/>
        <v>0</v>
      </c>
      <c r="Z1902" s="64">
        <f t="shared" si="179"/>
        <v>0</v>
      </c>
    </row>
    <row r="1903" spans="1:26">
      <c r="A1903" s="89" t="str">
        <f t="shared" si="174"/>
        <v/>
      </c>
      <c r="B1903" s="89" t="str">
        <f t="shared" si="175"/>
        <v/>
      </c>
      <c r="S1903" s="89" t="str">
        <f t="shared" si="176"/>
        <v/>
      </c>
      <c r="X1903" s="64">
        <f t="shared" si="177"/>
        <v>0</v>
      </c>
      <c r="Y1903" s="53">
        <f t="shared" si="178"/>
        <v>0</v>
      </c>
      <c r="Z1903" s="64">
        <f t="shared" si="179"/>
        <v>0</v>
      </c>
    </row>
    <row r="1904" spans="1:26">
      <c r="A1904" s="89" t="str">
        <f t="shared" si="174"/>
        <v/>
      </c>
      <c r="B1904" s="89" t="str">
        <f t="shared" si="175"/>
        <v/>
      </c>
      <c r="S1904" s="89" t="str">
        <f t="shared" si="176"/>
        <v/>
      </c>
      <c r="X1904" s="64">
        <f t="shared" si="177"/>
        <v>0</v>
      </c>
      <c r="Y1904" s="53">
        <f t="shared" si="178"/>
        <v>0</v>
      </c>
      <c r="Z1904" s="64">
        <f t="shared" si="179"/>
        <v>0</v>
      </c>
    </row>
    <row r="1905" spans="1:26">
      <c r="A1905" s="89" t="str">
        <f t="shared" si="174"/>
        <v/>
      </c>
      <c r="B1905" s="89" t="str">
        <f t="shared" si="175"/>
        <v/>
      </c>
      <c r="S1905" s="89" t="str">
        <f t="shared" si="176"/>
        <v/>
      </c>
      <c r="X1905" s="64">
        <f t="shared" si="177"/>
        <v>0</v>
      </c>
      <c r="Y1905" s="53">
        <f t="shared" si="178"/>
        <v>0</v>
      </c>
      <c r="Z1905" s="64">
        <f t="shared" si="179"/>
        <v>0</v>
      </c>
    </row>
    <row r="1906" spans="1:26">
      <c r="A1906" s="89" t="str">
        <f t="shared" si="174"/>
        <v/>
      </c>
      <c r="B1906" s="89" t="str">
        <f t="shared" si="175"/>
        <v/>
      </c>
      <c r="S1906" s="89" t="str">
        <f t="shared" si="176"/>
        <v/>
      </c>
      <c r="X1906" s="64">
        <f t="shared" si="177"/>
        <v>0</v>
      </c>
      <c r="Y1906" s="53">
        <f t="shared" si="178"/>
        <v>0</v>
      </c>
      <c r="Z1906" s="64">
        <f t="shared" si="179"/>
        <v>0</v>
      </c>
    </row>
    <row r="1907" spans="1:26">
      <c r="A1907" s="89" t="str">
        <f t="shared" si="174"/>
        <v/>
      </c>
      <c r="B1907" s="89" t="str">
        <f t="shared" si="175"/>
        <v/>
      </c>
      <c r="S1907" s="89" t="str">
        <f t="shared" si="176"/>
        <v/>
      </c>
      <c r="X1907" s="64">
        <f t="shared" si="177"/>
        <v>0</v>
      </c>
      <c r="Y1907" s="53">
        <f t="shared" si="178"/>
        <v>0</v>
      </c>
      <c r="Z1907" s="64">
        <f t="shared" si="179"/>
        <v>0</v>
      </c>
    </row>
    <row r="1908" spans="1:26">
      <c r="A1908" s="89" t="str">
        <f t="shared" si="174"/>
        <v/>
      </c>
      <c r="B1908" s="89" t="str">
        <f t="shared" si="175"/>
        <v/>
      </c>
      <c r="S1908" s="89" t="str">
        <f t="shared" si="176"/>
        <v/>
      </c>
      <c r="X1908" s="64">
        <f t="shared" si="177"/>
        <v>0</v>
      </c>
      <c r="Y1908" s="53">
        <f t="shared" si="178"/>
        <v>0</v>
      </c>
      <c r="Z1908" s="64">
        <f t="shared" si="179"/>
        <v>0</v>
      </c>
    </row>
    <row r="1909" spans="1:26">
      <c r="A1909" s="89" t="str">
        <f t="shared" si="174"/>
        <v/>
      </c>
      <c r="B1909" s="89" t="str">
        <f t="shared" si="175"/>
        <v/>
      </c>
      <c r="S1909" s="89" t="str">
        <f t="shared" si="176"/>
        <v/>
      </c>
      <c r="X1909" s="64">
        <f t="shared" si="177"/>
        <v>0</v>
      </c>
      <c r="Y1909" s="53">
        <f t="shared" si="178"/>
        <v>0</v>
      </c>
      <c r="Z1909" s="64">
        <f t="shared" si="179"/>
        <v>0</v>
      </c>
    </row>
    <row r="1910" spans="1:26">
      <c r="A1910" s="89" t="str">
        <f t="shared" si="174"/>
        <v/>
      </c>
      <c r="B1910" s="89" t="str">
        <f t="shared" si="175"/>
        <v/>
      </c>
      <c r="S1910" s="89" t="str">
        <f t="shared" si="176"/>
        <v/>
      </c>
      <c r="X1910" s="64">
        <f t="shared" si="177"/>
        <v>0</v>
      </c>
      <c r="Y1910" s="53">
        <f t="shared" si="178"/>
        <v>0</v>
      </c>
      <c r="Z1910" s="64">
        <f t="shared" si="179"/>
        <v>0</v>
      </c>
    </row>
    <row r="1911" spans="1:26">
      <c r="A1911" s="89" t="str">
        <f t="shared" si="174"/>
        <v/>
      </c>
      <c r="B1911" s="89" t="str">
        <f t="shared" si="175"/>
        <v/>
      </c>
      <c r="S1911" s="89" t="str">
        <f t="shared" si="176"/>
        <v/>
      </c>
      <c r="X1911" s="64">
        <f t="shared" si="177"/>
        <v>0</v>
      </c>
      <c r="Y1911" s="53">
        <f t="shared" si="178"/>
        <v>0</v>
      </c>
      <c r="Z1911" s="64">
        <f t="shared" si="179"/>
        <v>0</v>
      </c>
    </row>
    <row r="1912" spans="1:26">
      <c r="A1912" s="89" t="str">
        <f t="shared" si="174"/>
        <v/>
      </c>
      <c r="B1912" s="89" t="str">
        <f t="shared" si="175"/>
        <v/>
      </c>
      <c r="S1912" s="89" t="str">
        <f t="shared" si="176"/>
        <v/>
      </c>
      <c r="X1912" s="64">
        <f t="shared" si="177"/>
        <v>0</v>
      </c>
      <c r="Y1912" s="53">
        <f t="shared" si="178"/>
        <v>0</v>
      </c>
      <c r="Z1912" s="64">
        <f t="shared" si="179"/>
        <v>0</v>
      </c>
    </row>
    <row r="1913" spans="1:26">
      <c r="A1913" s="89" t="str">
        <f t="shared" si="174"/>
        <v/>
      </c>
      <c r="B1913" s="89" t="str">
        <f t="shared" si="175"/>
        <v/>
      </c>
      <c r="S1913" s="89" t="str">
        <f t="shared" si="176"/>
        <v/>
      </c>
      <c r="X1913" s="64">
        <f t="shared" si="177"/>
        <v>0</v>
      </c>
      <c r="Y1913" s="53">
        <f t="shared" si="178"/>
        <v>0</v>
      </c>
      <c r="Z1913" s="64">
        <f t="shared" si="179"/>
        <v>0</v>
      </c>
    </row>
    <row r="1914" spans="1:26">
      <c r="A1914" s="89" t="str">
        <f t="shared" si="174"/>
        <v/>
      </c>
      <c r="B1914" s="89" t="str">
        <f t="shared" si="175"/>
        <v/>
      </c>
      <c r="S1914" s="89" t="str">
        <f t="shared" si="176"/>
        <v/>
      </c>
      <c r="X1914" s="64">
        <f t="shared" si="177"/>
        <v>0</v>
      </c>
      <c r="Y1914" s="53">
        <f t="shared" si="178"/>
        <v>0</v>
      </c>
      <c r="Z1914" s="64">
        <f t="shared" si="179"/>
        <v>0</v>
      </c>
    </row>
    <row r="1915" spans="1:26">
      <c r="A1915" s="89" t="str">
        <f t="shared" si="174"/>
        <v/>
      </c>
      <c r="B1915" s="89" t="str">
        <f t="shared" si="175"/>
        <v/>
      </c>
      <c r="S1915" s="89" t="str">
        <f t="shared" si="176"/>
        <v/>
      </c>
      <c r="X1915" s="64">
        <f t="shared" si="177"/>
        <v>0</v>
      </c>
      <c r="Y1915" s="53">
        <f t="shared" si="178"/>
        <v>0</v>
      </c>
      <c r="Z1915" s="64">
        <f t="shared" si="179"/>
        <v>0</v>
      </c>
    </row>
    <row r="1916" spans="1:26">
      <c r="A1916" s="89" t="str">
        <f t="shared" si="174"/>
        <v/>
      </c>
      <c r="B1916" s="89" t="str">
        <f t="shared" si="175"/>
        <v/>
      </c>
      <c r="S1916" s="89" t="str">
        <f t="shared" si="176"/>
        <v/>
      </c>
      <c r="X1916" s="64">
        <f t="shared" si="177"/>
        <v>0</v>
      </c>
      <c r="Y1916" s="53">
        <f t="shared" si="178"/>
        <v>0</v>
      </c>
      <c r="Z1916" s="64">
        <f t="shared" si="179"/>
        <v>0</v>
      </c>
    </row>
    <row r="1917" spans="1:26">
      <c r="A1917" s="89" t="str">
        <f t="shared" si="174"/>
        <v/>
      </c>
      <c r="B1917" s="89" t="str">
        <f t="shared" si="175"/>
        <v/>
      </c>
      <c r="S1917" s="89" t="str">
        <f t="shared" si="176"/>
        <v/>
      </c>
      <c r="X1917" s="64">
        <f t="shared" si="177"/>
        <v>0</v>
      </c>
      <c r="Y1917" s="53">
        <f t="shared" si="178"/>
        <v>0</v>
      </c>
      <c r="Z1917" s="64">
        <f t="shared" si="179"/>
        <v>0</v>
      </c>
    </row>
    <row r="1918" spans="1:26">
      <c r="A1918" s="89" t="str">
        <f t="shared" si="174"/>
        <v/>
      </c>
      <c r="B1918" s="89" t="str">
        <f t="shared" si="175"/>
        <v/>
      </c>
      <c r="S1918" s="89" t="str">
        <f t="shared" si="176"/>
        <v/>
      </c>
      <c r="X1918" s="64">
        <f t="shared" si="177"/>
        <v>0</v>
      </c>
      <c r="Y1918" s="53">
        <f t="shared" si="178"/>
        <v>0</v>
      </c>
      <c r="Z1918" s="64">
        <f t="shared" si="179"/>
        <v>0</v>
      </c>
    </row>
    <row r="1919" spans="1:26">
      <c r="A1919" s="89" t="str">
        <f t="shared" si="174"/>
        <v/>
      </c>
      <c r="B1919" s="89" t="str">
        <f t="shared" si="175"/>
        <v/>
      </c>
      <c r="S1919" s="89" t="str">
        <f t="shared" si="176"/>
        <v/>
      </c>
      <c r="X1919" s="64">
        <f t="shared" si="177"/>
        <v>0</v>
      </c>
      <c r="Y1919" s="53">
        <f t="shared" si="178"/>
        <v>0</v>
      </c>
      <c r="Z1919" s="64">
        <f t="shared" si="179"/>
        <v>0</v>
      </c>
    </row>
    <row r="1920" spans="1:26">
      <c r="A1920" s="89" t="str">
        <f t="shared" si="174"/>
        <v/>
      </c>
      <c r="B1920" s="89" t="str">
        <f t="shared" si="175"/>
        <v/>
      </c>
      <c r="S1920" s="89" t="str">
        <f t="shared" si="176"/>
        <v/>
      </c>
      <c r="X1920" s="64">
        <f t="shared" si="177"/>
        <v>0</v>
      </c>
      <c r="Y1920" s="53">
        <f t="shared" si="178"/>
        <v>0</v>
      </c>
      <c r="Z1920" s="64">
        <f t="shared" si="179"/>
        <v>0</v>
      </c>
    </row>
    <row r="1921" spans="1:26">
      <c r="A1921" s="89" t="str">
        <f t="shared" si="174"/>
        <v/>
      </c>
      <c r="B1921" s="89" t="str">
        <f t="shared" si="175"/>
        <v/>
      </c>
      <c r="S1921" s="89" t="str">
        <f t="shared" si="176"/>
        <v/>
      </c>
      <c r="X1921" s="64">
        <f t="shared" si="177"/>
        <v>0</v>
      </c>
      <c r="Y1921" s="53">
        <f t="shared" si="178"/>
        <v>0</v>
      </c>
      <c r="Z1921" s="64">
        <f t="shared" si="179"/>
        <v>0</v>
      </c>
    </row>
    <row r="1922" spans="1:26">
      <c r="A1922" s="89" t="str">
        <f t="shared" si="174"/>
        <v/>
      </c>
      <c r="B1922" s="89" t="str">
        <f t="shared" si="175"/>
        <v/>
      </c>
      <c r="S1922" s="89" t="str">
        <f t="shared" si="176"/>
        <v/>
      </c>
      <c r="X1922" s="64">
        <f t="shared" si="177"/>
        <v>0</v>
      </c>
      <c r="Y1922" s="53">
        <f t="shared" si="178"/>
        <v>0</v>
      </c>
      <c r="Z1922" s="64">
        <f t="shared" si="179"/>
        <v>0</v>
      </c>
    </row>
    <row r="1923" spans="1:26">
      <c r="A1923" s="89" t="str">
        <f t="shared" ref="A1923:A1986" si="180">IF(G1923&amp;Q1923&lt;&gt;"",G1923&amp;Q1923,"")</f>
        <v/>
      </c>
      <c r="B1923" s="89" t="str">
        <f t="shared" ref="B1923:B1986" si="181">IF(C1923&lt;&gt;"",LEFT(C1923,9),"")</f>
        <v/>
      </c>
      <c r="S1923" s="89" t="str">
        <f t="shared" ref="S1923:S1986" si="182">IF(H1923&lt;&gt;"",H1923,"")</f>
        <v/>
      </c>
      <c r="X1923" s="64">
        <f t="shared" ref="X1923:X1986" si="183">IFERROR(VALUE(MID($C1923,1,2)),0)</f>
        <v>0</v>
      </c>
      <c r="Y1923" s="53">
        <f t="shared" ref="Y1923:Y1986" si="184">IFERROR(VALUE(MID($C1923,4,3)),0)</f>
        <v>0</v>
      </c>
      <c r="Z1923" s="64">
        <f t="shared" ref="Z1923:Z1986" si="185">VALUE(RIGHT("00"&amp;X1923,2)&amp;RIGHT("000"&amp;Y1923,3))</f>
        <v>0</v>
      </c>
    </row>
    <row r="1924" spans="1:26">
      <c r="A1924" s="89" t="str">
        <f t="shared" si="180"/>
        <v/>
      </c>
      <c r="B1924" s="89" t="str">
        <f t="shared" si="181"/>
        <v/>
      </c>
      <c r="S1924" s="89" t="str">
        <f t="shared" si="182"/>
        <v/>
      </c>
      <c r="X1924" s="64">
        <f t="shared" si="183"/>
        <v>0</v>
      </c>
      <c r="Y1924" s="53">
        <f t="shared" si="184"/>
        <v>0</v>
      </c>
      <c r="Z1924" s="64">
        <f t="shared" si="185"/>
        <v>0</v>
      </c>
    </row>
    <row r="1925" spans="1:26">
      <c r="A1925" s="89" t="str">
        <f t="shared" si="180"/>
        <v/>
      </c>
      <c r="B1925" s="89" t="str">
        <f t="shared" si="181"/>
        <v/>
      </c>
      <c r="S1925" s="89" t="str">
        <f t="shared" si="182"/>
        <v/>
      </c>
      <c r="X1925" s="64">
        <f t="shared" si="183"/>
        <v>0</v>
      </c>
      <c r="Y1925" s="53">
        <f t="shared" si="184"/>
        <v>0</v>
      </c>
      <c r="Z1925" s="64">
        <f t="shared" si="185"/>
        <v>0</v>
      </c>
    </row>
    <row r="1926" spans="1:26">
      <c r="A1926" s="89" t="str">
        <f t="shared" si="180"/>
        <v/>
      </c>
      <c r="B1926" s="89" t="str">
        <f t="shared" si="181"/>
        <v/>
      </c>
      <c r="S1926" s="89" t="str">
        <f t="shared" si="182"/>
        <v/>
      </c>
      <c r="X1926" s="64">
        <f t="shared" si="183"/>
        <v>0</v>
      </c>
      <c r="Y1926" s="53">
        <f t="shared" si="184"/>
        <v>0</v>
      </c>
      <c r="Z1926" s="64">
        <f t="shared" si="185"/>
        <v>0</v>
      </c>
    </row>
    <row r="1927" spans="1:26">
      <c r="A1927" s="89" t="str">
        <f t="shared" si="180"/>
        <v/>
      </c>
      <c r="B1927" s="89" t="str">
        <f t="shared" si="181"/>
        <v/>
      </c>
      <c r="S1927" s="89" t="str">
        <f t="shared" si="182"/>
        <v/>
      </c>
      <c r="X1927" s="64">
        <f t="shared" si="183"/>
        <v>0</v>
      </c>
      <c r="Y1927" s="53">
        <f t="shared" si="184"/>
        <v>0</v>
      </c>
      <c r="Z1927" s="64">
        <f t="shared" si="185"/>
        <v>0</v>
      </c>
    </row>
    <row r="1928" spans="1:26">
      <c r="A1928" s="89" t="str">
        <f t="shared" si="180"/>
        <v/>
      </c>
      <c r="B1928" s="89" t="str">
        <f t="shared" si="181"/>
        <v/>
      </c>
      <c r="S1928" s="89" t="str">
        <f t="shared" si="182"/>
        <v/>
      </c>
      <c r="X1928" s="64">
        <f t="shared" si="183"/>
        <v>0</v>
      </c>
      <c r="Y1928" s="53">
        <f t="shared" si="184"/>
        <v>0</v>
      </c>
      <c r="Z1928" s="64">
        <f t="shared" si="185"/>
        <v>0</v>
      </c>
    </row>
    <row r="1929" spans="1:26">
      <c r="A1929" s="89" t="str">
        <f t="shared" si="180"/>
        <v/>
      </c>
      <c r="B1929" s="89" t="str">
        <f t="shared" si="181"/>
        <v/>
      </c>
      <c r="S1929" s="89" t="str">
        <f t="shared" si="182"/>
        <v/>
      </c>
      <c r="X1929" s="64">
        <f t="shared" si="183"/>
        <v>0</v>
      </c>
      <c r="Y1929" s="53">
        <f t="shared" si="184"/>
        <v>0</v>
      </c>
      <c r="Z1929" s="64">
        <f t="shared" si="185"/>
        <v>0</v>
      </c>
    </row>
    <row r="1930" spans="1:26">
      <c r="A1930" s="89" t="str">
        <f t="shared" si="180"/>
        <v/>
      </c>
      <c r="B1930" s="89" t="str">
        <f t="shared" si="181"/>
        <v/>
      </c>
      <c r="S1930" s="89" t="str">
        <f t="shared" si="182"/>
        <v/>
      </c>
      <c r="X1930" s="64">
        <f t="shared" si="183"/>
        <v>0</v>
      </c>
      <c r="Y1930" s="53">
        <f t="shared" si="184"/>
        <v>0</v>
      </c>
      <c r="Z1930" s="64">
        <f t="shared" si="185"/>
        <v>0</v>
      </c>
    </row>
    <row r="1931" spans="1:26">
      <c r="A1931" s="89" t="str">
        <f t="shared" si="180"/>
        <v/>
      </c>
      <c r="B1931" s="89" t="str">
        <f t="shared" si="181"/>
        <v/>
      </c>
      <c r="S1931" s="89" t="str">
        <f t="shared" si="182"/>
        <v/>
      </c>
      <c r="X1931" s="64">
        <f t="shared" si="183"/>
        <v>0</v>
      </c>
      <c r="Y1931" s="53">
        <f t="shared" si="184"/>
        <v>0</v>
      </c>
      <c r="Z1931" s="64">
        <f t="shared" si="185"/>
        <v>0</v>
      </c>
    </row>
    <row r="1932" spans="1:26">
      <c r="A1932" s="89" t="str">
        <f t="shared" si="180"/>
        <v/>
      </c>
      <c r="B1932" s="89" t="str">
        <f t="shared" si="181"/>
        <v/>
      </c>
      <c r="S1932" s="89" t="str">
        <f t="shared" si="182"/>
        <v/>
      </c>
      <c r="X1932" s="64">
        <f t="shared" si="183"/>
        <v>0</v>
      </c>
      <c r="Y1932" s="53">
        <f t="shared" si="184"/>
        <v>0</v>
      </c>
      <c r="Z1932" s="64">
        <f t="shared" si="185"/>
        <v>0</v>
      </c>
    </row>
    <row r="1933" spans="1:26">
      <c r="A1933" s="89" t="str">
        <f t="shared" si="180"/>
        <v/>
      </c>
      <c r="B1933" s="89" t="str">
        <f t="shared" si="181"/>
        <v/>
      </c>
      <c r="S1933" s="89" t="str">
        <f t="shared" si="182"/>
        <v/>
      </c>
      <c r="X1933" s="64">
        <f t="shared" si="183"/>
        <v>0</v>
      </c>
      <c r="Y1933" s="53">
        <f t="shared" si="184"/>
        <v>0</v>
      </c>
      <c r="Z1933" s="64">
        <f t="shared" si="185"/>
        <v>0</v>
      </c>
    </row>
    <row r="1934" spans="1:26">
      <c r="A1934" s="89" t="str">
        <f t="shared" si="180"/>
        <v/>
      </c>
      <c r="B1934" s="89" t="str">
        <f t="shared" si="181"/>
        <v/>
      </c>
      <c r="S1934" s="89" t="str">
        <f t="shared" si="182"/>
        <v/>
      </c>
      <c r="X1934" s="64">
        <f t="shared" si="183"/>
        <v>0</v>
      </c>
      <c r="Y1934" s="53">
        <f t="shared" si="184"/>
        <v>0</v>
      </c>
      <c r="Z1934" s="64">
        <f t="shared" si="185"/>
        <v>0</v>
      </c>
    </row>
    <row r="1935" spans="1:26">
      <c r="A1935" s="89" t="str">
        <f t="shared" si="180"/>
        <v/>
      </c>
      <c r="B1935" s="89" t="str">
        <f t="shared" si="181"/>
        <v/>
      </c>
      <c r="S1935" s="89" t="str">
        <f t="shared" si="182"/>
        <v/>
      </c>
      <c r="X1935" s="64">
        <f t="shared" si="183"/>
        <v>0</v>
      </c>
      <c r="Y1935" s="53">
        <f t="shared" si="184"/>
        <v>0</v>
      </c>
      <c r="Z1935" s="64">
        <f t="shared" si="185"/>
        <v>0</v>
      </c>
    </row>
    <row r="1936" spans="1:26">
      <c r="A1936" s="89" t="str">
        <f t="shared" si="180"/>
        <v/>
      </c>
      <c r="B1936" s="89" t="str">
        <f t="shared" si="181"/>
        <v/>
      </c>
      <c r="S1936" s="89" t="str">
        <f t="shared" si="182"/>
        <v/>
      </c>
      <c r="X1936" s="64">
        <f t="shared" si="183"/>
        <v>0</v>
      </c>
      <c r="Y1936" s="53">
        <f t="shared" si="184"/>
        <v>0</v>
      </c>
      <c r="Z1936" s="64">
        <f t="shared" si="185"/>
        <v>0</v>
      </c>
    </row>
    <row r="1937" spans="1:26">
      <c r="A1937" s="89" t="str">
        <f t="shared" si="180"/>
        <v/>
      </c>
      <c r="B1937" s="89" t="str">
        <f t="shared" si="181"/>
        <v/>
      </c>
      <c r="S1937" s="89" t="str">
        <f t="shared" si="182"/>
        <v/>
      </c>
      <c r="X1937" s="64">
        <f t="shared" si="183"/>
        <v>0</v>
      </c>
      <c r="Y1937" s="53">
        <f t="shared" si="184"/>
        <v>0</v>
      </c>
      <c r="Z1937" s="64">
        <f t="shared" si="185"/>
        <v>0</v>
      </c>
    </row>
    <row r="1938" spans="1:26">
      <c r="A1938" s="89" t="str">
        <f t="shared" si="180"/>
        <v/>
      </c>
      <c r="B1938" s="89" t="str">
        <f t="shared" si="181"/>
        <v/>
      </c>
      <c r="S1938" s="89" t="str">
        <f t="shared" si="182"/>
        <v/>
      </c>
      <c r="X1938" s="64">
        <f t="shared" si="183"/>
        <v>0</v>
      </c>
      <c r="Y1938" s="53">
        <f t="shared" si="184"/>
        <v>0</v>
      </c>
      <c r="Z1938" s="64">
        <f t="shared" si="185"/>
        <v>0</v>
      </c>
    </row>
    <row r="1939" spans="1:26">
      <c r="A1939" s="89" t="str">
        <f t="shared" si="180"/>
        <v/>
      </c>
      <c r="B1939" s="89" t="str">
        <f t="shared" si="181"/>
        <v/>
      </c>
      <c r="S1939" s="89" t="str">
        <f t="shared" si="182"/>
        <v/>
      </c>
      <c r="X1939" s="64">
        <f t="shared" si="183"/>
        <v>0</v>
      </c>
      <c r="Y1939" s="53">
        <f t="shared" si="184"/>
        <v>0</v>
      </c>
      <c r="Z1939" s="64">
        <f t="shared" si="185"/>
        <v>0</v>
      </c>
    </row>
    <row r="1940" spans="1:26">
      <c r="A1940" s="89" t="str">
        <f t="shared" si="180"/>
        <v/>
      </c>
      <c r="B1940" s="89" t="str">
        <f t="shared" si="181"/>
        <v/>
      </c>
      <c r="S1940" s="89" t="str">
        <f t="shared" si="182"/>
        <v/>
      </c>
      <c r="X1940" s="64">
        <f t="shared" si="183"/>
        <v>0</v>
      </c>
      <c r="Y1940" s="53">
        <f t="shared" si="184"/>
        <v>0</v>
      </c>
      <c r="Z1940" s="64">
        <f t="shared" si="185"/>
        <v>0</v>
      </c>
    </row>
    <row r="1941" spans="1:26">
      <c r="A1941" s="89" t="str">
        <f t="shared" si="180"/>
        <v/>
      </c>
      <c r="B1941" s="89" t="str">
        <f t="shared" si="181"/>
        <v/>
      </c>
      <c r="S1941" s="89" t="str">
        <f t="shared" si="182"/>
        <v/>
      </c>
      <c r="X1941" s="64">
        <f t="shared" si="183"/>
        <v>0</v>
      </c>
      <c r="Y1941" s="53">
        <f t="shared" si="184"/>
        <v>0</v>
      </c>
      <c r="Z1941" s="64">
        <f t="shared" si="185"/>
        <v>0</v>
      </c>
    </row>
    <row r="1942" spans="1:26">
      <c r="A1942" s="89" t="str">
        <f t="shared" si="180"/>
        <v/>
      </c>
      <c r="B1942" s="89" t="str">
        <f t="shared" si="181"/>
        <v/>
      </c>
      <c r="S1942" s="89" t="str">
        <f t="shared" si="182"/>
        <v/>
      </c>
      <c r="X1942" s="64">
        <f t="shared" si="183"/>
        <v>0</v>
      </c>
      <c r="Y1942" s="53">
        <f t="shared" si="184"/>
        <v>0</v>
      </c>
      <c r="Z1942" s="64">
        <f t="shared" si="185"/>
        <v>0</v>
      </c>
    </row>
    <row r="1943" spans="1:26">
      <c r="A1943" s="89" t="str">
        <f t="shared" si="180"/>
        <v/>
      </c>
      <c r="B1943" s="89" t="str">
        <f t="shared" si="181"/>
        <v/>
      </c>
      <c r="S1943" s="89" t="str">
        <f t="shared" si="182"/>
        <v/>
      </c>
      <c r="X1943" s="64">
        <f t="shared" si="183"/>
        <v>0</v>
      </c>
      <c r="Y1943" s="53">
        <f t="shared" si="184"/>
        <v>0</v>
      </c>
      <c r="Z1943" s="64">
        <f t="shared" si="185"/>
        <v>0</v>
      </c>
    </row>
    <row r="1944" spans="1:26">
      <c r="A1944" s="89" t="str">
        <f t="shared" si="180"/>
        <v/>
      </c>
      <c r="B1944" s="89" t="str">
        <f t="shared" si="181"/>
        <v/>
      </c>
      <c r="S1944" s="89" t="str">
        <f t="shared" si="182"/>
        <v/>
      </c>
      <c r="X1944" s="64">
        <f t="shared" si="183"/>
        <v>0</v>
      </c>
      <c r="Y1944" s="53">
        <f t="shared" si="184"/>
        <v>0</v>
      </c>
      <c r="Z1944" s="64">
        <f t="shared" si="185"/>
        <v>0</v>
      </c>
    </row>
    <row r="1945" spans="1:26">
      <c r="A1945" s="89" t="str">
        <f t="shared" si="180"/>
        <v/>
      </c>
      <c r="B1945" s="89" t="str">
        <f t="shared" si="181"/>
        <v/>
      </c>
      <c r="S1945" s="89" t="str">
        <f t="shared" si="182"/>
        <v/>
      </c>
      <c r="X1945" s="64">
        <f t="shared" si="183"/>
        <v>0</v>
      </c>
      <c r="Y1945" s="53">
        <f t="shared" si="184"/>
        <v>0</v>
      </c>
      <c r="Z1945" s="64">
        <f t="shared" si="185"/>
        <v>0</v>
      </c>
    </row>
    <row r="1946" spans="1:26">
      <c r="A1946" s="89" t="str">
        <f t="shared" si="180"/>
        <v/>
      </c>
      <c r="B1946" s="89" t="str">
        <f t="shared" si="181"/>
        <v/>
      </c>
      <c r="S1946" s="89" t="str">
        <f t="shared" si="182"/>
        <v/>
      </c>
      <c r="X1946" s="64">
        <f t="shared" si="183"/>
        <v>0</v>
      </c>
      <c r="Y1946" s="53">
        <f t="shared" si="184"/>
        <v>0</v>
      </c>
      <c r="Z1946" s="64">
        <f t="shared" si="185"/>
        <v>0</v>
      </c>
    </row>
    <row r="1947" spans="1:26">
      <c r="A1947" s="89" t="str">
        <f t="shared" si="180"/>
        <v/>
      </c>
      <c r="B1947" s="89" t="str">
        <f t="shared" si="181"/>
        <v/>
      </c>
      <c r="S1947" s="89" t="str">
        <f t="shared" si="182"/>
        <v/>
      </c>
      <c r="X1947" s="64">
        <f t="shared" si="183"/>
        <v>0</v>
      </c>
      <c r="Y1947" s="53">
        <f t="shared" si="184"/>
        <v>0</v>
      </c>
      <c r="Z1947" s="64">
        <f t="shared" si="185"/>
        <v>0</v>
      </c>
    </row>
    <row r="1948" spans="1:26">
      <c r="A1948" s="89" t="str">
        <f t="shared" si="180"/>
        <v/>
      </c>
      <c r="B1948" s="89" t="str">
        <f t="shared" si="181"/>
        <v/>
      </c>
      <c r="S1948" s="89" t="str">
        <f t="shared" si="182"/>
        <v/>
      </c>
      <c r="X1948" s="64">
        <f t="shared" si="183"/>
        <v>0</v>
      </c>
      <c r="Y1948" s="53">
        <f t="shared" si="184"/>
        <v>0</v>
      </c>
      <c r="Z1948" s="64">
        <f t="shared" si="185"/>
        <v>0</v>
      </c>
    </row>
    <row r="1949" spans="1:26">
      <c r="A1949" s="89" t="str">
        <f t="shared" si="180"/>
        <v/>
      </c>
      <c r="B1949" s="89" t="str">
        <f t="shared" si="181"/>
        <v/>
      </c>
      <c r="S1949" s="89" t="str">
        <f t="shared" si="182"/>
        <v/>
      </c>
      <c r="X1949" s="64">
        <f t="shared" si="183"/>
        <v>0</v>
      </c>
      <c r="Y1949" s="53">
        <f t="shared" si="184"/>
        <v>0</v>
      </c>
      <c r="Z1949" s="64">
        <f t="shared" si="185"/>
        <v>0</v>
      </c>
    </row>
    <row r="1950" spans="1:26">
      <c r="A1950" s="89" t="str">
        <f t="shared" si="180"/>
        <v/>
      </c>
      <c r="B1950" s="89" t="str">
        <f t="shared" si="181"/>
        <v/>
      </c>
      <c r="S1950" s="89" t="str">
        <f t="shared" si="182"/>
        <v/>
      </c>
      <c r="X1950" s="64">
        <f t="shared" si="183"/>
        <v>0</v>
      </c>
      <c r="Y1950" s="53">
        <f t="shared" si="184"/>
        <v>0</v>
      </c>
      <c r="Z1950" s="64">
        <f t="shared" si="185"/>
        <v>0</v>
      </c>
    </row>
    <row r="1951" spans="1:26">
      <c r="A1951" s="89" t="str">
        <f t="shared" si="180"/>
        <v/>
      </c>
      <c r="B1951" s="89" t="str">
        <f t="shared" si="181"/>
        <v/>
      </c>
      <c r="S1951" s="89" t="str">
        <f t="shared" si="182"/>
        <v/>
      </c>
      <c r="X1951" s="64">
        <f t="shared" si="183"/>
        <v>0</v>
      </c>
      <c r="Y1951" s="53">
        <f t="shared" si="184"/>
        <v>0</v>
      </c>
      <c r="Z1951" s="64">
        <f t="shared" si="185"/>
        <v>0</v>
      </c>
    </row>
    <row r="1952" spans="1:26">
      <c r="A1952" s="89" t="str">
        <f t="shared" si="180"/>
        <v/>
      </c>
      <c r="B1952" s="89" t="str">
        <f t="shared" si="181"/>
        <v/>
      </c>
      <c r="S1952" s="89" t="str">
        <f t="shared" si="182"/>
        <v/>
      </c>
      <c r="X1952" s="64">
        <f t="shared" si="183"/>
        <v>0</v>
      </c>
      <c r="Y1952" s="53">
        <f t="shared" si="184"/>
        <v>0</v>
      </c>
      <c r="Z1952" s="64">
        <f t="shared" si="185"/>
        <v>0</v>
      </c>
    </row>
    <row r="1953" spans="1:26">
      <c r="A1953" s="89" t="str">
        <f t="shared" si="180"/>
        <v/>
      </c>
      <c r="B1953" s="89" t="str">
        <f t="shared" si="181"/>
        <v/>
      </c>
      <c r="S1953" s="89" t="str">
        <f t="shared" si="182"/>
        <v/>
      </c>
      <c r="X1953" s="64">
        <f t="shared" si="183"/>
        <v>0</v>
      </c>
      <c r="Y1953" s="53">
        <f t="shared" si="184"/>
        <v>0</v>
      </c>
      <c r="Z1953" s="64">
        <f t="shared" si="185"/>
        <v>0</v>
      </c>
    </row>
    <row r="1954" spans="1:26">
      <c r="A1954" s="89" t="str">
        <f t="shared" si="180"/>
        <v/>
      </c>
      <c r="B1954" s="89" t="str">
        <f t="shared" si="181"/>
        <v/>
      </c>
      <c r="S1954" s="89" t="str">
        <f t="shared" si="182"/>
        <v/>
      </c>
      <c r="X1954" s="64">
        <f t="shared" si="183"/>
        <v>0</v>
      </c>
      <c r="Y1954" s="53">
        <f t="shared" si="184"/>
        <v>0</v>
      </c>
      <c r="Z1954" s="64">
        <f t="shared" si="185"/>
        <v>0</v>
      </c>
    </row>
    <row r="1955" spans="1:26">
      <c r="A1955" s="89" t="str">
        <f t="shared" si="180"/>
        <v/>
      </c>
      <c r="B1955" s="89" t="str">
        <f t="shared" si="181"/>
        <v/>
      </c>
      <c r="S1955" s="89" t="str">
        <f t="shared" si="182"/>
        <v/>
      </c>
      <c r="X1955" s="64">
        <f t="shared" si="183"/>
        <v>0</v>
      </c>
      <c r="Y1955" s="53">
        <f t="shared" si="184"/>
        <v>0</v>
      </c>
      <c r="Z1955" s="64">
        <f t="shared" si="185"/>
        <v>0</v>
      </c>
    </row>
    <row r="1956" spans="1:26">
      <c r="A1956" s="89" t="str">
        <f t="shared" si="180"/>
        <v/>
      </c>
      <c r="B1956" s="89" t="str">
        <f t="shared" si="181"/>
        <v/>
      </c>
      <c r="S1956" s="89" t="str">
        <f t="shared" si="182"/>
        <v/>
      </c>
      <c r="X1956" s="64">
        <f t="shared" si="183"/>
        <v>0</v>
      </c>
      <c r="Y1956" s="53">
        <f t="shared" si="184"/>
        <v>0</v>
      </c>
      <c r="Z1956" s="64">
        <f t="shared" si="185"/>
        <v>0</v>
      </c>
    </row>
    <row r="1957" spans="1:26">
      <c r="A1957" s="89" t="str">
        <f t="shared" si="180"/>
        <v/>
      </c>
      <c r="B1957" s="89" t="str">
        <f t="shared" si="181"/>
        <v/>
      </c>
      <c r="S1957" s="89" t="str">
        <f t="shared" si="182"/>
        <v/>
      </c>
      <c r="X1957" s="64">
        <f t="shared" si="183"/>
        <v>0</v>
      </c>
      <c r="Y1957" s="53">
        <f t="shared" si="184"/>
        <v>0</v>
      </c>
      <c r="Z1957" s="64">
        <f t="shared" si="185"/>
        <v>0</v>
      </c>
    </row>
    <row r="1958" spans="1:26">
      <c r="A1958" s="89" t="str">
        <f t="shared" si="180"/>
        <v/>
      </c>
      <c r="B1958" s="89" t="str">
        <f t="shared" si="181"/>
        <v/>
      </c>
      <c r="S1958" s="89" t="str">
        <f t="shared" si="182"/>
        <v/>
      </c>
      <c r="X1958" s="64">
        <f t="shared" si="183"/>
        <v>0</v>
      </c>
      <c r="Y1958" s="53">
        <f t="shared" si="184"/>
        <v>0</v>
      </c>
      <c r="Z1958" s="64">
        <f t="shared" si="185"/>
        <v>0</v>
      </c>
    </row>
    <row r="1959" spans="1:26">
      <c r="A1959" s="89" t="str">
        <f t="shared" si="180"/>
        <v/>
      </c>
      <c r="B1959" s="89" t="str">
        <f t="shared" si="181"/>
        <v/>
      </c>
      <c r="S1959" s="89" t="str">
        <f t="shared" si="182"/>
        <v/>
      </c>
      <c r="X1959" s="64">
        <f t="shared" si="183"/>
        <v>0</v>
      </c>
      <c r="Y1959" s="53">
        <f t="shared" si="184"/>
        <v>0</v>
      </c>
      <c r="Z1959" s="64">
        <f t="shared" si="185"/>
        <v>0</v>
      </c>
    </row>
    <row r="1960" spans="1:26">
      <c r="A1960" s="89" t="str">
        <f t="shared" si="180"/>
        <v/>
      </c>
      <c r="B1960" s="89" t="str">
        <f t="shared" si="181"/>
        <v/>
      </c>
      <c r="S1960" s="89" t="str">
        <f t="shared" si="182"/>
        <v/>
      </c>
      <c r="X1960" s="64">
        <f t="shared" si="183"/>
        <v>0</v>
      </c>
      <c r="Y1960" s="53">
        <f t="shared" si="184"/>
        <v>0</v>
      </c>
      <c r="Z1960" s="64">
        <f t="shared" si="185"/>
        <v>0</v>
      </c>
    </row>
    <row r="1961" spans="1:26">
      <c r="A1961" s="89" t="str">
        <f t="shared" si="180"/>
        <v/>
      </c>
      <c r="B1961" s="89" t="str">
        <f t="shared" si="181"/>
        <v/>
      </c>
      <c r="S1961" s="89" t="str">
        <f t="shared" si="182"/>
        <v/>
      </c>
      <c r="X1961" s="64">
        <f t="shared" si="183"/>
        <v>0</v>
      </c>
      <c r="Y1961" s="53">
        <f t="shared" si="184"/>
        <v>0</v>
      </c>
      <c r="Z1961" s="64">
        <f t="shared" si="185"/>
        <v>0</v>
      </c>
    </row>
    <row r="1962" spans="1:26">
      <c r="A1962" s="89" t="str">
        <f t="shared" si="180"/>
        <v/>
      </c>
      <c r="B1962" s="89" t="str">
        <f t="shared" si="181"/>
        <v/>
      </c>
      <c r="S1962" s="89" t="str">
        <f t="shared" si="182"/>
        <v/>
      </c>
      <c r="X1962" s="64">
        <f t="shared" si="183"/>
        <v>0</v>
      </c>
      <c r="Y1962" s="53">
        <f t="shared" si="184"/>
        <v>0</v>
      </c>
      <c r="Z1962" s="64">
        <f t="shared" si="185"/>
        <v>0</v>
      </c>
    </row>
    <row r="1963" spans="1:26">
      <c r="A1963" s="89" t="str">
        <f t="shared" si="180"/>
        <v/>
      </c>
      <c r="B1963" s="89" t="str">
        <f t="shared" si="181"/>
        <v/>
      </c>
      <c r="S1963" s="89" t="str">
        <f t="shared" si="182"/>
        <v/>
      </c>
      <c r="X1963" s="64">
        <f t="shared" si="183"/>
        <v>0</v>
      </c>
      <c r="Y1963" s="53">
        <f t="shared" si="184"/>
        <v>0</v>
      </c>
      <c r="Z1963" s="64">
        <f t="shared" si="185"/>
        <v>0</v>
      </c>
    </row>
    <row r="1964" spans="1:26">
      <c r="A1964" s="89" t="str">
        <f t="shared" si="180"/>
        <v/>
      </c>
      <c r="B1964" s="89" t="str">
        <f t="shared" si="181"/>
        <v/>
      </c>
      <c r="S1964" s="89" t="str">
        <f t="shared" si="182"/>
        <v/>
      </c>
      <c r="X1964" s="64">
        <f t="shared" si="183"/>
        <v>0</v>
      </c>
      <c r="Y1964" s="53">
        <f t="shared" si="184"/>
        <v>0</v>
      </c>
      <c r="Z1964" s="64">
        <f t="shared" si="185"/>
        <v>0</v>
      </c>
    </row>
    <row r="1965" spans="1:26">
      <c r="A1965" s="89" t="str">
        <f t="shared" si="180"/>
        <v/>
      </c>
      <c r="B1965" s="89" t="str">
        <f t="shared" si="181"/>
        <v/>
      </c>
      <c r="S1965" s="89" t="str">
        <f t="shared" si="182"/>
        <v/>
      </c>
      <c r="X1965" s="64">
        <f t="shared" si="183"/>
        <v>0</v>
      </c>
      <c r="Y1965" s="53">
        <f t="shared" si="184"/>
        <v>0</v>
      </c>
      <c r="Z1965" s="64">
        <f t="shared" si="185"/>
        <v>0</v>
      </c>
    </row>
    <row r="1966" spans="1:26">
      <c r="A1966" s="89" t="str">
        <f t="shared" si="180"/>
        <v/>
      </c>
      <c r="B1966" s="89" t="str">
        <f t="shared" si="181"/>
        <v/>
      </c>
      <c r="S1966" s="89" t="str">
        <f t="shared" si="182"/>
        <v/>
      </c>
      <c r="X1966" s="64">
        <f t="shared" si="183"/>
        <v>0</v>
      </c>
      <c r="Y1966" s="53">
        <f t="shared" si="184"/>
        <v>0</v>
      </c>
      <c r="Z1966" s="64">
        <f t="shared" si="185"/>
        <v>0</v>
      </c>
    </row>
    <row r="1967" spans="1:26">
      <c r="A1967" s="89" t="str">
        <f t="shared" si="180"/>
        <v/>
      </c>
      <c r="B1967" s="89" t="str">
        <f t="shared" si="181"/>
        <v/>
      </c>
      <c r="S1967" s="89" t="str">
        <f t="shared" si="182"/>
        <v/>
      </c>
      <c r="X1967" s="64">
        <f t="shared" si="183"/>
        <v>0</v>
      </c>
      <c r="Y1967" s="53">
        <f t="shared" si="184"/>
        <v>0</v>
      </c>
      <c r="Z1967" s="64">
        <f t="shared" si="185"/>
        <v>0</v>
      </c>
    </row>
    <row r="1968" spans="1:26">
      <c r="A1968" s="89" t="str">
        <f t="shared" si="180"/>
        <v/>
      </c>
      <c r="B1968" s="89" t="str">
        <f t="shared" si="181"/>
        <v/>
      </c>
      <c r="S1968" s="89" t="str">
        <f t="shared" si="182"/>
        <v/>
      </c>
      <c r="X1968" s="64">
        <f t="shared" si="183"/>
        <v>0</v>
      </c>
      <c r="Y1968" s="53">
        <f t="shared" si="184"/>
        <v>0</v>
      </c>
      <c r="Z1968" s="64">
        <f t="shared" si="185"/>
        <v>0</v>
      </c>
    </row>
    <row r="1969" spans="1:26">
      <c r="A1969" s="89" t="str">
        <f t="shared" si="180"/>
        <v/>
      </c>
      <c r="B1969" s="89" t="str">
        <f t="shared" si="181"/>
        <v/>
      </c>
      <c r="S1969" s="89" t="str">
        <f t="shared" si="182"/>
        <v/>
      </c>
      <c r="X1969" s="64">
        <f t="shared" si="183"/>
        <v>0</v>
      </c>
      <c r="Y1969" s="53">
        <f t="shared" si="184"/>
        <v>0</v>
      </c>
      <c r="Z1969" s="64">
        <f t="shared" si="185"/>
        <v>0</v>
      </c>
    </row>
    <row r="1970" spans="1:26">
      <c r="A1970" s="89" t="str">
        <f t="shared" si="180"/>
        <v/>
      </c>
      <c r="B1970" s="89" t="str">
        <f t="shared" si="181"/>
        <v/>
      </c>
      <c r="S1970" s="89" t="str">
        <f t="shared" si="182"/>
        <v/>
      </c>
      <c r="X1970" s="64">
        <f t="shared" si="183"/>
        <v>0</v>
      </c>
      <c r="Y1970" s="53">
        <f t="shared" si="184"/>
        <v>0</v>
      </c>
      <c r="Z1970" s="64">
        <f t="shared" si="185"/>
        <v>0</v>
      </c>
    </row>
    <row r="1971" spans="1:26">
      <c r="A1971" s="89" t="str">
        <f t="shared" si="180"/>
        <v/>
      </c>
      <c r="B1971" s="89" t="str">
        <f t="shared" si="181"/>
        <v/>
      </c>
      <c r="S1971" s="89" t="str">
        <f t="shared" si="182"/>
        <v/>
      </c>
      <c r="X1971" s="64">
        <f t="shared" si="183"/>
        <v>0</v>
      </c>
      <c r="Y1971" s="53">
        <f t="shared" si="184"/>
        <v>0</v>
      </c>
      <c r="Z1971" s="64">
        <f t="shared" si="185"/>
        <v>0</v>
      </c>
    </row>
    <row r="1972" spans="1:26">
      <c r="A1972" s="89" t="str">
        <f t="shared" si="180"/>
        <v/>
      </c>
      <c r="B1972" s="89" t="str">
        <f t="shared" si="181"/>
        <v/>
      </c>
      <c r="S1972" s="89" t="str">
        <f t="shared" si="182"/>
        <v/>
      </c>
      <c r="X1972" s="64">
        <f t="shared" si="183"/>
        <v>0</v>
      </c>
      <c r="Y1972" s="53">
        <f t="shared" si="184"/>
        <v>0</v>
      </c>
      <c r="Z1972" s="64">
        <f t="shared" si="185"/>
        <v>0</v>
      </c>
    </row>
    <row r="1973" spans="1:26">
      <c r="A1973" s="89" t="str">
        <f t="shared" si="180"/>
        <v/>
      </c>
      <c r="B1973" s="89" t="str">
        <f t="shared" si="181"/>
        <v/>
      </c>
      <c r="S1973" s="89" t="str">
        <f t="shared" si="182"/>
        <v/>
      </c>
      <c r="X1973" s="64">
        <f t="shared" si="183"/>
        <v>0</v>
      </c>
      <c r="Y1973" s="53">
        <f t="shared" si="184"/>
        <v>0</v>
      </c>
      <c r="Z1973" s="64">
        <f t="shared" si="185"/>
        <v>0</v>
      </c>
    </row>
    <row r="1974" spans="1:26">
      <c r="A1974" s="89" t="str">
        <f t="shared" si="180"/>
        <v/>
      </c>
      <c r="B1974" s="89" t="str">
        <f t="shared" si="181"/>
        <v/>
      </c>
      <c r="S1974" s="89" t="str">
        <f t="shared" si="182"/>
        <v/>
      </c>
      <c r="X1974" s="64">
        <f t="shared" si="183"/>
        <v>0</v>
      </c>
      <c r="Y1974" s="53">
        <f t="shared" si="184"/>
        <v>0</v>
      </c>
      <c r="Z1974" s="64">
        <f t="shared" si="185"/>
        <v>0</v>
      </c>
    </row>
    <row r="1975" spans="1:26">
      <c r="A1975" s="89" t="str">
        <f t="shared" si="180"/>
        <v/>
      </c>
      <c r="B1975" s="89" t="str">
        <f t="shared" si="181"/>
        <v/>
      </c>
      <c r="S1975" s="89" t="str">
        <f t="shared" si="182"/>
        <v/>
      </c>
      <c r="X1975" s="64">
        <f t="shared" si="183"/>
        <v>0</v>
      </c>
      <c r="Y1975" s="53">
        <f t="shared" si="184"/>
        <v>0</v>
      </c>
      <c r="Z1975" s="64">
        <f t="shared" si="185"/>
        <v>0</v>
      </c>
    </row>
    <row r="1976" spans="1:26">
      <c r="A1976" s="89" t="str">
        <f t="shared" si="180"/>
        <v/>
      </c>
      <c r="B1976" s="89" t="str">
        <f t="shared" si="181"/>
        <v/>
      </c>
      <c r="S1976" s="89" t="str">
        <f t="shared" si="182"/>
        <v/>
      </c>
      <c r="X1976" s="64">
        <f t="shared" si="183"/>
        <v>0</v>
      </c>
      <c r="Y1976" s="53">
        <f t="shared" si="184"/>
        <v>0</v>
      </c>
      <c r="Z1976" s="64">
        <f t="shared" si="185"/>
        <v>0</v>
      </c>
    </row>
    <row r="1977" spans="1:26">
      <c r="A1977" s="89" t="str">
        <f t="shared" si="180"/>
        <v/>
      </c>
      <c r="B1977" s="89" t="str">
        <f t="shared" si="181"/>
        <v/>
      </c>
      <c r="S1977" s="89" t="str">
        <f t="shared" si="182"/>
        <v/>
      </c>
      <c r="X1977" s="64">
        <f t="shared" si="183"/>
        <v>0</v>
      </c>
      <c r="Y1977" s="53">
        <f t="shared" si="184"/>
        <v>0</v>
      </c>
      <c r="Z1977" s="64">
        <f t="shared" si="185"/>
        <v>0</v>
      </c>
    </row>
    <row r="1978" spans="1:26">
      <c r="A1978" s="89" t="str">
        <f t="shared" si="180"/>
        <v/>
      </c>
      <c r="B1978" s="89" t="str">
        <f t="shared" si="181"/>
        <v/>
      </c>
      <c r="S1978" s="89" t="str">
        <f t="shared" si="182"/>
        <v/>
      </c>
      <c r="X1978" s="64">
        <f t="shared" si="183"/>
        <v>0</v>
      </c>
      <c r="Y1978" s="53">
        <f t="shared" si="184"/>
        <v>0</v>
      </c>
      <c r="Z1978" s="64">
        <f t="shared" si="185"/>
        <v>0</v>
      </c>
    </row>
    <row r="1979" spans="1:26">
      <c r="A1979" s="89" t="str">
        <f t="shared" si="180"/>
        <v/>
      </c>
      <c r="B1979" s="89" t="str">
        <f t="shared" si="181"/>
        <v/>
      </c>
      <c r="S1979" s="89" t="str">
        <f t="shared" si="182"/>
        <v/>
      </c>
      <c r="X1979" s="64">
        <f t="shared" si="183"/>
        <v>0</v>
      </c>
      <c r="Y1979" s="53">
        <f t="shared" si="184"/>
        <v>0</v>
      </c>
      <c r="Z1979" s="64">
        <f t="shared" si="185"/>
        <v>0</v>
      </c>
    </row>
    <row r="1980" spans="1:26">
      <c r="A1980" s="89" t="str">
        <f t="shared" si="180"/>
        <v/>
      </c>
      <c r="B1980" s="89" t="str">
        <f t="shared" si="181"/>
        <v/>
      </c>
      <c r="S1980" s="89" t="str">
        <f t="shared" si="182"/>
        <v/>
      </c>
      <c r="X1980" s="64">
        <f t="shared" si="183"/>
        <v>0</v>
      </c>
      <c r="Y1980" s="53">
        <f t="shared" si="184"/>
        <v>0</v>
      </c>
      <c r="Z1980" s="64">
        <f t="shared" si="185"/>
        <v>0</v>
      </c>
    </row>
    <row r="1981" spans="1:26">
      <c r="A1981" s="89" t="str">
        <f t="shared" si="180"/>
        <v/>
      </c>
      <c r="B1981" s="89" t="str">
        <f t="shared" si="181"/>
        <v/>
      </c>
      <c r="S1981" s="89" t="str">
        <f t="shared" si="182"/>
        <v/>
      </c>
      <c r="X1981" s="64">
        <f t="shared" si="183"/>
        <v>0</v>
      </c>
      <c r="Y1981" s="53">
        <f t="shared" si="184"/>
        <v>0</v>
      </c>
      <c r="Z1981" s="64">
        <f t="shared" si="185"/>
        <v>0</v>
      </c>
    </row>
    <row r="1982" spans="1:26">
      <c r="A1982" s="89" t="str">
        <f t="shared" si="180"/>
        <v/>
      </c>
      <c r="B1982" s="89" t="str">
        <f t="shared" si="181"/>
        <v/>
      </c>
      <c r="S1982" s="89" t="str">
        <f t="shared" si="182"/>
        <v/>
      </c>
      <c r="X1982" s="64">
        <f t="shared" si="183"/>
        <v>0</v>
      </c>
      <c r="Y1982" s="53">
        <f t="shared" si="184"/>
        <v>0</v>
      </c>
      <c r="Z1982" s="64">
        <f t="shared" si="185"/>
        <v>0</v>
      </c>
    </row>
    <row r="1983" spans="1:26">
      <c r="A1983" s="89" t="str">
        <f t="shared" si="180"/>
        <v/>
      </c>
      <c r="B1983" s="89" t="str">
        <f t="shared" si="181"/>
        <v/>
      </c>
      <c r="S1983" s="89" t="str">
        <f t="shared" si="182"/>
        <v/>
      </c>
      <c r="X1983" s="64">
        <f t="shared" si="183"/>
        <v>0</v>
      </c>
      <c r="Y1983" s="53">
        <f t="shared" si="184"/>
        <v>0</v>
      </c>
      <c r="Z1983" s="64">
        <f t="shared" si="185"/>
        <v>0</v>
      </c>
    </row>
    <row r="1984" spans="1:26">
      <c r="A1984" s="89" t="str">
        <f t="shared" si="180"/>
        <v/>
      </c>
      <c r="B1984" s="89" t="str">
        <f t="shared" si="181"/>
        <v/>
      </c>
      <c r="S1984" s="89" t="str">
        <f t="shared" si="182"/>
        <v/>
      </c>
      <c r="X1984" s="64">
        <f t="shared" si="183"/>
        <v>0</v>
      </c>
      <c r="Y1984" s="53">
        <f t="shared" si="184"/>
        <v>0</v>
      </c>
      <c r="Z1984" s="64">
        <f t="shared" si="185"/>
        <v>0</v>
      </c>
    </row>
    <row r="1985" spans="1:26">
      <c r="A1985" s="89" t="str">
        <f t="shared" si="180"/>
        <v/>
      </c>
      <c r="B1985" s="89" t="str">
        <f t="shared" si="181"/>
        <v/>
      </c>
      <c r="S1985" s="89" t="str">
        <f t="shared" si="182"/>
        <v/>
      </c>
      <c r="X1985" s="64">
        <f t="shared" si="183"/>
        <v>0</v>
      </c>
      <c r="Y1985" s="53">
        <f t="shared" si="184"/>
        <v>0</v>
      </c>
      <c r="Z1985" s="64">
        <f t="shared" si="185"/>
        <v>0</v>
      </c>
    </row>
    <row r="1986" spans="1:26">
      <c r="A1986" s="89" t="str">
        <f t="shared" si="180"/>
        <v/>
      </c>
      <c r="B1986" s="89" t="str">
        <f t="shared" si="181"/>
        <v/>
      </c>
      <c r="S1986" s="89" t="str">
        <f t="shared" si="182"/>
        <v/>
      </c>
      <c r="X1986" s="64">
        <f t="shared" si="183"/>
        <v>0</v>
      </c>
      <c r="Y1986" s="53">
        <f t="shared" si="184"/>
        <v>0</v>
      </c>
      <c r="Z1986" s="64">
        <f t="shared" si="185"/>
        <v>0</v>
      </c>
    </row>
    <row r="1987" spans="1:26">
      <c r="A1987" s="89" t="str">
        <f t="shared" ref="A1987:A2050" si="186">IF(G1987&amp;Q1987&lt;&gt;"",G1987&amp;Q1987,"")</f>
        <v/>
      </c>
      <c r="B1987" s="89" t="str">
        <f t="shared" ref="B1987:B2050" si="187">IF(C1987&lt;&gt;"",LEFT(C1987,9),"")</f>
        <v/>
      </c>
      <c r="S1987" s="89" t="str">
        <f t="shared" ref="S1987:S2050" si="188">IF(H1987&lt;&gt;"",H1987,"")</f>
        <v/>
      </c>
      <c r="X1987" s="64">
        <f t="shared" ref="X1987:X2050" si="189">IFERROR(VALUE(MID($C1987,1,2)),0)</f>
        <v>0</v>
      </c>
      <c r="Y1987" s="53">
        <f t="shared" ref="Y1987:Y2050" si="190">IFERROR(VALUE(MID($C1987,4,3)),0)</f>
        <v>0</v>
      </c>
      <c r="Z1987" s="64">
        <f t="shared" ref="Z1987:Z2050" si="191">VALUE(RIGHT("00"&amp;X1987,2)&amp;RIGHT("000"&amp;Y1987,3))</f>
        <v>0</v>
      </c>
    </row>
    <row r="1988" spans="1:26">
      <c r="A1988" s="89" t="str">
        <f t="shared" si="186"/>
        <v/>
      </c>
      <c r="B1988" s="89" t="str">
        <f t="shared" si="187"/>
        <v/>
      </c>
      <c r="S1988" s="89" t="str">
        <f t="shared" si="188"/>
        <v/>
      </c>
      <c r="X1988" s="64">
        <f t="shared" si="189"/>
        <v>0</v>
      </c>
      <c r="Y1988" s="53">
        <f t="shared" si="190"/>
        <v>0</v>
      </c>
      <c r="Z1988" s="64">
        <f t="shared" si="191"/>
        <v>0</v>
      </c>
    </row>
    <row r="1989" spans="1:26">
      <c r="A1989" s="89" t="str">
        <f t="shared" si="186"/>
        <v/>
      </c>
      <c r="B1989" s="89" t="str">
        <f t="shared" si="187"/>
        <v/>
      </c>
      <c r="S1989" s="89" t="str">
        <f t="shared" si="188"/>
        <v/>
      </c>
      <c r="X1989" s="64">
        <f t="shared" si="189"/>
        <v>0</v>
      </c>
      <c r="Y1989" s="53">
        <f t="shared" si="190"/>
        <v>0</v>
      </c>
      <c r="Z1989" s="64">
        <f t="shared" si="191"/>
        <v>0</v>
      </c>
    </row>
    <row r="1990" spans="1:26">
      <c r="A1990" s="89" t="str">
        <f t="shared" si="186"/>
        <v/>
      </c>
      <c r="B1990" s="89" t="str">
        <f t="shared" si="187"/>
        <v/>
      </c>
      <c r="S1990" s="89" t="str">
        <f t="shared" si="188"/>
        <v/>
      </c>
      <c r="X1990" s="64">
        <f t="shared" si="189"/>
        <v>0</v>
      </c>
      <c r="Y1990" s="53">
        <f t="shared" si="190"/>
        <v>0</v>
      </c>
      <c r="Z1990" s="64">
        <f t="shared" si="191"/>
        <v>0</v>
      </c>
    </row>
    <row r="1991" spans="1:26">
      <c r="A1991" s="89" t="str">
        <f t="shared" si="186"/>
        <v/>
      </c>
      <c r="B1991" s="89" t="str">
        <f t="shared" si="187"/>
        <v/>
      </c>
      <c r="S1991" s="89" t="str">
        <f t="shared" si="188"/>
        <v/>
      </c>
      <c r="X1991" s="64">
        <f t="shared" si="189"/>
        <v>0</v>
      </c>
      <c r="Y1991" s="53">
        <f t="shared" si="190"/>
        <v>0</v>
      </c>
      <c r="Z1991" s="64">
        <f t="shared" si="191"/>
        <v>0</v>
      </c>
    </row>
    <row r="1992" spans="1:26">
      <c r="A1992" s="89" t="str">
        <f t="shared" si="186"/>
        <v/>
      </c>
      <c r="B1992" s="89" t="str">
        <f t="shared" si="187"/>
        <v/>
      </c>
      <c r="S1992" s="89" t="str">
        <f t="shared" si="188"/>
        <v/>
      </c>
      <c r="X1992" s="64">
        <f t="shared" si="189"/>
        <v>0</v>
      </c>
      <c r="Y1992" s="53">
        <f t="shared" si="190"/>
        <v>0</v>
      </c>
      <c r="Z1992" s="64">
        <f t="shared" si="191"/>
        <v>0</v>
      </c>
    </row>
    <row r="1993" spans="1:26">
      <c r="A1993" s="89" t="str">
        <f t="shared" si="186"/>
        <v/>
      </c>
      <c r="B1993" s="89" t="str">
        <f t="shared" si="187"/>
        <v/>
      </c>
      <c r="S1993" s="89" t="str">
        <f t="shared" si="188"/>
        <v/>
      </c>
      <c r="X1993" s="64">
        <f t="shared" si="189"/>
        <v>0</v>
      </c>
      <c r="Y1993" s="53">
        <f t="shared" si="190"/>
        <v>0</v>
      </c>
      <c r="Z1993" s="64">
        <f t="shared" si="191"/>
        <v>0</v>
      </c>
    </row>
    <row r="1994" spans="1:26">
      <c r="A1994" s="89" t="str">
        <f t="shared" si="186"/>
        <v/>
      </c>
      <c r="B1994" s="89" t="str">
        <f t="shared" si="187"/>
        <v/>
      </c>
      <c r="S1994" s="89" t="str">
        <f t="shared" si="188"/>
        <v/>
      </c>
      <c r="X1994" s="64">
        <f t="shared" si="189"/>
        <v>0</v>
      </c>
      <c r="Y1994" s="53">
        <f t="shared" si="190"/>
        <v>0</v>
      </c>
      <c r="Z1994" s="64">
        <f t="shared" si="191"/>
        <v>0</v>
      </c>
    </row>
    <row r="1995" spans="1:26">
      <c r="A1995" s="89" t="str">
        <f t="shared" si="186"/>
        <v/>
      </c>
      <c r="B1995" s="89" t="str">
        <f t="shared" si="187"/>
        <v/>
      </c>
      <c r="S1995" s="89" t="str">
        <f t="shared" si="188"/>
        <v/>
      </c>
      <c r="X1995" s="64">
        <f t="shared" si="189"/>
        <v>0</v>
      </c>
      <c r="Y1995" s="53">
        <f t="shared" si="190"/>
        <v>0</v>
      </c>
      <c r="Z1995" s="64">
        <f t="shared" si="191"/>
        <v>0</v>
      </c>
    </row>
    <row r="1996" spans="1:26">
      <c r="A1996" s="89" t="str">
        <f t="shared" si="186"/>
        <v/>
      </c>
      <c r="B1996" s="89" t="str">
        <f t="shared" si="187"/>
        <v/>
      </c>
      <c r="S1996" s="89" t="str">
        <f t="shared" si="188"/>
        <v/>
      </c>
      <c r="X1996" s="64">
        <f t="shared" si="189"/>
        <v>0</v>
      </c>
      <c r="Y1996" s="53">
        <f t="shared" si="190"/>
        <v>0</v>
      </c>
      <c r="Z1996" s="64">
        <f t="shared" si="191"/>
        <v>0</v>
      </c>
    </row>
    <row r="1997" spans="1:26">
      <c r="A1997" s="89" t="str">
        <f t="shared" si="186"/>
        <v/>
      </c>
      <c r="B1997" s="89" t="str">
        <f t="shared" si="187"/>
        <v/>
      </c>
      <c r="S1997" s="89" t="str">
        <f t="shared" si="188"/>
        <v/>
      </c>
      <c r="X1997" s="64">
        <f t="shared" si="189"/>
        <v>0</v>
      </c>
      <c r="Y1997" s="53">
        <f t="shared" si="190"/>
        <v>0</v>
      </c>
      <c r="Z1997" s="64">
        <f t="shared" si="191"/>
        <v>0</v>
      </c>
    </row>
    <row r="1998" spans="1:26">
      <c r="A1998" s="89" t="str">
        <f t="shared" si="186"/>
        <v/>
      </c>
      <c r="B1998" s="89" t="str">
        <f t="shared" si="187"/>
        <v/>
      </c>
      <c r="S1998" s="89" t="str">
        <f t="shared" si="188"/>
        <v/>
      </c>
      <c r="X1998" s="64">
        <f t="shared" si="189"/>
        <v>0</v>
      </c>
      <c r="Y1998" s="53">
        <f t="shared" si="190"/>
        <v>0</v>
      </c>
      <c r="Z1998" s="64">
        <f t="shared" si="191"/>
        <v>0</v>
      </c>
    </row>
    <row r="1999" spans="1:26">
      <c r="A1999" s="89" t="str">
        <f t="shared" si="186"/>
        <v/>
      </c>
      <c r="B1999" s="89" t="str">
        <f t="shared" si="187"/>
        <v/>
      </c>
      <c r="S1999" s="89" t="str">
        <f t="shared" si="188"/>
        <v/>
      </c>
      <c r="X1999" s="64">
        <f t="shared" si="189"/>
        <v>0</v>
      </c>
      <c r="Y1999" s="53">
        <f t="shared" si="190"/>
        <v>0</v>
      </c>
      <c r="Z1999" s="64">
        <f t="shared" si="191"/>
        <v>0</v>
      </c>
    </row>
    <row r="2000" spans="1:26">
      <c r="A2000" s="89" t="str">
        <f t="shared" si="186"/>
        <v/>
      </c>
      <c r="B2000" s="89" t="str">
        <f t="shared" si="187"/>
        <v/>
      </c>
      <c r="S2000" s="89" t="str">
        <f t="shared" si="188"/>
        <v/>
      </c>
      <c r="X2000" s="64">
        <f t="shared" si="189"/>
        <v>0</v>
      </c>
      <c r="Y2000" s="53">
        <f t="shared" si="190"/>
        <v>0</v>
      </c>
      <c r="Z2000" s="64">
        <f t="shared" si="191"/>
        <v>0</v>
      </c>
    </row>
    <row r="2001" spans="1:26">
      <c r="A2001" s="89" t="str">
        <f t="shared" si="186"/>
        <v/>
      </c>
      <c r="B2001" s="89" t="str">
        <f t="shared" si="187"/>
        <v/>
      </c>
      <c r="S2001" s="89" t="str">
        <f t="shared" si="188"/>
        <v/>
      </c>
      <c r="X2001" s="64">
        <f t="shared" si="189"/>
        <v>0</v>
      </c>
      <c r="Y2001" s="53">
        <f t="shared" si="190"/>
        <v>0</v>
      </c>
      <c r="Z2001" s="64">
        <f t="shared" si="191"/>
        <v>0</v>
      </c>
    </row>
    <row r="2002" spans="1:26">
      <c r="A2002" s="89" t="str">
        <f t="shared" si="186"/>
        <v/>
      </c>
      <c r="B2002" s="89" t="str">
        <f t="shared" si="187"/>
        <v/>
      </c>
      <c r="S2002" s="89" t="str">
        <f t="shared" si="188"/>
        <v/>
      </c>
      <c r="X2002" s="64">
        <f t="shared" si="189"/>
        <v>0</v>
      </c>
      <c r="Y2002" s="53">
        <f t="shared" si="190"/>
        <v>0</v>
      </c>
      <c r="Z2002" s="64">
        <f t="shared" si="191"/>
        <v>0</v>
      </c>
    </row>
    <row r="2003" spans="1:26">
      <c r="A2003" s="89" t="str">
        <f t="shared" si="186"/>
        <v/>
      </c>
      <c r="B2003" s="89" t="str">
        <f t="shared" si="187"/>
        <v/>
      </c>
      <c r="S2003" s="89" t="str">
        <f t="shared" si="188"/>
        <v/>
      </c>
      <c r="X2003" s="64">
        <f t="shared" si="189"/>
        <v>0</v>
      </c>
      <c r="Y2003" s="53">
        <f t="shared" si="190"/>
        <v>0</v>
      </c>
      <c r="Z2003" s="64">
        <f t="shared" si="191"/>
        <v>0</v>
      </c>
    </row>
    <row r="2004" spans="1:26">
      <c r="A2004" s="89" t="str">
        <f t="shared" si="186"/>
        <v/>
      </c>
      <c r="B2004" s="89" t="str">
        <f t="shared" si="187"/>
        <v/>
      </c>
      <c r="S2004" s="89" t="str">
        <f t="shared" si="188"/>
        <v/>
      </c>
      <c r="X2004" s="64">
        <f t="shared" si="189"/>
        <v>0</v>
      </c>
      <c r="Y2004" s="53">
        <f t="shared" si="190"/>
        <v>0</v>
      </c>
      <c r="Z2004" s="64">
        <f t="shared" si="191"/>
        <v>0</v>
      </c>
    </row>
    <row r="2005" spans="1:26">
      <c r="A2005" s="89" t="str">
        <f t="shared" si="186"/>
        <v/>
      </c>
      <c r="B2005" s="89" t="str">
        <f t="shared" si="187"/>
        <v/>
      </c>
      <c r="S2005" s="89" t="str">
        <f t="shared" si="188"/>
        <v/>
      </c>
      <c r="X2005" s="64">
        <f t="shared" si="189"/>
        <v>0</v>
      </c>
      <c r="Y2005" s="53">
        <f t="shared" si="190"/>
        <v>0</v>
      </c>
      <c r="Z2005" s="64">
        <f t="shared" si="191"/>
        <v>0</v>
      </c>
    </row>
    <row r="2006" spans="1:26">
      <c r="A2006" s="89" t="str">
        <f t="shared" si="186"/>
        <v/>
      </c>
      <c r="B2006" s="89" t="str">
        <f t="shared" si="187"/>
        <v/>
      </c>
      <c r="S2006" s="89" t="str">
        <f t="shared" si="188"/>
        <v/>
      </c>
      <c r="X2006" s="64">
        <f t="shared" si="189"/>
        <v>0</v>
      </c>
      <c r="Y2006" s="53">
        <f t="shared" si="190"/>
        <v>0</v>
      </c>
      <c r="Z2006" s="64">
        <f t="shared" si="191"/>
        <v>0</v>
      </c>
    </row>
    <row r="2007" spans="1:26">
      <c r="A2007" s="89" t="str">
        <f t="shared" si="186"/>
        <v/>
      </c>
      <c r="B2007" s="89" t="str">
        <f t="shared" si="187"/>
        <v/>
      </c>
      <c r="S2007" s="89" t="str">
        <f t="shared" si="188"/>
        <v/>
      </c>
      <c r="X2007" s="64">
        <f t="shared" si="189"/>
        <v>0</v>
      </c>
      <c r="Y2007" s="53">
        <f t="shared" si="190"/>
        <v>0</v>
      </c>
      <c r="Z2007" s="64">
        <f t="shared" si="191"/>
        <v>0</v>
      </c>
    </row>
    <row r="2008" spans="1:26">
      <c r="A2008" s="89" t="str">
        <f t="shared" si="186"/>
        <v/>
      </c>
      <c r="B2008" s="89" t="str">
        <f t="shared" si="187"/>
        <v/>
      </c>
      <c r="S2008" s="89" t="str">
        <f t="shared" si="188"/>
        <v/>
      </c>
      <c r="X2008" s="64">
        <f t="shared" si="189"/>
        <v>0</v>
      </c>
      <c r="Y2008" s="53">
        <f t="shared" si="190"/>
        <v>0</v>
      </c>
      <c r="Z2008" s="64">
        <f t="shared" si="191"/>
        <v>0</v>
      </c>
    </row>
    <row r="2009" spans="1:26">
      <c r="A2009" s="89" t="str">
        <f t="shared" si="186"/>
        <v/>
      </c>
      <c r="B2009" s="89" t="str">
        <f t="shared" si="187"/>
        <v/>
      </c>
      <c r="S2009" s="89" t="str">
        <f t="shared" si="188"/>
        <v/>
      </c>
      <c r="X2009" s="64">
        <f t="shared" si="189"/>
        <v>0</v>
      </c>
      <c r="Y2009" s="53">
        <f t="shared" si="190"/>
        <v>0</v>
      </c>
      <c r="Z2009" s="64">
        <f t="shared" si="191"/>
        <v>0</v>
      </c>
    </row>
    <row r="2010" spans="1:26">
      <c r="A2010" s="89" t="str">
        <f t="shared" si="186"/>
        <v/>
      </c>
      <c r="B2010" s="89" t="str">
        <f t="shared" si="187"/>
        <v/>
      </c>
      <c r="S2010" s="89" t="str">
        <f t="shared" si="188"/>
        <v/>
      </c>
      <c r="X2010" s="64">
        <f t="shared" si="189"/>
        <v>0</v>
      </c>
      <c r="Y2010" s="53">
        <f t="shared" si="190"/>
        <v>0</v>
      </c>
      <c r="Z2010" s="64">
        <f t="shared" si="191"/>
        <v>0</v>
      </c>
    </row>
    <row r="2011" spans="1:26">
      <c r="A2011" s="89" t="str">
        <f t="shared" si="186"/>
        <v/>
      </c>
      <c r="B2011" s="89" t="str">
        <f t="shared" si="187"/>
        <v/>
      </c>
      <c r="S2011" s="89" t="str">
        <f t="shared" si="188"/>
        <v/>
      </c>
      <c r="X2011" s="64">
        <f t="shared" si="189"/>
        <v>0</v>
      </c>
      <c r="Y2011" s="53">
        <f t="shared" si="190"/>
        <v>0</v>
      </c>
      <c r="Z2011" s="64">
        <f t="shared" si="191"/>
        <v>0</v>
      </c>
    </row>
    <row r="2012" spans="1:26">
      <c r="A2012" s="89" t="str">
        <f t="shared" si="186"/>
        <v/>
      </c>
      <c r="B2012" s="89" t="str">
        <f t="shared" si="187"/>
        <v/>
      </c>
      <c r="S2012" s="89" t="str">
        <f t="shared" si="188"/>
        <v/>
      </c>
      <c r="X2012" s="64">
        <f t="shared" si="189"/>
        <v>0</v>
      </c>
      <c r="Y2012" s="53">
        <f t="shared" si="190"/>
        <v>0</v>
      </c>
      <c r="Z2012" s="64">
        <f t="shared" si="191"/>
        <v>0</v>
      </c>
    </row>
    <row r="2013" spans="1:26">
      <c r="A2013" s="89" t="str">
        <f t="shared" si="186"/>
        <v/>
      </c>
      <c r="B2013" s="89" t="str">
        <f t="shared" si="187"/>
        <v/>
      </c>
      <c r="S2013" s="89" t="str">
        <f t="shared" si="188"/>
        <v/>
      </c>
      <c r="X2013" s="64">
        <f t="shared" si="189"/>
        <v>0</v>
      </c>
      <c r="Y2013" s="53">
        <f t="shared" si="190"/>
        <v>0</v>
      </c>
      <c r="Z2013" s="64">
        <f t="shared" si="191"/>
        <v>0</v>
      </c>
    </row>
    <row r="2014" spans="1:26">
      <c r="A2014" s="89" t="str">
        <f t="shared" si="186"/>
        <v/>
      </c>
      <c r="B2014" s="89" t="str">
        <f t="shared" si="187"/>
        <v/>
      </c>
      <c r="S2014" s="89" t="str">
        <f t="shared" si="188"/>
        <v/>
      </c>
      <c r="X2014" s="64">
        <f t="shared" si="189"/>
        <v>0</v>
      </c>
      <c r="Y2014" s="53">
        <f t="shared" si="190"/>
        <v>0</v>
      </c>
      <c r="Z2014" s="64">
        <f t="shared" si="191"/>
        <v>0</v>
      </c>
    </row>
    <row r="2015" spans="1:26">
      <c r="A2015" s="89" t="str">
        <f t="shared" si="186"/>
        <v/>
      </c>
      <c r="B2015" s="89" t="str">
        <f t="shared" si="187"/>
        <v/>
      </c>
      <c r="S2015" s="89" t="str">
        <f t="shared" si="188"/>
        <v/>
      </c>
      <c r="X2015" s="64">
        <f t="shared" si="189"/>
        <v>0</v>
      </c>
      <c r="Y2015" s="53">
        <f t="shared" si="190"/>
        <v>0</v>
      </c>
      <c r="Z2015" s="64">
        <f t="shared" si="191"/>
        <v>0</v>
      </c>
    </row>
    <row r="2016" spans="1:26">
      <c r="A2016" s="89" t="str">
        <f t="shared" si="186"/>
        <v/>
      </c>
      <c r="B2016" s="89" t="str">
        <f t="shared" si="187"/>
        <v/>
      </c>
      <c r="S2016" s="89" t="str">
        <f t="shared" si="188"/>
        <v/>
      </c>
      <c r="X2016" s="64">
        <f t="shared" si="189"/>
        <v>0</v>
      </c>
      <c r="Y2016" s="53">
        <f t="shared" si="190"/>
        <v>0</v>
      </c>
      <c r="Z2016" s="64">
        <f t="shared" si="191"/>
        <v>0</v>
      </c>
    </row>
    <row r="2017" spans="1:26">
      <c r="A2017" s="89" t="str">
        <f t="shared" si="186"/>
        <v/>
      </c>
      <c r="B2017" s="89" t="str">
        <f t="shared" si="187"/>
        <v/>
      </c>
      <c r="S2017" s="89" t="str">
        <f t="shared" si="188"/>
        <v/>
      </c>
      <c r="X2017" s="64">
        <f t="shared" si="189"/>
        <v>0</v>
      </c>
      <c r="Y2017" s="53">
        <f t="shared" si="190"/>
        <v>0</v>
      </c>
      <c r="Z2017" s="64">
        <f t="shared" si="191"/>
        <v>0</v>
      </c>
    </row>
    <row r="2018" spans="1:26">
      <c r="A2018" s="89" t="str">
        <f t="shared" si="186"/>
        <v/>
      </c>
      <c r="B2018" s="89" t="str">
        <f t="shared" si="187"/>
        <v/>
      </c>
      <c r="S2018" s="89" t="str">
        <f t="shared" si="188"/>
        <v/>
      </c>
      <c r="X2018" s="64">
        <f t="shared" si="189"/>
        <v>0</v>
      </c>
      <c r="Y2018" s="53">
        <f t="shared" si="190"/>
        <v>0</v>
      </c>
      <c r="Z2018" s="64">
        <f t="shared" si="191"/>
        <v>0</v>
      </c>
    </row>
    <row r="2019" spans="1:26">
      <c r="A2019" s="89" t="str">
        <f t="shared" si="186"/>
        <v/>
      </c>
      <c r="B2019" s="89" t="str">
        <f t="shared" si="187"/>
        <v/>
      </c>
      <c r="S2019" s="89" t="str">
        <f t="shared" si="188"/>
        <v/>
      </c>
      <c r="X2019" s="64">
        <f t="shared" si="189"/>
        <v>0</v>
      </c>
      <c r="Y2019" s="53">
        <f t="shared" si="190"/>
        <v>0</v>
      </c>
      <c r="Z2019" s="64">
        <f t="shared" si="191"/>
        <v>0</v>
      </c>
    </row>
    <row r="2020" spans="1:26">
      <c r="A2020" s="89" t="str">
        <f t="shared" si="186"/>
        <v/>
      </c>
      <c r="B2020" s="89" t="str">
        <f t="shared" si="187"/>
        <v/>
      </c>
      <c r="S2020" s="89" t="str">
        <f t="shared" si="188"/>
        <v/>
      </c>
      <c r="X2020" s="64">
        <f t="shared" si="189"/>
        <v>0</v>
      </c>
      <c r="Y2020" s="53">
        <f t="shared" si="190"/>
        <v>0</v>
      </c>
      <c r="Z2020" s="64">
        <f t="shared" si="191"/>
        <v>0</v>
      </c>
    </row>
    <row r="2021" spans="1:26">
      <c r="A2021" s="89" t="str">
        <f t="shared" si="186"/>
        <v/>
      </c>
      <c r="B2021" s="89" t="str">
        <f t="shared" si="187"/>
        <v/>
      </c>
      <c r="S2021" s="89" t="str">
        <f t="shared" si="188"/>
        <v/>
      </c>
      <c r="X2021" s="64">
        <f t="shared" si="189"/>
        <v>0</v>
      </c>
      <c r="Y2021" s="53">
        <f t="shared" si="190"/>
        <v>0</v>
      </c>
      <c r="Z2021" s="64">
        <f t="shared" si="191"/>
        <v>0</v>
      </c>
    </row>
    <row r="2022" spans="1:26">
      <c r="A2022" s="89" t="str">
        <f t="shared" si="186"/>
        <v/>
      </c>
      <c r="B2022" s="89" t="str">
        <f t="shared" si="187"/>
        <v/>
      </c>
      <c r="S2022" s="89" t="str">
        <f t="shared" si="188"/>
        <v/>
      </c>
      <c r="X2022" s="64">
        <f t="shared" si="189"/>
        <v>0</v>
      </c>
      <c r="Y2022" s="53">
        <f t="shared" si="190"/>
        <v>0</v>
      </c>
      <c r="Z2022" s="64">
        <f t="shared" si="191"/>
        <v>0</v>
      </c>
    </row>
    <row r="2023" spans="1:26">
      <c r="A2023" s="89" t="str">
        <f t="shared" si="186"/>
        <v/>
      </c>
      <c r="B2023" s="89" t="str">
        <f t="shared" si="187"/>
        <v/>
      </c>
      <c r="S2023" s="89" t="str">
        <f t="shared" si="188"/>
        <v/>
      </c>
      <c r="X2023" s="64">
        <f t="shared" si="189"/>
        <v>0</v>
      </c>
      <c r="Y2023" s="53">
        <f t="shared" si="190"/>
        <v>0</v>
      </c>
      <c r="Z2023" s="64">
        <f t="shared" si="191"/>
        <v>0</v>
      </c>
    </row>
    <row r="2024" spans="1:26">
      <c r="A2024" s="89" t="str">
        <f t="shared" si="186"/>
        <v/>
      </c>
      <c r="B2024" s="89" t="str">
        <f t="shared" si="187"/>
        <v/>
      </c>
      <c r="S2024" s="89" t="str">
        <f t="shared" si="188"/>
        <v/>
      </c>
      <c r="X2024" s="64">
        <f t="shared" si="189"/>
        <v>0</v>
      </c>
      <c r="Y2024" s="53">
        <f t="shared" si="190"/>
        <v>0</v>
      </c>
      <c r="Z2024" s="64">
        <f t="shared" si="191"/>
        <v>0</v>
      </c>
    </row>
    <row r="2025" spans="1:26">
      <c r="A2025" s="89" t="str">
        <f t="shared" si="186"/>
        <v/>
      </c>
      <c r="B2025" s="89" t="str">
        <f t="shared" si="187"/>
        <v/>
      </c>
      <c r="S2025" s="89" t="str">
        <f t="shared" si="188"/>
        <v/>
      </c>
      <c r="X2025" s="64">
        <f t="shared" si="189"/>
        <v>0</v>
      </c>
      <c r="Y2025" s="53">
        <f t="shared" si="190"/>
        <v>0</v>
      </c>
      <c r="Z2025" s="64">
        <f t="shared" si="191"/>
        <v>0</v>
      </c>
    </row>
    <row r="2026" spans="1:26">
      <c r="A2026" s="89" t="str">
        <f t="shared" si="186"/>
        <v/>
      </c>
      <c r="B2026" s="89" t="str">
        <f t="shared" si="187"/>
        <v/>
      </c>
      <c r="S2026" s="89" t="str">
        <f t="shared" si="188"/>
        <v/>
      </c>
      <c r="X2026" s="64">
        <f t="shared" si="189"/>
        <v>0</v>
      </c>
      <c r="Y2026" s="53">
        <f t="shared" si="190"/>
        <v>0</v>
      </c>
      <c r="Z2026" s="64">
        <f t="shared" si="191"/>
        <v>0</v>
      </c>
    </row>
    <row r="2027" spans="1:26">
      <c r="A2027" s="89" t="str">
        <f t="shared" si="186"/>
        <v/>
      </c>
      <c r="B2027" s="89" t="str">
        <f t="shared" si="187"/>
        <v/>
      </c>
      <c r="S2027" s="89" t="str">
        <f t="shared" si="188"/>
        <v/>
      </c>
      <c r="X2027" s="64">
        <f t="shared" si="189"/>
        <v>0</v>
      </c>
      <c r="Y2027" s="53">
        <f t="shared" si="190"/>
        <v>0</v>
      </c>
      <c r="Z2027" s="64">
        <f t="shared" si="191"/>
        <v>0</v>
      </c>
    </row>
    <row r="2028" spans="1:26">
      <c r="A2028" s="89" t="str">
        <f t="shared" si="186"/>
        <v/>
      </c>
      <c r="B2028" s="89" t="str">
        <f t="shared" si="187"/>
        <v/>
      </c>
      <c r="S2028" s="89" t="str">
        <f t="shared" si="188"/>
        <v/>
      </c>
      <c r="X2028" s="64">
        <f t="shared" si="189"/>
        <v>0</v>
      </c>
      <c r="Y2028" s="53">
        <f t="shared" si="190"/>
        <v>0</v>
      </c>
      <c r="Z2028" s="64">
        <f t="shared" si="191"/>
        <v>0</v>
      </c>
    </row>
    <row r="2029" spans="1:26">
      <c r="A2029" s="89" t="str">
        <f t="shared" si="186"/>
        <v/>
      </c>
      <c r="B2029" s="89" t="str">
        <f t="shared" si="187"/>
        <v/>
      </c>
      <c r="S2029" s="89" t="str">
        <f t="shared" si="188"/>
        <v/>
      </c>
      <c r="X2029" s="64">
        <f t="shared" si="189"/>
        <v>0</v>
      </c>
      <c r="Y2029" s="53">
        <f t="shared" si="190"/>
        <v>0</v>
      </c>
      <c r="Z2029" s="64">
        <f t="shared" si="191"/>
        <v>0</v>
      </c>
    </row>
    <row r="2030" spans="1:26">
      <c r="A2030" s="89" t="str">
        <f t="shared" si="186"/>
        <v/>
      </c>
      <c r="B2030" s="89" t="str">
        <f t="shared" si="187"/>
        <v/>
      </c>
      <c r="S2030" s="89" t="str">
        <f t="shared" si="188"/>
        <v/>
      </c>
      <c r="X2030" s="64">
        <f t="shared" si="189"/>
        <v>0</v>
      </c>
      <c r="Y2030" s="53">
        <f t="shared" si="190"/>
        <v>0</v>
      </c>
      <c r="Z2030" s="64">
        <f t="shared" si="191"/>
        <v>0</v>
      </c>
    </row>
    <row r="2031" spans="1:26">
      <c r="A2031" s="89" t="str">
        <f t="shared" si="186"/>
        <v/>
      </c>
      <c r="B2031" s="89" t="str">
        <f t="shared" si="187"/>
        <v/>
      </c>
      <c r="S2031" s="89" t="str">
        <f t="shared" si="188"/>
        <v/>
      </c>
      <c r="X2031" s="64">
        <f t="shared" si="189"/>
        <v>0</v>
      </c>
      <c r="Y2031" s="53">
        <f t="shared" si="190"/>
        <v>0</v>
      </c>
      <c r="Z2031" s="64">
        <f t="shared" si="191"/>
        <v>0</v>
      </c>
    </row>
    <row r="2032" spans="1:26">
      <c r="A2032" s="89" t="str">
        <f t="shared" si="186"/>
        <v/>
      </c>
      <c r="B2032" s="89" t="str">
        <f t="shared" si="187"/>
        <v/>
      </c>
      <c r="S2032" s="89" t="str">
        <f t="shared" si="188"/>
        <v/>
      </c>
      <c r="X2032" s="64">
        <f t="shared" si="189"/>
        <v>0</v>
      </c>
      <c r="Y2032" s="53">
        <f t="shared" si="190"/>
        <v>0</v>
      </c>
      <c r="Z2032" s="64">
        <f t="shared" si="191"/>
        <v>0</v>
      </c>
    </row>
    <row r="2033" spans="1:26">
      <c r="A2033" s="89" t="str">
        <f t="shared" si="186"/>
        <v/>
      </c>
      <c r="B2033" s="89" t="str">
        <f t="shared" si="187"/>
        <v/>
      </c>
      <c r="S2033" s="89" t="str">
        <f t="shared" si="188"/>
        <v/>
      </c>
      <c r="X2033" s="64">
        <f t="shared" si="189"/>
        <v>0</v>
      </c>
      <c r="Y2033" s="53">
        <f t="shared" si="190"/>
        <v>0</v>
      </c>
      <c r="Z2033" s="64">
        <f t="shared" si="191"/>
        <v>0</v>
      </c>
    </row>
    <row r="2034" spans="1:26">
      <c r="A2034" s="89" t="str">
        <f t="shared" si="186"/>
        <v/>
      </c>
      <c r="B2034" s="89" t="str">
        <f t="shared" si="187"/>
        <v/>
      </c>
      <c r="S2034" s="89" t="str">
        <f t="shared" si="188"/>
        <v/>
      </c>
      <c r="X2034" s="64">
        <f t="shared" si="189"/>
        <v>0</v>
      </c>
      <c r="Y2034" s="53">
        <f t="shared" si="190"/>
        <v>0</v>
      </c>
      <c r="Z2034" s="64">
        <f t="shared" si="191"/>
        <v>0</v>
      </c>
    </row>
    <row r="2035" spans="1:26">
      <c r="A2035" s="89" t="str">
        <f t="shared" si="186"/>
        <v/>
      </c>
      <c r="B2035" s="89" t="str">
        <f t="shared" si="187"/>
        <v/>
      </c>
      <c r="S2035" s="89" t="str">
        <f t="shared" si="188"/>
        <v/>
      </c>
      <c r="X2035" s="64">
        <f t="shared" si="189"/>
        <v>0</v>
      </c>
      <c r="Y2035" s="53">
        <f t="shared" si="190"/>
        <v>0</v>
      </c>
      <c r="Z2035" s="64">
        <f t="shared" si="191"/>
        <v>0</v>
      </c>
    </row>
    <row r="2036" spans="1:26">
      <c r="A2036" s="89" t="str">
        <f t="shared" si="186"/>
        <v/>
      </c>
      <c r="B2036" s="89" t="str">
        <f t="shared" si="187"/>
        <v/>
      </c>
      <c r="S2036" s="89" t="str">
        <f t="shared" si="188"/>
        <v/>
      </c>
      <c r="X2036" s="64">
        <f t="shared" si="189"/>
        <v>0</v>
      </c>
      <c r="Y2036" s="53">
        <f t="shared" si="190"/>
        <v>0</v>
      </c>
      <c r="Z2036" s="64">
        <f t="shared" si="191"/>
        <v>0</v>
      </c>
    </row>
    <row r="2037" spans="1:26">
      <c r="A2037" s="89" t="str">
        <f t="shared" si="186"/>
        <v/>
      </c>
      <c r="B2037" s="89" t="str">
        <f t="shared" si="187"/>
        <v/>
      </c>
      <c r="S2037" s="89" t="str">
        <f t="shared" si="188"/>
        <v/>
      </c>
      <c r="X2037" s="64">
        <f t="shared" si="189"/>
        <v>0</v>
      </c>
      <c r="Y2037" s="53">
        <f t="shared" si="190"/>
        <v>0</v>
      </c>
      <c r="Z2037" s="64">
        <f t="shared" si="191"/>
        <v>0</v>
      </c>
    </row>
    <row r="2038" spans="1:26">
      <c r="A2038" s="89" t="str">
        <f t="shared" si="186"/>
        <v/>
      </c>
      <c r="B2038" s="89" t="str">
        <f t="shared" si="187"/>
        <v/>
      </c>
      <c r="S2038" s="89" t="str">
        <f t="shared" si="188"/>
        <v/>
      </c>
      <c r="X2038" s="64">
        <f t="shared" si="189"/>
        <v>0</v>
      </c>
      <c r="Y2038" s="53">
        <f t="shared" si="190"/>
        <v>0</v>
      </c>
      <c r="Z2038" s="64">
        <f t="shared" si="191"/>
        <v>0</v>
      </c>
    </row>
    <row r="2039" spans="1:26">
      <c r="A2039" s="89" t="str">
        <f t="shared" si="186"/>
        <v/>
      </c>
      <c r="B2039" s="89" t="str">
        <f t="shared" si="187"/>
        <v/>
      </c>
      <c r="S2039" s="89" t="str">
        <f t="shared" si="188"/>
        <v/>
      </c>
      <c r="X2039" s="64">
        <f t="shared" si="189"/>
        <v>0</v>
      </c>
      <c r="Y2039" s="53">
        <f t="shared" si="190"/>
        <v>0</v>
      </c>
      <c r="Z2039" s="64">
        <f t="shared" si="191"/>
        <v>0</v>
      </c>
    </row>
    <row r="2040" spans="1:26">
      <c r="A2040" s="89" t="str">
        <f t="shared" si="186"/>
        <v/>
      </c>
      <c r="B2040" s="89" t="str">
        <f t="shared" si="187"/>
        <v/>
      </c>
      <c r="S2040" s="89" t="str">
        <f t="shared" si="188"/>
        <v/>
      </c>
      <c r="X2040" s="64">
        <f t="shared" si="189"/>
        <v>0</v>
      </c>
      <c r="Y2040" s="53">
        <f t="shared" si="190"/>
        <v>0</v>
      </c>
      <c r="Z2040" s="64">
        <f t="shared" si="191"/>
        <v>0</v>
      </c>
    </row>
    <row r="2041" spans="1:26">
      <c r="A2041" s="89" t="str">
        <f t="shared" si="186"/>
        <v/>
      </c>
      <c r="B2041" s="89" t="str">
        <f t="shared" si="187"/>
        <v/>
      </c>
      <c r="S2041" s="89" t="str">
        <f t="shared" si="188"/>
        <v/>
      </c>
      <c r="X2041" s="64">
        <f t="shared" si="189"/>
        <v>0</v>
      </c>
      <c r="Y2041" s="53">
        <f t="shared" si="190"/>
        <v>0</v>
      </c>
      <c r="Z2041" s="64">
        <f t="shared" si="191"/>
        <v>0</v>
      </c>
    </row>
    <row r="2042" spans="1:26">
      <c r="A2042" s="89" t="str">
        <f t="shared" si="186"/>
        <v/>
      </c>
      <c r="B2042" s="89" t="str">
        <f t="shared" si="187"/>
        <v/>
      </c>
      <c r="S2042" s="89" t="str">
        <f t="shared" si="188"/>
        <v/>
      </c>
      <c r="X2042" s="64">
        <f t="shared" si="189"/>
        <v>0</v>
      </c>
      <c r="Y2042" s="53">
        <f t="shared" si="190"/>
        <v>0</v>
      </c>
      <c r="Z2042" s="64">
        <f t="shared" si="191"/>
        <v>0</v>
      </c>
    </row>
    <row r="2043" spans="1:26">
      <c r="A2043" s="89" t="str">
        <f t="shared" si="186"/>
        <v/>
      </c>
      <c r="B2043" s="89" t="str">
        <f t="shared" si="187"/>
        <v/>
      </c>
      <c r="S2043" s="89" t="str">
        <f t="shared" si="188"/>
        <v/>
      </c>
      <c r="X2043" s="64">
        <f t="shared" si="189"/>
        <v>0</v>
      </c>
      <c r="Y2043" s="53">
        <f t="shared" si="190"/>
        <v>0</v>
      </c>
      <c r="Z2043" s="64">
        <f t="shared" si="191"/>
        <v>0</v>
      </c>
    </row>
    <row r="2044" spans="1:26">
      <c r="A2044" s="89" t="str">
        <f t="shared" si="186"/>
        <v/>
      </c>
      <c r="B2044" s="89" t="str">
        <f t="shared" si="187"/>
        <v/>
      </c>
      <c r="S2044" s="89" t="str">
        <f t="shared" si="188"/>
        <v/>
      </c>
      <c r="X2044" s="64">
        <f t="shared" si="189"/>
        <v>0</v>
      </c>
      <c r="Y2044" s="53">
        <f t="shared" si="190"/>
        <v>0</v>
      </c>
      <c r="Z2044" s="64">
        <f t="shared" si="191"/>
        <v>0</v>
      </c>
    </row>
    <row r="2045" spans="1:26">
      <c r="A2045" s="89" t="str">
        <f t="shared" si="186"/>
        <v/>
      </c>
      <c r="B2045" s="89" t="str">
        <f t="shared" si="187"/>
        <v/>
      </c>
      <c r="S2045" s="89" t="str">
        <f t="shared" si="188"/>
        <v/>
      </c>
      <c r="X2045" s="64">
        <f t="shared" si="189"/>
        <v>0</v>
      </c>
      <c r="Y2045" s="53">
        <f t="shared" si="190"/>
        <v>0</v>
      </c>
      <c r="Z2045" s="64">
        <f t="shared" si="191"/>
        <v>0</v>
      </c>
    </row>
    <row r="2046" spans="1:26">
      <c r="A2046" s="89" t="str">
        <f t="shared" si="186"/>
        <v/>
      </c>
      <c r="B2046" s="89" t="str">
        <f t="shared" si="187"/>
        <v/>
      </c>
      <c r="S2046" s="89" t="str">
        <f t="shared" si="188"/>
        <v/>
      </c>
      <c r="X2046" s="64">
        <f t="shared" si="189"/>
        <v>0</v>
      </c>
      <c r="Y2046" s="53">
        <f t="shared" si="190"/>
        <v>0</v>
      </c>
      <c r="Z2046" s="64">
        <f t="shared" si="191"/>
        <v>0</v>
      </c>
    </row>
    <row r="2047" spans="1:26">
      <c r="A2047" s="89" t="str">
        <f t="shared" si="186"/>
        <v/>
      </c>
      <c r="B2047" s="89" t="str">
        <f t="shared" si="187"/>
        <v/>
      </c>
      <c r="S2047" s="89" t="str">
        <f t="shared" si="188"/>
        <v/>
      </c>
      <c r="X2047" s="64">
        <f t="shared" si="189"/>
        <v>0</v>
      </c>
      <c r="Y2047" s="53">
        <f t="shared" si="190"/>
        <v>0</v>
      </c>
      <c r="Z2047" s="64">
        <f t="shared" si="191"/>
        <v>0</v>
      </c>
    </row>
    <row r="2048" spans="1:26">
      <c r="A2048" s="89" t="str">
        <f t="shared" si="186"/>
        <v/>
      </c>
      <c r="B2048" s="89" t="str">
        <f t="shared" si="187"/>
        <v/>
      </c>
      <c r="S2048" s="89" t="str">
        <f t="shared" si="188"/>
        <v/>
      </c>
      <c r="X2048" s="64">
        <f t="shared" si="189"/>
        <v>0</v>
      </c>
      <c r="Y2048" s="53">
        <f t="shared" si="190"/>
        <v>0</v>
      </c>
      <c r="Z2048" s="64">
        <f t="shared" si="191"/>
        <v>0</v>
      </c>
    </row>
    <row r="2049" spans="1:26">
      <c r="A2049" s="89" t="str">
        <f t="shared" si="186"/>
        <v/>
      </c>
      <c r="B2049" s="89" t="str">
        <f t="shared" si="187"/>
        <v/>
      </c>
      <c r="S2049" s="89" t="str">
        <f t="shared" si="188"/>
        <v/>
      </c>
      <c r="X2049" s="64">
        <f t="shared" si="189"/>
        <v>0</v>
      </c>
      <c r="Y2049" s="53">
        <f t="shared" si="190"/>
        <v>0</v>
      </c>
      <c r="Z2049" s="64">
        <f t="shared" si="191"/>
        <v>0</v>
      </c>
    </row>
    <row r="2050" spans="1:26">
      <c r="A2050" s="89" t="str">
        <f t="shared" si="186"/>
        <v/>
      </c>
      <c r="B2050" s="89" t="str">
        <f t="shared" si="187"/>
        <v/>
      </c>
      <c r="S2050" s="89" t="str">
        <f t="shared" si="188"/>
        <v/>
      </c>
      <c r="X2050" s="64">
        <f t="shared" si="189"/>
        <v>0</v>
      </c>
      <c r="Y2050" s="53">
        <f t="shared" si="190"/>
        <v>0</v>
      </c>
      <c r="Z2050" s="64">
        <f t="shared" si="191"/>
        <v>0</v>
      </c>
    </row>
    <row r="2051" spans="1:26">
      <c r="A2051" s="89" t="str">
        <f t="shared" ref="A2051:A2114" si="192">IF(G2051&amp;Q2051&lt;&gt;"",G2051&amp;Q2051,"")</f>
        <v/>
      </c>
      <c r="B2051" s="89" t="str">
        <f t="shared" ref="B2051:B2114" si="193">IF(C2051&lt;&gt;"",LEFT(C2051,9),"")</f>
        <v/>
      </c>
      <c r="S2051" s="89" t="str">
        <f t="shared" ref="S2051:S2114" si="194">IF(H2051&lt;&gt;"",H2051,"")</f>
        <v/>
      </c>
      <c r="X2051" s="64">
        <f t="shared" ref="X2051:X2114" si="195">IFERROR(VALUE(MID($C2051,1,2)),0)</f>
        <v>0</v>
      </c>
      <c r="Y2051" s="53">
        <f t="shared" ref="Y2051:Y2114" si="196">IFERROR(VALUE(MID($C2051,4,3)),0)</f>
        <v>0</v>
      </c>
      <c r="Z2051" s="64">
        <f t="shared" ref="Z2051:Z2114" si="197">VALUE(RIGHT("00"&amp;X2051,2)&amp;RIGHT("000"&amp;Y2051,3))</f>
        <v>0</v>
      </c>
    </row>
    <row r="2052" spans="1:26">
      <c r="A2052" s="89" t="str">
        <f t="shared" si="192"/>
        <v/>
      </c>
      <c r="B2052" s="89" t="str">
        <f t="shared" si="193"/>
        <v/>
      </c>
      <c r="S2052" s="89" t="str">
        <f t="shared" si="194"/>
        <v/>
      </c>
      <c r="X2052" s="64">
        <f t="shared" si="195"/>
        <v>0</v>
      </c>
      <c r="Y2052" s="53">
        <f t="shared" si="196"/>
        <v>0</v>
      </c>
      <c r="Z2052" s="64">
        <f t="shared" si="197"/>
        <v>0</v>
      </c>
    </row>
    <row r="2053" spans="1:26">
      <c r="A2053" s="89" t="str">
        <f t="shared" si="192"/>
        <v/>
      </c>
      <c r="B2053" s="89" t="str">
        <f t="shared" si="193"/>
        <v/>
      </c>
      <c r="S2053" s="89" t="str">
        <f t="shared" si="194"/>
        <v/>
      </c>
      <c r="X2053" s="64">
        <f t="shared" si="195"/>
        <v>0</v>
      </c>
      <c r="Y2053" s="53">
        <f t="shared" si="196"/>
        <v>0</v>
      </c>
      <c r="Z2053" s="64">
        <f t="shared" si="197"/>
        <v>0</v>
      </c>
    </row>
    <row r="2054" spans="1:26">
      <c r="A2054" s="89" t="str">
        <f t="shared" si="192"/>
        <v/>
      </c>
      <c r="B2054" s="89" t="str">
        <f t="shared" si="193"/>
        <v/>
      </c>
      <c r="S2054" s="89" t="str">
        <f t="shared" si="194"/>
        <v/>
      </c>
      <c r="X2054" s="64">
        <f t="shared" si="195"/>
        <v>0</v>
      </c>
      <c r="Y2054" s="53">
        <f t="shared" si="196"/>
        <v>0</v>
      </c>
      <c r="Z2054" s="64">
        <f t="shared" si="197"/>
        <v>0</v>
      </c>
    </row>
    <row r="2055" spans="1:26">
      <c r="A2055" s="89" t="str">
        <f t="shared" si="192"/>
        <v/>
      </c>
      <c r="B2055" s="89" t="str">
        <f t="shared" si="193"/>
        <v/>
      </c>
      <c r="S2055" s="89" t="str">
        <f t="shared" si="194"/>
        <v/>
      </c>
      <c r="X2055" s="64">
        <f t="shared" si="195"/>
        <v>0</v>
      </c>
      <c r="Y2055" s="53">
        <f t="shared" si="196"/>
        <v>0</v>
      </c>
      <c r="Z2055" s="64">
        <f t="shared" si="197"/>
        <v>0</v>
      </c>
    </row>
    <row r="2056" spans="1:26">
      <c r="A2056" s="89" t="str">
        <f t="shared" si="192"/>
        <v/>
      </c>
      <c r="B2056" s="89" t="str">
        <f t="shared" si="193"/>
        <v/>
      </c>
      <c r="S2056" s="89" t="str">
        <f t="shared" si="194"/>
        <v/>
      </c>
      <c r="X2056" s="64">
        <f t="shared" si="195"/>
        <v>0</v>
      </c>
      <c r="Y2056" s="53">
        <f t="shared" si="196"/>
        <v>0</v>
      </c>
      <c r="Z2056" s="64">
        <f t="shared" si="197"/>
        <v>0</v>
      </c>
    </row>
    <row r="2057" spans="1:26">
      <c r="A2057" s="89" t="str">
        <f t="shared" si="192"/>
        <v/>
      </c>
      <c r="B2057" s="89" t="str">
        <f t="shared" si="193"/>
        <v/>
      </c>
      <c r="S2057" s="89" t="str">
        <f t="shared" si="194"/>
        <v/>
      </c>
      <c r="X2057" s="64">
        <f t="shared" si="195"/>
        <v>0</v>
      </c>
      <c r="Y2057" s="53">
        <f t="shared" si="196"/>
        <v>0</v>
      </c>
      <c r="Z2057" s="64">
        <f t="shared" si="197"/>
        <v>0</v>
      </c>
    </row>
    <row r="2058" spans="1:26">
      <c r="A2058" s="89" t="str">
        <f t="shared" si="192"/>
        <v/>
      </c>
      <c r="B2058" s="89" t="str">
        <f t="shared" si="193"/>
        <v/>
      </c>
      <c r="S2058" s="89" t="str">
        <f t="shared" si="194"/>
        <v/>
      </c>
      <c r="X2058" s="64">
        <f t="shared" si="195"/>
        <v>0</v>
      </c>
      <c r="Y2058" s="53">
        <f t="shared" si="196"/>
        <v>0</v>
      </c>
      <c r="Z2058" s="64">
        <f t="shared" si="197"/>
        <v>0</v>
      </c>
    </row>
    <row r="2059" spans="1:26">
      <c r="A2059" s="89" t="str">
        <f t="shared" si="192"/>
        <v/>
      </c>
      <c r="B2059" s="89" t="str">
        <f t="shared" si="193"/>
        <v/>
      </c>
      <c r="S2059" s="89" t="str">
        <f t="shared" si="194"/>
        <v/>
      </c>
      <c r="X2059" s="64">
        <f t="shared" si="195"/>
        <v>0</v>
      </c>
      <c r="Y2059" s="53">
        <f t="shared" si="196"/>
        <v>0</v>
      </c>
      <c r="Z2059" s="64">
        <f t="shared" si="197"/>
        <v>0</v>
      </c>
    </row>
    <row r="2060" spans="1:26">
      <c r="A2060" s="89" t="str">
        <f t="shared" si="192"/>
        <v/>
      </c>
      <c r="B2060" s="89" t="str">
        <f t="shared" si="193"/>
        <v/>
      </c>
      <c r="S2060" s="89" t="str">
        <f t="shared" si="194"/>
        <v/>
      </c>
      <c r="X2060" s="64">
        <f t="shared" si="195"/>
        <v>0</v>
      </c>
      <c r="Y2060" s="53">
        <f t="shared" si="196"/>
        <v>0</v>
      </c>
      <c r="Z2060" s="64">
        <f t="shared" si="197"/>
        <v>0</v>
      </c>
    </row>
    <row r="2061" spans="1:26">
      <c r="A2061" s="89" t="str">
        <f t="shared" si="192"/>
        <v/>
      </c>
      <c r="B2061" s="89" t="str">
        <f t="shared" si="193"/>
        <v/>
      </c>
      <c r="S2061" s="89" t="str">
        <f t="shared" si="194"/>
        <v/>
      </c>
      <c r="X2061" s="64">
        <f t="shared" si="195"/>
        <v>0</v>
      </c>
      <c r="Y2061" s="53">
        <f t="shared" si="196"/>
        <v>0</v>
      </c>
      <c r="Z2061" s="64">
        <f t="shared" si="197"/>
        <v>0</v>
      </c>
    </row>
    <row r="2062" spans="1:26">
      <c r="A2062" s="89" t="str">
        <f t="shared" si="192"/>
        <v/>
      </c>
      <c r="B2062" s="89" t="str">
        <f t="shared" si="193"/>
        <v/>
      </c>
      <c r="S2062" s="89" t="str">
        <f t="shared" si="194"/>
        <v/>
      </c>
      <c r="X2062" s="64">
        <f t="shared" si="195"/>
        <v>0</v>
      </c>
      <c r="Y2062" s="53">
        <f t="shared" si="196"/>
        <v>0</v>
      </c>
      <c r="Z2062" s="64">
        <f t="shared" si="197"/>
        <v>0</v>
      </c>
    </row>
    <row r="2063" spans="1:26">
      <c r="A2063" s="89" t="str">
        <f t="shared" si="192"/>
        <v/>
      </c>
      <c r="B2063" s="89" t="str">
        <f t="shared" si="193"/>
        <v/>
      </c>
      <c r="S2063" s="89" t="str">
        <f t="shared" si="194"/>
        <v/>
      </c>
      <c r="X2063" s="64">
        <f t="shared" si="195"/>
        <v>0</v>
      </c>
      <c r="Y2063" s="53">
        <f t="shared" si="196"/>
        <v>0</v>
      </c>
      <c r="Z2063" s="64">
        <f t="shared" si="197"/>
        <v>0</v>
      </c>
    </row>
    <row r="2064" spans="1:26">
      <c r="A2064" s="89" t="str">
        <f t="shared" si="192"/>
        <v/>
      </c>
      <c r="B2064" s="89" t="str">
        <f t="shared" si="193"/>
        <v/>
      </c>
      <c r="S2064" s="89" t="str">
        <f t="shared" si="194"/>
        <v/>
      </c>
      <c r="X2064" s="64">
        <f t="shared" si="195"/>
        <v>0</v>
      </c>
      <c r="Y2064" s="53">
        <f t="shared" si="196"/>
        <v>0</v>
      </c>
      <c r="Z2064" s="64">
        <f t="shared" si="197"/>
        <v>0</v>
      </c>
    </row>
    <row r="2065" spans="1:26">
      <c r="A2065" s="89" t="str">
        <f t="shared" si="192"/>
        <v/>
      </c>
      <c r="B2065" s="89" t="str">
        <f t="shared" si="193"/>
        <v/>
      </c>
      <c r="S2065" s="89" t="str">
        <f t="shared" si="194"/>
        <v/>
      </c>
      <c r="X2065" s="64">
        <f t="shared" si="195"/>
        <v>0</v>
      </c>
      <c r="Y2065" s="53">
        <f t="shared" si="196"/>
        <v>0</v>
      </c>
      <c r="Z2065" s="64">
        <f t="shared" si="197"/>
        <v>0</v>
      </c>
    </row>
    <row r="2066" spans="1:26">
      <c r="A2066" s="89" t="str">
        <f t="shared" si="192"/>
        <v/>
      </c>
      <c r="B2066" s="89" t="str">
        <f t="shared" si="193"/>
        <v/>
      </c>
      <c r="S2066" s="89" t="str">
        <f t="shared" si="194"/>
        <v/>
      </c>
      <c r="X2066" s="64">
        <f t="shared" si="195"/>
        <v>0</v>
      </c>
      <c r="Y2066" s="53">
        <f t="shared" si="196"/>
        <v>0</v>
      </c>
      <c r="Z2066" s="64">
        <f t="shared" si="197"/>
        <v>0</v>
      </c>
    </row>
    <row r="2067" spans="1:26">
      <c r="A2067" s="89" t="str">
        <f t="shared" si="192"/>
        <v/>
      </c>
      <c r="B2067" s="89" t="str">
        <f t="shared" si="193"/>
        <v/>
      </c>
      <c r="S2067" s="89" t="str">
        <f t="shared" si="194"/>
        <v/>
      </c>
      <c r="X2067" s="64">
        <f t="shared" si="195"/>
        <v>0</v>
      </c>
      <c r="Y2067" s="53">
        <f t="shared" si="196"/>
        <v>0</v>
      </c>
      <c r="Z2067" s="64">
        <f t="shared" si="197"/>
        <v>0</v>
      </c>
    </row>
    <row r="2068" spans="1:26">
      <c r="A2068" s="89" t="str">
        <f t="shared" si="192"/>
        <v/>
      </c>
      <c r="B2068" s="89" t="str">
        <f t="shared" si="193"/>
        <v/>
      </c>
      <c r="S2068" s="89" t="str">
        <f t="shared" si="194"/>
        <v/>
      </c>
      <c r="X2068" s="64">
        <f t="shared" si="195"/>
        <v>0</v>
      </c>
      <c r="Y2068" s="53">
        <f t="shared" si="196"/>
        <v>0</v>
      </c>
      <c r="Z2068" s="64">
        <f t="shared" si="197"/>
        <v>0</v>
      </c>
    </row>
    <row r="2069" spans="1:26">
      <c r="A2069" s="89" t="str">
        <f t="shared" si="192"/>
        <v/>
      </c>
      <c r="B2069" s="89" t="str">
        <f t="shared" si="193"/>
        <v/>
      </c>
      <c r="S2069" s="89" t="str">
        <f t="shared" si="194"/>
        <v/>
      </c>
      <c r="X2069" s="64">
        <f t="shared" si="195"/>
        <v>0</v>
      </c>
      <c r="Y2069" s="53">
        <f t="shared" si="196"/>
        <v>0</v>
      </c>
      <c r="Z2069" s="64">
        <f t="shared" si="197"/>
        <v>0</v>
      </c>
    </row>
    <row r="2070" spans="1:26">
      <c r="A2070" s="89" t="str">
        <f t="shared" si="192"/>
        <v/>
      </c>
      <c r="B2070" s="89" t="str">
        <f t="shared" si="193"/>
        <v/>
      </c>
      <c r="S2070" s="89" t="str">
        <f t="shared" si="194"/>
        <v/>
      </c>
      <c r="X2070" s="64">
        <f t="shared" si="195"/>
        <v>0</v>
      </c>
      <c r="Y2070" s="53">
        <f t="shared" si="196"/>
        <v>0</v>
      </c>
      <c r="Z2070" s="64">
        <f t="shared" si="197"/>
        <v>0</v>
      </c>
    </row>
    <row r="2071" spans="1:26">
      <c r="A2071" s="89" t="str">
        <f t="shared" si="192"/>
        <v/>
      </c>
      <c r="B2071" s="89" t="str">
        <f t="shared" si="193"/>
        <v/>
      </c>
      <c r="S2071" s="89" t="str">
        <f t="shared" si="194"/>
        <v/>
      </c>
      <c r="X2071" s="64">
        <f t="shared" si="195"/>
        <v>0</v>
      </c>
      <c r="Y2071" s="53">
        <f t="shared" si="196"/>
        <v>0</v>
      </c>
      <c r="Z2071" s="64">
        <f t="shared" si="197"/>
        <v>0</v>
      </c>
    </row>
    <row r="2072" spans="1:26">
      <c r="A2072" s="89" t="str">
        <f t="shared" si="192"/>
        <v/>
      </c>
      <c r="B2072" s="89" t="str">
        <f t="shared" si="193"/>
        <v/>
      </c>
      <c r="S2072" s="89" t="str">
        <f t="shared" si="194"/>
        <v/>
      </c>
      <c r="X2072" s="64">
        <f t="shared" si="195"/>
        <v>0</v>
      </c>
      <c r="Y2072" s="53">
        <f t="shared" si="196"/>
        <v>0</v>
      </c>
      <c r="Z2072" s="64">
        <f t="shared" si="197"/>
        <v>0</v>
      </c>
    </row>
    <row r="2073" spans="1:26">
      <c r="A2073" s="89" t="str">
        <f t="shared" si="192"/>
        <v/>
      </c>
      <c r="B2073" s="89" t="str">
        <f t="shared" si="193"/>
        <v/>
      </c>
      <c r="S2073" s="89" t="str">
        <f t="shared" si="194"/>
        <v/>
      </c>
      <c r="X2073" s="64">
        <f t="shared" si="195"/>
        <v>0</v>
      </c>
      <c r="Y2073" s="53">
        <f t="shared" si="196"/>
        <v>0</v>
      </c>
      <c r="Z2073" s="64">
        <f t="shared" si="197"/>
        <v>0</v>
      </c>
    </row>
    <row r="2074" spans="1:26">
      <c r="A2074" s="89" t="str">
        <f t="shared" si="192"/>
        <v/>
      </c>
      <c r="B2074" s="89" t="str">
        <f t="shared" si="193"/>
        <v/>
      </c>
      <c r="S2074" s="89" t="str">
        <f t="shared" si="194"/>
        <v/>
      </c>
      <c r="X2074" s="64">
        <f t="shared" si="195"/>
        <v>0</v>
      </c>
      <c r="Y2074" s="53">
        <f t="shared" si="196"/>
        <v>0</v>
      </c>
      <c r="Z2074" s="64">
        <f t="shared" si="197"/>
        <v>0</v>
      </c>
    </row>
    <row r="2075" spans="1:26">
      <c r="A2075" s="89" t="str">
        <f t="shared" si="192"/>
        <v/>
      </c>
      <c r="B2075" s="89" t="str">
        <f t="shared" si="193"/>
        <v/>
      </c>
      <c r="S2075" s="89" t="str">
        <f t="shared" si="194"/>
        <v/>
      </c>
      <c r="X2075" s="64">
        <f t="shared" si="195"/>
        <v>0</v>
      </c>
      <c r="Y2075" s="53">
        <f t="shared" si="196"/>
        <v>0</v>
      </c>
      <c r="Z2075" s="64">
        <f t="shared" si="197"/>
        <v>0</v>
      </c>
    </row>
    <row r="2076" spans="1:26">
      <c r="A2076" s="89" t="str">
        <f t="shared" si="192"/>
        <v/>
      </c>
      <c r="B2076" s="89" t="str">
        <f t="shared" si="193"/>
        <v/>
      </c>
      <c r="S2076" s="89" t="str">
        <f t="shared" si="194"/>
        <v/>
      </c>
      <c r="X2076" s="64">
        <f t="shared" si="195"/>
        <v>0</v>
      </c>
      <c r="Y2076" s="53">
        <f t="shared" si="196"/>
        <v>0</v>
      </c>
      <c r="Z2076" s="64">
        <f t="shared" si="197"/>
        <v>0</v>
      </c>
    </row>
    <row r="2077" spans="1:26">
      <c r="A2077" s="89" t="str">
        <f t="shared" si="192"/>
        <v/>
      </c>
      <c r="B2077" s="89" t="str">
        <f t="shared" si="193"/>
        <v/>
      </c>
      <c r="S2077" s="89" t="str">
        <f t="shared" si="194"/>
        <v/>
      </c>
      <c r="X2077" s="64">
        <f t="shared" si="195"/>
        <v>0</v>
      </c>
      <c r="Y2077" s="53">
        <f t="shared" si="196"/>
        <v>0</v>
      </c>
      <c r="Z2077" s="64">
        <f t="shared" si="197"/>
        <v>0</v>
      </c>
    </row>
    <row r="2078" spans="1:26">
      <c r="A2078" s="89" t="str">
        <f t="shared" si="192"/>
        <v/>
      </c>
      <c r="B2078" s="89" t="str">
        <f t="shared" si="193"/>
        <v/>
      </c>
      <c r="S2078" s="89" t="str">
        <f t="shared" si="194"/>
        <v/>
      </c>
      <c r="X2078" s="64">
        <f t="shared" si="195"/>
        <v>0</v>
      </c>
      <c r="Y2078" s="53">
        <f t="shared" si="196"/>
        <v>0</v>
      </c>
      <c r="Z2078" s="64">
        <f t="shared" si="197"/>
        <v>0</v>
      </c>
    </row>
    <row r="2079" spans="1:26">
      <c r="A2079" s="89" t="str">
        <f t="shared" si="192"/>
        <v/>
      </c>
      <c r="B2079" s="89" t="str">
        <f t="shared" si="193"/>
        <v/>
      </c>
      <c r="S2079" s="89" t="str">
        <f t="shared" si="194"/>
        <v/>
      </c>
      <c r="X2079" s="64">
        <f t="shared" si="195"/>
        <v>0</v>
      </c>
      <c r="Y2079" s="53">
        <f t="shared" si="196"/>
        <v>0</v>
      </c>
      <c r="Z2079" s="64">
        <f t="shared" si="197"/>
        <v>0</v>
      </c>
    </row>
    <row r="2080" spans="1:26">
      <c r="A2080" s="89" t="str">
        <f t="shared" si="192"/>
        <v/>
      </c>
      <c r="B2080" s="89" t="str">
        <f t="shared" si="193"/>
        <v/>
      </c>
      <c r="S2080" s="89" t="str">
        <f t="shared" si="194"/>
        <v/>
      </c>
      <c r="X2080" s="64">
        <f t="shared" si="195"/>
        <v>0</v>
      </c>
      <c r="Y2080" s="53">
        <f t="shared" si="196"/>
        <v>0</v>
      </c>
      <c r="Z2080" s="64">
        <f t="shared" si="197"/>
        <v>0</v>
      </c>
    </row>
    <row r="2081" spans="1:26">
      <c r="A2081" s="89" t="str">
        <f t="shared" si="192"/>
        <v/>
      </c>
      <c r="B2081" s="89" t="str">
        <f t="shared" si="193"/>
        <v/>
      </c>
      <c r="S2081" s="89" t="str">
        <f t="shared" si="194"/>
        <v/>
      </c>
      <c r="X2081" s="64">
        <f t="shared" si="195"/>
        <v>0</v>
      </c>
      <c r="Y2081" s="53">
        <f t="shared" si="196"/>
        <v>0</v>
      </c>
      <c r="Z2081" s="64">
        <f t="shared" si="197"/>
        <v>0</v>
      </c>
    </row>
    <row r="2082" spans="1:26">
      <c r="A2082" s="89" t="str">
        <f t="shared" si="192"/>
        <v/>
      </c>
      <c r="B2082" s="89" t="str">
        <f t="shared" si="193"/>
        <v/>
      </c>
      <c r="S2082" s="89" t="str">
        <f t="shared" si="194"/>
        <v/>
      </c>
      <c r="X2082" s="64">
        <f t="shared" si="195"/>
        <v>0</v>
      </c>
      <c r="Y2082" s="53">
        <f t="shared" si="196"/>
        <v>0</v>
      </c>
      <c r="Z2082" s="64">
        <f t="shared" si="197"/>
        <v>0</v>
      </c>
    </row>
    <row r="2083" spans="1:26">
      <c r="A2083" s="89" t="str">
        <f t="shared" si="192"/>
        <v/>
      </c>
      <c r="B2083" s="89" t="str">
        <f t="shared" si="193"/>
        <v/>
      </c>
      <c r="S2083" s="89" t="str">
        <f t="shared" si="194"/>
        <v/>
      </c>
      <c r="X2083" s="64">
        <f t="shared" si="195"/>
        <v>0</v>
      </c>
      <c r="Y2083" s="53">
        <f t="shared" si="196"/>
        <v>0</v>
      </c>
      <c r="Z2083" s="64">
        <f t="shared" si="197"/>
        <v>0</v>
      </c>
    </row>
    <row r="2084" spans="1:26">
      <c r="A2084" s="89" t="str">
        <f t="shared" si="192"/>
        <v/>
      </c>
      <c r="B2084" s="89" t="str">
        <f t="shared" si="193"/>
        <v/>
      </c>
      <c r="S2084" s="89" t="str">
        <f t="shared" si="194"/>
        <v/>
      </c>
      <c r="X2084" s="64">
        <f t="shared" si="195"/>
        <v>0</v>
      </c>
      <c r="Y2084" s="53">
        <f t="shared" si="196"/>
        <v>0</v>
      </c>
      <c r="Z2084" s="64">
        <f t="shared" si="197"/>
        <v>0</v>
      </c>
    </row>
    <row r="2085" spans="1:26">
      <c r="A2085" s="89" t="str">
        <f t="shared" si="192"/>
        <v/>
      </c>
      <c r="B2085" s="89" t="str">
        <f t="shared" si="193"/>
        <v/>
      </c>
      <c r="S2085" s="89" t="str">
        <f t="shared" si="194"/>
        <v/>
      </c>
      <c r="X2085" s="64">
        <f t="shared" si="195"/>
        <v>0</v>
      </c>
      <c r="Y2085" s="53">
        <f t="shared" si="196"/>
        <v>0</v>
      </c>
      <c r="Z2085" s="64">
        <f t="shared" si="197"/>
        <v>0</v>
      </c>
    </row>
    <row r="2086" spans="1:26">
      <c r="A2086" s="89" t="str">
        <f t="shared" si="192"/>
        <v/>
      </c>
      <c r="B2086" s="89" t="str">
        <f t="shared" si="193"/>
        <v/>
      </c>
      <c r="S2086" s="89" t="str">
        <f t="shared" si="194"/>
        <v/>
      </c>
      <c r="X2086" s="64">
        <f t="shared" si="195"/>
        <v>0</v>
      </c>
      <c r="Y2086" s="53">
        <f t="shared" si="196"/>
        <v>0</v>
      </c>
      <c r="Z2086" s="64">
        <f t="shared" si="197"/>
        <v>0</v>
      </c>
    </row>
    <row r="2087" spans="1:26">
      <c r="A2087" s="89" t="str">
        <f t="shared" si="192"/>
        <v/>
      </c>
      <c r="B2087" s="89" t="str">
        <f t="shared" si="193"/>
        <v/>
      </c>
      <c r="S2087" s="89" t="str">
        <f t="shared" si="194"/>
        <v/>
      </c>
      <c r="X2087" s="64">
        <f t="shared" si="195"/>
        <v>0</v>
      </c>
      <c r="Y2087" s="53">
        <f t="shared" si="196"/>
        <v>0</v>
      </c>
      <c r="Z2087" s="64">
        <f t="shared" si="197"/>
        <v>0</v>
      </c>
    </row>
    <row r="2088" spans="1:26">
      <c r="A2088" s="89" t="str">
        <f t="shared" si="192"/>
        <v/>
      </c>
      <c r="B2088" s="89" t="str">
        <f t="shared" si="193"/>
        <v/>
      </c>
      <c r="S2088" s="89" t="str">
        <f t="shared" si="194"/>
        <v/>
      </c>
      <c r="X2088" s="64">
        <f t="shared" si="195"/>
        <v>0</v>
      </c>
      <c r="Y2088" s="53">
        <f t="shared" si="196"/>
        <v>0</v>
      </c>
      <c r="Z2088" s="64">
        <f t="shared" si="197"/>
        <v>0</v>
      </c>
    </row>
    <row r="2089" spans="1:26">
      <c r="A2089" s="89" t="str">
        <f t="shared" si="192"/>
        <v/>
      </c>
      <c r="B2089" s="89" t="str">
        <f t="shared" si="193"/>
        <v/>
      </c>
      <c r="S2089" s="89" t="str">
        <f t="shared" si="194"/>
        <v/>
      </c>
      <c r="X2089" s="64">
        <f t="shared" si="195"/>
        <v>0</v>
      </c>
      <c r="Y2089" s="53">
        <f t="shared" si="196"/>
        <v>0</v>
      </c>
      <c r="Z2089" s="64">
        <f t="shared" si="197"/>
        <v>0</v>
      </c>
    </row>
    <row r="2090" spans="1:26">
      <c r="A2090" s="89" t="str">
        <f t="shared" si="192"/>
        <v/>
      </c>
      <c r="B2090" s="89" t="str">
        <f t="shared" si="193"/>
        <v/>
      </c>
      <c r="S2090" s="89" t="str">
        <f t="shared" si="194"/>
        <v/>
      </c>
      <c r="X2090" s="64">
        <f t="shared" si="195"/>
        <v>0</v>
      </c>
      <c r="Y2090" s="53">
        <f t="shared" si="196"/>
        <v>0</v>
      </c>
      <c r="Z2090" s="64">
        <f t="shared" si="197"/>
        <v>0</v>
      </c>
    </row>
    <row r="2091" spans="1:26">
      <c r="A2091" s="89" t="str">
        <f t="shared" si="192"/>
        <v/>
      </c>
      <c r="B2091" s="89" t="str">
        <f t="shared" si="193"/>
        <v/>
      </c>
      <c r="S2091" s="89" t="str">
        <f t="shared" si="194"/>
        <v/>
      </c>
      <c r="X2091" s="64">
        <f t="shared" si="195"/>
        <v>0</v>
      </c>
      <c r="Y2091" s="53">
        <f t="shared" si="196"/>
        <v>0</v>
      </c>
      <c r="Z2091" s="64">
        <f t="shared" si="197"/>
        <v>0</v>
      </c>
    </row>
    <row r="2092" spans="1:26">
      <c r="A2092" s="89" t="str">
        <f t="shared" si="192"/>
        <v/>
      </c>
      <c r="B2092" s="89" t="str">
        <f t="shared" si="193"/>
        <v/>
      </c>
      <c r="S2092" s="89" t="str">
        <f t="shared" si="194"/>
        <v/>
      </c>
      <c r="X2092" s="64">
        <f t="shared" si="195"/>
        <v>0</v>
      </c>
      <c r="Y2092" s="53">
        <f t="shared" si="196"/>
        <v>0</v>
      </c>
      <c r="Z2092" s="64">
        <f t="shared" si="197"/>
        <v>0</v>
      </c>
    </row>
    <row r="2093" spans="1:26">
      <c r="A2093" s="89" t="str">
        <f t="shared" si="192"/>
        <v/>
      </c>
      <c r="B2093" s="89" t="str">
        <f t="shared" si="193"/>
        <v/>
      </c>
      <c r="S2093" s="89" t="str">
        <f t="shared" si="194"/>
        <v/>
      </c>
      <c r="X2093" s="64">
        <f t="shared" si="195"/>
        <v>0</v>
      </c>
      <c r="Y2093" s="53">
        <f t="shared" si="196"/>
        <v>0</v>
      </c>
      <c r="Z2093" s="64">
        <f t="shared" si="197"/>
        <v>0</v>
      </c>
    </row>
    <row r="2094" spans="1:26">
      <c r="A2094" s="89" t="str">
        <f t="shared" si="192"/>
        <v/>
      </c>
      <c r="B2094" s="89" t="str">
        <f t="shared" si="193"/>
        <v/>
      </c>
      <c r="S2094" s="89" t="str">
        <f t="shared" si="194"/>
        <v/>
      </c>
      <c r="X2094" s="64">
        <f t="shared" si="195"/>
        <v>0</v>
      </c>
      <c r="Y2094" s="53">
        <f t="shared" si="196"/>
        <v>0</v>
      </c>
      <c r="Z2094" s="64">
        <f t="shared" si="197"/>
        <v>0</v>
      </c>
    </row>
    <row r="2095" spans="1:26">
      <c r="A2095" s="89" t="str">
        <f t="shared" si="192"/>
        <v/>
      </c>
      <c r="B2095" s="89" t="str">
        <f t="shared" si="193"/>
        <v/>
      </c>
      <c r="S2095" s="89" t="str">
        <f t="shared" si="194"/>
        <v/>
      </c>
      <c r="X2095" s="64">
        <f t="shared" si="195"/>
        <v>0</v>
      </c>
      <c r="Y2095" s="53">
        <f t="shared" si="196"/>
        <v>0</v>
      </c>
      <c r="Z2095" s="64">
        <f t="shared" si="197"/>
        <v>0</v>
      </c>
    </row>
    <row r="2096" spans="1:26">
      <c r="A2096" s="89" t="str">
        <f t="shared" si="192"/>
        <v/>
      </c>
      <c r="B2096" s="89" t="str">
        <f t="shared" si="193"/>
        <v/>
      </c>
      <c r="S2096" s="89" t="str">
        <f t="shared" si="194"/>
        <v/>
      </c>
      <c r="X2096" s="64">
        <f t="shared" si="195"/>
        <v>0</v>
      </c>
      <c r="Y2096" s="53">
        <f t="shared" si="196"/>
        <v>0</v>
      </c>
      <c r="Z2096" s="64">
        <f t="shared" si="197"/>
        <v>0</v>
      </c>
    </row>
    <row r="2097" spans="1:26">
      <c r="A2097" s="89" t="str">
        <f t="shared" si="192"/>
        <v/>
      </c>
      <c r="B2097" s="89" t="str">
        <f t="shared" si="193"/>
        <v/>
      </c>
      <c r="S2097" s="89" t="str">
        <f t="shared" si="194"/>
        <v/>
      </c>
      <c r="X2097" s="64">
        <f t="shared" si="195"/>
        <v>0</v>
      </c>
      <c r="Y2097" s="53">
        <f t="shared" si="196"/>
        <v>0</v>
      </c>
      <c r="Z2097" s="64">
        <f t="shared" si="197"/>
        <v>0</v>
      </c>
    </row>
    <row r="2098" spans="1:26">
      <c r="A2098" s="89" t="str">
        <f t="shared" si="192"/>
        <v/>
      </c>
      <c r="B2098" s="89" t="str">
        <f t="shared" si="193"/>
        <v/>
      </c>
      <c r="S2098" s="89" t="str">
        <f t="shared" si="194"/>
        <v/>
      </c>
      <c r="X2098" s="64">
        <f t="shared" si="195"/>
        <v>0</v>
      </c>
      <c r="Y2098" s="53">
        <f t="shared" si="196"/>
        <v>0</v>
      </c>
      <c r="Z2098" s="64">
        <f t="shared" si="197"/>
        <v>0</v>
      </c>
    </row>
    <row r="2099" spans="1:26">
      <c r="A2099" s="89" t="str">
        <f t="shared" si="192"/>
        <v/>
      </c>
      <c r="B2099" s="89" t="str">
        <f t="shared" si="193"/>
        <v/>
      </c>
      <c r="S2099" s="89" t="str">
        <f t="shared" si="194"/>
        <v/>
      </c>
      <c r="X2099" s="64">
        <f t="shared" si="195"/>
        <v>0</v>
      </c>
      <c r="Y2099" s="53">
        <f t="shared" si="196"/>
        <v>0</v>
      </c>
      <c r="Z2099" s="64">
        <f t="shared" si="197"/>
        <v>0</v>
      </c>
    </row>
    <row r="2100" spans="1:26">
      <c r="A2100" s="89" t="str">
        <f t="shared" si="192"/>
        <v/>
      </c>
      <c r="B2100" s="89" t="str">
        <f t="shared" si="193"/>
        <v/>
      </c>
      <c r="S2100" s="89" t="str">
        <f t="shared" si="194"/>
        <v/>
      </c>
      <c r="X2100" s="64">
        <f t="shared" si="195"/>
        <v>0</v>
      </c>
      <c r="Y2100" s="53">
        <f t="shared" si="196"/>
        <v>0</v>
      </c>
      <c r="Z2100" s="64">
        <f t="shared" si="197"/>
        <v>0</v>
      </c>
    </row>
    <row r="2101" spans="1:26">
      <c r="A2101" s="89" t="str">
        <f t="shared" si="192"/>
        <v/>
      </c>
      <c r="B2101" s="89" t="str">
        <f t="shared" si="193"/>
        <v/>
      </c>
      <c r="S2101" s="89" t="str">
        <f t="shared" si="194"/>
        <v/>
      </c>
      <c r="X2101" s="64">
        <f t="shared" si="195"/>
        <v>0</v>
      </c>
      <c r="Y2101" s="53">
        <f t="shared" si="196"/>
        <v>0</v>
      </c>
      <c r="Z2101" s="64">
        <f t="shared" si="197"/>
        <v>0</v>
      </c>
    </row>
    <row r="2102" spans="1:26">
      <c r="A2102" s="89" t="str">
        <f t="shared" si="192"/>
        <v/>
      </c>
      <c r="B2102" s="89" t="str">
        <f t="shared" si="193"/>
        <v/>
      </c>
      <c r="S2102" s="89" t="str">
        <f t="shared" si="194"/>
        <v/>
      </c>
      <c r="X2102" s="64">
        <f t="shared" si="195"/>
        <v>0</v>
      </c>
      <c r="Y2102" s="53">
        <f t="shared" si="196"/>
        <v>0</v>
      </c>
      <c r="Z2102" s="64">
        <f t="shared" si="197"/>
        <v>0</v>
      </c>
    </row>
    <row r="2103" spans="1:26">
      <c r="A2103" s="89" t="str">
        <f t="shared" si="192"/>
        <v/>
      </c>
      <c r="B2103" s="89" t="str">
        <f t="shared" si="193"/>
        <v/>
      </c>
      <c r="S2103" s="89" t="str">
        <f t="shared" si="194"/>
        <v/>
      </c>
      <c r="X2103" s="64">
        <f t="shared" si="195"/>
        <v>0</v>
      </c>
      <c r="Y2103" s="53">
        <f t="shared" si="196"/>
        <v>0</v>
      </c>
      <c r="Z2103" s="64">
        <f t="shared" si="197"/>
        <v>0</v>
      </c>
    </row>
    <row r="2104" spans="1:26">
      <c r="A2104" s="89" t="str">
        <f t="shared" si="192"/>
        <v/>
      </c>
      <c r="B2104" s="89" t="str">
        <f t="shared" si="193"/>
        <v/>
      </c>
      <c r="S2104" s="89" t="str">
        <f t="shared" si="194"/>
        <v/>
      </c>
      <c r="X2104" s="64">
        <f t="shared" si="195"/>
        <v>0</v>
      </c>
      <c r="Y2104" s="53">
        <f t="shared" si="196"/>
        <v>0</v>
      </c>
      <c r="Z2104" s="64">
        <f t="shared" si="197"/>
        <v>0</v>
      </c>
    </row>
    <row r="2105" spans="1:26">
      <c r="A2105" s="89" t="str">
        <f t="shared" si="192"/>
        <v/>
      </c>
      <c r="B2105" s="89" t="str">
        <f t="shared" si="193"/>
        <v/>
      </c>
      <c r="S2105" s="89" t="str">
        <f t="shared" si="194"/>
        <v/>
      </c>
      <c r="X2105" s="64">
        <f t="shared" si="195"/>
        <v>0</v>
      </c>
      <c r="Y2105" s="53">
        <f t="shared" si="196"/>
        <v>0</v>
      </c>
      <c r="Z2105" s="64">
        <f t="shared" si="197"/>
        <v>0</v>
      </c>
    </row>
    <row r="2106" spans="1:26">
      <c r="A2106" s="89" t="str">
        <f t="shared" si="192"/>
        <v/>
      </c>
      <c r="B2106" s="89" t="str">
        <f t="shared" si="193"/>
        <v/>
      </c>
      <c r="S2106" s="89" t="str">
        <f t="shared" si="194"/>
        <v/>
      </c>
      <c r="X2106" s="64">
        <f t="shared" si="195"/>
        <v>0</v>
      </c>
      <c r="Y2106" s="53">
        <f t="shared" si="196"/>
        <v>0</v>
      </c>
      <c r="Z2106" s="64">
        <f t="shared" si="197"/>
        <v>0</v>
      </c>
    </row>
    <row r="2107" spans="1:26">
      <c r="A2107" s="89" t="str">
        <f t="shared" si="192"/>
        <v/>
      </c>
      <c r="B2107" s="89" t="str">
        <f t="shared" si="193"/>
        <v/>
      </c>
      <c r="S2107" s="89" t="str">
        <f t="shared" si="194"/>
        <v/>
      </c>
      <c r="X2107" s="64">
        <f t="shared" si="195"/>
        <v>0</v>
      </c>
      <c r="Y2107" s="53">
        <f t="shared" si="196"/>
        <v>0</v>
      </c>
      <c r="Z2107" s="64">
        <f t="shared" si="197"/>
        <v>0</v>
      </c>
    </row>
    <row r="2108" spans="1:26">
      <c r="A2108" s="89" t="str">
        <f t="shared" si="192"/>
        <v/>
      </c>
      <c r="B2108" s="89" t="str">
        <f t="shared" si="193"/>
        <v/>
      </c>
      <c r="S2108" s="89" t="str">
        <f t="shared" si="194"/>
        <v/>
      </c>
      <c r="X2108" s="64">
        <f t="shared" si="195"/>
        <v>0</v>
      </c>
      <c r="Y2108" s="53">
        <f t="shared" si="196"/>
        <v>0</v>
      </c>
      <c r="Z2108" s="64">
        <f t="shared" si="197"/>
        <v>0</v>
      </c>
    </row>
    <row r="2109" spans="1:26">
      <c r="A2109" s="89" t="str">
        <f t="shared" si="192"/>
        <v/>
      </c>
      <c r="B2109" s="89" t="str">
        <f t="shared" si="193"/>
        <v/>
      </c>
      <c r="S2109" s="89" t="str">
        <f t="shared" si="194"/>
        <v/>
      </c>
      <c r="X2109" s="64">
        <f t="shared" si="195"/>
        <v>0</v>
      </c>
      <c r="Y2109" s="53">
        <f t="shared" si="196"/>
        <v>0</v>
      </c>
      <c r="Z2109" s="64">
        <f t="shared" si="197"/>
        <v>0</v>
      </c>
    </row>
    <row r="2110" spans="1:26">
      <c r="A2110" s="89" t="str">
        <f t="shared" si="192"/>
        <v/>
      </c>
      <c r="B2110" s="89" t="str">
        <f t="shared" si="193"/>
        <v/>
      </c>
      <c r="S2110" s="89" t="str">
        <f t="shared" si="194"/>
        <v/>
      </c>
      <c r="X2110" s="64">
        <f t="shared" si="195"/>
        <v>0</v>
      </c>
      <c r="Y2110" s="53">
        <f t="shared" si="196"/>
        <v>0</v>
      </c>
      <c r="Z2110" s="64">
        <f t="shared" si="197"/>
        <v>0</v>
      </c>
    </row>
    <row r="2111" spans="1:26">
      <c r="A2111" s="89" t="str">
        <f t="shared" si="192"/>
        <v/>
      </c>
      <c r="B2111" s="89" t="str">
        <f t="shared" si="193"/>
        <v/>
      </c>
      <c r="S2111" s="89" t="str">
        <f t="shared" si="194"/>
        <v/>
      </c>
      <c r="X2111" s="64">
        <f t="shared" si="195"/>
        <v>0</v>
      </c>
      <c r="Y2111" s="53">
        <f t="shared" si="196"/>
        <v>0</v>
      </c>
      <c r="Z2111" s="64">
        <f t="shared" si="197"/>
        <v>0</v>
      </c>
    </row>
    <row r="2112" spans="1:26">
      <c r="A2112" s="89" t="str">
        <f t="shared" si="192"/>
        <v/>
      </c>
      <c r="B2112" s="89" t="str">
        <f t="shared" si="193"/>
        <v/>
      </c>
      <c r="S2112" s="89" t="str">
        <f t="shared" si="194"/>
        <v/>
      </c>
      <c r="X2112" s="64">
        <f t="shared" si="195"/>
        <v>0</v>
      </c>
      <c r="Y2112" s="53">
        <f t="shared" si="196"/>
        <v>0</v>
      </c>
      <c r="Z2112" s="64">
        <f t="shared" si="197"/>
        <v>0</v>
      </c>
    </row>
    <row r="2113" spans="1:26">
      <c r="A2113" s="89" t="str">
        <f t="shared" si="192"/>
        <v/>
      </c>
      <c r="B2113" s="89" t="str">
        <f t="shared" si="193"/>
        <v/>
      </c>
      <c r="S2113" s="89" t="str">
        <f t="shared" si="194"/>
        <v/>
      </c>
      <c r="X2113" s="64">
        <f t="shared" si="195"/>
        <v>0</v>
      </c>
      <c r="Y2113" s="53">
        <f t="shared" si="196"/>
        <v>0</v>
      </c>
      <c r="Z2113" s="64">
        <f t="shared" si="197"/>
        <v>0</v>
      </c>
    </row>
    <row r="2114" spans="1:26">
      <c r="A2114" s="89" t="str">
        <f t="shared" si="192"/>
        <v/>
      </c>
      <c r="B2114" s="89" t="str">
        <f t="shared" si="193"/>
        <v/>
      </c>
      <c r="S2114" s="89" t="str">
        <f t="shared" si="194"/>
        <v/>
      </c>
      <c r="X2114" s="64">
        <f t="shared" si="195"/>
        <v>0</v>
      </c>
      <c r="Y2114" s="53">
        <f t="shared" si="196"/>
        <v>0</v>
      </c>
      <c r="Z2114" s="64">
        <f t="shared" si="197"/>
        <v>0</v>
      </c>
    </row>
    <row r="2115" spans="1:26">
      <c r="A2115" s="89" t="str">
        <f t="shared" ref="A2115:A2178" si="198">IF(G2115&amp;Q2115&lt;&gt;"",G2115&amp;Q2115,"")</f>
        <v/>
      </c>
      <c r="B2115" s="89" t="str">
        <f t="shared" ref="B2115:B2178" si="199">IF(C2115&lt;&gt;"",LEFT(C2115,9),"")</f>
        <v/>
      </c>
      <c r="S2115" s="89" t="str">
        <f t="shared" ref="S2115:S2178" si="200">IF(H2115&lt;&gt;"",H2115,"")</f>
        <v/>
      </c>
      <c r="X2115" s="64">
        <f t="shared" ref="X2115:X2178" si="201">IFERROR(VALUE(MID($C2115,1,2)),0)</f>
        <v>0</v>
      </c>
      <c r="Y2115" s="53">
        <f t="shared" ref="Y2115:Y2178" si="202">IFERROR(VALUE(MID($C2115,4,3)),0)</f>
        <v>0</v>
      </c>
      <c r="Z2115" s="64">
        <f t="shared" ref="Z2115:Z2178" si="203">VALUE(RIGHT("00"&amp;X2115,2)&amp;RIGHT("000"&amp;Y2115,3))</f>
        <v>0</v>
      </c>
    </row>
    <row r="2116" spans="1:26">
      <c r="A2116" s="89" t="str">
        <f t="shared" si="198"/>
        <v/>
      </c>
      <c r="B2116" s="89" t="str">
        <f t="shared" si="199"/>
        <v/>
      </c>
      <c r="S2116" s="89" t="str">
        <f t="shared" si="200"/>
        <v/>
      </c>
      <c r="X2116" s="64">
        <f t="shared" si="201"/>
        <v>0</v>
      </c>
      <c r="Y2116" s="53">
        <f t="shared" si="202"/>
        <v>0</v>
      </c>
      <c r="Z2116" s="64">
        <f t="shared" si="203"/>
        <v>0</v>
      </c>
    </row>
    <row r="2117" spans="1:26">
      <c r="A2117" s="89" t="str">
        <f t="shared" si="198"/>
        <v/>
      </c>
      <c r="B2117" s="89" t="str">
        <f t="shared" si="199"/>
        <v/>
      </c>
      <c r="S2117" s="89" t="str">
        <f t="shared" si="200"/>
        <v/>
      </c>
      <c r="X2117" s="64">
        <f t="shared" si="201"/>
        <v>0</v>
      </c>
      <c r="Y2117" s="53">
        <f t="shared" si="202"/>
        <v>0</v>
      </c>
      <c r="Z2117" s="64">
        <f t="shared" si="203"/>
        <v>0</v>
      </c>
    </row>
    <row r="2118" spans="1:26">
      <c r="A2118" s="89" t="str">
        <f t="shared" si="198"/>
        <v/>
      </c>
      <c r="B2118" s="89" t="str">
        <f t="shared" si="199"/>
        <v/>
      </c>
      <c r="S2118" s="89" t="str">
        <f t="shared" si="200"/>
        <v/>
      </c>
      <c r="X2118" s="64">
        <f t="shared" si="201"/>
        <v>0</v>
      </c>
      <c r="Y2118" s="53">
        <f t="shared" si="202"/>
        <v>0</v>
      </c>
      <c r="Z2118" s="64">
        <f t="shared" si="203"/>
        <v>0</v>
      </c>
    </row>
    <row r="2119" spans="1:26">
      <c r="A2119" s="89" t="str">
        <f t="shared" si="198"/>
        <v/>
      </c>
      <c r="B2119" s="89" t="str">
        <f t="shared" si="199"/>
        <v/>
      </c>
      <c r="S2119" s="89" t="str">
        <f t="shared" si="200"/>
        <v/>
      </c>
      <c r="X2119" s="64">
        <f t="shared" si="201"/>
        <v>0</v>
      </c>
      <c r="Y2119" s="53">
        <f t="shared" si="202"/>
        <v>0</v>
      </c>
      <c r="Z2119" s="64">
        <f t="shared" si="203"/>
        <v>0</v>
      </c>
    </row>
    <row r="2120" spans="1:26">
      <c r="A2120" s="89" t="str">
        <f t="shared" si="198"/>
        <v/>
      </c>
      <c r="B2120" s="89" t="str">
        <f t="shared" si="199"/>
        <v/>
      </c>
      <c r="S2120" s="89" t="str">
        <f t="shared" si="200"/>
        <v/>
      </c>
      <c r="X2120" s="64">
        <f t="shared" si="201"/>
        <v>0</v>
      </c>
      <c r="Y2120" s="53">
        <f t="shared" si="202"/>
        <v>0</v>
      </c>
      <c r="Z2120" s="64">
        <f t="shared" si="203"/>
        <v>0</v>
      </c>
    </row>
    <row r="2121" spans="1:26">
      <c r="A2121" s="89" t="str">
        <f t="shared" si="198"/>
        <v/>
      </c>
      <c r="B2121" s="89" t="str">
        <f t="shared" si="199"/>
        <v/>
      </c>
      <c r="S2121" s="89" t="str">
        <f t="shared" si="200"/>
        <v/>
      </c>
      <c r="X2121" s="64">
        <f t="shared" si="201"/>
        <v>0</v>
      </c>
      <c r="Y2121" s="53">
        <f t="shared" si="202"/>
        <v>0</v>
      </c>
      <c r="Z2121" s="64">
        <f t="shared" si="203"/>
        <v>0</v>
      </c>
    </row>
    <row r="2122" spans="1:26">
      <c r="A2122" s="89" t="str">
        <f t="shared" si="198"/>
        <v/>
      </c>
      <c r="B2122" s="89" t="str">
        <f t="shared" si="199"/>
        <v/>
      </c>
      <c r="S2122" s="89" t="str">
        <f t="shared" si="200"/>
        <v/>
      </c>
      <c r="X2122" s="64">
        <f t="shared" si="201"/>
        <v>0</v>
      </c>
      <c r="Y2122" s="53">
        <f t="shared" si="202"/>
        <v>0</v>
      </c>
      <c r="Z2122" s="64">
        <f t="shared" si="203"/>
        <v>0</v>
      </c>
    </row>
    <row r="2123" spans="1:26">
      <c r="A2123" s="89" t="str">
        <f t="shared" si="198"/>
        <v/>
      </c>
      <c r="B2123" s="89" t="str">
        <f t="shared" si="199"/>
        <v/>
      </c>
      <c r="S2123" s="89" t="str">
        <f t="shared" si="200"/>
        <v/>
      </c>
      <c r="X2123" s="64">
        <f t="shared" si="201"/>
        <v>0</v>
      </c>
      <c r="Y2123" s="53">
        <f t="shared" si="202"/>
        <v>0</v>
      </c>
      <c r="Z2123" s="64">
        <f t="shared" si="203"/>
        <v>0</v>
      </c>
    </row>
    <row r="2124" spans="1:26">
      <c r="A2124" s="89" t="str">
        <f t="shared" si="198"/>
        <v/>
      </c>
      <c r="B2124" s="89" t="str">
        <f t="shared" si="199"/>
        <v/>
      </c>
      <c r="S2124" s="89" t="str">
        <f t="shared" si="200"/>
        <v/>
      </c>
      <c r="X2124" s="64">
        <f t="shared" si="201"/>
        <v>0</v>
      </c>
      <c r="Y2124" s="53">
        <f t="shared" si="202"/>
        <v>0</v>
      </c>
      <c r="Z2124" s="64">
        <f t="shared" si="203"/>
        <v>0</v>
      </c>
    </row>
    <row r="2125" spans="1:26">
      <c r="A2125" s="89" t="str">
        <f t="shared" si="198"/>
        <v/>
      </c>
      <c r="B2125" s="89" t="str">
        <f t="shared" si="199"/>
        <v/>
      </c>
      <c r="S2125" s="89" t="str">
        <f t="shared" si="200"/>
        <v/>
      </c>
      <c r="X2125" s="64">
        <f t="shared" si="201"/>
        <v>0</v>
      </c>
      <c r="Y2125" s="53">
        <f t="shared" si="202"/>
        <v>0</v>
      </c>
      <c r="Z2125" s="64">
        <f t="shared" si="203"/>
        <v>0</v>
      </c>
    </row>
    <row r="2126" spans="1:26">
      <c r="A2126" s="89" t="str">
        <f t="shared" si="198"/>
        <v/>
      </c>
      <c r="B2126" s="89" t="str">
        <f t="shared" si="199"/>
        <v/>
      </c>
      <c r="S2126" s="89" t="str">
        <f t="shared" si="200"/>
        <v/>
      </c>
      <c r="X2126" s="64">
        <f t="shared" si="201"/>
        <v>0</v>
      </c>
      <c r="Y2126" s="53">
        <f t="shared" si="202"/>
        <v>0</v>
      </c>
      <c r="Z2126" s="64">
        <f t="shared" si="203"/>
        <v>0</v>
      </c>
    </row>
    <row r="2127" spans="1:26">
      <c r="A2127" s="89" t="str">
        <f t="shared" si="198"/>
        <v/>
      </c>
      <c r="B2127" s="89" t="str">
        <f t="shared" si="199"/>
        <v/>
      </c>
      <c r="S2127" s="89" t="str">
        <f t="shared" si="200"/>
        <v/>
      </c>
      <c r="X2127" s="64">
        <f t="shared" si="201"/>
        <v>0</v>
      </c>
      <c r="Y2127" s="53">
        <f t="shared" si="202"/>
        <v>0</v>
      </c>
      <c r="Z2127" s="64">
        <f t="shared" si="203"/>
        <v>0</v>
      </c>
    </row>
    <row r="2128" spans="1:26">
      <c r="A2128" s="89" t="str">
        <f t="shared" si="198"/>
        <v/>
      </c>
      <c r="B2128" s="89" t="str">
        <f t="shared" si="199"/>
        <v/>
      </c>
      <c r="S2128" s="89" t="str">
        <f t="shared" si="200"/>
        <v/>
      </c>
      <c r="X2128" s="64">
        <f t="shared" si="201"/>
        <v>0</v>
      </c>
      <c r="Y2128" s="53">
        <f t="shared" si="202"/>
        <v>0</v>
      </c>
      <c r="Z2128" s="64">
        <f t="shared" si="203"/>
        <v>0</v>
      </c>
    </row>
    <row r="2129" spans="1:26">
      <c r="A2129" s="89" t="str">
        <f t="shared" si="198"/>
        <v/>
      </c>
      <c r="B2129" s="89" t="str">
        <f t="shared" si="199"/>
        <v/>
      </c>
      <c r="S2129" s="89" t="str">
        <f t="shared" si="200"/>
        <v/>
      </c>
      <c r="X2129" s="64">
        <f t="shared" si="201"/>
        <v>0</v>
      </c>
      <c r="Y2129" s="53">
        <f t="shared" si="202"/>
        <v>0</v>
      </c>
      <c r="Z2129" s="64">
        <f t="shared" si="203"/>
        <v>0</v>
      </c>
    </row>
    <row r="2130" spans="1:26">
      <c r="A2130" s="89" t="str">
        <f t="shared" si="198"/>
        <v/>
      </c>
      <c r="B2130" s="89" t="str">
        <f t="shared" si="199"/>
        <v/>
      </c>
      <c r="S2130" s="89" t="str">
        <f t="shared" si="200"/>
        <v/>
      </c>
      <c r="X2130" s="64">
        <f t="shared" si="201"/>
        <v>0</v>
      </c>
      <c r="Y2130" s="53">
        <f t="shared" si="202"/>
        <v>0</v>
      </c>
      <c r="Z2130" s="64">
        <f t="shared" si="203"/>
        <v>0</v>
      </c>
    </row>
    <row r="2131" spans="1:26">
      <c r="A2131" s="89" t="str">
        <f t="shared" si="198"/>
        <v/>
      </c>
      <c r="B2131" s="89" t="str">
        <f t="shared" si="199"/>
        <v/>
      </c>
      <c r="S2131" s="89" t="str">
        <f t="shared" si="200"/>
        <v/>
      </c>
      <c r="X2131" s="64">
        <f t="shared" si="201"/>
        <v>0</v>
      </c>
      <c r="Y2131" s="53">
        <f t="shared" si="202"/>
        <v>0</v>
      </c>
      <c r="Z2131" s="64">
        <f t="shared" si="203"/>
        <v>0</v>
      </c>
    </row>
    <row r="2132" spans="1:26">
      <c r="A2132" s="89" t="str">
        <f t="shared" si="198"/>
        <v/>
      </c>
      <c r="B2132" s="89" t="str">
        <f t="shared" si="199"/>
        <v/>
      </c>
      <c r="S2132" s="89" t="str">
        <f t="shared" si="200"/>
        <v/>
      </c>
      <c r="X2132" s="64">
        <f t="shared" si="201"/>
        <v>0</v>
      </c>
      <c r="Y2132" s="53">
        <f t="shared" si="202"/>
        <v>0</v>
      </c>
      <c r="Z2132" s="64">
        <f t="shared" si="203"/>
        <v>0</v>
      </c>
    </row>
    <row r="2133" spans="1:26">
      <c r="A2133" s="89" t="str">
        <f t="shared" si="198"/>
        <v/>
      </c>
      <c r="B2133" s="89" t="str">
        <f t="shared" si="199"/>
        <v/>
      </c>
      <c r="S2133" s="89" t="str">
        <f t="shared" si="200"/>
        <v/>
      </c>
      <c r="X2133" s="64">
        <f t="shared" si="201"/>
        <v>0</v>
      </c>
      <c r="Y2133" s="53">
        <f t="shared" si="202"/>
        <v>0</v>
      </c>
      <c r="Z2133" s="64">
        <f t="shared" si="203"/>
        <v>0</v>
      </c>
    </row>
    <row r="2134" spans="1:26">
      <c r="A2134" s="89" t="str">
        <f t="shared" si="198"/>
        <v/>
      </c>
      <c r="B2134" s="89" t="str">
        <f t="shared" si="199"/>
        <v/>
      </c>
      <c r="S2134" s="89" t="str">
        <f t="shared" si="200"/>
        <v/>
      </c>
      <c r="X2134" s="64">
        <f t="shared" si="201"/>
        <v>0</v>
      </c>
      <c r="Y2134" s="53">
        <f t="shared" si="202"/>
        <v>0</v>
      </c>
      <c r="Z2134" s="64">
        <f t="shared" si="203"/>
        <v>0</v>
      </c>
    </row>
    <row r="2135" spans="1:26">
      <c r="A2135" s="89" t="str">
        <f t="shared" si="198"/>
        <v/>
      </c>
      <c r="B2135" s="89" t="str">
        <f t="shared" si="199"/>
        <v/>
      </c>
      <c r="S2135" s="89" t="str">
        <f t="shared" si="200"/>
        <v/>
      </c>
      <c r="X2135" s="64">
        <f t="shared" si="201"/>
        <v>0</v>
      </c>
      <c r="Y2135" s="53">
        <f t="shared" si="202"/>
        <v>0</v>
      </c>
      <c r="Z2135" s="64">
        <f t="shared" si="203"/>
        <v>0</v>
      </c>
    </row>
    <row r="2136" spans="1:26">
      <c r="A2136" s="89" t="str">
        <f t="shared" si="198"/>
        <v/>
      </c>
      <c r="B2136" s="89" t="str">
        <f t="shared" si="199"/>
        <v/>
      </c>
      <c r="S2136" s="89" t="str">
        <f t="shared" si="200"/>
        <v/>
      </c>
      <c r="X2136" s="64">
        <f t="shared" si="201"/>
        <v>0</v>
      </c>
      <c r="Y2136" s="53">
        <f t="shared" si="202"/>
        <v>0</v>
      </c>
      <c r="Z2136" s="64">
        <f t="shared" si="203"/>
        <v>0</v>
      </c>
    </row>
    <row r="2137" spans="1:26">
      <c r="A2137" s="89" t="str">
        <f t="shared" si="198"/>
        <v/>
      </c>
      <c r="B2137" s="89" t="str">
        <f t="shared" si="199"/>
        <v/>
      </c>
      <c r="S2137" s="89" t="str">
        <f t="shared" si="200"/>
        <v/>
      </c>
      <c r="X2137" s="64">
        <f t="shared" si="201"/>
        <v>0</v>
      </c>
      <c r="Y2137" s="53">
        <f t="shared" si="202"/>
        <v>0</v>
      </c>
      <c r="Z2137" s="64">
        <f t="shared" si="203"/>
        <v>0</v>
      </c>
    </row>
    <row r="2138" spans="1:26">
      <c r="A2138" s="89" t="str">
        <f t="shared" si="198"/>
        <v/>
      </c>
      <c r="B2138" s="89" t="str">
        <f t="shared" si="199"/>
        <v/>
      </c>
      <c r="S2138" s="89" t="str">
        <f t="shared" si="200"/>
        <v/>
      </c>
      <c r="X2138" s="64">
        <f t="shared" si="201"/>
        <v>0</v>
      </c>
      <c r="Y2138" s="53">
        <f t="shared" si="202"/>
        <v>0</v>
      </c>
      <c r="Z2138" s="64">
        <f t="shared" si="203"/>
        <v>0</v>
      </c>
    </row>
    <row r="2139" spans="1:26">
      <c r="A2139" s="89" t="str">
        <f t="shared" si="198"/>
        <v/>
      </c>
      <c r="B2139" s="89" t="str">
        <f t="shared" si="199"/>
        <v/>
      </c>
      <c r="S2139" s="89" t="str">
        <f t="shared" si="200"/>
        <v/>
      </c>
      <c r="X2139" s="64">
        <f t="shared" si="201"/>
        <v>0</v>
      </c>
      <c r="Y2139" s="53">
        <f t="shared" si="202"/>
        <v>0</v>
      </c>
      <c r="Z2139" s="64">
        <f t="shared" si="203"/>
        <v>0</v>
      </c>
    </row>
    <row r="2140" spans="1:26">
      <c r="A2140" s="89" t="str">
        <f t="shared" si="198"/>
        <v/>
      </c>
      <c r="B2140" s="89" t="str">
        <f t="shared" si="199"/>
        <v/>
      </c>
      <c r="S2140" s="89" t="str">
        <f t="shared" si="200"/>
        <v/>
      </c>
      <c r="X2140" s="64">
        <f t="shared" si="201"/>
        <v>0</v>
      </c>
      <c r="Y2140" s="53">
        <f t="shared" si="202"/>
        <v>0</v>
      </c>
      <c r="Z2140" s="64">
        <f t="shared" si="203"/>
        <v>0</v>
      </c>
    </row>
    <row r="2141" spans="1:26">
      <c r="A2141" s="89" t="str">
        <f t="shared" si="198"/>
        <v/>
      </c>
      <c r="B2141" s="89" t="str">
        <f t="shared" si="199"/>
        <v/>
      </c>
      <c r="S2141" s="89" t="str">
        <f t="shared" si="200"/>
        <v/>
      </c>
      <c r="X2141" s="64">
        <f t="shared" si="201"/>
        <v>0</v>
      </c>
      <c r="Y2141" s="53">
        <f t="shared" si="202"/>
        <v>0</v>
      </c>
      <c r="Z2141" s="64">
        <f t="shared" si="203"/>
        <v>0</v>
      </c>
    </row>
    <row r="2142" spans="1:26">
      <c r="A2142" s="89" t="str">
        <f t="shared" si="198"/>
        <v/>
      </c>
      <c r="B2142" s="89" t="str">
        <f t="shared" si="199"/>
        <v/>
      </c>
      <c r="S2142" s="89" t="str">
        <f t="shared" si="200"/>
        <v/>
      </c>
      <c r="X2142" s="64">
        <f t="shared" si="201"/>
        <v>0</v>
      </c>
      <c r="Y2142" s="53">
        <f t="shared" si="202"/>
        <v>0</v>
      </c>
      <c r="Z2142" s="64">
        <f t="shared" si="203"/>
        <v>0</v>
      </c>
    </row>
    <row r="2143" spans="1:26">
      <c r="A2143" s="89" t="str">
        <f t="shared" si="198"/>
        <v/>
      </c>
      <c r="B2143" s="89" t="str">
        <f t="shared" si="199"/>
        <v/>
      </c>
      <c r="S2143" s="89" t="str">
        <f t="shared" si="200"/>
        <v/>
      </c>
      <c r="X2143" s="64">
        <f t="shared" si="201"/>
        <v>0</v>
      </c>
      <c r="Y2143" s="53">
        <f t="shared" si="202"/>
        <v>0</v>
      </c>
      <c r="Z2143" s="64">
        <f t="shared" si="203"/>
        <v>0</v>
      </c>
    </row>
    <row r="2144" spans="1:26">
      <c r="A2144" s="89" t="str">
        <f t="shared" si="198"/>
        <v/>
      </c>
      <c r="B2144" s="89" t="str">
        <f t="shared" si="199"/>
        <v/>
      </c>
      <c r="S2144" s="89" t="str">
        <f t="shared" si="200"/>
        <v/>
      </c>
      <c r="X2144" s="64">
        <f t="shared" si="201"/>
        <v>0</v>
      </c>
      <c r="Y2144" s="53">
        <f t="shared" si="202"/>
        <v>0</v>
      </c>
      <c r="Z2144" s="64">
        <f t="shared" si="203"/>
        <v>0</v>
      </c>
    </row>
    <row r="2145" spans="1:26">
      <c r="A2145" s="89" t="str">
        <f t="shared" si="198"/>
        <v/>
      </c>
      <c r="B2145" s="89" t="str">
        <f t="shared" si="199"/>
        <v/>
      </c>
      <c r="S2145" s="89" t="str">
        <f t="shared" si="200"/>
        <v/>
      </c>
      <c r="X2145" s="64">
        <f t="shared" si="201"/>
        <v>0</v>
      </c>
      <c r="Y2145" s="53">
        <f t="shared" si="202"/>
        <v>0</v>
      </c>
      <c r="Z2145" s="64">
        <f t="shared" si="203"/>
        <v>0</v>
      </c>
    </row>
    <row r="2146" spans="1:26">
      <c r="A2146" s="89" t="str">
        <f t="shared" si="198"/>
        <v/>
      </c>
      <c r="B2146" s="89" t="str">
        <f t="shared" si="199"/>
        <v/>
      </c>
      <c r="S2146" s="89" t="str">
        <f t="shared" si="200"/>
        <v/>
      </c>
      <c r="X2146" s="64">
        <f t="shared" si="201"/>
        <v>0</v>
      </c>
      <c r="Y2146" s="53">
        <f t="shared" si="202"/>
        <v>0</v>
      </c>
      <c r="Z2146" s="64">
        <f t="shared" si="203"/>
        <v>0</v>
      </c>
    </row>
    <row r="2147" spans="1:26">
      <c r="A2147" s="89" t="str">
        <f t="shared" si="198"/>
        <v/>
      </c>
      <c r="B2147" s="89" t="str">
        <f t="shared" si="199"/>
        <v/>
      </c>
      <c r="S2147" s="89" t="str">
        <f t="shared" si="200"/>
        <v/>
      </c>
      <c r="X2147" s="64">
        <f t="shared" si="201"/>
        <v>0</v>
      </c>
      <c r="Y2147" s="53">
        <f t="shared" si="202"/>
        <v>0</v>
      </c>
      <c r="Z2147" s="64">
        <f t="shared" si="203"/>
        <v>0</v>
      </c>
    </row>
    <row r="2148" spans="1:26">
      <c r="A2148" s="89" t="str">
        <f t="shared" si="198"/>
        <v/>
      </c>
      <c r="B2148" s="89" t="str">
        <f t="shared" si="199"/>
        <v/>
      </c>
      <c r="S2148" s="89" t="str">
        <f t="shared" si="200"/>
        <v/>
      </c>
      <c r="X2148" s="64">
        <f t="shared" si="201"/>
        <v>0</v>
      </c>
      <c r="Y2148" s="53">
        <f t="shared" si="202"/>
        <v>0</v>
      </c>
      <c r="Z2148" s="64">
        <f t="shared" si="203"/>
        <v>0</v>
      </c>
    </row>
    <row r="2149" spans="1:26">
      <c r="A2149" s="89" t="str">
        <f t="shared" si="198"/>
        <v/>
      </c>
      <c r="B2149" s="89" t="str">
        <f t="shared" si="199"/>
        <v/>
      </c>
      <c r="S2149" s="89" t="str">
        <f t="shared" si="200"/>
        <v/>
      </c>
      <c r="X2149" s="64">
        <f t="shared" si="201"/>
        <v>0</v>
      </c>
      <c r="Y2149" s="53">
        <f t="shared" si="202"/>
        <v>0</v>
      </c>
      <c r="Z2149" s="64">
        <f t="shared" si="203"/>
        <v>0</v>
      </c>
    </row>
    <row r="2150" spans="1:26">
      <c r="A2150" s="89" t="str">
        <f t="shared" si="198"/>
        <v/>
      </c>
      <c r="B2150" s="89" t="str">
        <f t="shared" si="199"/>
        <v/>
      </c>
      <c r="S2150" s="89" t="str">
        <f t="shared" si="200"/>
        <v/>
      </c>
      <c r="X2150" s="64">
        <f t="shared" si="201"/>
        <v>0</v>
      </c>
      <c r="Y2150" s="53">
        <f t="shared" si="202"/>
        <v>0</v>
      </c>
      <c r="Z2150" s="64">
        <f t="shared" si="203"/>
        <v>0</v>
      </c>
    </row>
    <row r="2151" spans="1:26">
      <c r="A2151" s="89" t="str">
        <f t="shared" si="198"/>
        <v/>
      </c>
      <c r="B2151" s="89" t="str">
        <f t="shared" si="199"/>
        <v/>
      </c>
      <c r="S2151" s="89" t="str">
        <f t="shared" si="200"/>
        <v/>
      </c>
      <c r="X2151" s="64">
        <f t="shared" si="201"/>
        <v>0</v>
      </c>
      <c r="Y2151" s="53">
        <f t="shared" si="202"/>
        <v>0</v>
      </c>
      <c r="Z2151" s="64">
        <f t="shared" si="203"/>
        <v>0</v>
      </c>
    </row>
    <row r="2152" spans="1:26">
      <c r="A2152" s="89" t="str">
        <f t="shared" si="198"/>
        <v/>
      </c>
      <c r="B2152" s="89" t="str">
        <f t="shared" si="199"/>
        <v/>
      </c>
      <c r="S2152" s="89" t="str">
        <f t="shared" si="200"/>
        <v/>
      </c>
      <c r="X2152" s="64">
        <f t="shared" si="201"/>
        <v>0</v>
      </c>
      <c r="Y2152" s="53">
        <f t="shared" si="202"/>
        <v>0</v>
      </c>
      <c r="Z2152" s="64">
        <f t="shared" si="203"/>
        <v>0</v>
      </c>
    </row>
    <row r="2153" spans="1:26">
      <c r="A2153" s="89" t="str">
        <f t="shared" si="198"/>
        <v/>
      </c>
      <c r="B2153" s="89" t="str">
        <f t="shared" si="199"/>
        <v/>
      </c>
      <c r="S2153" s="89" t="str">
        <f t="shared" si="200"/>
        <v/>
      </c>
      <c r="X2153" s="64">
        <f t="shared" si="201"/>
        <v>0</v>
      </c>
      <c r="Y2153" s="53">
        <f t="shared" si="202"/>
        <v>0</v>
      </c>
      <c r="Z2153" s="64">
        <f t="shared" si="203"/>
        <v>0</v>
      </c>
    </row>
    <row r="2154" spans="1:26">
      <c r="A2154" s="89" t="str">
        <f t="shared" si="198"/>
        <v/>
      </c>
      <c r="B2154" s="89" t="str">
        <f t="shared" si="199"/>
        <v/>
      </c>
      <c r="S2154" s="89" t="str">
        <f t="shared" si="200"/>
        <v/>
      </c>
      <c r="X2154" s="64">
        <f t="shared" si="201"/>
        <v>0</v>
      </c>
      <c r="Y2154" s="53">
        <f t="shared" si="202"/>
        <v>0</v>
      </c>
      <c r="Z2154" s="64">
        <f t="shared" si="203"/>
        <v>0</v>
      </c>
    </row>
    <row r="2155" spans="1:26">
      <c r="A2155" s="89" t="str">
        <f t="shared" si="198"/>
        <v/>
      </c>
      <c r="B2155" s="89" t="str">
        <f t="shared" si="199"/>
        <v/>
      </c>
      <c r="S2155" s="89" t="str">
        <f t="shared" si="200"/>
        <v/>
      </c>
      <c r="X2155" s="64">
        <f t="shared" si="201"/>
        <v>0</v>
      </c>
      <c r="Y2155" s="53">
        <f t="shared" si="202"/>
        <v>0</v>
      </c>
      <c r="Z2155" s="64">
        <f t="shared" si="203"/>
        <v>0</v>
      </c>
    </row>
    <row r="2156" spans="1:26">
      <c r="A2156" s="89" t="str">
        <f t="shared" si="198"/>
        <v/>
      </c>
      <c r="B2156" s="89" t="str">
        <f t="shared" si="199"/>
        <v/>
      </c>
      <c r="S2156" s="89" t="str">
        <f t="shared" si="200"/>
        <v/>
      </c>
      <c r="X2156" s="64">
        <f t="shared" si="201"/>
        <v>0</v>
      </c>
      <c r="Y2156" s="53">
        <f t="shared" si="202"/>
        <v>0</v>
      </c>
      <c r="Z2156" s="64">
        <f t="shared" si="203"/>
        <v>0</v>
      </c>
    </row>
    <row r="2157" spans="1:26">
      <c r="A2157" s="89" t="str">
        <f t="shared" si="198"/>
        <v/>
      </c>
      <c r="B2157" s="89" t="str">
        <f t="shared" si="199"/>
        <v/>
      </c>
      <c r="S2157" s="89" t="str">
        <f t="shared" si="200"/>
        <v/>
      </c>
      <c r="X2157" s="64">
        <f t="shared" si="201"/>
        <v>0</v>
      </c>
      <c r="Y2157" s="53">
        <f t="shared" si="202"/>
        <v>0</v>
      </c>
      <c r="Z2157" s="64">
        <f t="shared" si="203"/>
        <v>0</v>
      </c>
    </row>
    <row r="2158" spans="1:26">
      <c r="A2158" s="89" t="str">
        <f t="shared" si="198"/>
        <v/>
      </c>
      <c r="B2158" s="89" t="str">
        <f t="shared" si="199"/>
        <v/>
      </c>
      <c r="S2158" s="89" t="str">
        <f t="shared" si="200"/>
        <v/>
      </c>
      <c r="X2158" s="64">
        <f t="shared" si="201"/>
        <v>0</v>
      </c>
      <c r="Y2158" s="53">
        <f t="shared" si="202"/>
        <v>0</v>
      </c>
      <c r="Z2158" s="64">
        <f t="shared" si="203"/>
        <v>0</v>
      </c>
    </row>
    <row r="2159" spans="1:26">
      <c r="A2159" s="89" t="str">
        <f t="shared" si="198"/>
        <v/>
      </c>
      <c r="B2159" s="89" t="str">
        <f t="shared" si="199"/>
        <v/>
      </c>
      <c r="S2159" s="89" t="str">
        <f t="shared" si="200"/>
        <v/>
      </c>
      <c r="X2159" s="64">
        <f t="shared" si="201"/>
        <v>0</v>
      </c>
      <c r="Y2159" s="53">
        <f t="shared" si="202"/>
        <v>0</v>
      </c>
      <c r="Z2159" s="64">
        <f t="shared" si="203"/>
        <v>0</v>
      </c>
    </row>
    <row r="2160" spans="1:26">
      <c r="A2160" s="89" t="str">
        <f t="shared" si="198"/>
        <v/>
      </c>
      <c r="B2160" s="89" t="str">
        <f t="shared" si="199"/>
        <v/>
      </c>
      <c r="S2160" s="89" t="str">
        <f t="shared" si="200"/>
        <v/>
      </c>
      <c r="X2160" s="64">
        <f t="shared" si="201"/>
        <v>0</v>
      </c>
      <c r="Y2160" s="53">
        <f t="shared" si="202"/>
        <v>0</v>
      </c>
      <c r="Z2160" s="64">
        <f t="shared" si="203"/>
        <v>0</v>
      </c>
    </row>
    <row r="2161" spans="1:26">
      <c r="A2161" s="89" t="str">
        <f t="shared" si="198"/>
        <v/>
      </c>
      <c r="B2161" s="89" t="str">
        <f t="shared" si="199"/>
        <v/>
      </c>
      <c r="S2161" s="89" t="str">
        <f t="shared" si="200"/>
        <v/>
      </c>
      <c r="X2161" s="64">
        <f t="shared" si="201"/>
        <v>0</v>
      </c>
      <c r="Y2161" s="53">
        <f t="shared" si="202"/>
        <v>0</v>
      </c>
      <c r="Z2161" s="64">
        <f t="shared" si="203"/>
        <v>0</v>
      </c>
    </row>
    <row r="2162" spans="1:26">
      <c r="A2162" s="89" t="str">
        <f t="shared" si="198"/>
        <v/>
      </c>
      <c r="B2162" s="89" t="str">
        <f t="shared" si="199"/>
        <v/>
      </c>
      <c r="S2162" s="89" t="str">
        <f t="shared" si="200"/>
        <v/>
      </c>
      <c r="X2162" s="64">
        <f t="shared" si="201"/>
        <v>0</v>
      </c>
      <c r="Y2162" s="53">
        <f t="shared" si="202"/>
        <v>0</v>
      </c>
      <c r="Z2162" s="64">
        <f t="shared" si="203"/>
        <v>0</v>
      </c>
    </row>
    <row r="2163" spans="1:26">
      <c r="A2163" s="89" t="str">
        <f t="shared" si="198"/>
        <v/>
      </c>
      <c r="B2163" s="89" t="str">
        <f t="shared" si="199"/>
        <v/>
      </c>
      <c r="S2163" s="89" t="str">
        <f t="shared" si="200"/>
        <v/>
      </c>
      <c r="X2163" s="64">
        <f t="shared" si="201"/>
        <v>0</v>
      </c>
      <c r="Y2163" s="53">
        <f t="shared" si="202"/>
        <v>0</v>
      </c>
      <c r="Z2163" s="64">
        <f t="shared" si="203"/>
        <v>0</v>
      </c>
    </row>
    <row r="2164" spans="1:26">
      <c r="A2164" s="89" t="str">
        <f t="shared" si="198"/>
        <v/>
      </c>
      <c r="B2164" s="89" t="str">
        <f t="shared" si="199"/>
        <v/>
      </c>
      <c r="S2164" s="89" t="str">
        <f t="shared" si="200"/>
        <v/>
      </c>
      <c r="X2164" s="64">
        <f t="shared" si="201"/>
        <v>0</v>
      </c>
      <c r="Y2164" s="53">
        <f t="shared" si="202"/>
        <v>0</v>
      </c>
      <c r="Z2164" s="64">
        <f t="shared" si="203"/>
        <v>0</v>
      </c>
    </row>
    <row r="2165" spans="1:26">
      <c r="A2165" s="89" t="str">
        <f t="shared" si="198"/>
        <v/>
      </c>
      <c r="B2165" s="89" t="str">
        <f t="shared" si="199"/>
        <v/>
      </c>
      <c r="S2165" s="89" t="str">
        <f t="shared" si="200"/>
        <v/>
      </c>
      <c r="X2165" s="64">
        <f t="shared" si="201"/>
        <v>0</v>
      </c>
      <c r="Y2165" s="53">
        <f t="shared" si="202"/>
        <v>0</v>
      </c>
      <c r="Z2165" s="64">
        <f t="shared" si="203"/>
        <v>0</v>
      </c>
    </row>
    <row r="2166" spans="1:26">
      <c r="A2166" s="89" t="str">
        <f t="shared" si="198"/>
        <v/>
      </c>
      <c r="B2166" s="89" t="str">
        <f t="shared" si="199"/>
        <v/>
      </c>
      <c r="S2166" s="89" t="str">
        <f t="shared" si="200"/>
        <v/>
      </c>
      <c r="X2166" s="64">
        <f t="shared" si="201"/>
        <v>0</v>
      </c>
      <c r="Y2166" s="53">
        <f t="shared" si="202"/>
        <v>0</v>
      </c>
      <c r="Z2166" s="64">
        <f t="shared" si="203"/>
        <v>0</v>
      </c>
    </row>
    <row r="2167" spans="1:26">
      <c r="A2167" s="89" t="str">
        <f t="shared" si="198"/>
        <v/>
      </c>
      <c r="B2167" s="89" t="str">
        <f t="shared" si="199"/>
        <v/>
      </c>
      <c r="S2167" s="89" t="str">
        <f t="shared" si="200"/>
        <v/>
      </c>
      <c r="X2167" s="64">
        <f t="shared" si="201"/>
        <v>0</v>
      </c>
      <c r="Y2167" s="53">
        <f t="shared" si="202"/>
        <v>0</v>
      </c>
      <c r="Z2167" s="64">
        <f t="shared" si="203"/>
        <v>0</v>
      </c>
    </row>
    <row r="2168" spans="1:26">
      <c r="A2168" s="89" t="str">
        <f t="shared" si="198"/>
        <v/>
      </c>
      <c r="B2168" s="89" t="str">
        <f t="shared" si="199"/>
        <v/>
      </c>
      <c r="S2168" s="89" t="str">
        <f t="shared" si="200"/>
        <v/>
      </c>
      <c r="X2168" s="64">
        <f t="shared" si="201"/>
        <v>0</v>
      </c>
      <c r="Y2168" s="53">
        <f t="shared" si="202"/>
        <v>0</v>
      </c>
      <c r="Z2168" s="64">
        <f t="shared" si="203"/>
        <v>0</v>
      </c>
    </row>
    <row r="2169" spans="1:26">
      <c r="A2169" s="89" t="str">
        <f t="shared" si="198"/>
        <v/>
      </c>
      <c r="B2169" s="89" t="str">
        <f t="shared" si="199"/>
        <v/>
      </c>
      <c r="S2169" s="89" t="str">
        <f t="shared" si="200"/>
        <v/>
      </c>
      <c r="X2169" s="64">
        <f t="shared" si="201"/>
        <v>0</v>
      </c>
      <c r="Y2169" s="53">
        <f t="shared" si="202"/>
        <v>0</v>
      </c>
      <c r="Z2169" s="64">
        <f t="shared" si="203"/>
        <v>0</v>
      </c>
    </row>
    <row r="2170" spans="1:26">
      <c r="A2170" s="89" t="str">
        <f t="shared" si="198"/>
        <v/>
      </c>
      <c r="B2170" s="89" t="str">
        <f t="shared" si="199"/>
        <v/>
      </c>
      <c r="S2170" s="89" t="str">
        <f t="shared" si="200"/>
        <v/>
      </c>
      <c r="X2170" s="64">
        <f t="shared" si="201"/>
        <v>0</v>
      </c>
      <c r="Y2170" s="53">
        <f t="shared" si="202"/>
        <v>0</v>
      </c>
      <c r="Z2170" s="64">
        <f t="shared" si="203"/>
        <v>0</v>
      </c>
    </row>
    <row r="2171" spans="1:26">
      <c r="A2171" s="89" t="str">
        <f t="shared" si="198"/>
        <v/>
      </c>
      <c r="B2171" s="89" t="str">
        <f t="shared" si="199"/>
        <v/>
      </c>
      <c r="S2171" s="89" t="str">
        <f t="shared" si="200"/>
        <v/>
      </c>
      <c r="X2171" s="64">
        <f t="shared" si="201"/>
        <v>0</v>
      </c>
      <c r="Y2171" s="53">
        <f t="shared" si="202"/>
        <v>0</v>
      </c>
      <c r="Z2171" s="64">
        <f t="shared" si="203"/>
        <v>0</v>
      </c>
    </row>
    <row r="2172" spans="1:26">
      <c r="A2172" s="89" t="str">
        <f t="shared" si="198"/>
        <v/>
      </c>
      <c r="B2172" s="89" t="str">
        <f t="shared" si="199"/>
        <v/>
      </c>
      <c r="S2172" s="89" t="str">
        <f t="shared" si="200"/>
        <v/>
      </c>
      <c r="X2172" s="64">
        <f t="shared" si="201"/>
        <v>0</v>
      </c>
      <c r="Y2172" s="53">
        <f t="shared" si="202"/>
        <v>0</v>
      </c>
      <c r="Z2172" s="64">
        <f t="shared" si="203"/>
        <v>0</v>
      </c>
    </row>
    <row r="2173" spans="1:26">
      <c r="A2173" s="89" t="str">
        <f t="shared" si="198"/>
        <v/>
      </c>
      <c r="B2173" s="89" t="str">
        <f t="shared" si="199"/>
        <v/>
      </c>
      <c r="S2173" s="89" t="str">
        <f t="shared" si="200"/>
        <v/>
      </c>
      <c r="X2173" s="64">
        <f t="shared" si="201"/>
        <v>0</v>
      </c>
      <c r="Y2173" s="53">
        <f t="shared" si="202"/>
        <v>0</v>
      </c>
      <c r="Z2173" s="64">
        <f t="shared" si="203"/>
        <v>0</v>
      </c>
    </row>
    <row r="2174" spans="1:26">
      <c r="A2174" s="89" t="str">
        <f t="shared" si="198"/>
        <v/>
      </c>
      <c r="B2174" s="89" t="str">
        <f t="shared" si="199"/>
        <v/>
      </c>
      <c r="S2174" s="89" t="str">
        <f t="shared" si="200"/>
        <v/>
      </c>
      <c r="X2174" s="64">
        <f t="shared" si="201"/>
        <v>0</v>
      </c>
      <c r="Y2174" s="53">
        <f t="shared" si="202"/>
        <v>0</v>
      </c>
      <c r="Z2174" s="64">
        <f t="shared" si="203"/>
        <v>0</v>
      </c>
    </row>
    <row r="2175" spans="1:26">
      <c r="A2175" s="89" t="str">
        <f t="shared" si="198"/>
        <v/>
      </c>
      <c r="B2175" s="89" t="str">
        <f t="shared" si="199"/>
        <v/>
      </c>
      <c r="S2175" s="89" t="str">
        <f t="shared" si="200"/>
        <v/>
      </c>
      <c r="X2175" s="64">
        <f t="shared" si="201"/>
        <v>0</v>
      </c>
      <c r="Y2175" s="53">
        <f t="shared" si="202"/>
        <v>0</v>
      </c>
      <c r="Z2175" s="64">
        <f t="shared" si="203"/>
        <v>0</v>
      </c>
    </row>
    <row r="2176" spans="1:26">
      <c r="A2176" s="89" t="str">
        <f t="shared" si="198"/>
        <v/>
      </c>
      <c r="B2176" s="89" t="str">
        <f t="shared" si="199"/>
        <v/>
      </c>
      <c r="S2176" s="89" t="str">
        <f t="shared" si="200"/>
        <v/>
      </c>
      <c r="X2176" s="64">
        <f t="shared" si="201"/>
        <v>0</v>
      </c>
      <c r="Y2176" s="53">
        <f t="shared" si="202"/>
        <v>0</v>
      </c>
      <c r="Z2176" s="64">
        <f t="shared" si="203"/>
        <v>0</v>
      </c>
    </row>
    <row r="2177" spans="1:26">
      <c r="A2177" s="89" t="str">
        <f t="shared" si="198"/>
        <v/>
      </c>
      <c r="B2177" s="89" t="str">
        <f t="shared" si="199"/>
        <v/>
      </c>
      <c r="S2177" s="89" t="str">
        <f t="shared" si="200"/>
        <v/>
      </c>
      <c r="X2177" s="64">
        <f t="shared" si="201"/>
        <v>0</v>
      </c>
      <c r="Y2177" s="53">
        <f t="shared" si="202"/>
        <v>0</v>
      </c>
      <c r="Z2177" s="64">
        <f t="shared" si="203"/>
        <v>0</v>
      </c>
    </row>
    <row r="2178" spans="1:26">
      <c r="A2178" s="89" t="str">
        <f t="shared" si="198"/>
        <v/>
      </c>
      <c r="B2178" s="89" t="str">
        <f t="shared" si="199"/>
        <v/>
      </c>
      <c r="S2178" s="89" t="str">
        <f t="shared" si="200"/>
        <v/>
      </c>
      <c r="X2178" s="64">
        <f t="shared" si="201"/>
        <v>0</v>
      </c>
      <c r="Y2178" s="53">
        <f t="shared" si="202"/>
        <v>0</v>
      </c>
      <c r="Z2178" s="64">
        <f t="shared" si="203"/>
        <v>0</v>
      </c>
    </row>
    <row r="2179" spans="1:26">
      <c r="A2179" s="89" t="str">
        <f t="shared" ref="A2179:A2242" si="204">IF(G2179&amp;Q2179&lt;&gt;"",G2179&amp;Q2179,"")</f>
        <v/>
      </c>
      <c r="B2179" s="89" t="str">
        <f t="shared" ref="B2179:B2242" si="205">IF(C2179&lt;&gt;"",LEFT(C2179,9),"")</f>
        <v/>
      </c>
      <c r="S2179" s="89" t="str">
        <f t="shared" ref="S2179:S2242" si="206">IF(H2179&lt;&gt;"",H2179,"")</f>
        <v/>
      </c>
      <c r="X2179" s="64">
        <f t="shared" ref="X2179:X2242" si="207">IFERROR(VALUE(MID($C2179,1,2)),0)</f>
        <v>0</v>
      </c>
      <c r="Y2179" s="53">
        <f t="shared" ref="Y2179:Y2242" si="208">IFERROR(VALUE(MID($C2179,4,3)),0)</f>
        <v>0</v>
      </c>
      <c r="Z2179" s="64">
        <f t="shared" ref="Z2179:Z2242" si="209">VALUE(RIGHT("00"&amp;X2179,2)&amp;RIGHT("000"&amp;Y2179,3))</f>
        <v>0</v>
      </c>
    </row>
    <row r="2180" spans="1:26">
      <c r="A2180" s="89" t="str">
        <f t="shared" si="204"/>
        <v/>
      </c>
      <c r="B2180" s="89" t="str">
        <f t="shared" si="205"/>
        <v/>
      </c>
      <c r="S2180" s="89" t="str">
        <f t="shared" si="206"/>
        <v/>
      </c>
      <c r="X2180" s="64">
        <f t="shared" si="207"/>
        <v>0</v>
      </c>
      <c r="Y2180" s="53">
        <f t="shared" si="208"/>
        <v>0</v>
      </c>
      <c r="Z2180" s="64">
        <f t="shared" si="209"/>
        <v>0</v>
      </c>
    </row>
    <row r="2181" spans="1:26">
      <c r="A2181" s="89" t="str">
        <f t="shared" si="204"/>
        <v/>
      </c>
      <c r="B2181" s="89" t="str">
        <f t="shared" si="205"/>
        <v/>
      </c>
      <c r="S2181" s="89" t="str">
        <f t="shared" si="206"/>
        <v/>
      </c>
      <c r="X2181" s="64">
        <f t="shared" si="207"/>
        <v>0</v>
      </c>
      <c r="Y2181" s="53">
        <f t="shared" si="208"/>
        <v>0</v>
      </c>
      <c r="Z2181" s="64">
        <f t="shared" si="209"/>
        <v>0</v>
      </c>
    </row>
    <row r="2182" spans="1:26">
      <c r="A2182" s="89" t="str">
        <f t="shared" si="204"/>
        <v/>
      </c>
      <c r="B2182" s="89" t="str">
        <f t="shared" si="205"/>
        <v/>
      </c>
      <c r="S2182" s="89" t="str">
        <f t="shared" si="206"/>
        <v/>
      </c>
      <c r="X2182" s="64">
        <f t="shared" si="207"/>
        <v>0</v>
      </c>
      <c r="Y2182" s="53">
        <f t="shared" si="208"/>
        <v>0</v>
      </c>
      <c r="Z2182" s="64">
        <f t="shared" si="209"/>
        <v>0</v>
      </c>
    </row>
    <row r="2183" spans="1:26">
      <c r="A2183" s="89" t="str">
        <f t="shared" si="204"/>
        <v/>
      </c>
      <c r="B2183" s="89" t="str">
        <f t="shared" si="205"/>
        <v/>
      </c>
      <c r="S2183" s="89" t="str">
        <f t="shared" si="206"/>
        <v/>
      </c>
      <c r="X2183" s="64">
        <f t="shared" si="207"/>
        <v>0</v>
      </c>
      <c r="Y2183" s="53">
        <f t="shared" si="208"/>
        <v>0</v>
      </c>
      <c r="Z2183" s="64">
        <f t="shared" si="209"/>
        <v>0</v>
      </c>
    </row>
    <row r="2184" spans="1:26">
      <c r="A2184" s="89" t="str">
        <f t="shared" si="204"/>
        <v/>
      </c>
      <c r="B2184" s="89" t="str">
        <f t="shared" si="205"/>
        <v/>
      </c>
      <c r="S2184" s="89" t="str">
        <f t="shared" si="206"/>
        <v/>
      </c>
      <c r="X2184" s="64">
        <f t="shared" si="207"/>
        <v>0</v>
      </c>
      <c r="Y2184" s="53">
        <f t="shared" si="208"/>
        <v>0</v>
      </c>
      <c r="Z2184" s="64">
        <f t="shared" si="209"/>
        <v>0</v>
      </c>
    </row>
    <row r="2185" spans="1:26">
      <c r="A2185" s="89" t="str">
        <f t="shared" si="204"/>
        <v/>
      </c>
      <c r="B2185" s="89" t="str">
        <f t="shared" si="205"/>
        <v/>
      </c>
      <c r="S2185" s="89" t="str">
        <f t="shared" si="206"/>
        <v/>
      </c>
      <c r="X2185" s="64">
        <f t="shared" si="207"/>
        <v>0</v>
      </c>
      <c r="Y2185" s="53">
        <f t="shared" si="208"/>
        <v>0</v>
      </c>
      <c r="Z2185" s="64">
        <f t="shared" si="209"/>
        <v>0</v>
      </c>
    </row>
    <row r="2186" spans="1:26">
      <c r="A2186" s="89" t="str">
        <f t="shared" si="204"/>
        <v/>
      </c>
      <c r="B2186" s="89" t="str">
        <f t="shared" si="205"/>
        <v/>
      </c>
      <c r="S2186" s="89" t="str">
        <f t="shared" si="206"/>
        <v/>
      </c>
      <c r="X2186" s="64">
        <f t="shared" si="207"/>
        <v>0</v>
      </c>
      <c r="Y2186" s="53">
        <f t="shared" si="208"/>
        <v>0</v>
      </c>
      <c r="Z2186" s="64">
        <f t="shared" si="209"/>
        <v>0</v>
      </c>
    </row>
    <row r="2187" spans="1:26">
      <c r="A2187" s="89" t="str">
        <f t="shared" si="204"/>
        <v/>
      </c>
      <c r="B2187" s="89" t="str">
        <f t="shared" si="205"/>
        <v/>
      </c>
      <c r="S2187" s="89" t="str">
        <f t="shared" si="206"/>
        <v/>
      </c>
      <c r="X2187" s="64">
        <f t="shared" si="207"/>
        <v>0</v>
      </c>
      <c r="Y2187" s="53">
        <f t="shared" si="208"/>
        <v>0</v>
      </c>
      <c r="Z2187" s="64">
        <f t="shared" si="209"/>
        <v>0</v>
      </c>
    </row>
    <row r="2188" spans="1:26">
      <c r="A2188" s="89" t="str">
        <f t="shared" si="204"/>
        <v/>
      </c>
      <c r="B2188" s="89" t="str">
        <f t="shared" si="205"/>
        <v/>
      </c>
      <c r="S2188" s="89" t="str">
        <f t="shared" si="206"/>
        <v/>
      </c>
      <c r="X2188" s="64">
        <f t="shared" si="207"/>
        <v>0</v>
      </c>
      <c r="Y2188" s="53">
        <f t="shared" si="208"/>
        <v>0</v>
      </c>
      <c r="Z2188" s="64">
        <f t="shared" si="209"/>
        <v>0</v>
      </c>
    </row>
    <row r="2189" spans="1:26">
      <c r="A2189" s="89" t="str">
        <f t="shared" si="204"/>
        <v/>
      </c>
      <c r="B2189" s="89" t="str">
        <f t="shared" si="205"/>
        <v/>
      </c>
      <c r="S2189" s="89" t="str">
        <f t="shared" si="206"/>
        <v/>
      </c>
      <c r="X2189" s="64">
        <f t="shared" si="207"/>
        <v>0</v>
      </c>
      <c r="Y2189" s="53">
        <f t="shared" si="208"/>
        <v>0</v>
      </c>
      <c r="Z2189" s="64">
        <f t="shared" si="209"/>
        <v>0</v>
      </c>
    </row>
    <row r="2190" spans="1:26">
      <c r="A2190" s="89" t="str">
        <f t="shared" si="204"/>
        <v/>
      </c>
      <c r="B2190" s="89" t="str">
        <f t="shared" si="205"/>
        <v/>
      </c>
      <c r="S2190" s="89" t="str">
        <f t="shared" si="206"/>
        <v/>
      </c>
      <c r="X2190" s="64">
        <f t="shared" si="207"/>
        <v>0</v>
      </c>
      <c r="Y2190" s="53">
        <f t="shared" si="208"/>
        <v>0</v>
      </c>
      <c r="Z2190" s="64">
        <f t="shared" si="209"/>
        <v>0</v>
      </c>
    </row>
    <row r="2191" spans="1:26">
      <c r="A2191" s="89" t="str">
        <f t="shared" si="204"/>
        <v/>
      </c>
      <c r="B2191" s="89" t="str">
        <f t="shared" si="205"/>
        <v/>
      </c>
      <c r="S2191" s="89" t="str">
        <f t="shared" si="206"/>
        <v/>
      </c>
      <c r="X2191" s="64">
        <f t="shared" si="207"/>
        <v>0</v>
      </c>
      <c r="Y2191" s="53">
        <f t="shared" si="208"/>
        <v>0</v>
      </c>
      <c r="Z2191" s="64">
        <f t="shared" si="209"/>
        <v>0</v>
      </c>
    </row>
    <row r="2192" spans="1:26">
      <c r="A2192" s="89" t="str">
        <f t="shared" si="204"/>
        <v/>
      </c>
      <c r="B2192" s="89" t="str">
        <f t="shared" si="205"/>
        <v/>
      </c>
      <c r="S2192" s="89" t="str">
        <f t="shared" si="206"/>
        <v/>
      </c>
      <c r="X2192" s="64">
        <f t="shared" si="207"/>
        <v>0</v>
      </c>
      <c r="Y2192" s="53">
        <f t="shared" si="208"/>
        <v>0</v>
      </c>
      <c r="Z2192" s="64">
        <f t="shared" si="209"/>
        <v>0</v>
      </c>
    </row>
    <row r="2193" spans="1:26">
      <c r="A2193" s="89" t="str">
        <f t="shared" si="204"/>
        <v/>
      </c>
      <c r="B2193" s="89" t="str">
        <f t="shared" si="205"/>
        <v/>
      </c>
      <c r="S2193" s="89" t="str">
        <f t="shared" si="206"/>
        <v/>
      </c>
      <c r="X2193" s="64">
        <f t="shared" si="207"/>
        <v>0</v>
      </c>
      <c r="Y2193" s="53">
        <f t="shared" si="208"/>
        <v>0</v>
      </c>
      <c r="Z2193" s="64">
        <f t="shared" si="209"/>
        <v>0</v>
      </c>
    </row>
    <row r="2194" spans="1:26">
      <c r="A2194" s="89" t="str">
        <f t="shared" si="204"/>
        <v/>
      </c>
      <c r="B2194" s="89" t="str">
        <f t="shared" si="205"/>
        <v/>
      </c>
      <c r="S2194" s="89" t="str">
        <f t="shared" si="206"/>
        <v/>
      </c>
      <c r="X2194" s="64">
        <f t="shared" si="207"/>
        <v>0</v>
      </c>
      <c r="Y2194" s="53">
        <f t="shared" si="208"/>
        <v>0</v>
      </c>
      <c r="Z2194" s="64">
        <f t="shared" si="209"/>
        <v>0</v>
      </c>
    </row>
    <row r="2195" spans="1:26">
      <c r="A2195" s="89" t="str">
        <f t="shared" si="204"/>
        <v/>
      </c>
      <c r="B2195" s="89" t="str">
        <f t="shared" si="205"/>
        <v/>
      </c>
      <c r="S2195" s="89" t="str">
        <f t="shared" si="206"/>
        <v/>
      </c>
      <c r="X2195" s="64">
        <f t="shared" si="207"/>
        <v>0</v>
      </c>
      <c r="Y2195" s="53">
        <f t="shared" si="208"/>
        <v>0</v>
      </c>
      <c r="Z2195" s="64">
        <f t="shared" si="209"/>
        <v>0</v>
      </c>
    </row>
    <row r="2196" spans="1:26">
      <c r="A2196" s="89" t="str">
        <f t="shared" si="204"/>
        <v/>
      </c>
      <c r="B2196" s="89" t="str">
        <f t="shared" si="205"/>
        <v/>
      </c>
      <c r="S2196" s="89" t="str">
        <f t="shared" si="206"/>
        <v/>
      </c>
      <c r="X2196" s="64">
        <f t="shared" si="207"/>
        <v>0</v>
      </c>
      <c r="Y2196" s="53">
        <f t="shared" si="208"/>
        <v>0</v>
      </c>
      <c r="Z2196" s="64">
        <f t="shared" si="209"/>
        <v>0</v>
      </c>
    </row>
    <row r="2197" spans="1:26">
      <c r="A2197" s="89" t="str">
        <f t="shared" si="204"/>
        <v/>
      </c>
      <c r="B2197" s="89" t="str">
        <f t="shared" si="205"/>
        <v/>
      </c>
      <c r="S2197" s="89" t="str">
        <f t="shared" si="206"/>
        <v/>
      </c>
      <c r="X2197" s="64">
        <f t="shared" si="207"/>
        <v>0</v>
      </c>
      <c r="Y2197" s="53">
        <f t="shared" si="208"/>
        <v>0</v>
      </c>
      <c r="Z2197" s="64">
        <f t="shared" si="209"/>
        <v>0</v>
      </c>
    </row>
    <row r="2198" spans="1:26">
      <c r="A2198" s="89" t="str">
        <f t="shared" si="204"/>
        <v/>
      </c>
      <c r="B2198" s="89" t="str">
        <f t="shared" si="205"/>
        <v/>
      </c>
      <c r="S2198" s="89" t="str">
        <f t="shared" si="206"/>
        <v/>
      </c>
      <c r="X2198" s="64">
        <f t="shared" si="207"/>
        <v>0</v>
      </c>
      <c r="Y2198" s="53">
        <f t="shared" si="208"/>
        <v>0</v>
      </c>
      <c r="Z2198" s="64">
        <f t="shared" si="209"/>
        <v>0</v>
      </c>
    </row>
    <row r="2199" spans="1:26">
      <c r="A2199" s="89" t="str">
        <f t="shared" si="204"/>
        <v/>
      </c>
      <c r="B2199" s="89" t="str">
        <f t="shared" si="205"/>
        <v/>
      </c>
      <c r="S2199" s="89" t="str">
        <f t="shared" si="206"/>
        <v/>
      </c>
      <c r="X2199" s="64">
        <f t="shared" si="207"/>
        <v>0</v>
      </c>
      <c r="Y2199" s="53">
        <f t="shared" si="208"/>
        <v>0</v>
      </c>
      <c r="Z2199" s="64">
        <f t="shared" si="209"/>
        <v>0</v>
      </c>
    </row>
    <row r="2200" spans="1:26">
      <c r="A2200" s="89" t="str">
        <f t="shared" si="204"/>
        <v/>
      </c>
      <c r="B2200" s="89" t="str">
        <f t="shared" si="205"/>
        <v/>
      </c>
      <c r="S2200" s="89" t="str">
        <f t="shared" si="206"/>
        <v/>
      </c>
      <c r="X2200" s="64">
        <f t="shared" si="207"/>
        <v>0</v>
      </c>
      <c r="Y2200" s="53">
        <f t="shared" si="208"/>
        <v>0</v>
      </c>
      <c r="Z2200" s="64">
        <f t="shared" si="209"/>
        <v>0</v>
      </c>
    </row>
    <row r="2201" spans="1:26">
      <c r="A2201" s="89" t="str">
        <f t="shared" si="204"/>
        <v/>
      </c>
      <c r="B2201" s="89" t="str">
        <f t="shared" si="205"/>
        <v/>
      </c>
      <c r="S2201" s="89" t="str">
        <f t="shared" si="206"/>
        <v/>
      </c>
      <c r="X2201" s="64">
        <f t="shared" si="207"/>
        <v>0</v>
      </c>
      <c r="Y2201" s="53">
        <f t="shared" si="208"/>
        <v>0</v>
      </c>
      <c r="Z2201" s="64">
        <f t="shared" si="209"/>
        <v>0</v>
      </c>
    </row>
    <row r="2202" spans="1:26">
      <c r="A2202" s="89" t="str">
        <f t="shared" si="204"/>
        <v/>
      </c>
      <c r="B2202" s="89" t="str">
        <f t="shared" si="205"/>
        <v/>
      </c>
      <c r="S2202" s="89" t="str">
        <f t="shared" si="206"/>
        <v/>
      </c>
      <c r="X2202" s="64">
        <f t="shared" si="207"/>
        <v>0</v>
      </c>
      <c r="Y2202" s="53">
        <f t="shared" si="208"/>
        <v>0</v>
      </c>
      <c r="Z2202" s="64">
        <f t="shared" si="209"/>
        <v>0</v>
      </c>
    </row>
    <row r="2203" spans="1:26">
      <c r="A2203" s="89" t="str">
        <f t="shared" si="204"/>
        <v/>
      </c>
      <c r="B2203" s="89" t="str">
        <f t="shared" si="205"/>
        <v/>
      </c>
      <c r="S2203" s="89" t="str">
        <f t="shared" si="206"/>
        <v/>
      </c>
      <c r="X2203" s="64">
        <f t="shared" si="207"/>
        <v>0</v>
      </c>
      <c r="Y2203" s="53">
        <f t="shared" si="208"/>
        <v>0</v>
      </c>
      <c r="Z2203" s="64">
        <f t="shared" si="209"/>
        <v>0</v>
      </c>
    </row>
    <row r="2204" spans="1:26">
      <c r="A2204" s="89" t="str">
        <f t="shared" si="204"/>
        <v/>
      </c>
      <c r="B2204" s="89" t="str">
        <f t="shared" si="205"/>
        <v/>
      </c>
      <c r="S2204" s="89" t="str">
        <f t="shared" si="206"/>
        <v/>
      </c>
      <c r="X2204" s="64">
        <f t="shared" si="207"/>
        <v>0</v>
      </c>
      <c r="Y2204" s="53">
        <f t="shared" si="208"/>
        <v>0</v>
      </c>
      <c r="Z2204" s="64">
        <f t="shared" si="209"/>
        <v>0</v>
      </c>
    </row>
    <row r="2205" spans="1:26">
      <c r="A2205" s="89" t="str">
        <f t="shared" si="204"/>
        <v/>
      </c>
      <c r="B2205" s="89" t="str">
        <f t="shared" si="205"/>
        <v/>
      </c>
      <c r="S2205" s="89" t="str">
        <f t="shared" si="206"/>
        <v/>
      </c>
      <c r="X2205" s="64">
        <f t="shared" si="207"/>
        <v>0</v>
      </c>
      <c r="Y2205" s="53">
        <f t="shared" si="208"/>
        <v>0</v>
      </c>
      <c r="Z2205" s="64">
        <f t="shared" si="209"/>
        <v>0</v>
      </c>
    </row>
    <row r="2206" spans="1:26">
      <c r="A2206" s="89" t="str">
        <f t="shared" si="204"/>
        <v/>
      </c>
      <c r="B2206" s="89" t="str">
        <f t="shared" si="205"/>
        <v/>
      </c>
      <c r="S2206" s="89" t="str">
        <f t="shared" si="206"/>
        <v/>
      </c>
      <c r="X2206" s="64">
        <f t="shared" si="207"/>
        <v>0</v>
      </c>
      <c r="Y2206" s="53">
        <f t="shared" si="208"/>
        <v>0</v>
      </c>
      <c r="Z2206" s="64">
        <f t="shared" si="209"/>
        <v>0</v>
      </c>
    </row>
    <row r="2207" spans="1:26">
      <c r="A2207" s="89" t="str">
        <f t="shared" si="204"/>
        <v/>
      </c>
      <c r="B2207" s="89" t="str">
        <f t="shared" si="205"/>
        <v/>
      </c>
      <c r="S2207" s="89" t="str">
        <f t="shared" si="206"/>
        <v/>
      </c>
      <c r="X2207" s="64">
        <f t="shared" si="207"/>
        <v>0</v>
      </c>
      <c r="Y2207" s="53">
        <f t="shared" si="208"/>
        <v>0</v>
      </c>
      <c r="Z2207" s="64">
        <f t="shared" si="209"/>
        <v>0</v>
      </c>
    </row>
    <row r="2208" spans="1:26">
      <c r="A2208" s="89" t="str">
        <f t="shared" si="204"/>
        <v/>
      </c>
      <c r="B2208" s="89" t="str">
        <f t="shared" si="205"/>
        <v/>
      </c>
      <c r="S2208" s="89" t="str">
        <f t="shared" si="206"/>
        <v/>
      </c>
      <c r="X2208" s="64">
        <f t="shared" si="207"/>
        <v>0</v>
      </c>
      <c r="Y2208" s="53">
        <f t="shared" si="208"/>
        <v>0</v>
      </c>
      <c r="Z2208" s="64">
        <f t="shared" si="209"/>
        <v>0</v>
      </c>
    </row>
    <row r="2209" spans="1:26">
      <c r="A2209" s="89" t="str">
        <f t="shared" si="204"/>
        <v/>
      </c>
      <c r="B2209" s="89" t="str">
        <f t="shared" si="205"/>
        <v/>
      </c>
      <c r="S2209" s="89" t="str">
        <f t="shared" si="206"/>
        <v/>
      </c>
      <c r="X2209" s="64">
        <f t="shared" si="207"/>
        <v>0</v>
      </c>
      <c r="Y2209" s="53">
        <f t="shared" si="208"/>
        <v>0</v>
      </c>
      <c r="Z2209" s="64">
        <f t="shared" si="209"/>
        <v>0</v>
      </c>
    </row>
    <row r="2210" spans="1:26">
      <c r="A2210" s="89" t="str">
        <f t="shared" si="204"/>
        <v/>
      </c>
      <c r="B2210" s="89" t="str">
        <f t="shared" si="205"/>
        <v/>
      </c>
      <c r="S2210" s="89" t="str">
        <f t="shared" si="206"/>
        <v/>
      </c>
      <c r="X2210" s="64">
        <f t="shared" si="207"/>
        <v>0</v>
      </c>
      <c r="Y2210" s="53">
        <f t="shared" si="208"/>
        <v>0</v>
      </c>
      <c r="Z2210" s="64">
        <f t="shared" si="209"/>
        <v>0</v>
      </c>
    </row>
    <row r="2211" spans="1:26">
      <c r="A2211" s="89" t="str">
        <f t="shared" si="204"/>
        <v/>
      </c>
      <c r="B2211" s="89" t="str">
        <f t="shared" si="205"/>
        <v/>
      </c>
      <c r="S2211" s="89" t="str">
        <f t="shared" si="206"/>
        <v/>
      </c>
      <c r="X2211" s="64">
        <f t="shared" si="207"/>
        <v>0</v>
      </c>
      <c r="Y2211" s="53">
        <f t="shared" si="208"/>
        <v>0</v>
      </c>
      <c r="Z2211" s="64">
        <f t="shared" si="209"/>
        <v>0</v>
      </c>
    </row>
    <row r="2212" spans="1:26">
      <c r="A2212" s="89" t="str">
        <f t="shared" si="204"/>
        <v/>
      </c>
      <c r="B2212" s="89" t="str">
        <f t="shared" si="205"/>
        <v/>
      </c>
      <c r="S2212" s="89" t="str">
        <f t="shared" si="206"/>
        <v/>
      </c>
      <c r="X2212" s="64">
        <f t="shared" si="207"/>
        <v>0</v>
      </c>
      <c r="Y2212" s="53">
        <f t="shared" si="208"/>
        <v>0</v>
      </c>
      <c r="Z2212" s="64">
        <f t="shared" si="209"/>
        <v>0</v>
      </c>
    </row>
    <row r="2213" spans="1:26">
      <c r="A2213" s="89" t="str">
        <f t="shared" si="204"/>
        <v/>
      </c>
      <c r="B2213" s="89" t="str">
        <f t="shared" si="205"/>
        <v/>
      </c>
      <c r="S2213" s="89" t="str">
        <f t="shared" si="206"/>
        <v/>
      </c>
      <c r="X2213" s="64">
        <f t="shared" si="207"/>
        <v>0</v>
      </c>
      <c r="Y2213" s="53">
        <f t="shared" si="208"/>
        <v>0</v>
      </c>
      <c r="Z2213" s="64">
        <f t="shared" si="209"/>
        <v>0</v>
      </c>
    </row>
    <row r="2214" spans="1:26">
      <c r="A2214" s="89" t="str">
        <f t="shared" si="204"/>
        <v/>
      </c>
      <c r="B2214" s="89" t="str">
        <f t="shared" si="205"/>
        <v/>
      </c>
      <c r="S2214" s="89" t="str">
        <f t="shared" si="206"/>
        <v/>
      </c>
      <c r="X2214" s="64">
        <f t="shared" si="207"/>
        <v>0</v>
      </c>
      <c r="Y2214" s="53">
        <f t="shared" si="208"/>
        <v>0</v>
      </c>
      <c r="Z2214" s="64">
        <f t="shared" si="209"/>
        <v>0</v>
      </c>
    </row>
    <row r="2215" spans="1:26">
      <c r="A2215" s="89" t="str">
        <f t="shared" si="204"/>
        <v/>
      </c>
      <c r="B2215" s="89" t="str">
        <f t="shared" si="205"/>
        <v/>
      </c>
      <c r="S2215" s="89" t="str">
        <f t="shared" si="206"/>
        <v/>
      </c>
      <c r="X2215" s="64">
        <f t="shared" si="207"/>
        <v>0</v>
      </c>
      <c r="Y2215" s="53">
        <f t="shared" si="208"/>
        <v>0</v>
      </c>
      <c r="Z2215" s="64">
        <f t="shared" si="209"/>
        <v>0</v>
      </c>
    </row>
    <row r="2216" spans="1:26">
      <c r="A2216" s="89" t="str">
        <f t="shared" si="204"/>
        <v/>
      </c>
      <c r="B2216" s="89" t="str">
        <f t="shared" si="205"/>
        <v/>
      </c>
      <c r="S2216" s="89" t="str">
        <f t="shared" si="206"/>
        <v/>
      </c>
      <c r="X2216" s="64">
        <f t="shared" si="207"/>
        <v>0</v>
      </c>
      <c r="Y2216" s="53">
        <f t="shared" si="208"/>
        <v>0</v>
      </c>
      <c r="Z2216" s="64">
        <f t="shared" si="209"/>
        <v>0</v>
      </c>
    </row>
    <row r="2217" spans="1:26">
      <c r="A2217" s="89" t="str">
        <f t="shared" si="204"/>
        <v/>
      </c>
      <c r="B2217" s="89" t="str">
        <f t="shared" si="205"/>
        <v/>
      </c>
      <c r="S2217" s="89" t="str">
        <f t="shared" si="206"/>
        <v/>
      </c>
      <c r="X2217" s="64">
        <f t="shared" si="207"/>
        <v>0</v>
      </c>
      <c r="Y2217" s="53">
        <f t="shared" si="208"/>
        <v>0</v>
      </c>
      <c r="Z2217" s="64">
        <f t="shared" si="209"/>
        <v>0</v>
      </c>
    </row>
    <row r="2218" spans="1:26">
      <c r="A2218" s="89" t="str">
        <f t="shared" si="204"/>
        <v/>
      </c>
      <c r="B2218" s="89" t="str">
        <f t="shared" si="205"/>
        <v/>
      </c>
      <c r="S2218" s="89" t="str">
        <f t="shared" si="206"/>
        <v/>
      </c>
      <c r="X2218" s="64">
        <f t="shared" si="207"/>
        <v>0</v>
      </c>
      <c r="Y2218" s="53">
        <f t="shared" si="208"/>
        <v>0</v>
      </c>
      <c r="Z2218" s="64">
        <f t="shared" si="209"/>
        <v>0</v>
      </c>
    </row>
    <row r="2219" spans="1:26">
      <c r="A2219" s="89" t="str">
        <f t="shared" si="204"/>
        <v/>
      </c>
      <c r="B2219" s="89" t="str">
        <f t="shared" si="205"/>
        <v/>
      </c>
      <c r="S2219" s="89" t="str">
        <f t="shared" si="206"/>
        <v/>
      </c>
      <c r="X2219" s="64">
        <f t="shared" si="207"/>
        <v>0</v>
      </c>
      <c r="Y2219" s="53">
        <f t="shared" si="208"/>
        <v>0</v>
      </c>
      <c r="Z2219" s="64">
        <f t="shared" si="209"/>
        <v>0</v>
      </c>
    </row>
    <row r="2220" spans="1:26">
      <c r="A2220" s="89" t="str">
        <f t="shared" si="204"/>
        <v/>
      </c>
      <c r="B2220" s="89" t="str">
        <f t="shared" si="205"/>
        <v/>
      </c>
      <c r="S2220" s="89" t="str">
        <f t="shared" si="206"/>
        <v/>
      </c>
      <c r="X2220" s="64">
        <f t="shared" si="207"/>
        <v>0</v>
      </c>
      <c r="Y2220" s="53">
        <f t="shared" si="208"/>
        <v>0</v>
      </c>
      <c r="Z2220" s="64">
        <f t="shared" si="209"/>
        <v>0</v>
      </c>
    </row>
    <row r="2221" spans="1:26">
      <c r="A2221" s="89" t="str">
        <f t="shared" si="204"/>
        <v/>
      </c>
      <c r="B2221" s="89" t="str">
        <f t="shared" si="205"/>
        <v/>
      </c>
      <c r="S2221" s="89" t="str">
        <f t="shared" si="206"/>
        <v/>
      </c>
      <c r="X2221" s="64">
        <f t="shared" si="207"/>
        <v>0</v>
      </c>
      <c r="Y2221" s="53">
        <f t="shared" si="208"/>
        <v>0</v>
      </c>
      <c r="Z2221" s="64">
        <f t="shared" si="209"/>
        <v>0</v>
      </c>
    </row>
    <row r="2222" spans="1:26">
      <c r="A2222" s="89" t="str">
        <f t="shared" si="204"/>
        <v/>
      </c>
      <c r="B2222" s="89" t="str">
        <f t="shared" si="205"/>
        <v/>
      </c>
      <c r="S2222" s="89" t="str">
        <f t="shared" si="206"/>
        <v/>
      </c>
      <c r="X2222" s="64">
        <f t="shared" si="207"/>
        <v>0</v>
      </c>
      <c r="Y2222" s="53">
        <f t="shared" si="208"/>
        <v>0</v>
      </c>
      <c r="Z2222" s="64">
        <f t="shared" si="209"/>
        <v>0</v>
      </c>
    </row>
    <row r="2223" spans="1:26">
      <c r="A2223" s="89" t="str">
        <f t="shared" si="204"/>
        <v/>
      </c>
      <c r="B2223" s="89" t="str">
        <f t="shared" si="205"/>
        <v/>
      </c>
      <c r="S2223" s="89" t="str">
        <f t="shared" si="206"/>
        <v/>
      </c>
      <c r="X2223" s="64">
        <f t="shared" si="207"/>
        <v>0</v>
      </c>
      <c r="Y2223" s="53">
        <f t="shared" si="208"/>
        <v>0</v>
      </c>
      <c r="Z2223" s="64">
        <f t="shared" si="209"/>
        <v>0</v>
      </c>
    </row>
    <row r="2224" spans="1:26">
      <c r="A2224" s="89" t="str">
        <f t="shared" si="204"/>
        <v/>
      </c>
      <c r="B2224" s="89" t="str">
        <f t="shared" si="205"/>
        <v/>
      </c>
      <c r="S2224" s="89" t="str">
        <f t="shared" si="206"/>
        <v/>
      </c>
      <c r="X2224" s="64">
        <f t="shared" si="207"/>
        <v>0</v>
      </c>
      <c r="Y2224" s="53">
        <f t="shared" si="208"/>
        <v>0</v>
      </c>
      <c r="Z2224" s="64">
        <f t="shared" si="209"/>
        <v>0</v>
      </c>
    </row>
    <row r="2225" spans="1:26">
      <c r="A2225" s="89" t="str">
        <f t="shared" si="204"/>
        <v/>
      </c>
      <c r="B2225" s="89" t="str">
        <f t="shared" si="205"/>
        <v/>
      </c>
      <c r="S2225" s="89" t="str">
        <f t="shared" si="206"/>
        <v/>
      </c>
      <c r="X2225" s="64">
        <f t="shared" si="207"/>
        <v>0</v>
      </c>
      <c r="Y2225" s="53">
        <f t="shared" si="208"/>
        <v>0</v>
      </c>
      <c r="Z2225" s="64">
        <f t="shared" si="209"/>
        <v>0</v>
      </c>
    </row>
    <row r="2226" spans="1:26">
      <c r="A2226" s="89" t="str">
        <f t="shared" si="204"/>
        <v/>
      </c>
      <c r="B2226" s="89" t="str">
        <f t="shared" si="205"/>
        <v/>
      </c>
      <c r="S2226" s="89" t="str">
        <f t="shared" si="206"/>
        <v/>
      </c>
      <c r="X2226" s="64">
        <f t="shared" si="207"/>
        <v>0</v>
      </c>
      <c r="Y2226" s="53">
        <f t="shared" si="208"/>
        <v>0</v>
      </c>
      <c r="Z2226" s="64">
        <f t="shared" si="209"/>
        <v>0</v>
      </c>
    </row>
    <row r="2227" spans="1:26">
      <c r="A2227" s="89" t="str">
        <f t="shared" si="204"/>
        <v/>
      </c>
      <c r="B2227" s="89" t="str">
        <f t="shared" si="205"/>
        <v/>
      </c>
      <c r="S2227" s="89" t="str">
        <f t="shared" si="206"/>
        <v/>
      </c>
      <c r="X2227" s="64">
        <f t="shared" si="207"/>
        <v>0</v>
      </c>
      <c r="Y2227" s="53">
        <f t="shared" si="208"/>
        <v>0</v>
      </c>
      <c r="Z2227" s="64">
        <f t="shared" si="209"/>
        <v>0</v>
      </c>
    </row>
    <row r="2228" spans="1:26">
      <c r="A2228" s="89" t="str">
        <f t="shared" si="204"/>
        <v/>
      </c>
      <c r="B2228" s="89" t="str">
        <f t="shared" si="205"/>
        <v/>
      </c>
      <c r="S2228" s="89" t="str">
        <f t="shared" si="206"/>
        <v/>
      </c>
      <c r="X2228" s="64">
        <f t="shared" si="207"/>
        <v>0</v>
      </c>
      <c r="Y2228" s="53">
        <f t="shared" si="208"/>
        <v>0</v>
      </c>
      <c r="Z2228" s="64">
        <f t="shared" si="209"/>
        <v>0</v>
      </c>
    </row>
    <row r="2229" spans="1:26">
      <c r="A2229" s="89" t="str">
        <f t="shared" si="204"/>
        <v/>
      </c>
      <c r="B2229" s="89" t="str">
        <f t="shared" si="205"/>
        <v/>
      </c>
      <c r="S2229" s="89" t="str">
        <f t="shared" si="206"/>
        <v/>
      </c>
      <c r="X2229" s="64">
        <f t="shared" si="207"/>
        <v>0</v>
      </c>
      <c r="Y2229" s="53">
        <f t="shared" si="208"/>
        <v>0</v>
      </c>
      <c r="Z2229" s="64">
        <f t="shared" si="209"/>
        <v>0</v>
      </c>
    </row>
    <row r="2230" spans="1:26">
      <c r="A2230" s="89" t="str">
        <f t="shared" si="204"/>
        <v/>
      </c>
      <c r="B2230" s="89" t="str">
        <f t="shared" si="205"/>
        <v/>
      </c>
      <c r="S2230" s="89" t="str">
        <f t="shared" si="206"/>
        <v/>
      </c>
      <c r="X2230" s="64">
        <f t="shared" si="207"/>
        <v>0</v>
      </c>
      <c r="Y2230" s="53">
        <f t="shared" si="208"/>
        <v>0</v>
      </c>
      <c r="Z2230" s="64">
        <f t="shared" si="209"/>
        <v>0</v>
      </c>
    </row>
    <row r="2231" spans="1:26">
      <c r="A2231" s="89" t="str">
        <f t="shared" si="204"/>
        <v/>
      </c>
      <c r="B2231" s="89" t="str">
        <f t="shared" si="205"/>
        <v/>
      </c>
      <c r="S2231" s="89" t="str">
        <f t="shared" si="206"/>
        <v/>
      </c>
      <c r="X2231" s="64">
        <f t="shared" si="207"/>
        <v>0</v>
      </c>
      <c r="Y2231" s="53">
        <f t="shared" si="208"/>
        <v>0</v>
      </c>
      <c r="Z2231" s="64">
        <f t="shared" si="209"/>
        <v>0</v>
      </c>
    </row>
    <row r="2232" spans="1:26">
      <c r="A2232" s="89" t="str">
        <f t="shared" si="204"/>
        <v/>
      </c>
      <c r="B2232" s="89" t="str">
        <f t="shared" si="205"/>
        <v/>
      </c>
      <c r="S2232" s="89" t="str">
        <f t="shared" si="206"/>
        <v/>
      </c>
      <c r="X2232" s="64">
        <f t="shared" si="207"/>
        <v>0</v>
      </c>
      <c r="Y2232" s="53">
        <f t="shared" si="208"/>
        <v>0</v>
      </c>
      <c r="Z2232" s="64">
        <f t="shared" si="209"/>
        <v>0</v>
      </c>
    </row>
    <row r="2233" spans="1:26">
      <c r="A2233" s="89" t="str">
        <f t="shared" si="204"/>
        <v/>
      </c>
      <c r="B2233" s="89" t="str">
        <f t="shared" si="205"/>
        <v/>
      </c>
      <c r="S2233" s="89" t="str">
        <f t="shared" si="206"/>
        <v/>
      </c>
      <c r="X2233" s="64">
        <f t="shared" si="207"/>
        <v>0</v>
      </c>
      <c r="Y2233" s="53">
        <f t="shared" si="208"/>
        <v>0</v>
      </c>
      <c r="Z2233" s="64">
        <f t="shared" si="209"/>
        <v>0</v>
      </c>
    </row>
    <row r="2234" spans="1:26">
      <c r="A2234" s="89" t="str">
        <f t="shared" si="204"/>
        <v/>
      </c>
      <c r="B2234" s="89" t="str">
        <f t="shared" si="205"/>
        <v/>
      </c>
      <c r="S2234" s="89" t="str">
        <f t="shared" si="206"/>
        <v/>
      </c>
      <c r="X2234" s="64">
        <f t="shared" si="207"/>
        <v>0</v>
      </c>
      <c r="Y2234" s="53">
        <f t="shared" si="208"/>
        <v>0</v>
      </c>
      <c r="Z2234" s="64">
        <f t="shared" si="209"/>
        <v>0</v>
      </c>
    </row>
    <row r="2235" spans="1:26">
      <c r="A2235" s="89" t="str">
        <f t="shared" si="204"/>
        <v/>
      </c>
      <c r="B2235" s="89" t="str">
        <f t="shared" si="205"/>
        <v/>
      </c>
      <c r="S2235" s="89" t="str">
        <f t="shared" si="206"/>
        <v/>
      </c>
      <c r="X2235" s="64">
        <f t="shared" si="207"/>
        <v>0</v>
      </c>
      <c r="Y2235" s="53">
        <f t="shared" si="208"/>
        <v>0</v>
      </c>
      <c r="Z2235" s="64">
        <f t="shared" si="209"/>
        <v>0</v>
      </c>
    </row>
    <row r="2236" spans="1:26">
      <c r="A2236" s="89" t="str">
        <f t="shared" si="204"/>
        <v/>
      </c>
      <c r="B2236" s="89" t="str">
        <f t="shared" si="205"/>
        <v/>
      </c>
      <c r="S2236" s="89" t="str">
        <f t="shared" si="206"/>
        <v/>
      </c>
      <c r="X2236" s="64">
        <f t="shared" si="207"/>
        <v>0</v>
      </c>
      <c r="Y2236" s="53">
        <f t="shared" si="208"/>
        <v>0</v>
      </c>
      <c r="Z2236" s="64">
        <f t="shared" si="209"/>
        <v>0</v>
      </c>
    </row>
    <row r="2237" spans="1:26">
      <c r="A2237" s="89" t="str">
        <f t="shared" si="204"/>
        <v/>
      </c>
      <c r="B2237" s="89" t="str">
        <f t="shared" si="205"/>
        <v/>
      </c>
      <c r="S2237" s="89" t="str">
        <f t="shared" si="206"/>
        <v/>
      </c>
      <c r="X2237" s="64">
        <f t="shared" si="207"/>
        <v>0</v>
      </c>
      <c r="Y2237" s="53">
        <f t="shared" si="208"/>
        <v>0</v>
      </c>
      <c r="Z2237" s="64">
        <f t="shared" si="209"/>
        <v>0</v>
      </c>
    </row>
    <row r="2238" spans="1:26">
      <c r="A2238" s="89" t="str">
        <f t="shared" si="204"/>
        <v/>
      </c>
      <c r="B2238" s="89" t="str">
        <f t="shared" si="205"/>
        <v/>
      </c>
      <c r="S2238" s="89" t="str">
        <f t="shared" si="206"/>
        <v/>
      </c>
      <c r="X2238" s="64">
        <f t="shared" si="207"/>
        <v>0</v>
      </c>
      <c r="Y2238" s="53">
        <f t="shared" si="208"/>
        <v>0</v>
      </c>
      <c r="Z2238" s="64">
        <f t="shared" si="209"/>
        <v>0</v>
      </c>
    </row>
    <row r="2239" spans="1:26">
      <c r="A2239" s="89" t="str">
        <f t="shared" si="204"/>
        <v/>
      </c>
      <c r="B2239" s="89" t="str">
        <f t="shared" si="205"/>
        <v/>
      </c>
      <c r="S2239" s="89" t="str">
        <f t="shared" si="206"/>
        <v/>
      </c>
      <c r="X2239" s="64">
        <f t="shared" si="207"/>
        <v>0</v>
      </c>
      <c r="Y2239" s="53">
        <f t="shared" si="208"/>
        <v>0</v>
      </c>
      <c r="Z2239" s="64">
        <f t="shared" si="209"/>
        <v>0</v>
      </c>
    </row>
    <row r="2240" spans="1:26">
      <c r="A2240" s="89" t="str">
        <f t="shared" si="204"/>
        <v/>
      </c>
      <c r="B2240" s="89" t="str">
        <f t="shared" si="205"/>
        <v/>
      </c>
      <c r="S2240" s="89" t="str">
        <f t="shared" si="206"/>
        <v/>
      </c>
      <c r="X2240" s="64">
        <f t="shared" si="207"/>
        <v>0</v>
      </c>
      <c r="Y2240" s="53">
        <f t="shared" si="208"/>
        <v>0</v>
      </c>
      <c r="Z2240" s="64">
        <f t="shared" si="209"/>
        <v>0</v>
      </c>
    </row>
    <row r="2241" spans="1:26">
      <c r="A2241" s="89" t="str">
        <f t="shared" si="204"/>
        <v/>
      </c>
      <c r="B2241" s="89" t="str">
        <f t="shared" si="205"/>
        <v/>
      </c>
      <c r="S2241" s="89" t="str">
        <f t="shared" si="206"/>
        <v/>
      </c>
      <c r="X2241" s="64">
        <f t="shared" si="207"/>
        <v>0</v>
      </c>
      <c r="Y2241" s="53">
        <f t="shared" si="208"/>
        <v>0</v>
      </c>
      <c r="Z2241" s="64">
        <f t="shared" si="209"/>
        <v>0</v>
      </c>
    </row>
    <row r="2242" spans="1:26">
      <c r="A2242" s="89" t="str">
        <f t="shared" si="204"/>
        <v/>
      </c>
      <c r="B2242" s="89" t="str">
        <f t="shared" si="205"/>
        <v/>
      </c>
      <c r="S2242" s="89" t="str">
        <f t="shared" si="206"/>
        <v/>
      </c>
      <c r="X2242" s="64">
        <f t="shared" si="207"/>
        <v>0</v>
      </c>
      <c r="Y2242" s="53">
        <f t="shared" si="208"/>
        <v>0</v>
      </c>
      <c r="Z2242" s="64">
        <f t="shared" si="209"/>
        <v>0</v>
      </c>
    </row>
    <row r="2243" spans="1:26">
      <c r="A2243" s="89" t="str">
        <f t="shared" ref="A2243:A2306" si="210">IF(G2243&amp;Q2243&lt;&gt;"",G2243&amp;Q2243,"")</f>
        <v/>
      </c>
      <c r="B2243" s="89" t="str">
        <f t="shared" ref="B2243:B2306" si="211">IF(C2243&lt;&gt;"",LEFT(C2243,9),"")</f>
        <v/>
      </c>
      <c r="S2243" s="89" t="str">
        <f t="shared" ref="S2243:S2306" si="212">IF(H2243&lt;&gt;"",H2243,"")</f>
        <v/>
      </c>
      <c r="X2243" s="64">
        <f t="shared" ref="X2243:X2306" si="213">IFERROR(VALUE(MID($C2243,1,2)),0)</f>
        <v>0</v>
      </c>
      <c r="Y2243" s="53">
        <f t="shared" ref="Y2243:Y2306" si="214">IFERROR(VALUE(MID($C2243,4,3)),0)</f>
        <v>0</v>
      </c>
      <c r="Z2243" s="64">
        <f t="shared" ref="Z2243:Z2306" si="215">VALUE(RIGHT("00"&amp;X2243,2)&amp;RIGHT("000"&amp;Y2243,3))</f>
        <v>0</v>
      </c>
    </row>
    <row r="2244" spans="1:26">
      <c r="A2244" s="89" t="str">
        <f t="shared" si="210"/>
        <v/>
      </c>
      <c r="B2244" s="89" t="str">
        <f t="shared" si="211"/>
        <v/>
      </c>
      <c r="S2244" s="89" t="str">
        <f t="shared" si="212"/>
        <v/>
      </c>
      <c r="X2244" s="64">
        <f t="shared" si="213"/>
        <v>0</v>
      </c>
      <c r="Y2244" s="53">
        <f t="shared" si="214"/>
        <v>0</v>
      </c>
      <c r="Z2244" s="64">
        <f t="shared" si="215"/>
        <v>0</v>
      </c>
    </row>
    <row r="2245" spans="1:26">
      <c r="A2245" s="89" t="str">
        <f t="shared" si="210"/>
        <v/>
      </c>
      <c r="B2245" s="89" t="str">
        <f t="shared" si="211"/>
        <v/>
      </c>
      <c r="S2245" s="89" t="str">
        <f t="shared" si="212"/>
        <v/>
      </c>
      <c r="X2245" s="64">
        <f t="shared" si="213"/>
        <v>0</v>
      </c>
      <c r="Y2245" s="53">
        <f t="shared" si="214"/>
        <v>0</v>
      </c>
      <c r="Z2245" s="64">
        <f t="shared" si="215"/>
        <v>0</v>
      </c>
    </row>
    <row r="2246" spans="1:26">
      <c r="A2246" s="89" t="str">
        <f t="shared" si="210"/>
        <v/>
      </c>
      <c r="B2246" s="89" t="str">
        <f t="shared" si="211"/>
        <v/>
      </c>
      <c r="S2246" s="89" t="str">
        <f t="shared" si="212"/>
        <v/>
      </c>
      <c r="X2246" s="64">
        <f t="shared" si="213"/>
        <v>0</v>
      </c>
      <c r="Y2246" s="53">
        <f t="shared" si="214"/>
        <v>0</v>
      </c>
      <c r="Z2246" s="64">
        <f t="shared" si="215"/>
        <v>0</v>
      </c>
    </row>
    <row r="2247" spans="1:26">
      <c r="A2247" s="89" t="str">
        <f t="shared" si="210"/>
        <v/>
      </c>
      <c r="B2247" s="89" t="str">
        <f t="shared" si="211"/>
        <v/>
      </c>
      <c r="S2247" s="89" t="str">
        <f t="shared" si="212"/>
        <v/>
      </c>
      <c r="X2247" s="64">
        <f t="shared" si="213"/>
        <v>0</v>
      </c>
      <c r="Y2247" s="53">
        <f t="shared" si="214"/>
        <v>0</v>
      </c>
      <c r="Z2247" s="64">
        <f t="shared" si="215"/>
        <v>0</v>
      </c>
    </row>
    <row r="2248" spans="1:26">
      <c r="A2248" s="89" t="str">
        <f t="shared" si="210"/>
        <v/>
      </c>
      <c r="B2248" s="89" t="str">
        <f t="shared" si="211"/>
        <v/>
      </c>
      <c r="S2248" s="89" t="str">
        <f t="shared" si="212"/>
        <v/>
      </c>
      <c r="X2248" s="64">
        <f t="shared" si="213"/>
        <v>0</v>
      </c>
      <c r="Y2248" s="53">
        <f t="shared" si="214"/>
        <v>0</v>
      </c>
      <c r="Z2248" s="64">
        <f t="shared" si="215"/>
        <v>0</v>
      </c>
    </row>
    <row r="2249" spans="1:26">
      <c r="A2249" s="89" t="str">
        <f t="shared" si="210"/>
        <v/>
      </c>
      <c r="B2249" s="89" t="str">
        <f t="shared" si="211"/>
        <v/>
      </c>
      <c r="S2249" s="89" t="str">
        <f t="shared" si="212"/>
        <v/>
      </c>
      <c r="X2249" s="64">
        <f t="shared" si="213"/>
        <v>0</v>
      </c>
      <c r="Y2249" s="53">
        <f t="shared" si="214"/>
        <v>0</v>
      </c>
      <c r="Z2249" s="64">
        <f t="shared" si="215"/>
        <v>0</v>
      </c>
    </row>
    <row r="2250" spans="1:26">
      <c r="A2250" s="89" t="str">
        <f t="shared" si="210"/>
        <v/>
      </c>
      <c r="B2250" s="89" t="str">
        <f t="shared" si="211"/>
        <v/>
      </c>
      <c r="S2250" s="89" t="str">
        <f t="shared" si="212"/>
        <v/>
      </c>
      <c r="X2250" s="64">
        <f t="shared" si="213"/>
        <v>0</v>
      </c>
      <c r="Y2250" s="53">
        <f t="shared" si="214"/>
        <v>0</v>
      </c>
      <c r="Z2250" s="64">
        <f t="shared" si="215"/>
        <v>0</v>
      </c>
    </row>
    <row r="2251" spans="1:26">
      <c r="A2251" s="89" t="str">
        <f t="shared" si="210"/>
        <v/>
      </c>
      <c r="B2251" s="89" t="str">
        <f t="shared" si="211"/>
        <v/>
      </c>
      <c r="S2251" s="89" t="str">
        <f t="shared" si="212"/>
        <v/>
      </c>
      <c r="X2251" s="64">
        <f t="shared" si="213"/>
        <v>0</v>
      </c>
      <c r="Y2251" s="53">
        <f t="shared" si="214"/>
        <v>0</v>
      </c>
      <c r="Z2251" s="64">
        <f t="shared" si="215"/>
        <v>0</v>
      </c>
    </row>
    <row r="2252" spans="1:26">
      <c r="A2252" s="89" t="str">
        <f t="shared" si="210"/>
        <v/>
      </c>
      <c r="B2252" s="89" t="str">
        <f t="shared" si="211"/>
        <v/>
      </c>
      <c r="S2252" s="89" t="str">
        <f t="shared" si="212"/>
        <v/>
      </c>
      <c r="X2252" s="64">
        <f t="shared" si="213"/>
        <v>0</v>
      </c>
      <c r="Y2252" s="53">
        <f t="shared" si="214"/>
        <v>0</v>
      </c>
      <c r="Z2252" s="64">
        <f t="shared" si="215"/>
        <v>0</v>
      </c>
    </row>
    <row r="2253" spans="1:26">
      <c r="A2253" s="89" t="str">
        <f t="shared" si="210"/>
        <v/>
      </c>
      <c r="B2253" s="89" t="str">
        <f t="shared" si="211"/>
        <v/>
      </c>
      <c r="S2253" s="89" t="str">
        <f t="shared" si="212"/>
        <v/>
      </c>
      <c r="X2253" s="64">
        <f t="shared" si="213"/>
        <v>0</v>
      </c>
      <c r="Y2253" s="53">
        <f t="shared" si="214"/>
        <v>0</v>
      </c>
      <c r="Z2253" s="64">
        <f t="shared" si="215"/>
        <v>0</v>
      </c>
    </row>
    <row r="2254" spans="1:26">
      <c r="A2254" s="89" t="str">
        <f t="shared" si="210"/>
        <v/>
      </c>
      <c r="B2254" s="89" t="str">
        <f t="shared" si="211"/>
        <v/>
      </c>
      <c r="S2254" s="89" t="str">
        <f t="shared" si="212"/>
        <v/>
      </c>
      <c r="X2254" s="64">
        <f t="shared" si="213"/>
        <v>0</v>
      </c>
      <c r="Y2254" s="53">
        <f t="shared" si="214"/>
        <v>0</v>
      </c>
      <c r="Z2254" s="64">
        <f t="shared" si="215"/>
        <v>0</v>
      </c>
    </row>
    <row r="2255" spans="1:26">
      <c r="A2255" s="89" t="str">
        <f t="shared" si="210"/>
        <v/>
      </c>
      <c r="B2255" s="89" t="str">
        <f t="shared" si="211"/>
        <v/>
      </c>
      <c r="S2255" s="89" t="str">
        <f t="shared" si="212"/>
        <v/>
      </c>
      <c r="X2255" s="64">
        <f t="shared" si="213"/>
        <v>0</v>
      </c>
      <c r="Y2255" s="53">
        <f t="shared" si="214"/>
        <v>0</v>
      </c>
      <c r="Z2255" s="64">
        <f t="shared" si="215"/>
        <v>0</v>
      </c>
    </row>
    <row r="2256" spans="1:26">
      <c r="A2256" s="89" t="str">
        <f t="shared" si="210"/>
        <v/>
      </c>
      <c r="B2256" s="89" t="str">
        <f t="shared" si="211"/>
        <v/>
      </c>
      <c r="S2256" s="89" t="str">
        <f t="shared" si="212"/>
        <v/>
      </c>
      <c r="X2256" s="64">
        <f t="shared" si="213"/>
        <v>0</v>
      </c>
      <c r="Y2256" s="53">
        <f t="shared" si="214"/>
        <v>0</v>
      </c>
      <c r="Z2256" s="64">
        <f t="shared" si="215"/>
        <v>0</v>
      </c>
    </row>
    <row r="2257" spans="1:26">
      <c r="A2257" s="89" t="str">
        <f t="shared" si="210"/>
        <v/>
      </c>
      <c r="B2257" s="89" t="str">
        <f t="shared" si="211"/>
        <v/>
      </c>
      <c r="S2257" s="89" t="str">
        <f t="shared" si="212"/>
        <v/>
      </c>
      <c r="X2257" s="64">
        <f t="shared" si="213"/>
        <v>0</v>
      </c>
      <c r="Y2257" s="53">
        <f t="shared" si="214"/>
        <v>0</v>
      </c>
      <c r="Z2257" s="64">
        <f t="shared" si="215"/>
        <v>0</v>
      </c>
    </row>
    <row r="2258" spans="1:26">
      <c r="A2258" s="89" t="str">
        <f t="shared" si="210"/>
        <v/>
      </c>
      <c r="B2258" s="89" t="str">
        <f t="shared" si="211"/>
        <v/>
      </c>
      <c r="S2258" s="89" t="str">
        <f t="shared" si="212"/>
        <v/>
      </c>
      <c r="X2258" s="64">
        <f t="shared" si="213"/>
        <v>0</v>
      </c>
      <c r="Y2258" s="53">
        <f t="shared" si="214"/>
        <v>0</v>
      </c>
      <c r="Z2258" s="64">
        <f t="shared" si="215"/>
        <v>0</v>
      </c>
    </row>
    <row r="2259" spans="1:26">
      <c r="A2259" s="89" t="str">
        <f t="shared" si="210"/>
        <v/>
      </c>
      <c r="B2259" s="89" t="str">
        <f t="shared" si="211"/>
        <v/>
      </c>
      <c r="S2259" s="89" t="str">
        <f t="shared" si="212"/>
        <v/>
      </c>
      <c r="X2259" s="64">
        <f t="shared" si="213"/>
        <v>0</v>
      </c>
      <c r="Y2259" s="53">
        <f t="shared" si="214"/>
        <v>0</v>
      </c>
      <c r="Z2259" s="64">
        <f t="shared" si="215"/>
        <v>0</v>
      </c>
    </row>
    <row r="2260" spans="1:26">
      <c r="A2260" s="89" t="str">
        <f t="shared" si="210"/>
        <v/>
      </c>
      <c r="B2260" s="89" t="str">
        <f t="shared" si="211"/>
        <v/>
      </c>
      <c r="S2260" s="89" t="str">
        <f t="shared" si="212"/>
        <v/>
      </c>
      <c r="X2260" s="64">
        <f t="shared" si="213"/>
        <v>0</v>
      </c>
      <c r="Y2260" s="53">
        <f t="shared" si="214"/>
        <v>0</v>
      </c>
      <c r="Z2260" s="64">
        <f t="shared" si="215"/>
        <v>0</v>
      </c>
    </row>
    <row r="2261" spans="1:26">
      <c r="A2261" s="89" t="str">
        <f t="shared" si="210"/>
        <v/>
      </c>
      <c r="B2261" s="89" t="str">
        <f t="shared" si="211"/>
        <v/>
      </c>
      <c r="S2261" s="89" t="str">
        <f t="shared" si="212"/>
        <v/>
      </c>
      <c r="X2261" s="64">
        <f t="shared" si="213"/>
        <v>0</v>
      </c>
      <c r="Y2261" s="53">
        <f t="shared" si="214"/>
        <v>0</v>
      </c>
      <c r="Z2261" s="64">
        <f t="shared" si="215"/>
        <v>0</v>
      </c>
    </row>
    <row r="2262" spans="1:26">
      <c r="A2262" s="89" t="str">
        <f t="shared" si="210"/>
        <v/>
      </c>
      <c r="B2262" s="89" t="str">
        <f t="shared" si="211"/>
        <v/>
      </c>
      <c r="S2262" s="89" t="str">
        <f t="shared" si="212"/>
        <v/>
      </c>
      <c r="X2262" s="64">
        <f t="shared" si="213"/>
        <v>0</v>
      </c>
      <c r="Y2262" s="53">
        <f t="shared" si="214"/>
        <v>0</v>
      </c>
      <c r="Z2262" s="64">
        <f t="shared" si="215"/>
        <v>0</v>
      </c>
    </row>
    <row r="2263" spans="1:26">
      <c r="A2263" s="89" t="str">
        <f t="shared" si="210"/>
        <v/>
      </c>
      <c r="B2263" s="89" t="str">
        <f t="shared" si="211"/>
        <v/>
      </c>
      <c r="S2263" s="89" t="str">
        <f t="shared" si="212"/>
        <v/>
      </c>
      <c r="X2263" s="64">
        <f t="shared" si="213"/>
        <v>0</v>
      </c>
      <c r="Y2263" s="53">
        <f t="shared" si="214"/>
        <v>0</v>
      </c>
      <c r="Z2263" s="64">
        <f t="shared" si="215"/>
        <v>0</v>
      </c>
    </row>
    <row r="2264" spans="1:26">
      <c r="A2264" s="89" t="str">
        <f t="shared" si="210"/>
        <v/>
      </c>
      <c r="B2264" s="89" t="str">
        <f t="shared" si="211"/>
        <v/>
      </c>
      <c r="S2264" s="89" t="str">
        <f t="shared" si="212"/>
        <v/>
      </c>
      <c r="X2264" s="64">
        <f t="shared" si="213"/>
        <v>0</v>
      </c>
      <c r="Y2264" s="53">
        <f t="shared" si="214"/>
        <v>0</v>
      </c>
      <c r="Z2264" s="64">
        <f t="shared" si="215"/>
        <v>0</v>
      </c>
    </row>
    <row r="2265" spans="1:26">
      <c r="A2265" s="89" t="str">
        <f t="shared" si="210"/>
        <v/>
      </c>
      <c r="B2265" s="89" t="str">
        <f t="shared" si="211"/>
        <v/>
      </c>
      <c r="S2265" s="89" t="str">
        <f t="shared" si="212"/>
        <v/>
      </c>
      <c r="X2265" s="64">
        <f t="shared" si="213"/>
        <v>0</v>
      </c>
      <c r="Y2265" s="53">
        <f t="shared" si="214"/>
        <v>0</v>
      </c>
      <c r="Z2265" s="64">
        <f t="shared" si="215"/>
        <v>0</v>
      </c>
    </row>
    <row r="2266" spans="1:26">
      <c r="A2266" s="89" t="str">
        <f t="shared" si="210"/>
        <v/>
      </c>
      <c r="B2266" s="89" t="str">
        <f t="shared" si="211"/>
        <v/>
      </c>
      <c r="S2266" s="89" t="str">
        <f t="shared" si="212"/>
        <v/>
      </c>
      <c r="X2266" s="64">
        <f t="shared" si="213"/>
        <v>0</v>
      </c>
      <c r="Y2266" s="53">
        <f t="shared" si="214"/>
        <v>0</v>
      </c>
      <c r="Z2266" s="64">
        <f t="shared" si="215"/>
        <v>0</v>
      </c>
    </row>
    <row r="2267" spans="1:26">
      <c r="A2267" s="89" t="str">
        <f t="shared" si="210"/>
        <v/>
      </c>
      <c r="B2267" s="89" t="str">
        <f t="shared" si="211"/>
        <v/>
      </c>
      <c r="S2267" s="89" t="str">
        <f t="shared" si="212"/>
        <v/>
      </c>
      <c r="X2267" s="64">
        <f t="shared" si="213"/>
        <v>0</v>
      </c>
      <c r="Y2267" s="53">
        <f t="shared" si="214"/>
        <v>0</v>
      </c>
      <c r="Z2267" s="64">
        <f t="shared" si="215"/>
        <v>0</v>
      </c>
    </row>
    <row r="2268" spans="1:26">
      <c r="A2268" s="89" t="str">
        <f t="shared" si="210"/>
        <v/>
      </c>
      <c r="B2268" s="89" t="str">
        <f t="shared" si="211"/>
        <v/>
      </c>
      <c r="S2268" s="89" t="str">
        <f t="shared" si="212"/>
        <v/>
      </c>
      <c r="X2268" s="64">
        <f t="shared" si="213"/>
        <v>0</v>
      </c>
      <c r="Y2268" s="53">
        <f t="shared" si="214"/>
        <v>0</v>
      </c>
      <c r="Z2268" s="64">
        <f t="shared" si="215"/>
        <v>0</v>
      </c>
    </row>
    <row r="2269" spans="1:26">
      <c r="A2269" s="89" t="str">
        <f t="shared" si="210"/>
        <v/>
      </c>
      <c r="B2269" s="89" t="str">
        <f t="shared" si="211"/>
        <v/>
      </c>
      <c r="S2269" s="89" t="str">
        <f t="shared" si="212"/>
        <v/>
      </c>
      <c r="X2269" s="64">
        <f t="shared" si="213"/>
        <v>0</v>
      </c>
      <c r="Y2269" s="53">
        <f t="shared" si="214"/>
        <v>0</v>
      </c>
      <c r="Z2269" s="64">
        <f t="shared" si="215"/>
        <v>0</v>
      </c>
    </row>
    <row r="2270" spans="1:26">
      <c r="A2270" s="89" t="str">
        <f t="shared" si="210"/>
        <v/>
      </c>
      <c r="B2270" s="89" t="str">
        <f t="shared" si="211"/>
        <v/>
      </c>
      <c r="S2270" s="89" t="str">
        <f t="shared" si="212"/>
        <v/>
      </c>
      <c r="X2270" s="64">
        <f t="shared" si="213"/>
        <v>0</v>
      </c>
      <c r="Y2270" s="53">
        <f t="shared" si="214"/>
        <v>0</v>
      </c>
      <c r="Z2270" s="64">
        <f t="shared" si="215"/>
        <v>0</v>
      </c>
    </row>
    <row r="2271" spans="1:26">
      <c r="A2271" s="89" t="str">
        <f t="shared" si="210"/>
        <v/>
      </c>
      <c r="B2271" s="89" t="str">
        <f t="shared" si="211"/>
        <v/>
      </c>
      <c r="S2271" s="89" t="str">
        <f t="shared" si="212"/>
        <v/>
      </c>
      <c r="X2271" s="64">
        <f t="shared" si="213"/>
        <v>0</v>
      </c>
      <c r="Y2271" s="53">
        <f t="shared" si="214"/>
        <v>0</v>
      </c>
      <c r="Z2271" s="64">
        <f t="shared" si="215"/>
        <v>0</v>
      </c>
    </row>
    <row r="2272" spans="1:26">
      <c r="A2272" s="89" t="str">
        <f t="shared" si="210"/>
        <v/>
      </c>
      <c r="B2272" s="89" t="str">
        <f t="shared" si="211"/>
        <v/>
      </c>
      <c r="S2272" s="89" t="str">
        <f t="shared" si="212"/>
        <v/>
      </c>
      <c r="X2272" s="64">
        <f t="shared" si="213"/>
        <v>0</v>
      </c>
      <c r="Y2272" s="53">
        <f t="shared" si="214"/>
        <v>0</v>
      </c>
      <c r="Z2272" s="64">
        <f t="shared" si="215"/>
        <v>0</v>
      </c>
    </row>
    <row r="2273" spans="1:26">
      <c r="A2273" s="89" t="str">
        <f t="shared" si="210"/>
        <v/>
      </c>
      <c r="B2273" s="89" t="str">
        <f t="shared" si="211"/>
        <v/>
      </c>
      <c r="S2273" s="89" t="str">
        <f t="shared" si="212"/>
        <v/>
      </c>
      <c r="X2273" s="64">
        <f t="shared" si="213"/>
        <v>0</v>
      </c>
      <c r="Y2273" s="53">
        <f t="shared" si="214"/>
        <v>0</v>
      </c>
      <c r="Z2273" s="64">
        <f t="shared" si="215"/>
        <v>0</v>
      </c>
    </row>
    <row r="2274" spans="1:26">
      <c r="A2274" s="89" t="str">
        <f t="shared" si="210"/>
        <v/>
      </c>
      <c r="B2274" s="89" t="str">
        <f t="shared" si="211"/>
        <v/>
      </c>
      <c r="S2274" s="89" t="str">
        <f t="shared" si="212"/>
        <v/>
      </c>
      <c r="X2274" s="64">
        <f t="shared" si="213"/>
        <v>0</v>
      </c>
      <c r="Y2274" s="53">
        <f t="shared" si="214"/>
        <v>0</v>
      </c>
      <c r="Z2274" s="64">
        <f t="shared" si="215"/>
        <v>0</v>
      </c>
    </row>
    <row r="2275" spans="1:26">
      <c r="A2275" s="89" t="str">
        <f t="shared" si="210"/>
        <v/>
      </c>
      <c r="B2275" s="89" t="str">
        <f t="shared" si="211"/>
        <v/>
      </c>
      <c r="S2275" s="89" t="str">
        <f t="shared" si="212"/>
        <v/>
      </c>
      <c r="X2275" s="64">
        <f t="shared" si="213"/>
        <v>0</v>
      </c>
      <c r="Y2275" s="53">
        <f t="shared" si="214"/>
        <v>0</v>
      </c>
      <c r="Z2275" s="64">
        <f t="shared" si="215"/>
        <v>0</v>
      </c>
    </row>
    <row r="2276" spans="1:26">
      <c r="A2276" s="89" t="str">
        <f t="shared" si="210"/>
        <v/>
      </c>
      <c r="B2276" s="89" t="str">
        <f t="shared" si="211"/>
        <v/>
      </c>
      <c r="S2276" s="89" t="str">
        <f t="shared" si="212"/>
        <v/>
      </c>
      <c r="X2276" s="64">
        <f t="shared" si="213"/>
        <v>0</v>
      </c>
      <c r="Y2276" s="53">
        <f t="shared" si="214"/>
        <v>0</v>
      </c>
      <c r="Z2276" s="64">
        <f t="shared" si="215"/>
        <v>0</v>
      </c>
    </row>
    <row r="2277" spans="1:26">
      <c r="A2277" s="89" t="str">
        <f t="shared" si="210"/>
        <v/>
      </c>
      <c r="B2277" s="89" t="str">
        <f t="shared" si="211"/>
        <v/>
      </c>
      <c r="S2277" s="89" t="str">
        <f t="shared" si="212"/>
        <v/>
      </c>
      <c r="X2277" s="64">
        <f t="shared" si="213"/>
        <v>0</v>
      </c>
      <c r="Y2277" s="53">
        <f t="shared" si="214"/>
        <v>0</v>
      </c>
      <c r="Z2277" s="64">
        <f t="shared" si="215"/>
        <v>0</v>
      </c>
    </row>
    <row r="2278" spans="1:26">
      <c r="A2278" s="89" t="str">
        <f t="shared" si="210"/>
        <v/>
      </c>
      <c r="B2278" s="89" t="str">
        <f t="shared" si="211"/>
        <v/>
      </c>
      <c r="S2278" s="89" t="str">
        <f t="shared" si="212"/>
        <v/>
      </c>
      <c r="X2278" s="64">
        <f t="shared" si="213"/>
        <v>0</v>
      </c>
      <c r="Y2278" s="53">
        <f t="shared" si="214"/>
        <v>0</v>
      </c>
      <c r="Z2278" s="64">
        <f t="shared" si="215"/>
        <v>0</v>
      </c>
    </row>
    <row r="2279" spans="1:26">
      <c r="A2279" s="89" t="str">
        <f t="shared" si="210"/>
        <v/>
      </c>
      <c r="B2279" s="89" t="str">
        <f t="shared" si="211"/>
        <v/>
      </c>
      <c r="S2279" s="89" t="str">
        <f t="shared" si="212"/>
        <v/>
      </c>
      <c r="X2279" s="64">
        <f t="shared" si="213"/>
        <v>0</v>
      </c>
      <c r="Y2279" s="53">
        <f t="shared" si="214"/>
        <v>0</v>
      </c>
      <c r="Z2279" s="64">
        <f t="shared" si="215"/>
        <v>0</v>
      </c>
    </row>
    <row r="2280" spans="1:26">
      <c r="A2280" s="89" t="str">
        <f t="shared" si="210"/>
        <v/>
      </c>
      <c r="B2280" s="89" t="str">
        <f t="shared" si="211"/>
        <v/>
      </c>
      <c r="S2280" s="89" t="str">
        <f t="shared" si="212"/>
        <v/>
      </c>
      <c r="X2280" s="64">
        <f t="shared" si="213"/>
        <v>0</v>
      </c>
      <c r="Y2280" s="53">
        <f t="shared" si="214"/>
        <v>0</v>
      </c>
      <c r="Z2280" s="64">
        <f t="shared" si="215"/>
        <v>0</v>
      </c>
    </row>
    <row r="2281" spans="1:26">
      <c r="A2281" s="89" t="str">
        <f t="shared" si="210"/>
        <v/>
      </c>
      <c r="B2281" s="89" t="str">
        <f t="shared" si="211"/>
        <v/>
      </c>
      <c r="S2281" s="89" t="str">
        <f t="shared" si="212"/>
        <v/>
      </c>
      <c r="X2281" s="64">
        <f t="shared" si="213"/>
        <v>0</v>
      </c>
      <c r="Y2281" s="53">
        <f t="shared" si="214"/>
        <v>0</v>
      </c>
      <c r="Z2281" s="64">
        <f t="shared" si="215"/>
        <v>0</v>
      </c>
    </row>
    <row r="2282" spans="1:26">
      <c r="A2282" s="89" t="str">
        <f t="shared" si="210"/>
        <v/>
      </c>
      <c r="B2282" s="89" t="str">
        <f t="shared" si="211"/>
        <v/>
      </c>
      <c r="S2282" s="89" t="str">
        <f t="shared" si="212"/>
        <v/>
      </c>
      <c r="X2282" s="64">
        <f t="shared" si="213"/>
        <v>0</v>
      </c>
      <c r="Y2282" s="53">
        <f t="shared" si="214"/>
        <v>0</v>
      </c>
      <c r="Z2282" s="64">
        <f t="shared" si="215"/>
        <v>0</v>
      </c>
    </row>
    <row r="2283" spans="1:26">
      <c r="A2283" s="89" t="str">
        <f t="shared" si="210"/>
        <v/>
      </c>
      <c r="B2283" s="89" t="str">
        <f t="shared" si="211"/>
        <v/>
      </c>
      <c r="S2283" s="89" t="str">
        <f t="shared" si="212"/>
        <v/>
      </c>
      <c r="X2283" s="64">
        <f t="shared" si="213"/>
        <v>0</v>
      </c>
      <c r="Y2283" s="53">
        <f t="shared" si="214"/>
        <v>0</v>
      </c>
      <c r="Z2283" s="64">
        <f t="shared" si="215"/>
        <v>0</v>
      </c>
    </row>
    <row r="2284" spans="1:26">
      <c r="A2284" s="89" t="str">
        <f t="shared" si="210"/>
        <v/>
      </c>
      <c r="B2284" s="89" t="str">
        <f t="shared" si="211"/>
        <v/>
      </c>
      <c r="S2284" s="89" t="str">
        <f t="shared" si="212"/>
        <v/>
      </c>
      <c r="X2284" s="64">
        <f t="shared" si="213"/>
        <v>0</v>
      </c>
      <c r="Y2284" s="53">
        <f t="shared" si="214"/>
        <v>0</v>
      </c>
      <c r="Z2284" s="64">
        <f t="shared" si="215"/>
        <v>0</v>
      </c>
    </row>
    <row r="2285" spans="1:26">
      <c r="A2285" s="89" t="str">
        <f t="shared" si="210"/>
        <v/>
      </c>
      <c r="B2285" s="89" t="str">
        <f t="shared" si="211"/>
        <v/>
      </c>
      <c r="S2285" s="89" t="str">
        <f t="shared" si="212"/>
        <v/>
      </c>
      <c r="X2285" s="64">
        <f t="shared" si="213"/>
        <v>0</v>
      </c>
      <c r="Y2285" s="53">
        <f t="shared" si="214"/>
        <v>0</v>
      </c>
      <c r="Z2285" s="64">
        <f t="shared" si="215"/>
        <v>0</v>
      </c>
    </row>
    <row r="2286" spans="1:26">
      <c r="A2286" s="89" t="str">
        <f t="shared" si="210"/>
        <v/>
      </c>
      <c r="B2286" s="89" t="str">
        <f t="shared" si="211"/>
        <v/>
      </c>
      <c r="S2286" s="89" t="str">
        <f t="shared" si="212"/>
        <v/>
      </c>
      <c r="X2286" s="64">
        <f t="shared" si="213"/>
        <v>0</v>
      </c>
      <c r="Y2286" s="53">
        <f t="shared" si="214"/>
        <v>0</v>
      </c>
      <c r="Z2286" s="64">
        <f t="shared" si="215"/>
        <v>0</v>
      </c>
    </row>
    <row r="2287" spans="1:26">
      <c r="A2287" s="89" t="str">
        <f t="shared" si="210"/>
        <v/>
      </c>
      <c r="B2287" s="89" t="str">
        <f t="shared" si="211"/>
        <v/>
      </c>
      <c r="S2287" s="89" t="str">
        <f t="shared" si="212"/>
        <v/>
      </c>
      <c r="X2287" s="64">
        <f t="shared" si="213"/>
        <v>0</v>
      </c>
      <c r="Y2287" s="53">
        <f t="shared" si="214"/>
        <v>0</v>
      </c>
      <c r="Z2287" s="64">
        <f t="shared" si="215"/>
        <v>0</v>
      </c>
    </row>
    <row r="2288" spans="1:26">
      <c r="A2288" s="89" t="str">
        <f t="shared" si="210"/>
        <v/>
      </c>
      <c r="B2288" s="89" t="str">
        <f t="shared" si="211"/>
        <v/>
      </c>
      <c r="S2288" s="89" t="str">
        <f t="shared" si="212"/>
        <v/>
      </c>
      <c r="X2288" s="64">
        <f t="shared" si="213"/>
        <v>0</v>
      </c>
      <c r="Y2288" s="53">
        <f t="shared" si="214"/>
        <v>0</v>
      </c>
      <c r="Z2288" s="64">
        <f t="shared" si="215"/>
        <v>0</v>
      </c>
    </row>
    <row r="2289" spans="1:26">
      <c r="A2289" s="89" t="str">
        <f t="shared" si="210"/>
        <v/>
      </c>
      <c r="B2289" s="89" t="str">
        <f t="shared" si="211"/>
        <v/>
      </c>
      <c r="S2289" s="89" t="str">
        <f t="shared" si="212"/>
        <v/>
      </c>
      <c r="X2289" s="64">
        <f t="shared" si="213"/>
        <v>0</v>
      </c>
      <c r="Y2289" s="53">
        <f t="shared" si="214"/>
        <v>0</v>
      </c>
      <c r="Z2289" s="64">
        <f t="shared" si="215"/>
        <v>0</v>
      </c>
    </row>
    <row r="2290" spans="1:26">
      <c r="A2290" s="89" t="str">
        <f t="shared" si="210"/>
        <v/>
      </c>
      <c r="B2290" s="89" t="str">
        <f t="shared" si="211"/>
        <v/>
      </c>
      <c r="S2290" s="89" t="str">
        <f t="shared" si="212"/>
        <v/>
      </c>
      <c r="X2290" s="64">
        <f t="shared" si="213"/>
        <v>0</v>
      </c>
      <c r="Y2290" s="53">
        <f t="shared" si="214"/>
        <v>0</v>
      </c>
      <c r="Z2290" s="64">
        <f t="shared" si="215"/>
        <v>0</v>
      </c>
    </row>
    <row r="2291" spans="1:26">
      <c r="A2291" s="89" t="str">
        <f t="shared" si="210"/>
        <v/>
      </c>
      <c r="B2291" s="89" t="str">
        <f t="shared" si="211"/>
        <v/>
      </c>
      <c r="S2291" s="89" t="str">
        <f t="shared" si="212"/>
        <v/>
      </c>
      <c r="X2291" s="64">
        <f t="shared" si="213"/>
        <v>0</v>
      </c>
      <c r="Y2291" s="53">
        <f t="shared" si="214"/>
        <v>0</v>
      </c>
      <c r="Z2291" s="64">
        <f t="shared" si="215"/>
        <v>0</v>
      </c>
    </row>
    <row r="2292" spans="1:26">
      <c r="A2292" s="89" t="str">
        <f t="shared" si="210"/>
        <v/>
      </c>
      <c r="B2292" s="89" t="str">
        <f t="shared" si="211"/>
        <v/>
      </c>
      <c r="S2292" s="89" t="str">
        <f t="shared" si="212"/>
        <v/>
      </c>
      <c r="X2292" s="64">
        <f t="shared" si="213"/>
        <v>0</v>
      </c>
      <c r="Y2292" s="53">
        <f t="shared" si="214"/>
        <v>0</v>
      </c>
      <c r="Z2292" s="64">
        <f t="shared" si="215"/>
        <v>0</v>
      </c>
    </row>
    <row r="2293" spans="1:26">
      <c r="A2293" s="89" t="str">
        <f t="shared" si="210"/>
        <v/>
      </c>
      <c r="B2293" s="89" t="str">
        <f t="shared" si="211"/>
        <v/>
      </c>
      <c r="S2293" s="89" t="str">
        <f t="shared" si="212"/>
        <v/>
      </c>
      <c r="X2293" s="64">
        <f t="shared" si="213"/>
        <v>0</v>
      </c>
      <c r="Y2293" s="53">
        <f t="shared" si="214"/>
        <v>0</v>
      </c>
      <c r="Z2293" s="64">
        <f t="shared" si="215"/>
        <v>0</v>
      </c>
    </row>
    <row r="2294" spans="1:26">
      <c r="A2294" s="89" t="str">
        <f t="shared" si="210"/>
        <v/>
      </c>
      <c r="B2294" s="89" t="str">
        <f t="shared" si="211"/>
        <v/>
      </c>
      <c r="S2294" s="89" t="str">
        <f t="shared" si="212"/>
        <v/>
      </c>
      <c r="X2294" s="64">
        <f t="shared" si="213"/>
        <v>0</v>
      </c>
      <c r="Y2294" s="53">
        <f t="shared" si="214"/>
        <v>0</v>
      </c>
      <c r="Z2294" s="64">
        <f t="shared" si="215"/>
        <v>0</v>
      </c>
    </row>
    <row r="2295" spans="1:26">
      <c r="A2295" s="89" t="str">
        <f t="shared" si="210"/>
        <v/>
      </c>
      <c r="B2295" s="89" t="str">
        <f t="shared" si="211"/>
        <v/>
      </c>
      <c r="S2295" s="89" t="str">
        <f t="shared" si="212"/>
        <v/>
      </c>
      <c r="X2295" s="64">
        <f t="shared" si="213"/>
        <v>0</v>
      </c>
      <c r="Y2295" s="53">
        <f t="shared" si="214"/>
        <v>0</v>
      </c>
      <c r="Z2295" s="64">
        <f t="shared" si="215"/>
        <v>0</v>
      </c>
    </row>
    <row r="2296" spans="1:26">
      <c r="A2296" s="89" t="str">
        <f t="shared" si="210"/>
        <v/>
      </c>
      <c r="B2296" s="89" t="str">
        <f t="shared" si="211"/>
        <v/>
      </c>
      <c r="S2296" s="89" t="str">
        <f t="shared" si="212"/>
        <v/>
      </c>
      <c r="X2296" s="64">
        <f t="shared" si="213"/>
        <v>0</v>
      </c>
      <c r="Y2296" s="53">
        <f t="shared" si="214"/>
        <v>0</v>
      </c>
      <c r="Z2296" s="64">
        <f t="shared" si="215"/>
        <v>0</v>
      </c>
    </row>
    <row r="2297" spans="1:26">
      <c r="A2297" s="89" t="str">
        <f t="shared" si="210"/>
        <v/>
      </c>
      <c r="B2297" s="89" t="str">
        <f t="shared" si="211"/>
        <v/>
      </c>
      <c r="S2297" s="89" t="str">
        <f t="shared" si="212"/>
        <v/>
      </c>
      <c r="X2297" s="64">
        <f t="shared" si="213"/>
        <v>0</v>
      </c>
      <c r="Y2297" s="53">
        <f t="shared" si="214"/>
        <v>0</v>
      </c>
      <c r="Z2297" s="64">
        <f t="shared" si="215"/>
        <v>0</v>
      </c>
    </row>
    <row r="2298" spans="1:26">
      <c r="A2298" s="89" t="str">
        <f t="shared" si="210"/>
        <v/>
      </c>
      <c r="B2298" s="89" t="str">
        <f t="shared" si="211"/>
        <v/>
      </c>
      <c r="S2298" s="89" t="str">
        <f t="shared" si="212"/>
        <v/>
      </c>
      <c r="X2298" s="64">
        <f t="shared" si="213"/>
        <v>0</v>
      </c>
      <c r="Y2298" s="53">
        <f t="shared" si="214"/>
        <v>0</v>
      </c>
      <c r="Z2298" s="64">
        <f t="shared" si="215"/>
        <v>0</v>
      </c>
    </row>
    <row r="2299" spans="1:26">
      <c r="A2299" s="89" t="str">
        <f t="shared" si="210"/>
        <v/>
      </c>
      <c r="B2299" s="89" t="str">
        <f t="shared" si="211"/>
        <v/>
      </c>
      <c r="S2299" s="89" t="str">
        <f t="shared" si="212"/>
        <v/>
      </c>
      <c r="X2299" s="64">
        <f t="shared" si="213"/>
        <v>0</v>
      </c>
      <c r="Y2299" s="53">
        <f t="shared" si="214"/>
        <v>0</v>
      </c>
      <c r="Z2299" s="64">
        <f t="shared" si="215"/>
        <v>0</v>
      </c>
    </row>
    <row r="2300" spans="1:26">
      <c r="A2300" s="89" t="str">
        <f t="shared" si="210"/>
        <v/>
      </c>
      <c r="B2300" s="89" t="str">
        <f t="shared" si="211"/>
        <v/>
      </c>
      <c r="S2300" s="89" t="str">
        <f t="shared" si="212"/>
        <v/>
      </c>
      <c r="X2300" s="64">
        <f t="shared" si="213"/>
        <v>0</v>
      </c>
      <c r="Y2300" s="53">
        <f t="shared" si="214"/>
        <v>0</v>
      </c>
      <c r="Z2300" s="64">
        <f t="shared" si="215"/>
        <v>0</v>
      </c>
    </row>
    <row r="2301" spans="1:26">
      <c r="A2301" s="89" t="str">
        <f t="shared" si="210"/>
        <v/>
      </c>
      <c r="B2301" s="89" t="str">
        <f t="shared" si="211"/>
        <v/>
      </c>
      <c r="S2301" s="89" t="str">
        <f t="shared" si="212"/>
        <v/>
      </c>
      <c r="X2301" s="64">
        <f t="shared" si="213"/>
        <v>0</v>
      </c>
      <c r="Y2301" s="53">
        <f t="shared" si="214"/>
        <v>0</v>
      </c>
      <c r="Z2301" s="64">
        <f t="shared" si="215"/>
        <v>0</v>
      </c>
    </row>
    <row r="2302" spans="1:26">
      <c r="A2302" s="89" t="str">
        <f t="shared" si="210"/>
        <v/>
      </c>
      <c r="B2302" s="89" t="str">
        <f t="shared" si="211"/>
        <v/>
      </c>
      <c r="S2302" s="89" t="str">
        <f t="shared" si="212"/>
        <v/>
      </c>
      <c r="X2302" s="64">
        <f t="shared" si="213"/>
        <v>0</v>
      </c>
      <c r="Y2302" s="53">
        <f t="shared" si="214"/>
        <v>0</v>
      </c>
      <c r="Z2302" s="64">
        <f t="shared" si="215"/>
        <v>0</v>
      </c>
    </row>
    <row r="2303" spans="1:26">
      <c r="A2303" s="89" t="str">
        <f t="shared" si="210"/>
        <v/>
      </c>
      <c r="B2303" s="89" t="str">
        <f t="shared" si="211"/>
        <v/>
      </c>
      <c r="S2303" s="89" t="str">
        <f t="shared" si="212"/>
        <v/>
      </c>
      <c r="X2303" s="64">
        <f t="shared" si="213"/>
        <v>0</v>
      </c>
      <c r="Y2303" s="53">
        <f t="shared" si="214"/>
        <v>0</v>
      </c>
      <c r="Z2303" s="64">
        <f t="shared" si="215"/>
        <v>0</v>
      </c>
    </row>
    <row r="2304" spans="1:26">
      <c r="A2304" s="89" t="str">
        <f t="shared" si="210"/>
        <v/>
      </c>
      <c r="B2304" s="89" t="str">
        <f t="shared" si="211"/>
        <v/>
      </c>
      <c r="S2304" s="89" t="str">
        <f t="shared" si="212"/>
        <v/>
      </c>
      <c r="X2304" s="64">
        <f t="shared" si="213"/>
        <v>0</v>
      </c>
      <c r="Y2304" s="53">
        <f t="shared" si="214"/>
        <v>0</v>
      </c>
      <c r="Z2304" s="64">
        <f t="shared" si="215"/>
        <v>0</v>
      </c>
    </row>
    <row r="2305" spans="1:26">
      <c r="A2305" s="89" t="str">
        <f t="shared" si="210"/>
        <v/>
      </c>
      <c r="B2305" s="89" t="str">
        <f t="shared" si="211"/>
        <v/>
      </c>
      <c r="S2305" s="89" t="str">
        <f t="shared" si="212"/>
        <v/>
      </c>
      <c r="X2305" s="64">
        <f t="shared" si="213"/>
        <v>0</v>
      </c>
      <c r="Y2305" s="53">
        <f t="shared" si="214"/>
        <v>0</v>
      </c>
      <c r="Z2305" s="64">
        <f t="shared" si="215"/>
        <v>0</v>
      </c>
    </row>
    <row r="2306" spans="1:26">
      <c r="A2306" s="89" t="str">
        <f t="shared" si="210"/>
        <v/>
      </c>
      <c r="B2306" s="89" t="str">
        <f t="shared" si="211"/>
        <v/>
      </c>
      <c r="S2306" s="89" t="str">
        <f t="shared" si="212"/>
        <v/>
      </c>
      <c r="X2306" s="64">
        <f t="shared" si="213"/>
        <v>0</v>
      </c>
      <c r="Y2306" s="53">
        <f t="shared" si="214"/>
        <v>0</v>
      </c>
      <c r="Z2306" s="64">
        <f t="shared" si="215"/>
        <v>0</v>
      </c>
    </row>
    <row r="2307" spans="1:26">
      <c r="A2307" s="89" t="str">
        <f t="shared" ref="A2307:A2370" si="216">IF(G2307&amp;Q2307&lt;&gt;"",G2307&amp;Q2307,"")</f>
        <v/>
      </c>
      <c r="B2307" s="89" t="str">
        <f t="shared" ref="B2307:B2370" si="217">IF(C2307&lt;&gt;"",LEFT(C2307,9),"")</f>
        <v/>
      </c>
      <c r="S2307" s="89" t="str">
        <f t="shared" ref="S2307:S2370" si="218">IF(H2307&lt;&gt;"",H2307,"")</f>
        <v/>
      </c>
      <c r="X2307" s="64">
        <f t="shared" ref="X2307:X2370" si="219">IFERROR(VALUE(MID($C2307,1,2)),0)</f>
        <v>0</v>
      </c>
      <c r="Y2307" s="53">
        <f t="shared" ref="Y2307:Y2370" si="220">IFERROR(VALUE(MID($C2307,4,3)),0)</f>
        <v>0</v>
      </c>
      <c r="Z2307" s="64">
        <f t="shared" ref="Z2307:Z2370" si="221">VALUE(RIGHT("00"&amp;X2307,2)&amp;RIGHT("000"&amp;Y2307,3))</f>
        <v>0</v>
      </c>
    </row>
    <row r="2308" spans="1:26">
      <c r="A2308" s="89" t="str">
        <f t="shared" si="216"/>
        <v/>
      </c>
      <c r="B2308" s="89" t="str">
        <f t="shared" si="217"/>
        <v/>
      </c>
      <c r="S2308" s="89" t="str">
        <f t="shared" si="218"/>
        <v/>
      </c>
      <c r="X2308" s="64">
        <f t="shared" si="219"/>
        <v>0</v>
      </c>
      <c r="Y2308" s="53">
        <f t="shared" si="220"/>
        <v>0</v>
      </c>
      <c r="Z2308" s="64">
        <f t="shared" si="221"/>
        <v>0</v>
      </c>
    </row>
    <row r="2309" spans="1:26">
      <c r="A2309" s="89" t="str">
        <f t="shared" si="216"/>
        <v/>
      </c>
      <c r="B2309" s="89" t="str">
        <f t="shared" si="217"/>
        <v/>
      </c>
      <c r="S2309" s="89" t="str">
        <f t="shared" si="218"/>
        <v/>
      </c>
      <c r="X2309" s="64">
        <f t="shared" si="219"/>
        <v>0</v>
      </c>
      <c r="Y2309" s="53">
        <f t="shared" si="220"/>
        <v>0</v>
      </c>
      <c r="Z2309" s="64">
        <f t="shared" si="221"/>
        <v>0</v>
      </c>
    </row>
    <row r="2310" spans="1:26">
      <c r="A2310" s="89" t="str">
        <f t="shared" si="216"/>
        <v/>
      </c>
      <c r="B2310" s="89" t="str">
        <f t="shared" si="217"/>
        <v/>
      </c>
      <c r="S2310" s="89" t="str">
        <f t="shared" si="218"/>
        <v/>
      </c>
      <c r="X2310" s="64">
        <f t="shared" si="219"/>
        <v>0</v>
      </c>
      <c r="Y2310" s="53">
        <f t="shared" si="220"/>
        <v>0</v>
      </c>
      <c r="Z2310" s="64">
        <f t="shared" si="221"/>
        <v>0</v>
      </c>
    </row>
    <row r="2311" spans="1:26">
      <c r="A2311" s="89" t="str">
        <f t="shared" si="216"/>
        <v/>
      </c>
      <c r="B2311" s="89" t="str">
        <f t="shared" si="217"/>
        <v/>
      </c>
      <c r="S2311" s="89" t="str">
        <f t="shared" si="218"/>
        <v/>
      </c>
      <c r="X2311" s="64">
        <f t="shared" si="219"/>
        <v>0</v>
      </c>
      <c r="Y2311" s="53">
        <f t="shared" si="220"/>
        <v>0</v>
      </c>
      <c r="Z2311" s="64">
        <f t="shared" si="221"/>
        <v>0</v>
      </c>
    </row>
    <row r="2312" spans="1:26">
      <c r="A2312" s="89" t="str">
        <f t="shared" si="216"/>
        <v/>
      </c>
      <c r="B2312" s="89" t="str">
        <f t="shared" si="217"/>
        <v/>
      </c>
      <c r="S2312" s="89" t="str">
        <f t="shared" si="218"/>
        <v/>
      </c>
      <c r="X2312" s="64">
        <f t="shared" si="219"/>
        <v>0</v>
      </c>
      <c r="Y2312" s="53">
        <f t="shared" si="220"/>
        <v>0</v>
      </c>
      <c r="Z2312" s="64">
        <f t="shared" si="221"/>
        <v>0</v>
      </c>
    </row>
    <row r="2313" spans="1:26">
      <c r="A2313" s="89" t="str">
        <f t="shared" si="216"/>
        <v/>
      </c>
      <c r="B2313" s="89" t="str">
        <f t="shared" si="217"/>
        <v/>
      </c>
      <c r="S2313" s="89" t="str">
        <f t="shared" si="218"/>
        <v/>
      </c>
      <c r="X2313" s="64">
        <f t="shared" si="219"/>
        <v>0</v>
      </c>
      <c r="Y2313" s="53">
        <f t="shared" si="220"/>
        <v>0</v>
      </c>
      <c r="Z2313" s="64">
        <f t="shared" si="221"/>
        <v>0</v>
      </c>
    </row>
    <row r="2314" spans="1:26">
      <c r="A2314" s="89" t="str">
        <f t="shared" si="216"/>
        <v/>
      </c>
      <c r="B2314" s="89" t="str">
        <f t="shared" si="217"/>
        <v/>
      </c>
      <c r="S2314" s="89" t="str">
        <f t="shared" si="218"/>
        <v/>
      </c>
      <c r="X2314" s="64">
        <f t="shared" si="219"/>
        <v>0</v>
      </c>
      <c r="Y2314" s="53">
        <f t="shared" si="220"/>
        <v>0</v>
      </c>
      <c r="Z2314" s="64">
        <f t="shared" si="221"/>
        <v>0</v>
      </c>
    </row>
    <row r="2315" spans="1:26">
      <c r="A2315" s="89" t="str">
        <f t="shared" si="216"/>
        <v/>
      </c>
      <c r="B2315" s="89" t="str">
        <f t="shared" si="217"/>
        <v/>
      </c>
      <c r="S2315" s="89" t="str">
        <f t="shared" si="218"/>
        <v/>
      </c>
      <c r="X2315" s="64">
        <f t="shared" si="219"/>
        <v>0</v>
      </c>
      <c r="Y2315" s="53">
        <f t="shared" si="220"/>
        <v>0</v>
      </c>
      <c r="Z2315" s="64">
        <f t="shared" si="221"/>
        <v>0</v>
      </c>
    </row>
    <row r="2316" spans="1:26">
      <c r="A2316" s="89" t="str">
        <f t="shared" si="216"/>
        <v/>
      </c>
      <c r="B2316" s="89" t="str">
        <f t="shared" si="217"/>
        <v/>
      </c>
      <c r="S2316" s="89" t="str">
        <f t="shared" si="218"/>
        <v/>
      </c>
      <c r="X2316" s="64">
        <f t="shared" si="219"/>
        <v>0</v>
      </c>
      <c r="Y2316" s="53">
        <f t="shared" si="220"/>
        <v>0</v>
      </c>
      <c r="Z2316" s="64">
        <f t="shared" si="221"/>
        <v>0</v>
      </c>
    </row>
    <row r="2317" spans="1:26">
      <c r="A2317" s="89" t="str">
        <f t="shared" si="216"/>
        <v/>
      </c>
      <c r="B2317" s="89" t="str">
        <f t="shared" si="217"/>
        <v/>
      </c>
      <c r="S2317" s="89" t="str">
        <f t="shared" si="218"/>
        <v/>
      </c>
      <c r="X2317" s="64">
        <f t="shared" si="219"/>
        <v>0</v>
      </c>
      <c r="Y2317" s="53">
        <f t="shared" si="220"/>
        <v>0</v>
      </c>
      <c r="Z2317" s="64">
        <f t="shared" si="221"/>
        <v>0</v>
      </c>
    </row>
    <row r="2318" spans="1:26">
      <c r="A2318" s="89" t="str">
        <f t="shared" si="216"/>
        <v/>
      </c>
      <c r="B2318" s="89" t="str">
        <f t="shared" si="217"/>
        <v/>
      </c>
      <c r="S2318" s="89" t="str">
        <f t="shared" si="218"/>
        <v/>
      </c>
      <c r="X2318" s="64">
        <f t="shared" si="219"/>
        <v>0</v>
      </c>
      <c r="Y2318" s="53">
        <f t="shared" si="220"/>
        <v>0</v>
      </c>
      <c r="Z2318" s="64">
        <f t="shared" si="221"/>
        <v>0</v>
      </c>
    </row>
    <row r="2319" spans="1:26">
      <c r="A2319" s="89" t="str">
        <f t="shared" si="216"/>
        <v/>
      </c>
      <c r="B2319" s="89" t="str">
        <f t="shared" si="217"/>
        <v/>
      </c>
      <c r="S2319" s="89" t="str">
        <f t="shared" si="218"/>
        <v/>
      </c>
      <c r="X2319" s="64">
        <f t="shared" si="219"/>
        <v>0</v>
      </c>
      <c r="Y2319" s="53">
        <f t="shared" si="220"/>
        <v>0</v>
      </c>
      <c r="Z2319" s="64">
        <f t="shared" si="221"/>
        <v>0</v>
      </c>
    </row>
    <row r="2320" spans="1:26">
      <c r="A2320" s="89" t="str">
        <f t="shared" si="216"/>
        <v/>
      </c>
      <c r="B2320" s="89" t="str">
        <f t="shared" si="217"/>
        <v/>
      </c>
      <c r="S2320" s="89" t="str">
        <f t="shared" si="218"/>
        <v/>
      </c>
      <c r="X2320" s="64">
        <f t="shared" si="219"/>
        <v>0</v>
      </c>
      <c r="Y2320" s="53">
        <f t="shared" si="220"/>
        <v>0</v>
      </c>
      <c r="Z2320" s="64">
        <f t="shared" si="221"/>
        <v>0</v>
      </c>
    </row>
    <row r="2321" spans="1:26">
      <c r="A2321" s="89" t="str">
        <f t="shared" si="216"/>
        <v/>
      </c>
      <c r="B2321" s="89" t="str">
        <f t="shared" si="217"/>
        <v/>
      </c>
      <c r="S2321" s="89" t="str">
        <f t="shared" si="218"/>
        <v/>
      </c>
      <c r="X2321" s="64">
        <f t="shared" si="219"/>
        <v>0</v>
      </c>
      <c r="Y2321" s="53">
        <f t="shared" si="220"/>
        <v>0</v>
      </c>
      <c r="Z2321" s="64">
        <f t="shared" si="221"/>
        <v>0</v>
      </c>
    </row>
    <row r="2322" spans="1:26">
      <c r="A2322" s="89" t="str">
        <f t="shared" si="216"/>
        <v/>
      </c>
      <c r="B2322" s="89" t="str">
        <f t="shared" si="217"/>
        <v/>
      </c>
      <c r="S2322" s="89" t="str">
        <f t="shared" si="218"/>
        <v/>
      </c>
      <c r="X2322" s="64">
        <f t="shared" si="219"/>
        <v>0</v>
      </c>
      <c r="Y2322" s="53">
        <f t="shared" si="220"/>
        <v>0</v>
      </c>
      <c r="Z2322" s="64">
        <f t="shared" si="221"/>
        <v>0</v>
      </c>
    </row>
    <row r="2323" spans="1:26">
      <c r="A2323" s="89" t="str">
        <f t="shared" si="216"/>
        <v/>
      </c>
      <c r="B2323" s="89" t="str">
        <f t="shared" si="217"/>
        <v/>
      </c>
      <c r="S2323" s="89" t="str">
        <f t="shared" si="218"/>
        <v/>
      </c>
      <c r="X2323" s="64">
        <f t="shared" si="219"/>
        <v>0</v>
      </c>
      <c r="Y2323" s="53">
        <f t="shared" si="220"/>
        <v>0</v>
      </c>
      <c r="Z2323" s="64">
        <f t="shared" si="221"/>
        <v>0</v>
      </c>
    </row>
    <row r="2324" spans="1:26">
      <c r="A2324" s="89" t="str">
        <f t="shared" si="216"/>
        <v/>
      </c>
      <c r="B2324" s="89" t="str">
        <f t="shared" si="217"/>
        <v/>
      </c>
      <c r="S2324" s="89" t="str">
        <f t="shared" si="218"/>
        <v/>
      </c>
      <c r="X2324" s="64">
        <f t="shared" si="219"/>
        <v>0</v>
      </c>
      <c r="Y2324" s="53">
        <f t="shared" si="220"/>
        <v>0</v>
      </c>
      <c r="Z2324" s="64">
        <f t="shared" si="221"/>
        <v>0</v>
      </c>
    </row>
    <row r="2325" spans="1:26">
      <c r="A2325" s="89" t="str">
        <f t="shared" si="216"/>
        <v/>
      </c>
      <c r="B2325" s="89" t="str">
        <f t="shared" si="217"/>
        <v/>
      </c>
      <c r="S2325" s="89" t="str">
        <f t="shared" si="218"/>
        <v/>
      </c>
      <c r="X2325" s="64">
        <f t="shared" si="219"/>
        <v>0</v>
      </c>
      <c r="Y2325" s="53">
        <f t="shared" si="220"/>
        <v>0</v>
      </c>
      <c r="Z2325" s="64">
        <f t="shared" si="221"/>
        <v>0</v>
      </c>
    </row>
    <row r="2326" spans="1:26">
      <c r="A2326" s="89" t="str">
        <f t="shared" si="216"/>
        <v/>
      </c>
      <c r="B2326" s="89" t="str">
        <f t="shared" si="217"/>
        <v/>
      </c>
      <c r="S2326" s="89" t="str">
        <f t="shared" si="218"/>
        <v/>
      </c>
      <c r="X2326" s="64">
        <f t="shared" si="219"/>
        <v>0</v>
      </c>
      <c r="Y2326" s="53">
        <f t="shared" si="220"/>
        <v>0</v>
      </c>
      <c r="Z2326" s="64">
        <f t="shared" si="221"/>
        <v>0</v>
      </c>
    </row>
    <row r="2327" spans="1:26">
      <c r="A2327" s="89" t="str">
        <f t="shared" si="216"/>
        <v/>
      </c>
      <c r="B2327" s="89" t="str">
        <f t="shared" si="217"/>
        <v/>
      </c>
      <c r="S2327" s="89" t="str">
        <f t="shared" si="218"/>
        <v/>
      </c>
      <c r="X2327" s="64">
        <f t="shared" si="219"/>
        <v>0</v>
      </c>
      <c r="Y2327" s="53">
        <f t="shared" si="220"/>
        <v>0</v>
      </c>
      <c r="Z2327" s="64">
        <f t="shared" si="221"/>
        <v>0</v>
      </c>
    </row>
    <row r="2328" spans="1:26">
      <c r="A2328" s="89" t="str">
        <f t="shared" si="216"/>
        <v/>
      </c>
      <c r="B2328" s="89" t="str">
        <f t="shared" si="217"/>
        <v/>
      </c>
      <c r="S2328" s="89" t="str">
        <f t="shared" si="218"/>
        <v/>
      </c>
      <c r="X2328" s="64">
        <f t="shared" si="219"/>
        <v>0</v>
      </c>
      <c r="Y2328" s="53">
        <f t="shared" si="220"/>
        <v>0</v>
      </c>
      <c r="Z2328" s="64">
        <f t="shared" si="221"/>
        <v>0</v>
      </c>
    </row>
    <row r="2329" spans="1:26">
      <c r="A2329" s="89" t="str">
        <f t="shared" si="216"/>
        <v/>
      </c>
      <c r="B2329" s="89" t="str">
        <f t="shared" si="217"/>
        <v/>
      </c>
      <c r="S2329" s="89" t="str">
        <f t="shared" si="218"/>
        <v/>
      </c>
      <c r="X2329" s="64">
        <f t="shared" si="219"/>
        <v>0</v>
      </c>
      <c r="Y2329" s="53">
        <f t="shared" si="220"/>
        <v>0</v>
      </c>
      <c r="Z2329" s="64">
        <f t="shared" si="221"/>
        <v>0</v>
      </c>
    </row>
    <row r="2330" spans="1:26">
      <c r="A2330" s="89" t="str">
        <f t="shared" si="216"/>
        <v/>
      </c>
      <c r="B2330" s="89" t="str">
        <f t="shared" si="217"/>
        <v/>
      </c>
      <c r="S2330" s="89" t="str">
        <f t="shared" si="218"/>
        <v/>
      </c>
      <c r="X2330" s="64">
        <f t="shared" si="219"/>
        <v>0</v>
      </c>
      <c r="Y2330" s="53">
        <f t="shared" si="220"/>
        <v>0</v>
      </c>
      <c r="Z2330" s="64">
        <f t="shared" si="221"/>
        <v>0</v>
      </c>
    </row>
    <row r="2331" spans="1:26">
      <c r="A2331" s="89" t="str">
        <f t="shared" si="216"/>
        <v/>
      </c>
      <c r="B2331" s="89" t="str">
        <f t="shared" si="217"/>
        <v/>
      </c>
      <c r="S2331" s="89" t="str">
        <f t="shared" si="218"/>
        <v/>
      </c>
      <c r="X2331" s="64">
        <f t="shared" si="219"/>
        <v>0</v>
      </c>
      <c r="Y2331" s="53">
        <f t="shared" si="220"/>
        <v>0</v>
      </c>
      <c r="Z2331" s="64">
        <f t="shared" si="221"/>
        <v>0</v>
      </c>
    </row>
    <row r="2332" spans="1:26">
      <c r="A2332" s="89" t="str">
        <f t="shared" si="216"/>
        <v/>
      </c>
      <c r="B2332" s="89" t="str">
        <f t="shared" si="217"/>
        <v/>
      </c>
      <c r="S2332" s="89" t="str">
        <f t="shared" si="218"/>
        <v/>
      </c>
      <c r="X2332" s="64">
        <f t="shared" si="219"/>
        <v>0</v>
      </c>
      <c r="Y2332" s="53">
        <f t="shared" si="220"/>
        <v>0</v>
      </c>
      <c r="Z2332" s="64">
        <f t="shared" si="221"/>
        <v>0</v>
      </c>
    </row>
    <row r="2333" spans="1:26">
      <c r="A2333" s="89" t="str">
        <f t="shared" si="216"/>
        <v/>
      </c>
      <c r="B2333" s="89" t="str">
        <f t="shared" si="217"/>
        <v/>
      </c>
      <c r="S2333" s="89" t="str">
        <f t="shared" si="218"/>
        <v/>
      </c>
      <c r="X2333" s="64">
        <f t="shared" si="219"/>
        <v>0</v>
      </c>
      <c r="Y2333" s="53">
        <f t="shared" si="220"/>
        <v>0</v>
      </c>
      <c r="Z2333" s="64">
        <f t="shared" si="221"/>
        <v>0</v>
      </c>
    </row>
    <row r="2334" spans="1:26">
      <c r="A2334" s="89" t="str">
        <f t="shared" si="216"/>
        <v/>
      </c>
      <c r="B2334" s="89" t="str">
        <f t="shared" si="217"/>
        <v/>
      </c>
      <c r="S2334" s="89" t="str">
        <f t="shared" si="218"/>
        <v/>
      </c>
      <c r="X2334" s="64">
        <f t="shared" si="219"/>
        <v>0</v>
      </c>
      <c r="Y2334" s="53">
        <f t="shared" si="220"/>
        <v>0</v>
      </c>
      <c r="Z2334" s="64">
        <f t="shared" si="221"/>
        <v>0</v>
      </c>
    </row>
    <row r="2335" spans="1:26">
      <c r="A2335" s="89" t="str">
        <f t="shared" si="216"/>
        <v/>
      </c>
      <c r="B2335" s="89" t="str">
        <f t="shared" si="217"/>
        <v/>
      </c>
      <c r="S2335" s="89" t="str">
        <f t="shared" si="218"/>
        <v/>
      </c>
      <c r="X2335" s="64">
        <f t="shared" si="219"/>
        <v>0</v>
      </c>
      <c r="Y2335" s="53">
        <f t="shared" si="220"/>
        <v>0</v>
      </c>
      <c r="Z2335" s="64">
        <f t="shared" si="221"/>
        <v>0</v>
      </c>
    </row>
    <row r="2336" spans="1:26">
      <c r="A2336" s="89" t="str">
        <f t="shared" si="216"/>
        <v/>
      </c>
      <c r="B2336" s="89" t="str">
        <f t="shared" si="217"/>
        <v/>
      </c>
      <c r="S2336" s="89" t="str">
        <f t="shared" si="218"/>
        <v/>
      </c>
      <c r="X2336" s="64">
        <f t="shared" si="219"/>
        <v>0</v>
      </c>
      <c r="Y2336" s="53">
        <f t="shared" si="220"/>
        <v>0</v>
      </c>
      <c r="Z2336" s="64">
        <f t="shared" si="221"/>
        <v>0</v>
      </c>
    </row>
    <row r="2337" spans="1:26">
      <c r="A2337" s="89" t="str">
        <f t="shared" si="216"/>
        <v/>
      </c>
      <c r="B2337" s="89" t="str">
        <f t="shared" si="217"/>
        <v/>
      </c>
      <c r="S2337" s="89" t="str">
        <f t="shared" si="218"/>
        <v/>
      </c>
      <c r="X2337" s="64">
        <f t="shared" si="219"/>
        <v>0</v>
      </c>
      <c r="Y2337" s="53">
        <f t="shared" si="220"/>
        <v>0</v>
      </c>
      <c r="Z2337" s="64">
        <f t="shared" si="221"/>
        <v>0</v>
      </c>
    </row>
    <row r="2338" spans="1:26">
      <c r="A2338" s="89" t="str">
        <f t="shared" si="216"/>
        <v/>
      </c>
      <c r="B2338" s="89" t="str">
        <f t="shared" si="217"/>
        <v/>
      </c>
      <c r="S2338" s="89" t="str">
        <f t="shared" si="218"/>
        <v/>
      </c>
      <c r="X2338" s="64">
        <f t="shared" si="219"/>
        <v>0</v>
      </c>
      <c r="Y2338" s="53">
        <f t="shared" si="220"/>
        <v>0</v>
      </c>
      <c r="Z2338" s="64">
        <f t="shared" si="221"/>
        <v>0</v>
      </c>
    </row>
    <row r="2339" spans="1:26">
      <c r="A2339" s="89" t="str">
        <f t="shared" si="216"/>
        <v/>
      </c>
      <c r="B2339" s="89" t="str">
        <f t="shared" si="217"/>
        <v/>
      </c>
      <c r="S2339" s="89" t="str">
        <f t="shared" si="218"/>
        <v/>
      </c>
      <c r="X2339" s="64">
        <f t="shared" si="219"/>
        <v>0</v>
      </c>
      <c r="Y2339" s="53">
        <f t="shared" si="220"/>
        <v>0</v>
      </c>
      <c r="Z2339" s="64">
        <f t="shared" si="221"/>
        <v>0</v>
      </c>
    </row>
    <row r="2340" spans="1:26">
      <c r="A2340" s="89" t="str">
        <f t="shared" si="216"/>
        <v/>
      </c>
      <c r="B2340" s="89" t="str">
        <f t="shared" si="217"/>
        <v/>
      </c>
      <c r="S2340" s="89" t="str">
        <f t="shared" si="218"/>
        <v/>
      </c>
      <c r="X2340" s="64">
        <f t="shared" si="219"/>
        <v>0</v>
      </c>
      <c r="Y2340" s="53">
        <f t="shared" si="220"/>
        <v>0</v>
      </c>
      <c r="Z2340" s="64">
        <f t="shared" si="221"/>
        <v>0</v>
      </c>
    </row>
    <row r="2341" spans="1:26">
      <c r="A2341" s="89" t="str">
        <f t="shared" si="216"/>
        <v/>
      </c>
      <c r="B2341" s="89" t="str">
        <f t="shared" si="217"/>
        <v/>
      </c>
      <c r="S2341" s="89" t="str">
        <f t="shared" si="218"/>
        <v/>
      </c>
      <c r="X2341" s="64">
        <f t="shared" si="219"/>
        <v>0</v>
      </c>
      <c r="Y2341" s="53">
        <f t="shared" si="220"/>
        <v>0</v>
      </c>
      <c r="Z2341" s="64">
        <f t="shared" si="221"/>
        <v>0</v>
      </c>
    </row>
    <row r="2342" spans="1:26">
      <c r="A2342" s="89" t="str">
        <f t="shared" si="216"/>
        <v/>
      </c>
      <c r="B2342" s="89" t="str">
        <f t="shared" si="217"/>
        <v/>
      </c>
      <c r="S2342" s="89" t="str">
        <f t="shared" si="218"/>
        <v/>
      </c>
      <c r="X2342" s="64">
        <f t="shared" si="219"/>
        <v>0</v>
      </c>
      <c r="Y2342" s="53">
        <f t="shared" si="220"/>
        <v>0</v>
      </c>
      <c r="Z2342" s="64">
        <f t="shared" si="221"/>
        <v>0</v>
      </c>
    </row>
    <row r="2343" spans="1:26">
      <c r="A2343" s="89" t="str">
        <f t="shared" si="216"/>
        <v/>
      </c>
      <c r="B2343" s="89" t="str">
        <f t="shared" si="217"/>
        <v/>
      </c>
      <c r="S2343" s="89" t="str">
        <f t="shared" si="218"/>
        <v/>
      </c>
      <c r="X2343" s="64">
        <f t="shared" si="219"/>
        <v>0</v>
      </c>
      <c r="Y2343" s="53">
        <f t="shared" si="220"/>
        <v>0</v>
      </c>
      <c r="Z2343" s="64">
        <f t="shared" si="221"/>
        <v>0</v>
      </c>
    </row>
    <row r="2344" spans="1:26">
      <c r="A2344" s="89" t="str">
        <f t="shared" si="216"/>
        <v/>
      </c>
      <c r="B2344" s="89" t="str">
        <f t="shared" si="217"/>
        <v/>
      </c>
      <c r="S2344" s="89" t="str">
        <f t="shared" si="218"/>
        <v/>
      </c>
      <c r="X2344" s="64">
        <f t="shared" si="219"/>
        <v>0</v>
      </c>
      <c r="Y2344" s="53">
        <f t="shared" si="220"/>
        <v>0</v>
      </c>
      <c r="Z2344" s="64">
        <f t="shared" si="221"/>
        <v>0</v>
      </c>
    </row>
    <row r="2345" spans="1:26">
      <c r="A2345" s="89" t="str">
        <f t="shared" si="216"/>
        <v/>
      </c>
      <c r="B2345" s="89" t="str">
        <f t="shared" si="217"/>
        <v/>
      </c>
      <c r="S2345" s="89" t="str">
        <f t="shared" si="218"/>
        <v/>
      </c>
      <c r="X2345" s="64">
        <f t="shared" si="219"/>
        <v>0</v>
      </c>
      <c r="Y2345" s="53">
        <f t="shared" si="220"/>
        <v>0</v>
      </c>
      <c r="Z2345" s="64">
        <f t="shared" si="221"/>
        <v>0</v>
      </c>
    </row>
    <row r="2346" spans="1:26">
      <c r="A2346" s="89" t="str">
        <f t="shared" si="216"/>
        <v/>
      </c>
      <c r="B2346" s="89" t="str">
        <f t="shared" si="217"/>
        <v/>
      </c>
      <c r="S2346" s="89" t="str">
        <f t="shared" si="218"/>
        <v/>
      </c>
      <c r="X2346" s="64">
        <f t="shared" si="219"/>
        <v>0</v>
      </c>
      <c r="Y2346" s="53">
        <f t="shared" si="220"/>
        <v>0</v>
      </c>
      <c r="Z2346" s="64">
        <f t="shared" si="221"/>
        <v>0</v>
      </c>
    </row>
    <row r="2347" spans="1:26">
      <c r="A2347" s="89" t="str">
        <f t="shared" si="216"/>
        <v/>
      </c>
      <c r="B2347" s="89" t="str">
        <f t="shared" si="217"/>
        <v/>
      </c>
      <c r="S2347" s="89" t="str">
        <f t="shared" si="218"/>
        <v/>
      </c>
      <c r="X2347" s="64">
        <f t="shared" si="219"/>
        <v>0</v>
      </c>
      <c r="Y2347" s="53">
        <f t="shared" si="220"/>
        <v>0</v>
      </c>
      <c r="Z2347" s="64">
        <f t="shared" si="221"/>
        <v>0</v>
      </c>
    </row>
    <row r="2348" spans="1:26">
      <c r="A2348" s="89" t="str">
        <f t="shared" si="216"/>
        <v/>
      </c>
      <c r="B2348" s="89" t="str">
        <f t="shared" si="217"/>
        <v/>
      </c>
      <c r="S2348" s="89" t="str">
        <f t="shared" si="218"/>
        <v/>
      </c>
      <c r="X2348" s="64">
        <f t="shared" si="219"/>
        <v>0</v>
      </c>
      <c r="Y2348" s="53">
        <f t="shared" si="220"/>
        <v>0</v>
      </c>
      <c r="Z2348" s="64">
        <f t="shared" si="221"/>
        <v>0</v>
      </c>
    </row>
    <row r="2349" spans="1:26">
      <c r="A2349" s="89" t="str">
        <f t="shared" si="216"/>
        <v/>
      </c>
      <c r="B2349" s="89" t="str">
        <f t="shared" si="217"/>
        <v/>
      </c>
      <c r="S2349" s="89" t="str">
        <f t="shared" si="218"/>
        <v/>
      </c>
      <c r="X2349" s="64">
        <f t="shared" si="219"/>
        <v>0</v>
      </c>
      <c r="Y2349" s="53">
        <f t="shared" si="220"/>
        <v>0</v>
      </c>
      <c r="Z2349" s="64">
        <f t="shared" si="221"/>
        <v>0</v>
      </c>
    </row>
    <row r="2350" spans="1:26">
      <c r="A2350" s="89" t="str">
        <f t="shared" si="216"/>
        <v/>
      </c>
      <c r="B2350" s="89" t="str">
        <f t="shared" si="217"/>
        <v/>
      </c>
      <c r="S2350" s="89" t="str">
        <f t="shared" si="218"/>
        <v/>
      </c>
      <c r="X2350" s="64">
        <f t="shared" si="219"/>
        <v>0</v>
      </c>
      <c r="Y2350" s="53">
        <f t="shared" si="220"/>
        <v>0</v>
      </c>
      <c r="Z2350" s="64">
        <f t="shared" si="221"/>
        <v>0</v>
      </c>
    </row>
    <row r="2351" spans="1:26">
      <c r="A2351" s="89" t="str">
        <f t="shared" si="216"/>
        <v/>
      </c>
      <c r="B2351" s="89" t="str">
        <f t="shared" si="217"/>
        <v/>
      </c>
      <c r="S2351" s="89" t="str">
        <f t="shared" si="218"/>
        <v/>
      </c>
      <c r="X2351" s="64">
        <f t="shared" si="219"/>
        <v>0</v>
      </c>
      <c r="Y2351" s="53">
        <f t="shared" si="220"/>
        <v>0</v>
      </c>
      <c r="Z2351" s="64">
        <f t="shared" si="221"/>
        <v>0</v>
      </c>
    </row>
    <row r="2352" spans="1:26">
      <c r="A2352" s="89" t="str">
        <f t="shared" si="216"/>
        <v/>
      </c>
      <c r="B2352" s="89" t="str">
        <f t="shared" si="217"/>
        <v/>
      </c>
      <c r="S2352" s="89" t="str">
        <f t="shared" si="218"/>
        <v/>
      </c>
      <c r="X2352" s="64">
        <f t="shared" si="219"/>
        <v>0</v>
      </c>
      <c r="Y2352" s="53">
        <f t="shared" si="220"/>
        <v>0</v>
      </c>
      <c r="Z2352" s="64">
        <f t="shared" si="221"/>
        <v>0</v>
      </c>
    </row>
    <row r="2353" spans="1:26">
      <c r="A2353" s="89" t="str">
        <f t="shared" si="216"/>
        <v/>
      </c>
      <c r="B2353" s="89" t="str">
        <f t="shared" si="217"/>
        <v/>
      </c>
      <c r="S2353" s="89" t="str">
        <f t="shared" si="218"/>
        <v/>
      </c>
      <c r="X2353" s="64">
        <f t="shared" si="219"/>
        <v>0</v>
      </c>
      <c r="Y2353" s="53">
        <f t="shared" si="220"/>
        <v>0</v>
      </c>
      <c r="Z2353" s="64">
        <f t="shared" si="221"/>
        <v>0</v>
      </c>
    </row>
    <row r="2354" spans="1:26">
      <c r="A2354" s="89" t="str">
        <f t="shared" si="216"/>
        <v/>
      </c>
      <c r="B2354" s="89" t="str">
        <f t="shared" si="217"/>
        <v/>
      </c>
      <c r="S2354" s="89" t="str">
        <f t="shared" si="218"/>
        <v/>
      </c>
      <c r="X2354" s="64">
        <f t="shared" si="219"/>
        <v>0</v>
      </c>
      <c r="Y2354" s="53">
        <f t="shared" si="220"/>
        <v>0</v>
      </c>
      <c r="Z2354" s="64">
        <f t="shared" si="221"/>
        <v>0</v>
      </c>
    </row>
    <row r="2355" spans="1:26">
      <c r="A2355" s="89" t="str">
        <f t="shared" si="216"/>
        <v/>
      </c>
      <c r="B2355" s="89" t="str">
        <f t="shared" si="217"/>
        <v/>
      </c>
      <c r="S2355" s="89" t="str">
        <f t="shared" si="218"/>
        <v/>
      </c>
      <c r="X2355" s="64">
        <f t="shared" si="219"/>
        <v>0</v>
      </c>
      <c r="Y2355" s="53">
        <f t="shared" si="220"/>
        <v>0</v>
      </c>
      <c r="Z2355" s="64">
        <f t="shared" si="221"/>
        <v>0</v>
      </c>
    </row>
    <row r="2356" spans="1:26">
      <c r="A2356" s="89" t="str">
        <f t="shared" si="216"/>
        <v/>
      </c>
      <c r="B2356" s="89" t="str">
        <f t="shared" si="217"/>
        <v/>
      </c>
      <c r="S2356" s="89" t="str">
        <f t="shared" si="218"/>
        <v/>
      </c>
      <c r="X2356" s="64">
        <f t="shared" si="219"/>
        <v>0</v>
      </c>
      <c r="Y2356" s="53">
        <f t="shared" si="220"/>
        <v>0</v>
      </c>
      <c r="Z2356" s="64">
        <f t="shared" si="221"/>
        <v>0</v>
      </c>
    </row>
    <row r="2357" spans="1:26">
      <c r="A2357" s="89" t="str">
        <f t="shared" si="216"/>
        <v/>
      </c>
      <c r="B2357" s="89" t="str">
        <f t="shared" si="217"/>
        <v/>
      </c>
      <c r="S2357" s="89" t="str">
        <f t="shared" si="218"/>
        <v/>
      </c>
      <c r="X2357" s="64">
        <f t="shared" si="219"/>
        <v>0</v>
      </c>
      <c r="Y2357" s="53">
        <f t="shared" si="220"/>
        <v>0</v>
      </c>
      <c r="Z2357" s="64">
        <f t="shared" si="221"/>
        <v>0</v>
      </c>
    </row>
    <row r="2358" spans="1:26">
      <c r="A2358" s="89" t="str">
        <f t="shared" si="216"/>
        <v/>
      </c>
      <c r="B2358" s="89" t="str">
        <f t="shared" si="217"/>
        <v/>
      </c>
      <c r="S2358" s="89" t="str">
        <f t="shared" si="218"/>
        <v/>
      </c>
      <c r="X2358" s="64">
        <f t="shared" si="219"/>
        <v>0</v>
      </c>
      <c r="Y2358" s="53">
        <f t="shared" si="220"/>
        <v>0</v>
      </c>
      <c r="Z2358" s="64">
        <f t="shared" si="221"/>
        <v>0</v>
      </c>
    </row>
    <row r="2359" spans="1:26">
      <c r="A2359" s="89" t="str">
        <f t="shared" si="216"/>
        <v/>
      </c>
      <c r="B2359" s="89" t="str">
        <f t="shared" si="217"/>
        <v/>
      </c>
      <c r="S2359" s="89" t="str">
        <f t="shared" si="218"/>
        <v/>
      </c>
      <c r="X2359" s="64">
        <f t="shared" si="219"/>
        <v>0</v>
      </c>
      <c r="Y2359" s="53">
        <f t="shared" si="220"/>
        <v>0</v>
      </c>
      <c r="Z2359" s="64">
        <f t="shared" si="221"/>
        <v>0</v>
      </c>
    </row>
    <row r="2360" spans="1:26">
      <c r="A2360" s="89" t="str">
        <f t="shared" si="216"/>
        <v/>
      </c>
      <c r="B2360" s="89" t="str">
        <f t="shared" si="217"/>
        <v/>
      </c>
      <c r="S2360" s="89" t="str">
        <f t="shared" si="218"/>
        <v/>
      </c>
      <c r="X2360" s="64">
        <f t="shared" si="219"/>
        <v>0</v>
      </c>
      <c r="Y2360" s="53">
        <f t="shared" si="220"/>
        <v>0</v>
      </c>
      <c r="Z2360" s="64">
        <f t="shared" si="221"/>
        <v>0</v>
      </c>
    </row>
    <row r="2361" spans="1:26">
      <c r="A2361" s="89" t="str">
        <f t="shared" si="216"/>
        <v/>
      </c>
      <c r="B2361" s="89" t="str">
        <f t="shared" si="217"/>
        <v/>
      </c>
      <c r="S2361" s="89" t="str">
        <f t="shared" si="218"/>
        <v/>
      </c>
      <c r="X2361" s="64">
        <f t="shared" si="219"/>
        <v>0</v>
      </c>
      <c r="Y2361" s="53">
        <f t="shared" si="220"/>
        <v>0</v>
      </c>
      <c r="Z2361" s="64">
        <f t="shared" si="221"/>
        <v>0</v>
      </c>
    </row>
    <row r="2362" spans="1:26">
      <c r="A2362" s="89" t="str">
        <f t="shared" si="216"/>
        <v/>
      </c>
      <c r="B2362" s="89" t="str">
        <f t="shared" si="217"/>
        <v/>
      </c>
      <c r="S2362" s="89" t="str">
        <f t="shared" si="218"/>
        <v/>
      </c>
      <c r="X2362" s="64">
        <f t="shared" si="219"/>
        <v>0</v>
      </c>
      <c r="Y2362" s="53">
        <f t="shared" si="220"/>
        <v>0</v>
      </c>
      <c r="Z2362" s="64">
        <f t="shared" si="221"/>
        <v>0</v>
      </c>
    </row>
    <row r="2363" spans="1:26">
      <c r="A2363" s="89" t="str">
        <f t="shared" si="216"/>
        <v/>
      </c>
      <c r="B2363" s="89" t="str">
        <f t="shared" si="217"/>
        <v/>
      </c>
      <c r="S2363" s="89" t="str">
        <f t="shared" si="218"/>
        <v/>
      </c>
      <c r="X2363" s="64">
        <f t="shared" si="219"/>
        <v>0</v>
      </c>
      <c r="Y2363" s="53">
        <f t="shared" si="220"/>
        <v>0</v>
      </c>
      <c r="Z2363" s="64">
        <f t="shared" si="221"/>
        <v>0</v>
      </c>
    </row>
    <row r="2364" spans="1:26">
      <c r="A2364" s="89" t="str">
        <f t="shared" si="216"/>
        <v/>
      </c>
      <c r="B2364" s="89" t="str">
        <f t="shared" si="217"/>
        <v/>
      </c>
      <c r="S2364" s="89" t="str">
        <f t="shared" si="218"/>
        <v/>
      </c>
      <c r="X2364" s="64">
        <f t="shared" si="219"/>
        <v>0</v>
      </c>
      <c r="Y2364" s="53">
        <f t="shared" si="220"/>
        <v>0</v>
      </c>
      <c r="Z2364" s="64">
        <f t="shared" si="221"/>
        <v>0</v>
      </c>
    </row>
    <row r="2365" spans="1:26">
      <c r="A2365" s="89" t="str">
        <f t="shared" si="216"/>
        <v/>
      </c>
      <c r="B2365" s="89" t="str">
        <f t="shared" si="217"/>
        <v/>
      </c>
      <c r="S2365" s="89" t="str">
        <f t="shared" si="218"/>
        <v/>
      </c>
      <c r="X2365" s="64">
        <f t="shared" si="219"/>
        <v>0</v>
      </c>
      <c r="Y2365" s="53">
        <f t="shared" si="220"/>
        <v>0</v>
      </c>
      <c r="Z2365" s="64">
        <f t="shared" si="221"/>
        <v>0</v>
      </c>
    </row>
    <row r="2366" spans="1:26">
      <c r="A2366" s="89" t="str">
        <f t="shared" si="216"/>
        <v/>
      </c>
      <c r="B2366" s="89" t="str">
        <f t="shared" si="217"/>
        <v/>
      </c>
      <c r="S2366" s="89" t="str">
        <f t="shared" si="218"/>
        <v/>
      </c>
      <c r="X2366" s="64">
        <f t="shared" si="219"/>
        <v>0</v>
      </c>
      <c r="Y2366" s="53">
        <f t="shared" si="220"/>
        <v>0</v>
      </c>
      <c r="Z2366" s="64">
        <f t="shared" si="221"/>
        <v>0</v>
      </c>
    </row>
    <row r="2367" spans="1:26">
      <c r="A2367" s="89" t="str">
        <f t="shared" si="216"/>
        <v/>
      </c>
      <c r="B2367" s="89" t="str">
        <f t="shared" si="217"/>
        <v/>
      </c>
      <c r="S2367" s="89" t="str">
        <f t="shared" si="218"/>
        <v/>
      </c>
      <c r="X2367" s="64">
        <f t="shared" si="219"/>
        <v>0</v>
      </c>
      <c r="Y2367" s="53">
        <f t="shared" si="220"/>
        <v>0</v>
      </c>
      <c r="Z2367" s="64">
        <f t="shared" si="221"/>
        <v>0</v>
      </c>
    </row>
    <row r="2368" spans="1:26">
      <c r="A2368" s="89" t="str">
        <f t="shared" si="216"/>
        <v/>
      </c>
      <c r="B2368" s="89" t="str">
        <f t="shared" si="217"/>
        <v/>
      </c>
      <c r="S2368" s="89" t="str">
        <f t="shared" si="218"/>
        <v/>
      </c>
      <c r="X2368" s="64">
        <f t="shared" si="219"/>
        <v>0</v>
      </c>
      <c r="Y2368" s="53">
        <f t="shared" si="220"/>
        <v>0</v>
      </c>
      <c r="Z2368" s="64">
        <f t="shared" si="221"/>
        <v>0</v>
      </c>
    </row>
    <row r="2369" spans="1:26">
      <c r="A2369" s="89" t="str">
        <f t="shared" si="216"/>
        <v/>
      </c>
      <c r="B2369" s="89" t="str">
        <f t="shared" si="217"/>
        <v/>
      </c>
      <c r="S2369" s="89" t="str">
        <f t="shared" si="218"/>
        <v/>
      </c>
      <c r="X2369" s="64">
        <f t="shared" si="219"/>
        <v>0</v>
      </c>
      <c r="Y2369" s="53">
        <f t="shared" si="220"/>
        <v>0</v>
      </c>
      <c r="Z2369" s="64">
        <f t="shared" si="221"/>
        <v>0</v>
      </c>
    </row>
    <row r="2370" spans="1:26">
      <c r="A2370" s="89" t="str">
        <f t="shared" si="216"/>
        <v/>
      </c>
      <c r="B2370" s="89" t="str">
        <f t="shared" si="217"/>
        <v/>
      </c>
      <c r="S2370" s="89" t="str">
        <f t="shared" si="218"/>
        <v/>
      </c>
      <c r="X2370" s="64">
        <f t="shared" si="219"/>
        <v>0</v>
      </c>
      <c r="Y2370" s="53">
        <f t="shared" si="220"/>
        <v>0</v>
      </c>
      <c r="Z2370" s="64">
        <f t="shared" si="221"/>
        <v>0</v>
      </c>
    </row>
    <row r="2371" spans="1:26">
      <c r="A2371" s="89" t="str">
        <f t="shared" ref="A2371:A2434" si="222">IF(G2371&amp;Q2371&lt;&gt;"",G2371&amp;Q2371,"")</f>
        <v/>
      </c>
      <c r="B2371" s="89" t="str">
        <f t="shared" ref="B2371:B2434" si="223">IF(C2371&lt;&gt;"",LEFT(C2371,9),"")</f>
        <v/>
      </c>
      <c r="S2371" s="89" t="str">
        <f t="shared" ref="S2371:S2434" si="224">IF(H2371&lt;&gt;"",H2371,"")</f>
        <v/>
      </c>
      <c r="X2371" s="64">
        <f t="shared" ref="X2371:X2434" si="225">IFERROR(VALUE(MID($C2371,1,2)),0)</f>
        <v>0</v>
      </c>
      <c r="Y2371" s="53">
        <f t="shared" ref="Y2371:Y2434" si="226">IFERROR(VALUE(MID($C2371,4,3)),0)</f>
        <v>0</v>
      </c>
      <c r="Z2371" s="64">
        <f t="shared" ref="Z2371:Z2434" si="227">VALUE(RIGHT("00"&amp;X2371,2)&amp;RIGHT("000"&amp;Y2371,3))</f>
        <v>0</v>
      </c>
    </row>
    <row r="2372" spans="1:26">
      <c r="A2372" s="89" t="str">
        <f t="shared" si="222"/>
        <v/>
      </c>
      <c r="B2372" s="89" t="str">
        <f t="shared" si="223"/>
        <v/>
      </c>
      <c r="S2372" s="89" t="str">
        <f t="shared" si="224"/>
        <v/>
      </c>
      <c r="X2372" s="64">
        <f t="shared" si="225"/>
        <v>0</v>
      </c>
      <c r="Y2372" s="53">
        <f t="shared" si="226"/>
        <v>0</v>
      </c>
      <c r="Z2372" s="64">
        <f t="shared" si="227"/>
        <v>0</v>
      </c>
    </row>
    <row r="2373" spans="1:26">
      <c r="A2373" s="89" t="str">
        <f t="shared" si="222"/>
        <v/>
      </c>
      <c r="B2373" s="89" t="str">
        <f t="shared" si="223"/>
        <v/>
      </c>
      <c r="S2373" s="89" t="str">
        <f t="shared" si="224"/>
        <v/>
      </c>
      <c r="X2373" s="64">
        <f t="shared" si="225"/>
        <v>0</v>
      </c>
      <c r="Y2373" s="53">
        <f t="shared" si="226"/>
        <v>0</v>
      </c>
      <c r="Z2373" s="64">
        <f t="shared" si="227"/>
        <v>0</v>
      </c>
    </row>
    <row r="2374" spans="1:26">
      <c r="A2374" s="89" t="str">
        <f t="shared" si="222"/>
        <v/>
      </c>
      <c r="B2374" s="89" t="str">
        <f t="shared" si="223"/>
        <v/>
      </c>
      <c r="S2374" s="89" t="str">
        <f t="shared" si="224"/>
        <v/>
      </c>
      <c r="X2374" s="64">
        <f t="shared" si="225"/>
        <v>0</v>
      </c>
      <c r="Y2374" s="53">
        <f t="shared" si="226"/>
        <v>0</v>
      </c>
      <c r="Z2374" s="64">
        <f t="shared" si="227"/>
        <v>0</v>
      </c>
    </row>
    <row r="2375" spans="1:26">
      <c r="A2375" s="89" t="str">
        <f t="shared" si="222"/>
        <v/>
      </c>
      <c r="B2375" s="89" t="str">
        <f t="shared" si="223"/>
        <v/>
      </c>
      <c r="S2375" s="89" t="str">
        <f t="shared" si="224"/>
        <v/>
      </c>
      <c r="X2375" s="64">
        <f t="shared" si="225"/>
        <v>0</v>
      </c>
      <c r="Y2375" s="53">
        <f t="shared" si="226"/>
        <v>0</v>
      </c>
      <c r="Z2375" s="64">
        <f t="shared" si="227"/>
        <v>0</v>
      </c>
    </row>
    <row r="2376" spans="1:26">
      <c r="A2376" s="89" t="str">
        <f t="shared" si="222"/>
        <v/>
      </c>
      <c r="B2376" s="89" t="str">
        <f t="shared" si="223"/>
        <v/>
      </c>
      <c r="S2376" s="89" t="str">
        <f t="shared" si="224"/>
        <v/>
      </c>
      <c r="X2376" s="64">
        <f t="shared" si="225"/>
        <v>0</v>
      </c>
      <c r="Y2376" s="53">
        <f t="shared" si="226"/>
        <v>0</v>
      </c>
      <c r="Z2376" s="64">
        <f t="shared" si="227"/>
        <v>0</v>
      </c>
    </row>
    <row r="2377" spans="1:26">
      <c r="A2377" s="89" t="str">
        <f t="shared" si="222"/>
        <v/>
      </c>
      <c r="B2377" s="89" t="str">
        <f t="shared" si="223"/>
        <v/>
      </c>
      <c r="S2377" s="89" t="str">
        <f t="shared" si="224"/>
        <v/>
      </c>
      <c r="X2377" s="64">
        <f t="shared" si="225"/>
        <v>0</v>
      </c>
      <c r="Y2377" s="53">
        <f t="shared" si="226"/>
        <v>0</v>
      </c>
      <c r="Z2377" s="64">
        <f t="shared" si="227"/>
        <v>0</v>
      </c>
    </row>
    <row r="2378" spans="1:26">
      <c r="A2378" s="89" t="str">
        <f t="shared" si="222"/>
        <v/>
      </c>
      <c r="B2378" s="89" t="str">
        <f t="shared" si="223"/>
        <v/>
      </c>
      <c r="S2378" s="89" t="str">
        <f t="shared" si="224"/>
        <v/>
      </c>
      <c r="X2378" s="64">
        <f t="shared" si="225"/>
        <v>0</v>
      </c>
      <c r="Y2378" s="53">
        <f t="shared" si="226"/>
        <v>0</v>
      </c>
      <c r="Z2378" s="64">
        <f t="shared" si="227"/>
        <v>0</v>
      </c>
    </row>
    <row r="2379" spans="1:26">
      <c r="A2379" s="89" t="str">
        <f t="shared" si="222"/>
        <v/>
      </c>
      <c r="B2379" s="89" t="str">
        <f t="shared" si="223"/>
        <v/>
      </c>
      <c r="S2379" s="89" t="str">
        <f t="shared" si="224"/>
        <v/>
      </c>
      <c r="X2379" s="64">
        <f t="shared" si="225"/>
        <v>0</v>
      </c>
      <c r="Y2379" s="53">
        <f t="shared" si="226"/>
        <v>0</v>
      </c>
      <c r="Z2379" s="64">
        <f t="shared" si="227"/>
        <v>0</v>
      </c>
    </row>
    <row r="2380" spans="1:26">
      <c r="A2380" s="89" t="str">
        <f t="shared" si="222"/>
        <v/>
      </c>
      <c r="B2380" s="89" t="str">
        <f t="shared" si="223"/>
        <v/>
      </c>
      <c r="S2380" s="89" t="str">
        <f t="shared" si="224"/>
        <v/>
      </c>
      <c r="X2380" s="64">
        <f t="shared" si="225"/>
        <v>0</v>
      </c>
      <c r="Y2380" s="53">
        <f t="shared" si="226"/>
        <v>0</v>
      </c>
      <c r="Z2380" s="64">
        <f t="shared" si="227"/>
        <v>0</v>
      </c>
    </row>
    <row r="2381" spans="1:26">
      <c r="A2381" s="89" t="str">
        <f t="shared" si="222"/>
        <v/>
      </c>
      <c r="B2381" s="89" t="str">
        <f t="shared" si="223"/>
        <v/>
      </c>
      <c r="S2381" s="89" t="str">
        <f t="shared" si="224"/>
        <v/>
      </c>
      <c r="X2381" s="64">
        <f t="shared" si="225"/>
        <v>0</v>
      </c>
      <c r="Y2381" s="53">
        <f t="shared" si="226"/>
        <v>0</v>
      </c>
      <c r="Z2381" s="64">
        <f t="shared" si="227"/>
        <v>0</v>
      </c>
    </row>
    <row r="2382" spans="1:26">
      <c r="A2382" s="89" t="str">
        <f t="shared" si="222"/>
        <v/>
      </c>
      <c r="B2382" s="89" t="str">
        <f t="shared" si="223"/>
        <v/>
      </c>
      <c r="S2382" s="89" t="str">
        <f t="shared" si="224"/>
        <v/>
      </c>
      <c r="X2382" s="64">
        <f t="shared" si="225"/>
        <v>0</v>
      </c>
      <c r="Y2382" s="53">
        <f t="shared" si="226"/>
        <v>0</v>
      </c>
      <c r="Z2382" s="64">
        <f t="shared" si="227"/>
        <v>0</v>
      </c>
    </row>
    <row r="2383" spans="1:26">
      <c r="A2383" s="89" t="str">
        <f t="shared" si="222"/>
        <v/>
      </c>
      <c r="B2383" s="89" t="str">
        <f t="shared" si="223"/>
        <v/>
      </c>
      <c r="S2383" s="89" t="str">
        <f t="shared" si="224"/>
        <v/>
      </c>
      <c r="X2383" s="64">
        <f t="shared" si="225"/>
        <v>0</v>
      </c>
      <c r="Y2383" s="53">
        <f t="shared" si="226"/>
        <v>0</v>
      </c>
      <c r="Z2383" s="64">
        <f t="shared" si="227"/>
        <v>0</v>
      </c>
    </row>
    <row r="2384" spans="1:26">
      <c r="A2384" s="89" t="str">
        <f t="shared" si="222"/>
        <v/>
      </c>
      <c r="B2384" s="89" t="str">
        <f t="shared" si="223"/>
        <v/>
      </c>
      <c r="S2384" s="89" t="str">
        <f t="shared" si="224"/>
        <v/>
      </c>
      <c r="X2384" s="64">
        <f t="shared" si="225"/>
        <v>0</v>
      </c>
      <c r="Y2384" s="53">
        <f t="shared" si="226"/>
        <v>0</v>
      </c>
      <c r="Z2384" s="64">
        <f t="shared" si="227"/>
        <v>0</v>
      </c>
    </row>
    <row r="2385" spans="1:26">
      <c r="A2385" s="89" t="str">
        <f t="shared" si="222"/>
        <v/>
      </c>
      <c r="B2385" s="89" t="str">
        <f t="shared" si="223"/>
        <v/>
      </c>
      <c r="S2385" s="89" t="str">
        <f t="shared" si="224"/>
        <v/>
      </c>
      <c r="X2385" s="64">
        <f t="shared" si="225"/>
        <v>0</v>
      </c>
      <c r="Y2385" s="53">
        <f t="shared" si="226"/>
        <v>0</v>
      </c>
      <c r="Z2385" s="64">
        <f t="shared" si="227"/>
        <v>0</v>
      </c>
    </row>
    <row r="2386" spans="1:26">
      <c r="A2386" s="89" t="str">
        <f t="shared" si="222"/>
        <v/>
      </c>
      <c r="B2386" s="89" t="str">
        <f t="shared" si="223"/>
        <v/>
      </c>
      <c r="S2386" s="89" t="str">
        <f t="shared" si="224"/>
        <v/>
      </c>
      <c r="X2386" s="64">
        <f t="shared" si="225"/>
        <v>0</v>
      </c>
      <c r="Y2386" s="53">
        <f t="shared" si="226"/>
        <v>0</v>
      </c>
      <c r="Z2386" s="64">
        <f t="shared" si="227"/>
        <v>0</v>
      </c>
    </row>
    <row r="2387" spans="1:26">
      <c r="A2387" s="89" t="str">
        <f t="shared" si="222"/>
        <v/>
      </c>
      <c r="B2387" s="89" t="str">
        <f t="shared" si="223"/>
        <v/>
      </c>
      <c r="S2387" s="89" t="str">
        <f t="shared" si="224"/>
        <v/>
      </c>
      <c r="X2387" s="64">
        <f t="shared" si="225"/>
        <v>0</v>
      </c>
      <c r="Y2387" s="53">
        <f t="shared" si="226"/>
        <v>0</v>
      </c>
      <c r="Z2387" s="64">
        <f t="shared" si="227"/>
        <v>0</v>
      </c>
    </row>
    <row r="2388" spans="1:26">
      <c r="A2388" s="89" t="str">
        <f t="shared" si="222"/>
        <v/>
      </c>
      <c r="B2388" s="89" t="str">
        <f t="shared" si="223"/>
        <v/>
      </c>
      <c r="S2388" s="89" t="str">
        <f t="shared" si="224"/>
        <v/>
      </c>
      <c r="X2388" s="64">
        <f t="shared" si="225"/>
        <v>0</v>
      </c>
      <c r="Y2388" s="53">
        <f t="shared" si="226"/>
        <v>0</v>
      </c>
      <c r="Z2388" s="64">
        <f t="shared" si="227"/>
        <v>0</v>
      </c>
    </row>
    <row r="2389" spans="1:26">
      <c r="A2389" s="89" t="str">
        <f t="shared" si="222"/>
        <v/>
      </c>
      <c r="B2389" s="89" t="str">
        <f t="shared" si="223"/>
        <v/>
      </c>
      <c r="S2389" s="89" t="str">
        <f t="shared" si="224"/>
        <v/>
      </c>
      <c r="X2389" s="64">
        <f t="shared" si="225"/>
        <v>0</v>
      </c>
      <c r="Y2389" s="53">
        <f t="shared" si="226"/>
        <v>0</v>
      </c>
      <c r="Z2389" s="64">
        <f t="shared" si="227"/>
        <v>0</v>
      </c>
    </row>
    <row r="2390" spans="1:26">
      <c r="A2390" s="89" t="str">
        <f t="shared" si="222"/>
        <v/>
      </c>
      <c r="B2390" s="89" t="str">
        <f t="shared" si="223"/>
        <v/>
      </c>
      <c r="S2390" s="89" t="str">
        <f t="shared" si="224"/>
        <v/>
      </c>
      <c r="X2390" s="64">
        <f t="shared" si="225"/>
        <v>0</v>
      </c>
      <c r="Y2390" s="53">
        <f t="shared" si="226"/>
        <v>0</v>
      </c>
      <c r="Z2390" s="64">
        <f t="shared" si="227"/>
        <v>0</v>
      </c>
    </row>
    <row r="2391" spans="1:26">
      <c r="A2391" s="89" t="str">
        <f t="shared" si="222"/>
        <v/>
      </c>
      <c r="B2391" s="89" t="str">
        <f t="shared" si="223"/>
        <v/>
      </c>
      <c r="S2391" s="89" t="str">
        <f t="shared" si="224"/>
        <v/>
      </c>
      <c r="X2391" s="64">
        <f t="shared" si="225"/>
        <v>0</v>
      </c>
      <c r="Y2391" s="53">
        <f t="shared" si="226"/>
        <v>0</v>
      </c>
      <c r="Z2391" s="64">
        <f t="shared" si="227"/>
        <v>0</v>
      </c>
    </row>
    <row r="2392" spans="1:26">
      <c r="A2392" s="89" t="str">
        <f t="shared" si="222"/>
        <v/>
      </c>
      <c r="B2392" s="89" t="str">
        <f t="shared" si="223"/>
        <v/>
      </c>
      <c r="S2392" s="89" t="str">
        <f t="shared" si="224"/>
        <v/>
      </c>
      <c r="X2392" s="64">
        <f t="shared" si="225"/>
        <v>0</v>
      </c>
      <c r="Y2392" s="53">
        <f t="shared" si="226"/>
        <v>0</v>
      </c>
      <c r="Z2392" s="64">
        <f t="shared" si="227"/>
        <v>0</v>
      </c>
    </row>
    <row r="2393" spans="1:26">
      <c r="A2393" s="89" t="str">
        <f t="shared" si="222"/>
        <v/>
      </c>
      <c r="B2393" s="89" t="str">
        <f t="shared" si="223"/>
        <v/>
      </c>
      <c r="S2393" s="89" t="str">
        <f t="shared" si="224"/>
        <v/>
      </c>
      <c r="X2393" s="64">
        <f t="shared" si="225"/>
        <v>0</v>
      </c>
      <c r="Y2393" s="53">
        <f t="shared" si="226"/>
        <v>0</v>
      </c>
      <c r="Z2393" s="64">
        <f t="shared" si="227"/>
        <v>0</v>
      </c>
    </row>
    <row r="2394" spans="1:26">
      <c r="A2394" s="89" t="str">
        <f t="shared" si="222"/>
        <v/>
      </c>
      <c r="B2394" s="89" t="str">
        <f t="shared" si="223"/>
        <v/>
      </c>
      <c r="S2394" s="89" t="str">
        <f t="shared" si="224"/>
        <v/>
      </c>
      <c r="X2394" s="64">
        <f t="shared" si="225"/>
        <v>0</v>
      </c>
      <c r="Y2394" s="53">
        <f t="shared" si="226"/>
        <v>0</v>
      </c>
      <c r="Z2394" s="64">
        <f t="shared" si="227"/>
        <v>0</v>
      </c>
    </row>
    <row r="2395" spans="1:26">
      <c r="A2395" s="89" t="str">
        <f t="shared" si="222"/>
        <v/>
      </c>
      <c r="B2395" s="89" t="str">
        <f t="shared" si="223"/>
        <v/>
      </c>
      <c r="S2395" s="89" t="str">
        <f t="shared" si="224"/>
        <v/>
      </c>
      <c r="X2395" s="64">
        <f t="shared" si="225"/>
        <v>0</v>
      </c>
      <c r="Y2395" s="53">
        <f t="shared" si="226"/>
        <v>0</v>
      </c>
      <c r="Z2395" s="64">
        <f t="shared" si="227"/>
        <v>0</v>
      </c>
    </row>
    <row r="2396" spans="1:26">
      <c r="A2396" s="89" t="str">
        <f t="shared" si="222"/>
        <v/>
      </c>
      <c r="B2396" s="89" t="str">
        <f t="shared" si="223"/>
        <v/>
      </c>
      <c r="S2396" s="89" t="str">
        <f t="shared" si="224"/>
        <v/>
      </c>
      <c r="X2396" s="64">
        <f t="shared" si="225"/>
        <v>0</v>
      </c>
      <c r="Y2396" s="53">
        <f t="shared" si="226"/>
        <v>0</v>
      </c>
      <c r="Z2396" s="64">
        <f t="shared" si="227"/>
        <v>0</v>
      </c>
    </row>
    <row r="2397" spans="1:26">
      <c r="A2397" s="89" t="str">
        <f t="shared" si="222"/>
        <v/>
      </c>
      <c r="B2397" s="89" t="str">
        <f t="shared" si="223"/>
        <v/>
      </c>
      <c r="S2397" s="89" t="str">
        <f t="shared" si="224"/>
        <v/>
      </c>
      <c r="X2397" s="64">
        <f t="shared" si="225"/>
        <v>0</v>
      </c>
      <c r="Y2397" s="53">
        <f t="shared" si="226"/>
        <v>0</v>
      </c>
      <c r="Z2397" s="64">
        <f t="shared" si="227"/>
        <v>0</v>
      </c>
    </row>
    <row r="2398" spans="1:26">
      <c r="A2398" s="89" t="str">
        <f t="shared" si="222"/>
        <v/>
      </c>
      <c r="B2398" s="89" t="str">
        <f t="shared" si="223"/>
        <v/>
      </c>
      <c r="S2398" s="89" t="str">
        <f t="shared" si="224"/>
        <v/>
      </c>
      <c r="X2398" s="64">
        <f t="shared" si="225"/>
        <v>0</v>
      </c>
      <c r="Y2398" s="53">
        <f t="shared" si="226"/>
        <v>0</v>
      </c>
      <c r="Z2398" s="64">
        <f t="shared" si="227"/>
        <v>0</v>
      </c>
    </row>
    <row r="2399" spans="1:26">
      <c r="A2399" s="89" t="str">
        <f t="shared" si="222"/>
        <v/>
      </c>
      <c r="B2399" s="89" t="str">
        <f t="shared" si="223"/>
        <v/>
      </c>
      <c r="S2399" s="89" t="str">
        <f t="shared" si="224"/>
        <v/>
      </c>
      <c r="X2399" s="64">
        <f t="shared" si="225"/>
        <v>0</v>
      </c>
      <c r="Y2399" s="53">
        <f t="shared" si="226"/>
        <v>0</v>
      </c>
      <c r="Z2399" s="64">
        <f t="shared" si="227"/>
        <v>0</v>
      </c>
    </row>
    <row r="2400" spans="1:26">
      <c r="A2400" s="89" t="str">
        <f t="shared" si="222"/>
        <v/>
      </c>
      <c r="B2400" s="89" t="str">
        <f t="shared" si="223"/>
        <v/>
      </c>
      <c r="S2400" s="89" t="str">
        <f t="shared" si="224"/>
        <v/>
      </c>
      <c r="X2400" s="64">
        <f t="shared" si="225"/>
        <v>0</v>
      </c>
      <c r="Y2400" s="53">
        <f t="shared" si="226"/>
        <v>0</v>
      </c>
      <c r="Z2400" s="64">
        <f t="shared" si="227"/>
        <v>0</v>
      </c>
    </row>
    <row r="2401" spans="1:26">
      <c r="A2401" s="89" t="str">
        <f t="shared" si="222"/>
        <v/>
      </c>
      <c r="B2401" s="89" t="str">
        <f t="shared" si="223"/>
        <v/>
      </c>
      <c r="S2401" s="89" t="str">
        <f t="shared" si="224"/>
        <v/>
      </c>
      <c r="X2401" s="64">
        <f t="shared" si="225"/>
        <v>0</v>
      </c>
      <c r="Y2401" s="53">
        <f t="shared" si="226"/>
        <v>0</v>
      </c>
      <c r="Z2401" s="64">
        <f t="shared" si="227"/>
        <v>0</v>
      </c>
    </row>
    <row r="2402" spans="1:26">
      <c r="A2402" s="89" t="str">
        <f t="shared" si="222"/>
        <v/>
      </c>
      <c r="B2402" s="89" t="str">
        <f t="shared" si="223"/>
        <v/>
      </c>
      <c r="S2402" s="89" t="str">
        <f t="shared" si="224"/>
        <v/>
      </c>
      <c r="X2402" s="64">
        <f t="shared" si="225"/>
        <v>0</v>
      </c>
      <c r="Y2402" s="53">
        <f t="shared" si="226"/>
        <v>0</v>
      </c>
      <c r="Z2402" s="64">
        <f t="shared" si="227"/>
        <v>0</v>
      </c>
    </row>
    <row r="2403" spans="1:26">
      <c r="A2403" s="89" t="str">
        <f t="shared" si="222"/>
        <v/>
      </c>
      <c r="B2403" s="89" t="str">
        <f t="shared" si="223"/>
        <v/>
      </c>
      <c r="S2403" s="89" t="str">
        <f t="shared" si="224"/>
        <v/>
      </c>
      <c r="X2403" s="64">
        <f t="shared" si="225"/>
        <v>0</v>
      </c>
      <c r="Y2403" s="53">
        <f t="shared" si="226"/>
        <v>0</v>
      </c>
      <c r="Z2403" s="64">
        <f t="shared" si="227"/>
        <v>0</v>
      </c>
    </row>
    <row r="2404" spans="1:26">
      <c r="A2404" s="89" t="str">
        <f t="shared" si="222"/>
        <v/>
      </c>
      <c r="B2404" s="89" t="str">
        <f t="shared" si="223"/>
        <v/>
      </c>
      <c r="S2404" s="89" t="str">
        <f t="shared" si="224"/>
        <v/>
      </c>
      <c r="X2404" s="64">
        <f t="shared" si="225"/>
        <v>0</v>
      </c>
      <c r="Y2404" s="53">
        <f t="shared" si="226"/>
        <v>0</v>
      </c>
      <c r="Z2404" s="64">
        <f t="shared" si="227"/>
        <v>0</v>
      </c>
    </row>
    <row r="2405" spans="1:26">
      <c r="A2405" s="89" t="str">
        <f t="shared" si="222"/>
        <v/>
      </c>
      <c r="B2405" s="89" t="str">
        <f t="shared" si="223"/>
        <v/>
      </c>
      <c r="S2405" s="89" t="str">
        <f t="shared" si="224"/>
        <v/>
      </c>
      <c r="X2405" s="64">
        <f t="shared" si="225"/>
        <v>0</v>
      </c>
      <c r="Y2405" s="53">
        <f t="shared" si="226"/>
        <v>0</v>
      </c>
      <c r="Z2405" s="64">
        <f t="shared" si="227"/>
        <v>0</v>
      </c>
    </row>
    <row r="2406" spans="1:26">
      <c r="A2406" s="89" t="str">
        <f t="shared" si="222"/>
        <v/>
      </c>
      <c r="B2406" s="89" t="str">
        <f t="shared" si="223"/>
        <v/>
      </c>
      <c r="S2406" s="89" t="str">
        <f t="shared" si="224"/>
        <v/>
      </c>
      <c r="X2406" s="64">
        <f t="shared" si="225"/>
        <v>0</v>
      </c>
      <c r="Y2406" s="53">
        <f t="shared" si="226"/>
        <v>0</v>
      </c>
      <c r="Z2406" s="64">
        <f t="shared" si="227"/>
        <v>0</v>
      </c>
    </row>
    <row r="2407" spans="1:26">
      <c r="A2407" s="89" t="str">
        <f t="shared" si="222"/>
        <v/>
      </c>
      <c r="B2407" s="89" t="str">
        <f t="shared" si="223"/>
        <v/>
      </c>
      <c r="S2407" s="89" t="str">
        <f t="shared" si="224"/>
        <v/>
      </c>
      <c r="X2407" s="64">
        <f t="shared" si="225"/>
        <v>0</v>
      </c>
      <c r="Y2407" s="53">
        <f t="shared" si="226"/>
        <v>0</v>
      </c>
      <c r="Z2407" s="64">
        <f t="shared" si="227"/>
        <v>0</v>
      </c>
    </row>
    <row r="2408" spans="1:26">
      <c r="A2408" s="89" t="str">
        <f t="shared" si="222"/>
        <v/>
      </c>
      <c r="B2408" s="89" t="str">
        <f t="shared" si="223"/>
        <v/>
      </c>
      <c r="S2408" s="89" t="str">
        <f t="shared" si="224"/>
        <v/>
      </c>
      <c r="X2408" s="64">
        <f t="shared" si="225"/>
        <v>0</v>
      </c>
      <c r="Y2408" s="53">
        <f t="shared" si="226"/>
        <v>0</v>
      </c>
      <c r="Z2408" s="64">
        <f t="shared" si="227"/>
        <v>0</v>
      </c>
    </row>
    <row r="2409" spans="1:26">
      <c r="A2409" s="89" t="str">
        <f t="shared" si="222"/>
        <v/>
      </c>
      <c r="B2409" s="89" t="str">
        <f t="shared" si="223"/>
        <v/>
      </c>
      <c r="S2409" s="89" t="str">
        <f t="shared" si="224"/>
        <v/>
      </c>
      <c r="X2409" s="64">
        <f t="shared" si="225"/>
        <v>0</v>
      </c>
      <c r="Y2409" s="53">
        <f t="shared" si="226"/>
        <v>0</v>
      </c>
      <c r="Z2409" s="64">
        <f t="shared" si="227"/>
        <v>0</v>
      </c>
    </row>
    <row r="2410" spans="1:26">
      <c r="A2410" s="89" t="str">
        <f t="shared" si="222"/>
        <v/>
      </c>
      <c r="B2410" s="89" t="str">
        <f t="shared" si="223"/>
        <v/>
      </c>
      <c r="S2410" s="89" t="str">
        <f t="shared" si="224"/>
        <v/>
      </c>
      <c r="X2410" s="64">
        <f t="shared" si="225"/>
        <v>0</v>
      </c>
      <c r="Y2410" s="53">
        <f t="shared" si="226"/>
        <v>0</v>
      </c>
      <c r="Z2410" s="64">
        <f t="shared" si="227"/>
        <v>0</v>
      </c>
    </row>
    <row r="2411" spans="1:26">
      <c r="A2411" s="89" t="str">
        <f t="shared" si="222"/>
        <v/>
      </c>
      <c r="B2411" s="89" t="str">
        <f t="shared" si="223"/>
        <v/>
      </c>
      <c r="S2411" s="89" t="str">
        <f t="shared" si="224"/>
        <v/>
      </c>
      <c r="X2411" s="64">
        <f t="shared" si="225"/>
        <v>0</v>
      </c>
      <c r="Y2411" s="53">
        <f t="shared" si="226"/>
        <v>0</v>
      </c>
      <c r="Z2411" s="64">
        <f t="shared" si="227"/>
        <v>0</v>
      </c>
    </row>
    <row r="2412" spans="1:26">
      <c r="A2412" s="89" t="str">
        <f t="shared" si="222"/>
        <v/>
      </c>
      <c r="B2412" s="89" t="str">
        <f t="shared" si="223"/>
        <v/>
      </c>
      <c r="S2412" s="89" t="str">
        <f t="shared" si="224"/>
        <v/>
      </c>
      <c r="X2412" s="64">
        <f t="shared" si="225"/>
        <v>0</v>
      </c>
      <c r="Y2412" s="53">
        <f t="shared" si="226"/>
        <v>0</v>
      </c>
      <c r="Z2412" s="64">
        <f t="shared" si="227"/>
        <v>0</v>
      </c>
    </row>
    <row r="2413" spans="1:26">
      <c r="A2413" s="89" t="str">
        <f t="shared" si="222"/>
        <v/>
      </c>
      <c r="B2413" s="89" t="str">
        <f t="shared" si="223"/>
        <v/>
      </c>
      <c r="S2413" s="89" t="str">
        <f t="shared" si="224"/>
        <v/>
      </c>
      <c r="X2413" s="64">
        <f t="shared" si="225"/>
        <v>0</v>
      </c>
      <c r="Y2413" s="53">
        <f t="shared" si="226"/>
        <v>0</v>
      </c>
      <c r="Z2413" s="64">
        <f t="shared" si="227"/>
        <v>0</v>
      </c>
    </row>
    <row r="2414" spans="1:26">
      <c r="A2414" s="89" t="str">
        <f t="shared" si="222"/>
        <v/>
      </c>
      <c r="B2414" s="89" t="str">
        <f t="shared" si="223"/>
        <v/>
      </c>
      <c r="S2414" s="89" t="str">
        <f t="shared" si="224"/>
        <v/>
      </c>
      <c r="X2414" s="64">
        <f t="shared" si="225"/>
        <v>0</v>
      </c>
      <c r="Y2414" s="53">
        <f t="shared" si="226"/>
        <v>0</v>
      </c>
      <c r="Z2414" s="64">
        <f t="shared" si="227"/>
        <v>0</v>
      </c>
    </row>
    <row r="2415" spans="1:26">
      <c r="A2415" s="89" t="str">
        <f t="shared" si="222"/>
        <v/>
      </c>
      <c r="B2415" s="89" t="str">
        <f t="shared" si="223"/>
        <v/>
      </c>
      <c r="S2415" s="89" t="str">
        <f t="shared" si="224"/>
        <v/>
      </c>
      <c r="X2415" s="64">
        <f t="shared" si="225"/>
        <v>0</v>
      </c>
      <c r="Y2415" s="53">
        <f t="shared" si="226"/>
        <v>0</v>
      </c>
      <c r="Z2415" s="64">
        <f t="shared" si="227"/>
        <v>0</v>
      </c>
    </row>
    <row r="2416" spans="1:26">
      <c r="A2416" s="89" t="str">
        <f t="shared" si="222"/>
        <v/>
      </c>
      <c r="B2416" s="89" t="str">
        <f t="shared" si="223"/>
        <v/>
      </c>
      <c r="S2416" s="89" t="str">
        <f t="shared" si="224"/>
        <v/>
      </c>
      <c r="X2416" s="64">
        <f t="shared" si="225"/>
        <v>0</v>
      </c>
      <c r="Y2416" s="53">
        <f t="shared" si="226"/>
        <v>0</v>
      </c>
      <c r="Z2416" s="64">
        <f t="shared" si="227"/>
        <v>0</v>
      </c>
    </row>
    <row r="2417" spans="1:26">
      <c r="A2417" s="89" t="str">
        <f t="shared" si="222"/>
        <v/>
      </c>
      <c r="B2417" s="89" t="str">
        <f t="shared" si="223"/>
        <v/>
      </c>
      <c r="S2417" s="89" t="str">
        <f t="shared" si="224"/>
        <v/>
      </c>
      <c r="X2417" s="64">
        <f t="shared" si="225"/>
        <v>0</v>
      </c>
      <c r="Y2417" s="53">
        <f t="shared" si="226"/>
        <v>0</v>
      </c>
      <c r="Z2417" s="64">
        <f t="shared" si="227"/>
        <v>0</v>
      </c>
    </row>
    <row r="2418" spans="1:26">
      <c r="A2418" s="89" t="str">
        <f t="shared" si="222"/>
        <v/>
      </c>
      <c r="B2418" s="89" t="str">
        <f t="shared" si="223"/>
        <v/>
      </c>
      <c r="S2418" s="89" t="str">
        <f t="shared" si="224"/>
        <v/>
      </c>
      <c r="X2418" s="64">
        <f t="shared" si="225"/>
        <v>0</v>
      </c>
      <c r="Y2418" s="53">
        <f t="shared" si="226"/>
        <v>0</v>
      </c>
      <c r="Z2418" s="64">
        <f t="shared" si="227"/>
        <v>0</v>
      </c>
    </row>
    <row r="2419" spans="1:26">
      <c r="A2419" s="89" t="str">
        <f t="shared" si="222"/>
        <v/>
      </c>
      <c r="B2419" s="89" t="str">
        <f t="shared" si="223"/>
        <v/>
      </c>
      <c r="S2419" s="89" t="str">
        <f t="shared" si="224"/>
        <v/>
      </c>
      <c r="X2419" s="64">
        <f t="shared" si="225"/>
        <v>0</v>
      </c>
      <c r="Y2419" s="53">
        <f t="shared" si="226"/>
        <v>0</v>
      </c>
      <c r="Z2419" s="64">
        <f t="shared" si="227"/>
        <v>0</v>
      </c>
    </row>
    <row r="2420" spans="1:26">
      <c r="A2420" s="89" t="str">
        <f t="shared" si="222"/>
        <v/>
      </c>
      <c r="B2420" s="89" t="str">
        <f t="shared" si="223"/>
        <v/>
      </c>
      <c r="S2420" s="89" t="str">
        <f t="shared" si="224"/>
        <v/>
      </c>
      <c r="X2420" s="64">
        <f t="shared" si="225"/>
        <v>0</v>
      </c>
      <c r="Y2420" s="53">
        <f t="shared" si="226"/>
        <v>0</v>
      </c>
      <c r="Z2420" s="64">
        <f t="shared" si="227"/>
        <v>0</v>
      </c>
    </row>
    <row r="2421" spans="1:26">
      <c r="A2421" s="89" t="str">
        <f t="shared" si="222"/>
        <v/>
      </c>
      <c r="B2421" s="89" t="str">
        <f t="shared" si="223"/>
        <v/>
      </c>
      <c r="S2421" s="89" t="str">
        <f t="shared" si="224"/>
        <v/>
      </c>
      <c r="X2421" s="64">
        <f t="shared" si="225"/>
        <v>0</v>
      </c>
      <c r="Y2421" s="53">
        <f t="shared" si="226"/>
        <v>0</v>
      </c>
      <c r="Z2421" s="64">
        <f t="shared" si="227"/>
        <v>0</v>
      </c>
    </row>
    <row r="2422" spans="1:26">
      <c r="A2422" s="89" t="str">
        <f t="shared" si="222"/>
        <v/>
      </c>
      <c r="B2422" s="89" t="str">
        <f t="shared" si="223"/>
        <v/>
      </c>
      <c r="S2422" s="89" t="str">
        <f t="shared" si="224"/>
        <v/>
      </c>
      <c r="X2422" s="64">
        <f t="shared" si="225"/>
        <v>0</v>
      </c>
      <c r="Y2422" s="53">
        <f t="shared" si="226"/>
        <v>0</v>
      </c>
      <c r="Z2422" s="64">
        <f t="shared" si="227"/>
        <v>0</v>
      </c>
    </row>
    <row r="2423" spans="1:26">
      <c r="A2423" s="89" t="str">
        <f t="shared" si="222"/>
        <v/>
      </c>
      <c r="B2423" s="89" t="str">
        <f t="shared" si="223"/>
        <v/>
      </c>
      <c r="S2423" s="89" t="str">
        <f t="shared" si="224"/>
        <v/>
      </c>
      <c r="X2423" s="64">
        <f t="shared" si="225"/>
        <v>0</v>
      </c>
      <c r="Y2423" s="53">
        <f t="shared" si="226"/>
        <v>0</v>
      </c>
      <c r="Z2423" s="64">
        <f t="shared" si="227"/>
        <v>0</v>
      </c>
    </row>
    <row r="2424" spans="1:26">
      <c r="A2424" s="89" t="str">
        <f t="shared" si="222"/>
        <v/>
      </c>
      <c r="B2424" s="89" t="str">
        <f t="shared" si="223"/>
        <v/>
      </c>
      <c r="S2424" s="89" t="str">
        <f t="shared" si="224"/>
        <v/>
      </c>
      <c r="X2424" s="64">
        <f t="shared" si="225"/>
        <v>0</v>
      </c>
      <c r="Y2424" s="53">
        <f t="shared" si="226"/>
        <v>0</v>
      </c>
      <c r="Z2424" s="64">
        <f t="shared" si="227"/>
        <v>0</v>
      </c>
    </row>
    <row r="2425" spans="1:26">
      <c r="A2425" s="89" t="str">
        <f t="shared" si="222"/>
        <v/>
      </c>
      <c r="B2425" s="89" t="str">
        <f t="shared" si="223"/>
        <v/>
      </c>
      <c r="S2425" s="89" t="str">
        <f t="shared" si="224"/>
        <v/>
      </c>
      <c r="X2425" s="64">
        <f t="shared" si="225"/>
        <v>0</v>
      </c>
      <c r="Y2425" s="53">
        <f t="shared" si="226"/>
        <v>0</v>
      </c>
      <c r="Z2425" s="64">
        <f t="shared" si="227"/>
        <v>0</v>
      </c>
    </row>
    <row r="2426" spans="1:26">
      <c r="A2426" s="89" t="str">
        <f t="shared" si="222"/>
        <v/>
      </c>
      <c r="B2426" s="89" t="str">
        <f t="shared" si="223"/>
        <v/>
      </c>
      <c r="S2426" s="89" t="str">
        <f t="shared" si="224"/>
        <v/>
      </c>
      <c r="X2426" s="64">
        <f t="shared" si="225"/>
        <v>0</v>
      </c>
      <c r="Y2426" s="53">
        <f t="shared" si="226"/>
        <v>0</v>
      </c>
      <c r="Z2426" s="64">
        <f t="shared" si="227"/>
        <v>0</v>
      </c>
    </row>
    <row r="2427" spans="1:26">
      <c r="A2427" s="89" t="str">
        <f t="shared" si="222"/>
        <v/>
      </c>
      <c r="B2427" s="89" t="str">
        <f t="shared" si="223"/>
        <v/>
      </c>
      <c r="S2427" s="89" t="str">
        <f t="shared" si="224"/>
        <v/>
      </c>
      <c r="X2427" s="64">
        <f t="shared" si="225"/>
        <v>0</v>
      </c>
      <c r="Y2427" s="53">
        <f t="shared" si="226"/>
        <v>0</v>
      </c>
      <c r="Z2427" s="64">
        <f t="shared" si="227"/>
        <v>0</v>
      </c>
    </row>
    <row r="2428" spans="1:26">
      <c r="A2428" s="89" t="str">
        <f t="shared" si="222"/>
        <v/>
      </c>
      <c r="B2428" s="89" t="str">
        <f t="shared" si="223"/>
        <v/>
      </c>
      <c r="S2428" s="89" t="str">
        <f t="shared" si="224"/>
        <v/>
      </c>
      <c r="X2428" s="64">
        <f t="shared" si="225"/>
        <v>0</v>
      </c>
      <c r="Y2428" s="53">
        <f t="shared" si="226"/>
        <v>0</v>
      </c>
      <c r="Z2428" s="64">
        <f t="shared" si="227"/>
        <v>0</v>
      </c>
    </row>
    <row r="2429" spans="1:26">
      <c r="A2429" s="89" t="str">
        <f t="shared" si="222"/>
        <v/>
      </c>
      <c r="B2429" s="89" t="str">
        <f t="shared" si="223"/>
        <v/>
      </c>
      <c r="S2429" s="89" t="str">
        <f t="shared" si="224"/>
        <v/>
      </c>
      <c r="X2429" s="64">
        <f t="shared" si="225"/>
        <v>0</v>
      </c>
      <c r="Y2429" s="53">
        <f t="shared" si="226"/>
        <v>0</v>
      </c>
      <c r="Z2429" s="64">
        <f t="shared" si="227"/>
        <v>0</v>
      </c>
    </row>
    <row r="2430" spans="1:26">
      <c r="A2430" s="89" t="str">
        <f t="shared" si="222"/>
        <v/>
      </c>
      <c r="B2430" s="89" t="str">
        <f t="shared" si="223"/>
        <v/>
      </c>
      <c r="S2430" s="89" t="str">
        <f t="shared" si="224"/>
        <v/>
      </c>
      <c r="X2430" s="64">
        <f t="shared" si="225"/>
        <v>0</v>
      </c>
      <c r="Y2430" s="53">
        <f t="shared" si="226"/>
        <v>0</v>
      </c>
      <c r="Z2430" s="64">
        <f t="shared" si="227"/>
        <v>0</v>
      </c>
    </row>
    <row r="2431" spans="1:26">
      <c r="A2431" s="89" t="str">
        <f t="shared" si="222"/>
        <v/>
      </c>
      <c r="B2431" s="89" t="str">
        <f t="shared" si="223"/>
        <v/>
      </c>
      <c r="S2431" s="89" t="str">
        <f t="shared" si="224"/>
        <v/>
      </c>
      <c r="X2431" s="64">
        <f t="shared" si="225"/>
        <v>0</v>
      </c>
      <c r="Y2431" s="53">
        <f t="shared" si="226"/>
        <v>0</v>
      </c>
      <c r="Z2431" s="64">
        <f t="shared" si="227"/>
        <v>0</v>
      </c>
    </row>
    <row r="2432" spans="1:26">
      <c r="A2432" s="89" t="str">
        <f t="shared" si="222"/>
        <v/>
      </c>
      <c r="B2432" s="89" t="str">
        <f t="shared" si="223"/>
        <v/>
      </c>
      <c r="S2432" s="89" t="str">
        <f t="shared" si="224"/>
        <v/>
      </c>
      <c r="X2432" s="64">
        <f t="shared" si="225"/>
        <v>0</v>
      </c>
      <c r="Y2432" s="53">
        <f t="shared" si="226"/>
        <v>0</v>
      </c>
      <c r="Z2432" s="64">
        <f t="shared" si="227"/>
        <v>0</v>
      </c>
    </row>
    <row r="2433" spans="1:26">
      <c r="A2433" s="89" t="str">
        <f t="shared" si="222"/>
        <v/>
      </c>
      <c r="B2433" s="89" t="str">
        <f t="shared" si="223"/>
        <v/>
      </c>
      <c r="S2433" s="89" t="str">
        <f t="shared" si="224"/>
        <v/>
      </c>
      <c r="X2433" s="64">
        <f t="shared" si="225"/>
        <v>0</v>
      </c>
      <c r="Y2433" s="53">
        <f t="shared" si="226"/>
        <v>0</v>
      </c>
      <c r="Z2433" s="64">
        <f t="shared" si="227"/>
        <v>0</v>
      </c>
    </row>
    <row r="2434" spans="1:26">
      <c r="A2434" s="89" t="str">
        <f t="shared" si="222"/>
        <v/>
      </c>
      <c r="B2434" s="89" t="str">
        <f t="shared" si="223"/>
        <v/>
      </c>
      <c r="S2434" s="89" t="str">
        <f t="shared" si="224"/>
        <v/>
      </c>
      <c r="X2434" s="64">
        <f t="shared" si="225"/>
        <v>0</v>
      </c>
      <c r="Y2434" s="53">
        <f t="shared" si="226"/>
        <v>0</v>
      </c>
      <c r="Z2434" s="64">
        <f t="shared" si="227"/>
        <v>0</v>
      </c>
    </row>
    <row r="2435" spans="1:26">
      <c r="A2435" s="89" t="str">
        <f t="shared" ref="A2435:A2498" si="228">IF(G2435&amp;Q2435&lt;&gt;"",G2435&amp;Q2435,"")</f>
        <v/>
      </c>
      <c r="B2435" s="89" t="str">
        <f t="shared" ref="B2435:B2498" si="229">IF(C2435&lt;&gt;"",LEFT(C2435,9),"")</f>
        <v/>
      </c>
      <c r="S2435" s="89" t="str">
        <f t="shared" ref="S2435:S2498" si="230">IF(H2435&lt;&gt;"",H2435,"")</f>
        <v/>
      </c>
      <c r="X2435" s="64">
        <f t="shared" ref="X2435:X2498" si="231">IFERROR(VALUE(MID($C2435,1,2)),0)</f>
        <v>0</v>
      </c>
      <c r="Y2435" s="53">
        <f t="shared" ref="Y2435:Y2498" si="232">IFERROR(VALUE(MID($C2435,4,3)),0)</f>
        <v>0</v>
      </c>
      <c r="Z2435" s="64">
        <f t="shared" ref="Z2435:Z2498" si="233">VALUE(RIGHT("00"&amp;X2435,2)&amp;RIGHT("000"&amp;Y2435,3))</f>
        <v>0</v>
      </c>
    </row>
    <row r="2436" spans="1:26">
      <c r="A2436" s="89" t="str">
        <f t="shared" si="228"/>
        <v/>
      </c>
      <c r="B2436" s="89" t="str">
        <f t="shared" si="229"/>
        <v/>
      </c>
      <c r="S2436" s="89" t="str">
        <f t="shared" si="230"/>
        <v/>
      </c>
      <c r="X2436" s="64">
        <f t="shared" si="231"/>
        <v>0</v>
      </c>
      <c r="Y2436" s="53">
        <f t="shared" si="232"/>
        <v>0</v>
      </c>
      <c r="Z2436" s="64">
        <f t="shared" si="233"/>
        <v>0</v>
      </c>
    </row>
    <row r="2437" spans="1:26">
      <c r="A2437" s="89" t="str">
        <f t="shared" si="228"/>
        <v/>
      </c>
      <c r="B2437" s="89" t="str">
        <f t="shared" si="229"/>
        <v/>
      </c>
      <c r="S2437" s="89" t="str">
        <f t="shared" si="230"/>
        <v/>
      </c>
      <c r="X2437" s="64">
        <f t="shared" si="231"/>
        <v>0</v>
      </c>
      <c r="Y2437" s="53">
        <f t="shared" si="232"/>
        <v>0</v>
      </c>
      <c r="Z2437" s="64">
        <f t="shared" si="233"/>
        <v>0</v>
      </c>
    </row>
    <row r="2438" spans="1:26">
      <c r="A2438" s="89" t="str">
        <f t="shared" si="228"/>
        <v/>
      </c>
      <c r="B2438" s="89" t="str">
        <f t="shared" si="229"/>
        <v/>
      </c>
      <c r="S2438" s="89" t="str">
        <f t="shared" si="230"/>
        <v/>
      </c>
      <c r="X2438" s="64">
        <f t="shared" si="231"/>
        <v>0</v>
      </c>
      <c r="Y2438" s="53">
        <f t="shared" si="232"/>
        <v>0</v>
      </c>
      <c r="Z2438" s="64">
        <f t="shared" si="233"/>
        <v>0</v>
      </c>
    </row>
    <row r="2439" spans="1:26">
      <c r="A2439" s="89" t="str">
        <f t="shared" si="228"/>
        <v/>
      </c>
      <c r="B2439" s="89" t="str">
        <f t="shared" si="229"/>
        <v/>
      </c>
      <c r="S2439" s="89" t="str">
        <f t="shared" si="230"/>
        <v/>
      </c>
      <c r="X2439" s="64">
        <f t="shared" si="231"/>
        <v>0</v>
      </c>
      <c r="Y2439" s="53">
        <f t="shared" si="232"/>
        <v>0</v>
      </c>
      <c r="Z2439" s="64">
        <f t="shared" si="233"/>
        <v>0</v>
      </c>
    </row>
    <row r="2440" spans="1:26">
      <c r="A2440" s="89" t="str">
        <f t="shared" si="228"/>
        <v/>
      </c>
      <c r="B2440" s="89" t="str">
        <f t="shared" si="229"/>
        <v/>
      </c>
      <c r="S2440" s="89" t="str">
        <f t="shared" si="230"/>
        <v/>
      </c>
      <c r="X2440" s="64">
        <f t="shared" si="231"/>
        <v>0</v>
      </c>
      <c r="Y2440" s="53">
        <f t="shared" si="232"/>
        <v>0</v>
      </c>
      <c r="Z2440" s="64">
        <f t="shared" si="233"/>
        <v>0</v>
      </c>
    </row>
    <row r="2441" spans="1:26">
      <c r="A2441" s="89" t="str">
        <f t="shared" si="228"/>
        <v/>
      </c>
      <c r="B2441" s="89" t="str">
        <f t="shared" si="229"/>
        <v/>
      </c>
      <c r="S2441" s="89" t="str">
        <f t="shared" si="230"/>
        <v/>
      </c>
      <c r="X2441" s="64">
        <f t="shared" si="231"/>
        <v>0</v>
      </c>
      <c r="Y2441" s="53">
        <f t="shared" si="232"/>
        <v>0</v>
      </c>
      <c r="Z2441" s="64">
        <f t="shared" si="233"/>
        <v>0</v>
      </c>
    </row>
    <row r="2442" spans="1:26">
      <c r="A2442" s="89" t="str">
        <f t="shared" si="228"/>
        <v/>
      </c>
      <c r="B2442" s="89" t="str">
        <f t="shared" si="229"/>
        <v/>
      </c>
      <c r="S2442" s="89" t="str">
        <f t="shared" si="230"/>
        <v/>
      </c>
      <c r="X2442" s="64">
        <f t="shared" si="231"/>
        <v>0</v>
      </c>
      <c r="Y2442" s="53">
        <f t="shared" si="232"/>
        <v>0</v>
      </c>
      <c r="Z2442" s="64">
        <f t="shared" si="233"/>
        <v>0</v>
      </c>
    </row>
    <row r="2443" spans="1:26">
      <c r="A2443" s="89" t="str">
        <f t="shared" si="228"/>
        <v/>
      </c>
      <c r="B2443" s="89" t="str">
        <f t="shared" si="229"/>
        <v/>
      </c>
      <c r="S2443" s="89" t="str">
        <f t="shared" si="230"/>
        <v/>
      </c>
      <c r="X2443" s="64">
        <f t="shared" si="231"/>
        <v>0</v>
      </c>
      <c r="Y2443" s="53">
        <f t="shared" si="232"/>
        <v>0</v>
      </c>
      <c r="Z2443" s="64">
        <f t="shared" si="233"/>
        <v>0</v>
      </c>
    </row>
    <row r="2444" spans="1:26">
      <c r="A2444" s="89" t="str">
        <f t="shared" si="228"/>
        <v/>
      </c>
      <c r="B2444" s="89" t="str">
        <f t="shared" si="229"/>
        <v/>
      </c>
      <c r="S2444" s="89" t="str">
        <f t="shared" si="230"/>
        <v/>
      </c>
      <c r="X2444" s="64">
        <f t="shared" si="231"/>
        <v>0</v>
      </c>
      <c r="Y2444" s="53">
        <f t="shared" si="232"/>
        <v>0</v>
      </c>
      <c r="Z2444" s="64">
        <f t="shared" si="233"/>
        <v>0</v>
      </c>
    </row>
    <row r="2445" spans="1:26">
      <c r="A2445" s="89" t="str">
        <f t="shared" si="228"/>
        <v/>
      </c>
      <c r="B2445" s="89" t="str">
        <f t="shared" si="229"/>
        <v/>
      </c>
      <c r="S2445" s="89" t="str">
        <f t="shared" si="230"/>
        <v/>
      </c>
      <c r="X2445" s="64">
        <f t="shared" si="231"/>
        <v>0</v>
      </c>
      <c r="Y2445" s="53">
        <f t="shared" si="232"/>
        <v>0</v>
      </c>
      <c r="Z2445" s="64">
        <f t="shared" si="233"/>
        <v>0</v>
      </c>
    </row>
    <row r="2446" spans="1:26">
      <c r="A2446" s="89" t="str">
        <f t="shared" si="228"/>
        <v/>
      </c>
      <c r="B2446" s="89" t="str">
        <f t="shared" si="229"/>
        <v/>
      </c>
      <c r="S2446" s="89" t="str">
        <f t="shared" si="230"/>
        <v/>
      </c>
      <c r="X2446" s="64">
        <f t="shared" si="231"/>
        <v>0</v>
      </c>
      <c r="Y2446" s="53">
        <f t="shared" si="232"/>
        <v>0</v>
      </c>
      <c r="Z2446" s="64">
        <f t="shared" si="233"/>
        <v>0</v>
      </c>
    </row>
    <row r="2447" spans="1:26">
      <c r="A2447" s="89" t="str">
        <f t="shared" si="228"/>
        <v/>
      </c>
      <c r="B2447" s="89" t="str">
        <f t="shared" si="229"/>
        <v/>
      </c>
      <c r="S2447" s="89" t="str">
        <f t="shared" si="230"/>
        <v/>
      </c>
      <c r="X2447" s="64">
        <f t="shared" si="231"/>
        <v>0</v>
      </c>
      <c r="Y2447" s="53">
        <f t="shared" si="232"/>
        <v>0</v>
      </c>
      <c r="Z2447" s="64">
        <f t="shared" si="233"/>
        <v>0</v>
      </c>
    </row>
    <row r="2448" spans="1:26">
      <c r="A2448" s="89" t="str">
        <f t="shared" si="228"/>
        <v/>
      </c>
      <c r="B2448" s="89" t="str">
        <f t="shared" si="229"/>
        <v/>
      </c>
      <c r="S2448" s="89" t="str">
        <f t="shared" si="230"/>
        <v/>
      </c>
      <c r="X2448" s="64">
        <f t="shared" si="231"/>
        <v>0</v>
      </c>
      <c r="Y2448" s="53">
        <f t="shared" si="232"/>
        <v>0</v>
      </c>
      <c r="Z2448" s="64">
        <f t="shared" si="233"/>
        <v>0</v>
      </c>
    </row>
    <row r="2449" spans="1:26">
      <c r="A2449" s="89" t="str">
        <f t="shared" si="228"/>
        <v/>
      </c>
      <c r="B2449" s="89" t="str">
        <f t="shared" si="229"/>
        <v/>
      </c>
      <c r="S2449" s="89" t="str">
        <f t="shared" si="230"/>
        <v/>
      </c>
      <c r="X2449" s="64">
        <f t="shared" si="231"/>
        <v>0</v>
      </c>
      <c r="Y2449" s="53">
        <f t="shared" si="232"/>
        <v>0</v>
      </c>
      <c r="Z2449" s="64">
        <f t="shared" si="233"/>
        <v>0</v>
      </c>
    </row>
    <row r="2450" spans="1:26">
      <c r="A2450" s="89" t="str">
        <f t="shared" si="228"/>
        <v/>
      </c>
      <c r="B2450" s="89" t="str">
        <f t="shared" si="229"/>
        <v/>
      </c>
      <c r="S2450" s="89" t="str">
        <f t="shared" si="230"/>
        <v/>
      </c>
      <c r="X2450" s="64">
        <f t="shared" si="231"/>
        <v>0</v>
      </c>
      <c r="Y2450" s="53">
        <f t="shared" si="232"/>
        <v>0</v>
      </c>
      <c r="Z2450" s="64">
        <f t="shared" si="233"/>
        <v>0</v>
      </c>
    </row>
    <row r="2451" spans="1:26">
      <c r="A2451" s="89" t="str">
        <f t="shared" si="228"/>
        <v/>
      </c>
      <c r="B2451" s="89" t="str">
        <f t="shared" si="229"/>
        <v/>
      </c>
      <c r="S2451" s="89" t="str">
        <f t="shared" si="230"/>
        <v/>
      </c>
      <c r="X2451" s="64">
        <f t="shared" si="231"/>
        <v>0</v>
      </c>
      <c r="Y2451" s="53">
        <f t="shared" si="232"/>
        <v>0</v>
      </c>
      <c r="Z2451" s="64">
        <f t="shared" si="233"/>
        <v>0</v>
      </c>
    </row>
    <row r="2452" spans="1:26">
      <c r="A2452" s="89" t="str">
        <f t="shared" si="228"/>
        <v/>
      </c>
      <c r="B2452" s="89" t="str">
        <f t="shared" si="229"/>
        <v/>
      </c>
      <c r="S2452" s="89" t="str">
        <f t="shared" si="230"/>
        <v/>
      </c>
      <c r="X2452" s="64">
        <f t="shared" si="231"/>
        <v>0</v>
      </c>
      <c r="Y2452" s="53">
        <f t="shared" si="232"/>
        <v>0</v>
      </c>
      <c r="Z2452" s="64">
        <f t="shared" si="233"/>
        <v>0</v>
      </c>
    </row>
    <row r="2453" spans="1:26">
      <c r="A2453" s="89" t="str">
        <f t="shared" si="228"/>
        <v/>
      </c>
      <c r="B2453" s="89" t="str">
        <f t="shared" si="229"/>
        <v/>
      </c>
      <c r="S2453" s="89" t="str">
        <f t="shared" si="230"/>
        <v/>
      </c>
      <c r="X2453" s="64">
        <f t="shared" si="231"/>
        <v>0</v>
      </c>
      <c r="Y2453" s="53">
        <f t="shared" si="232"/>
        <v>0</v>
      </c>
      <c r="Z2453" s="64">
        <f t="shared" si="233"/>
        <v>0</v>
      </c>
    </row>
    <row r="2454" spans="1:26">
      <c r="A2454" s="89" t="str">
        <f t="shared" si="228"/>
        <v/>
      </c>
      <c r="B2454" s="89" t="str">
        <f t="shared" si="229"/>
        <v/>
      </c>
      <c r="S2454" s="89" t="str">
        <f t="shared" si="230"/>
        <v/>
      </c>
      <c r="X2454" s="64">
        <f t="shared" si="231"/>
        <v>0</v>
      </c>
      <c r="Y2454" s="53">
        <f t="shared" si="232"/>
        <v>0</v>
      </c>
      <c r="Z2454" s="64">
        <f t="shared" si="233"/>
        <v>0</v>
      </c>
    </row>
    <row r="2455" spans="1:26">
      <c r="A2455" s="89" t="str">
        <f t="shared" si="228"/>
        <v/>
      </c>
      <c r="B2455" s="89" t="str">
        <f t="shared" si="229"/>
        <v/>
      </c>
      <c r="S2455" s="89" t="str">
        <f t="shared" si="230"/>
        <v/>
      </c>
      <c r="X2455" s="64">
        <f t="shared" si="231"/>
        <v>0</v>
      </c>
      <c r="Y2455" s="53">
        <f t="shared" si="232"/>
        <v>0</v>
      </c>
      <c r="Z2455" s="64">
        <f t="shared" si="233"/>
        <v>0</v>
      </c>
    </row>
    <row r="2456" spans="1:26">
      <c r="A2456" s="89" t="str">
        <f t="shared" si="228"/>
        <v/>
      </c>
      <c r="B2456" s="89" t="str">
        <f t="shared" si="229"/>
        <v/>
      </c>
      <c r="S2456" s="89" t="str">
        <f t="shared" si="230"/>
        <v/>
      </c>
      <c r="X2456" s="64">
        <f t="shared" si="231"/>
        <v>0</v>
      </c>
      <c r="Y2456" s="53">
        <f t="shared" si="232"/>
        <v>0</v>
      </c>
      <c r="Z2456" s="64">
        <f t="shared" si="233"/>
        <v>0</v>
      </c>
    </row>
    <row r="2457" spans="1:26">
      <c r="A2457" s="89" t="str">
        <f t="shared" si="228"/>
        <v/>
      </c>
      <c r="B2457" s="89" t="str">
        <f t="shared" si="229"/>
        <v/>
      </c>
      <c r="S2457" s="89" t="str">
        <f t="shared" si="230"/>
        <v/>
      </c>
      <c r="X2457" s="64">
        <f t="shared" si="231"/>
        <v>0</v>
      </c>
      <c r="Y2457" s="53">
        <f t="shared" si="232"/>
        <v>0</v>
      </c>
      <c r="Z2457" s="64">
        <f t="shared" si="233"/>
        <v>0</v>
      </c>
    </row>
    <row r="2458" spans="1:26">
      <c r="A2458" s="89" t="str">
        <f t="shared" si="228"/>
        <v/>
      </c>
      <c r="B2458" s="89" t="str">
        <f t="shared" si="229"/>
        <v/>
      </c>
      <c r="S2458" s="89" t="str">
        <f t="shared" si="230"/>
        <v/>
      </c>
      <c r="X2458" s="64">
        <f t="shared" si="231"/>
        <v>0</v>
      </c>
      <c r="Y2458" s="53">
        <f t="shared" si="232"/>
        <v>0</v>
      </c>
      <c r="Z2458" s="64">
        <f t="shared" si="233"/>
        <v>0</v>
      </c>
    </row>
    <row r="2459" spans="1:26">
      <c r="A2459" s="89" t="str">
        <f t="shared" si="228"/>
        <v/>
      </c>
      <c r="B2459" s="89" t="str">
        <f t="shared" si="229"/>
        <v/>
      </c>
      <c r="S2459" s="89" t="str">
        <f t="shared" si="230"/>
        <v/>
      </c>
      <c r="X2459" s="64">
        <f t="shared" si="231"/>
        <v>0</v>
      </c>
      <c r="Y2459" s="53">
        <f t="shared" si="232"/>
        <v>0</v>
      </c>
      <c r="Z2459" s="64">
        <f t="shared" si="233"/>
        <v>0</v>
      </c>
    </row>
    <row r="2460" spans="1:26">
      <c r="A2460" s="89" t="str">
        <f t="shared" si="228"/>
        <v/>
      </c>
      <c r="B2460" s="89" t="str">
        <f t="shared" si="229"/>
        <v/>
      </c>
      <c r="S2460" s="89" t="str">
        <f t="shared" si="230"/>
        <v/>
      </c>
      <c r="X2460" s="64">
        <f t="shared" si="231"/>
        <v>0</v>
      </c>
      <c r="Y2460" s="53">
        <f t="shared" si="232"/>
        <v>0</v>
      </c>
      <c r="Z2460" s="64">
        <f t="shared" si="233"/>
        <v>0</v>
      </c>
    </row>
    <row r="2461" spans="1:26">
      <c r="A2461" s="89" t="str">
        <f t="shared" si="228"/>
        <v/>
      </c>
      <c r="B2461" s="89" t="str">
        <f t="shared" si="229"/>
        <v/>
      </c>
      <c r="S2461" s="89" t="str">
        <f t="shared" si="230"/>
        <v/>
      </c>
      <c r="X2461" s="64">
        <f t="shared" si="231"/>
        <v>0</v>
      </c>
      <c r="Y2461" s="53">
        <f t="shared" si="232"/>
        <v>0</v>
      </c>
      <c r="Z2461" s="64">
        <f t="shared" si="233"/>
        <v>0</v>
      </c>
    </row>
    <row r="2462" spans="1:26">
      <c r="A2462" s="89" t="str">
        <f t="shared" si="228"/>
        <v/>
      </c>
      <c r="B2462" s="89" t="str">
        <f t="shared" si="229"/>
        <v/>
      </c>
      <c r="S2462" s="89" t="str">
        <f t="shared" si="230"/>
        <v/>
      </c>
      <c r="X2462" s="64">
        <f t="shared" si="231"/>
        <v>0</v>
      </c>
      <c r="Y2462" s="53">
        <f t="shared" si="232"/>
        <v>0</v>
      </c>
      <c r="Z2462" s="64">
        <f t="shared" si="233"/>
        <v>0</v>
      </c>
    </row>
    <row r="2463" spans="1:26">
      <c r="A2463" s="89" t="str">
        <f t="shared" si="228"/>
        <v/>
      </c>
      <c r="B2463" s="89" t="str">
        <f t="shared" si="229"/>
        <v/>
      </c>
      <c r="S2463" s="89" t="str">
        <f t="shared" si="230"/>
        <v/>
      </c>
      <c r="X2463" s="64">
        <f t="shared" si="231"/>
        <v>0</v>
      </c>
      <c r="Y2463" s="53">
        <f t="shared" si="232"/>
        <v>0</v>
      </c>
      <c r="Z2463" s="64">
        <f t="shared" si="233"/>
        <v>0</v>
      </c>
    </row>
    <row r="2464" spans="1:26">
      <c r="A2464" s="89" t="str">
        <f t="shared" si="228"/>
        <v/>
      </c>
      <c r="B2464" s="89" t="str">
        <f t="shared" si="229"/>
        <v/>
      </c>
      <c r="S2464" s="89" t="str">
        <f t="shared" si="230"/>
        <v/>
      </c>
      <c r="X2464" s="64">
        <f t="shared" si="231"/>
        <v>0</v>
      </c>
      <c r="Y2464" s="53">
        <f t="shared" si="232"/>
        <v>0</v>
      </c>
      <c r="Z2464" s="64">
        <f t="shared" si="233"/>
        <v>0</v>
      </c>
    </row>
    <row r="2465" spans="1:26">
      <c r="A2465" s="89" t="str">
        <f t="shared" si="228"/>
        <v/>
      </c>
      <c r="B2465" s="89" t="str">
        <f t="shared" si="229"/>
        <v/>
      </c>
      <c r="S2465" s="89" t="str">
        <f t="shared" si="230"/>
        <v/>
      </c>
      <c r="X2465" s="64">
        <f t="shared" si="231"/>
        <v>0</v>
      </c>
      <c r="Y2465" s="53">
        <f t="shared" si="232"/>
        <v>0</v>
      </c>
      <c r="Z2465" s="64">
        <f t="shared" si="233"/>
        <v>0</v>
      </c>
    </row>
    <row r="2466" spans="1:26">
      <c r="A2466" s="89" t="str">
        <f t="shared" si="228"/>
        <v/>
      </c>
      <c r="B2466" s="89" t="str">
        <f t="shared" si="229"/>
        <v/>
      </c>
      <c r="S2466" s="89" t="str">
        <f t="shared" si="230"/>
        <v/>
      </c>
      <c r="X2466" s="64">
        <f t="shared" si="231"/>
        <v>0</v>
      </c>
      <c r="Y2466" s="53">
        <f t="shared" si="232"/>
        <v>0</v>
      </c>
      <c r="Z2466" s="64">
        <f t="shared" si="233"/>
        <v>0</v>
      </c>
    </row>
    <row r="2467" spans="1:26">
      <c r="A2467" s="89" t="str">
        <f t="shared" si="228"/>
        <v/>
      </c>
      <c r="B2467" s="89" t="str">
        <f t="shared" si="229"/>
        <v/>
      </c>
      <c r="S2467" s="89" t="str">
        <f t="shared" si="230"/>
        <v/>
      </c>
      <c r="X2467" s="64">
        <f t="shared" si="231"/>
        <v>0</v>
      </c>
      <c r="Y2467" s="53">
        <f t="shared" si="232"/>
        <v>0</v>
      </c>
      <c r="Z2467" s="64">
        <f t="shared" si="233"/>
        <v>0</v>
      </c>
    </row>
    <row r="2468" spans="1:26">
      <c r="A2468" s="89" t="str">
        <f t="shared" si="228"/>
        <v/>
      </c>
      <c r="B2468" s="89" t="str">
        <f t="shared" si="229"/>
        <v/>
      </c>
      <c r="S2468" s="89" t="str">
        <f t="shared" si="230"/>
        <v/>
      </c>
      <c r="X2468" s="64">
        <f t="shared" si="231"/>
        <v>0</v>
      </c>
      <c r="Y2468" s="53">
        <f t="shared" si="232"/>
        <v>0</v>
      </c>
      <c r="Z2468" s="64">
        <f t="shared" si="233"/>
        <v>0</v>
      </c>
    </row>
    <row r="2469" spans="1:26">
      <c r="A2469" s="89" t="str">
        <f t="shared" si="228"/>
        <v/>
      </c>
      <c r="B2469" s="89" t="str">
        <f t="shared" si="229"/>
        <v/>
      </c>
      <c r="S2469" s="89" t="str">
        <f t="shared" si="230"/>
        <v/>
      </c>
      <c r="X2469" s="64">
        <f t="shared" si="231"/>
        <v>0</v>
      </c>
      <c r="Y2469" s="53">
        <f t="shared" si="232"/>
        <v>0</v>
      </c>
      <c r="Z2469" s="64">
        <f t="shared" si="233"/>
        <v>0</v>
      </c>
    </row>
    <row r="2470" spans="1:26">
      <c r="A2470" s="89" t="str">
        <f t="shared" si="228"/>
        <v/>
      </c>
      <c r="B2470" s="89" t="str">
        <f t="shared" si="229"/>
        <v/>
      </c>
      <c r="S2470" s="89" t="str">
        <f t="shared" si="230"/>
        <v/>
      </c>
      <c r="X2470" s="64">
        <f t="shared" si="231"/>
        <v>0</v>
      </c>
      <c r="Y2470" s="53">
        <f t="shared" si="232"/>
        <v>0</v>
      </c>
      <c r="Z2470" s="64">
        <f t="shared" si="233"/>
        <v>0</v>
      </c>
    </row>
    <row r="2471" spans="1:26">
      <c r="A2471" s="89" t="str">
        <f t="shared" si="228"/>
        <v/>
      </c>
      <c r="B2471" s="89" t="str">
        <f t="shared" si="229"/>
        <v/>
      </c>
      <c r="S2471" s="89" t="str">
        <f t="shared" si="230"/>
        <v/>
      </c>
      <c r="X2471" s="64">
        <f t="shared" si="231"/>
        <v>0</v>
      </c>
      <c r="Y2471" s="53">
        <f t="shared" si="232"/>
        <v>0</v>
      </c>
      <c r="Z2471" s="64">
        <f t="shared" si="233"/>
        <v>0</v>
      </c>
    </row>
    <row r="2472" spans="1:26">
      <c r="A2472" s="89" t="str">
        <f t="shared" si="228"/>
        <v/>
      </c>
      <c r="B2472" s="89" t="str">
        <f t="shared" si="229"/>
        <v/>
      </c>
      <c r="S2472" s="89" t="str">
        <f t="shared" si="230"/>
        <v/>
      </c>
      <c r="X2472" s="64">
        <f t="shared" si="231"/>
        <v>0</v>
      </c>
      <c r="Y2472" s="53">
        <f t="shared" si="232"/>
        <v>0</v>
      </c>
      <c r="Z2472" s="64">
        <f t="shared" si="233"/>
        <v>0</v>
      </c>
    </row>
    <row r="2473" spans="1:26">
      <c r="A2473" s="89" t="str">
        <f t="shared" si="228"/>
        <v/>
      </c>
      <c r="B2473" s="89" t="str">
        <f t="shared" si="229"/>
        <v/>
      </c>
      <c r="S2473" s="89" t="str">
        <f t="shared" si="230"/>
        <v/>
      </c>
      <c r="X2473" s="64">
        <f t="shared" si="231"/>
        <v>0</v>
      </c>
      <c r="Y2473" s="53">
        <f t="shared" si="232"/>
        <v>0</v>
      </c>
      <c r="Z2473" s="64">
        <f t="shared" si="233"/>
        <v>0</v>
      </c>
    </row>
    <row r="2474" spans="1:26">
      <c r="A2474" s="89" t="str">
        <f t="shared" si="228"/>
        <v/>
      </c>
      <c r="B2474" s="89" t="str">
        <f t="shared" si="229"/>
        <v/>
      </c>
      <c r="S2474" s="89" t="str">
        <f t="shared" si="230"/>
        <v/>
      </c>
      <c r="X2474" s="64">
        <f t="shared" si="231"/>
        <v>0</v>
      </c>
      <c r="Y2474" s="53">
        <f t="shared" si="232"/>
        <v>0</v>
      </c>
      <c r="Z2474" s="64">
        <f t="shared" si="233"/>
        <v>0</v>
      </c>
    </row>
    <row r="2475" spans="1:26">
      <c r="A2475" s="89" t="str">
        <f t="shared" si="228"/>
        <v/>
      </c>
      <c r="B2475" s="89" t="str">
        <f t="shared" si="229"/>
        <v/>
      </c>
      <c r="S2475" s="89" t="str">
        <f t="shared" si="230"/>
        <v/>
      </c>
      <c r="X2475" s="64">
        <f t="shared" si="231"/>
        <v>0</v>
      </c>
      <c r="Y2475" s="53">
        <f t="shared" si="232"/>
        <v>0</v>
      </c>
      <c r="Z2475" s="64">
        <f t="shared" si="233"/>
        <v>0</v>
      </c>
    </row>
    <row r="2476" spans="1:26">
      <c r="A2476" s="89" t="str">
        <f t="shared" si="228"/>
        <v/>
      </c>
      <c r="B2476" s="89" t="str">
        <f t="shared" si="229"/>
        <v/>
      </c>
      <c r="S2476" s="89" t="str">
        <f t="shared" si="230"/>
        <v/>
      </c>
      <c r="X2476" s="64">
        <f t="shared" si="231"/>
        <v>0</v>
      </c>
      <c r="Y2476" s="53">
        <f t="shared" si="232"/>
        <v>0</v>
      </c>
      <c r="Z2476" s="64">
        <f t="shared" si="233"/>
        <v>0</v>
      </c>
    </row>
    <row r="2477" spans="1:26">
      <c r="A2477" s="89" t="str">
        <f t="shared" si="228"/>
        <v/>
      </c>
      <c r="B2477" s="89" t="str">
        <f t="shared" si="229"/>
        <v/>
      </c>
      <c r="S2477" s="89" t="str">
        <f t="shared" si="230"/>
        <v/>
      </c>
      <c r="X2477" s="64">
        <f t="shared" si="231"/>
        <v>0</v>
      </c>
      <c r="Y2477" s="53">
        <f t="shared" si="232"/>
        <v>0</v>
      </c>
      <c r="Z2477" s="64">
        <f t="shared" si="233"/>
        <v>0</v>
      </c>
    </row>
    <row r="2478" spans="1:26">
      <c r="A2478" s="89" t="str">
        <f t="shared" si="228"/>
        <v/>
      </c>
      <c r="B2478" s="89" t="str">
        <f t="shared" si="229"/>
        <v/>
      </c>
      <c r="S2478" s="89" t="str">
        <f t="shared" si="230"/>
        <v/>
      </c>
      <c r="X2478" s="64">
        <f t="shared" si="231"/>
        <v>0</v>
      </c>
      <c r="Y2478" s="53">
        <f t="shared" si="232"/>
        <v>0</v>
      </c>
      <c r="Z2478" s="64">
        <f t="shared" si="233"/>
        <v>0</v>
      </c>
    </row>
    <row r="2479" spans="1:26">
      <c r="A2479" s="89" t="str">
        <f t="shared" si="228"/>
        <v/>
      </c>
      <c r="B2479" s="89" t="str">
        <f t="shared" si="229"/>
        <v/>
      </c>
      <c r="S2479" s="89" t="str">
        <f t="shared" si="230"/>
        <v/>
      </c>
      <c r="X2479" s="64">
        <f t="shared" si="231"/>
        <v>0</v>
      </c>
      <c r="Y2479" s="53">
        <f t="shared" si="232"/>
        <v>0</v>
      </c>
      <c r="Z2479" s="64">
        <f t="shared" si="233"/>
        <v>0</v>
      </c>
    </row>
    <row r="2480" spans="1:26">
      <c r="A2480" s="89" t="str">
        <f t="shared" si="228"/>
        <v/>
      </c>
      <c r="B2480" s="89" t="str">
        <f t="shared" si="229"/>
        <v/>
      </c>
      <c r="S2480" s="89" t="str">
        <f t="shared" si="230"/>
        <v/>
      </c>
      <c r="X2480" s="64">
        <f t="shared" si="231"/>
        <v>0</v>
      </c>
      <c r="Y2480" s="53">
        <f t="shared" si="232"/>
        <v>0</v>
      </c>
      <c r="Z2480" s="64">
        <f t="shared" si="233"/>
        <v>0</v>
      </c>
    </row>
    <row r="2481" spans="1:26">
      <c r="A2481" s="89" t="str">
        <f t="shared" si="228"/>
        <v/>
      </c>
      <c r="B2481" s="89" t="str">
        <f t="shared" si="229"/>
        <v/>
      </c>
      <c r="S2481" s="89" t="str">
        <f t="shared" si="230"/>
        <v/>
      </c>
      <c r="X2481" s="64">
        <f t="shared" si="231"/>
        <v>0</v>
      </c>
      <c r="Y2481" s="53">
        <f t="shared" si="232"/>
        <v>0</v>
      </c>
      <c r="Z2481" s="64">
        <f t="shared" si="233"/>
        <v>0</v>
      </c>
    </row>
    <row r="2482" spans="1:26">
      <c r="A2482" s="89" t="str">
        <f t="shared" si="228"/>
        <v/>
      </c>
      <c r="B2482" s="89" t="str">
        <f t="shared" si="229"/>
        <v/>
      </c>
      <c r="S2482" s="89" t="str">
        <f t="shared" si="230"/>
        <v/>
      </c>
      <c r="X2482" s="64">
        <f t="shared" si="231"/>
        <v>0</v>
      </c>
      <c r="Y2482" s="53">
        <f t="shared" si="232"/>
        <v>0</v>
      </c>
      <c r="Z2482" s="64">
        <f t="shared" si="233"/>
        <v>0</v>
      </c>
    </row>
    <row r="2483" spans="1:26">
      <c r="A2483" s="89" t="str">
        <f t="shared" si="228"/>
        <v/>
      </c>
      <c r="B2483" s="89" t="str">
        <f t="shared" si="229"/>
        <v/>
      </c>
      <c r="S2483" s="89" t="str">
        <f t="shared" si="230"/>
        <v/>
      </c>
      <c r="X2483" s="64">
        <f t="shared" si="231"/>
        <v>0</v>
      </c>
      <c r="Y2483" s="53">
        <f t="shared" si="232"/>
        <v>0</v>
      </c>
      <c r="Z2483" s="64">
        <f t="shared" si="233"/>
        <v>0</v>
      </c>
    </row>
    <row r="2484" spans="1:26">
      <c r="A2484" s="89" t="str">
        <f t="shared" si="228"/>
        <v/>
      </c>
      <c r="B2484" s="89" t="str">
        <f t="shared" si="229"/>
        <v/>
      </c>
      <c r="S2484" s="89" t="str">
        <f t="shared" si="230"/>
        <v/>
      </c>
      <c r="X2484" s="64">
        <f t="shared" si="231"/>
        <v>0</v>
      </c>
      <c r="Y2484" s="53">
        <f t="shared" si="232"/>
        <v>0</v>
      </c>
      <c r="Z2484" s="64">
        <f t="shared" si="233"/>
        <v>0</v>
      </c>
    </row>
    <row r="2485" spans="1:26">
      <c r="A2485" s="89" t="str">
        <f t="shared" si="228"/>
        <v/>
      </c>
      <c r="B2485" s="89" t="str">
        <f t="shared" si="229"/>
        <v/>
      </c>
      <c r="S2485" s="89" t="str">
        <f t="shared" si="230"/>
        <v/>
      </c>
      <c r="X2485" s="64">
        <f t="shared" si="231"/>
        <v>0</v>
      </c>
      <c r="Y2485" s="53">
        <f t="shared" si="232"/>
        <v>0</v>
      </c>
      <c r="Z2485" s="64">
        <f t="shared" si="233"/>
        <v>0</v>
      </c>
    </row>
    <row r="2486" spans="1:26">
      <c r="A2486" s="89" t="str">
        <f t="shared" si="228"/>
        <v/>
      </c>
      <c r="B2486" s="89" t="str">
        <f t="shared" si="229"/>
        <v/>
      </c>
      <c r="S2486" s="89" t="str">
        <f t="shared" si="230"/>
        <v/>
      </c>
      <c r="X2486" s="64">
        <f t="shared" si="231"/>
        <v>0</v>
      </c>
      <c r="Y2486" s="53">
        <f t="shared" si="232"/>
        <v>0</v>
      </c>
      <c r="Z2486" s="64">
        <f t="shared" si="233"/>
        <v>0</v>
      </c>
    </row>
    <row r="2487" spans="1:26">
      <c r="A2487" s="89" t="str">
        <f t="shared" si="228"/>
        <v/>
      </c>
      <c r="B2487" s="89" t="str">
        <f t="shared" si="229"/>
        <v/>
      </c>
      <c r="S2487" s="89" t="str">
        <f t="shared" si="230"/>
        <v/>
      </c>
      <c r="X2487" s="64">
        <f t="shared" si="231"/>
        <v>0</v>
      </c>
      <c r="Y2487" s="53">
        <f t="shared" si="232"/>
        <v>0</v>
      </c>
      <c r="Z2487" s="64">
        <f t="shared" si="233"/>
        <v>0</v>
      </c>
    </row>
    <row r="2488" spans="1:26">
      <c r="A2488" s="89" t="str">
        <f t="shared" si="228"/>
        <v/>
      </c>
      <c r="B2488" s="89" t="str">
        <f t="shared" si="229"/>
        <v/>
      </c>
      <c r="S2488" s="89" t="str">
        <f t="shared" si="230"/>
        <v/>
      </c>
      <c r="X2488" s="64">
        <f t="shared" si="231"/>
        <v>0</v>
      </c>
      <c r="Y2488" s="53">
        <f t="shared" si="232"/>
        <v>0</v>
      </c>
      <c r="Z2488" s="64">
        <f t="shared" si="233"/>
        <v>0</v>
      </c>
    </row>
    <row r="2489" spans="1:26">
      <c r="A2489" s="89" t="str">
        <f t="shared" si="228"/>
        <v/>
      </c>
      <c r="B2489" s="89" t="str">
        <f t="shared" si="229"/>
        <v/>
      </c>
      <c r="S2489" s="89" t="str">
        <f t="shared" si="230"/>
        <v/>
      </c>
      <c r="X2489" s="64">
        <f t="shared" si="231"/>
        <v>0</v>
      </c>
      <c r="Y2489" s="53">
        <f t="shared" si="232"/>
        <v>0</v>
      </c>
      <c r="Z2489" s="64">
        <f t="shared" si="233"/>
        <v>0</v>
      </c>
    </row>
    <row r="2490" spans="1:26">
      <c r="A2490" s="89" t="str">
        <f t="shared" si="228"/>
        <v/>
      </c>
      <c r="B2490" s="89" t="str">
        <f t="shared" si="229"/>
        <v/>
      </c>
      <c r="S2490" s="89" t="str">
        <f t="shared" si="230"/>
        <v/>
      </c>
      <c r="X2490" s="64">
        <f t="shared" si="231"/>
        <v>0</v>
      </c>
      <c r="Y2490" s="53">
        <f t="shared" si="232"/>
        <v>0</v>
      </c>
      <c r="Z2490" s="64">
        <f t="shared" si="233"/>
        <v>0</v>
      </c>
    </row>
    <row r="2491" spans="1:26">
      <c r="A2491" s="89" t="str">
        <f t="shared" si="228"/>
        <v/>
      </c>
      <c r="B2491" s="89" t="str">
        <f t="shared" si="229"/>
        <v/>
      </c>
      <c r="S2491" s="89" t="str">
        <f t="shared" si="230"/>
        <v/>
      </c>
      <c r="X2491" s="64">
        <f t="shared" si="231"/>
        <v>0</v>
      </c>
      <c r="Y2491" s="53">
        <f t="shared" si="232"/>
        <v>0</v>
      </c>
      <c r="Z2491" s="64">
        <f t="shared" si="233"/>
        <v>0</v>
      </c>
    </row>
    <row r="2492" spans="1:26">
      <c r="A2492" s="89" t="str">
        <f t="shared" si="228"/>
        <v/>
      </c>
      <c r="B2492" s="89" t="str">
        <f t="shared" si="229"/>
        <v/>
      </c>
      <c r="S2492" s="89" t="str">
        <f t="shared" si="230"/>
        <v/>
      </c>
      <c r="X2492" s="64">
        <f t="shared" si="231"/>
        <v>0</v>
      </c>
      <c r="Y2492" s="53">
        <f t="shared" si="232"/>
        <v>0</v>
      </c>
      <c r="Z2492" s="64">
        <f t="shared" si="233"/>
        <v>0</v>
      </c>
    </row>
    <row r="2493" spans="1:26">
      <c r="A2493" s="89" t="str">
        <f t="shared" si="228"/>
        <v/>
      </c>
      <c r="B2493" s="89" t="str">
        <f t="shared" si="229"/>
        <v/>
      </c>
      <c r="S2493" s="89" t="str">
        <f t="shared" si="230"/>
        <v/>
      </c>
      <c r="X2493" s="64">
        <f t="shared" si="231"/>
        <v>0</v>
      </c>
      <c r="Y2493" s="53">
        <f t="shared" si="232"/>
        <v>0</v>
      </c>
      <c r="Z2493" s="64">
        <f t="shared" si="233"/>
        <v>0</v>
      </c>
    </row>
    <row r="2494" spans="1:26">
      <c r="A2494" s="89" t="str">
        <f t="shared" si="228"/>
        <v/>
      </c>
      <c r="B2494" s="89" t="str">
        <f t="shared" si="229"/>
        <v/>
      </c>
      <c r="S2494" s="89" t="str">
        <f t="shared" si="230"/>
        <v/>
      </c>
      <c r="X2494" s="64">
        <f t="shared" si="231"/>
        <v>0</v>
      </c>
      <c r="Y2494" s="53">
        <f t="shared" si="232"/>
        <v>0</v>
      </c>
      <c r="Z2494" s="64">
        <f t="shared" si="233"/>
        <v>0</v>
      </c>
    </row>
    <row r="2495" spans="1:26">
      <c r="A2495" s="89" t="str">
        <f t="shared" si="228"/>
        <v/>
      </c>
      <c r="B2495" s="89" t="str">
        <f t="shared" si="229"/>
        <v/>
      </c>
      <c r="S2495" s="89" t="str">
        <f t="shared" si="230"/>
        <v/>
      </c>
      <c r="X2495" s="64">
        <f t="shared" si="231"/>
        <v>0</v>
      </c>
      <c r="Y2495" s="53">
        <f t="shared" si="232"/>
        <v>0</v>
      </c>
      <c r="Z2495" s="64">
        <f t="shared" si="233"/>
        <v>0</v>
      </c>
    </row>
    <row r="2496" spans="1:26">
      <c r="A2496" s="89" t="str">
        <f t="shared" si="228"/>
        <v/>
      </c>
      <c r="B2496" s="89" t="str">
        <f t="shared" si="229"/>
        <v/>
      </c>
      <c r="S2496" s="89" t="str">
        <f t="shared" si="230"/>
        <v/>
      </c>
      <c r="X2496" s="64">
        <f t="shared" si="231"/>
        <v>0</v>
      </c>
      <c r="Y2496" s="53">
        <f t="shared" si="232"/>
        <v>0</v>
      </c>
      <c r="Z2496" s="64">
        <f t="shared" si="233"/>
        <v>0</v>
      </c>
    </row>
    <row r="2497" spans="1:26">
      <c r="A2497" s="89" t="str">
        <f t="shared" si="228"/>
        <v/>
      </c>
      <c r="B2497" s="89" t="str">
        <f t="shared" si="229"/>
        <v/>
      </c>
      <c r="S2497" s="89" t="str">
        <f t="shared" si="230"/>
        <v/>
      </c>
      <c r="X2497" s="64">
        <f t="shared" si="231"/>
        <v>0</v>
      </c>
      <c r="Y2497" s="53">
        <f t="shared" si="232"/>
        <v>0</v>
      </c>
      <c r="Z2497" s="64">
        <f t="shared" si="233"/>
        <v>0</v>
      </c>
    </row>
    <row r="2498" spans="1:26">
      <c r="A2498" s="89" t="str">
        <f t="shared" si="228"/>
        <v/>
      </c>
      <c r="B2498" s="89" t="str">
        <f t="shared" si="229"/>
        <v/>
      </c>
      <c r="S2498" s="89" t="str">
        <f t="shared" si="230"/>
        <v/>
      </c>
      <c r="X2498" s="64">
        <f t="shared" si="231"/>
        <v>0</v>
      </c>
      <c r="Y2498" s="53">
        <f t="shared" si="232"/>
        <v>0</v>
      </c>
      <c r="Z2498" s="64">
        <f t="shared" si="233"/>
        <v>0</v>
      </c>
    </row>
    <row r="2499" spans="1:26">
      <c r="A2499" s="89" t="str">
        <f t="shared" ref="A2499:A2562" si="234">IF(G2499&amp;Q2499&lt;&gt;"",G2499&amp;Q2499,"")</f>
        <v/>
      </c>
      <c r="B2499" s="89" t="str">
        <f t="shared" ref="B2499:B2562" si="235">IF(C2499&lt;&gt;"",LEFT(C2499,9),"")</f>
        <v/>
      </c>
      <c r="S2499" s="89" t="str">
        <f t="shared" ref="S2499:S2562" si="236">IF(H2499&lt;&gt;"",H2499,"")</f>
        <v/>
      </c>
      <c r="X2499" s="64">
        <f t="shared" ref="X2499:X2562" si="237">IFERROR(VALUE(MID($C2499,1,2)),0)</f>
        <v>0</v>
      </c>
      <c r="Y2499" s="53">
        <f t="shared" ref="Y2499:Y2562" si="238">IFERROR(VALUE(MID($C2499,4,3)),0)</f>
        <v>0</v>
      </c>
      <c r="Z2499" s="64">
        <f t="shared" ref="Z2499:Z2562" si="239">VALUE(RIGHT("00"&amp;X2499,2)&amp;RIGHT("000"&amp;Y2499,3))</f>
        <v>0</v>
      </c>
    </row>
    <row r="2500" spans="1:26">
      <c r="A2500" s="89" t="str">
        <f t="shared" si="234"/>
        <v/>
      </c>
      <c r="B2500" s="89" t="str">
        <f t="shared" si="235"/>
        <v/>
      </c>
      <c r="S2500" s="89" t="str">
        <f t="shared" si="236"/>
        <v/>
      </c>
      <c r="X2500" s="64">
        <f t="shared" si="237"/>
        <v>0</v>
      </c>
      <c r="Y2500" s="53">
        <f t="shared" si="238"/>
        <v>0</v>
      </c>
      <c r="Z2500" s="64">
        <f t="shared" si="239"/>
        <v>0</v>
      </c>
    </row>
    <row r="2501" spans="1:26">
      <c r="A2501" s="89" t="str">
        <f t="shared" si="234"/>
        <v/>
      </c>
      <c r="B2501" s="89" t="str">
        <f t="shared" si="235"/>
        <v/>
      </c>
      <c r="S2501" s="89" t="str">
        <f t="shared" si="236"/>
        <v/>
      </c>
      <c r="X2501" s="64">
        <f t="shared" si="237"/>
        <v>0</v>
      </c>
      <c r="Y2501" s="53">
        <f t="shared" si="238"/>
        <v>0</v>
      </c>
      <c r="Z2501" s="64">
        <f t="shared" si="239"/>
        <v>0</v>
      </c>
    </row>
    <row r="2502" spans="1:26">
      <c r="A2502" s="89" t="str">
        <f t="shared" si="234"/>
        <v/>
      </c>
      <c r="B2502" s="89" t="str">
        <f t="shared" si="235"/>
        <v/>
      </c>
      <c r="S2502" s="89" t="str">
        <f t="shared" si="236"/>
        <v/>
      </c>
      <c r="X2502" s="64">
        <f t="shared" si="237"/>
        <v>0</v>
      </c>
      <c r="Y2502" s="53">
        <f t="shared" si="238"/>
        <v>0</v>
      </c>
      <c r="Z2502" s="64">
        <f t="shared" si="239"/>
        <v>0</v>
      </c>
    </row>
    <row r="2503" spans="1:26">
      <c r="A2503" s="89" t="str">
        <f t="shared" si="234"/>
        <v/>
      </c>
      <c r="B2503" s="89" t="str">
        <f t="shared" si="235"/>
        <v/>
      </c>
      <c r="S2503" s="89" t="str">
        <f t="shared" si="236"/>
        <v/>
      </c>
      <c r="X2503" s="64">
        <f t="shared" si="237"/>
        <v>0</v>
      </c>
      <c r="Y2503" s="53">
        <f t="shared" si="238"/>
        <v>0</v>
      </c>
      <c r="Z2503" s="64">
        <f t="shared" si="239"/>
        <v>0</v>
      </c>
    </row>
    <row r="2504" spans="1:26">
      <c r="A2504" s="89" t="str">
        <f t="shared" si="234"/>
        <v/>
      </c>
      <c r="B2504" s="89" t="str">
        <f t="shared" si="235"/>
        <v/>
      </c>
      <c r="S2504" s="89" t="str">
        <f t="shared" si="236"/>
        <v/>
      </c>
      <c r="X2504" s="64">
        <f t="shared" si="237"/>
        <v>0</v>
      </c>
      <c r="Y2504" s="53">
        <f t="shared" si="238"/>
        <v>0</v>
      </c>
      <c r="Z2504" s="64">
        <f t="shared" si="239"/>
        <v>0</v>
      </c>
    </row>
    <row r="2505" spans="1:26">
      <c r="A2505" s="89" t="str">
        <f t="shared" si="234"/>
        <v/>
      </c>
      <c r="B2505" s="89" t="str">
        <f t="shared" si="235"/>
        <v/>
      </c>
      <c r="S2505" s="89" t="str">
        <f t="shared" si="236"/>
        <v/>
      </c>
      <c r="X2505" s="64">
        <f t="shared" si="237"/>
        <v>0</v>
      </c>
      <c r="Y2505" s="53">
        <f t="shared" si="238"/>
        <v>0</v>
      </c>
      <c r="Z2505" s="64">
        <f t="shared" si="239"/>
        <v>0</v>
      </c>
    </row>
    <row r="2506" spans="1:26">
      <c r="A2506" s="89" t="str">
        <f t="shared" si="234"/>
        <v/>
      </c>
      <c r="B2506" s="89" t="str">
        <f t="shared" si="235"/>
        <v/>
      </c>
      <c r="S2506" s="89" t="str">
        <f t="shared" si="236"/>
        <v/>
      </c>
      <c r="X2506" s="64">
        <f t="shared" si="237"/>
        <v>0</v>
      </c>
      <c r="Y2506" s="53">
        <f t="shared" si="238"/>
        <v>0</v>
      </c>
      <c r="Z2506" s="64">
        <f t="shared" si="239"/>
        <v>0</v>
      </c>
    </row>
    <row r="2507" spans="1:26">
      <c r="A2507" s="89" t="str">
        <f t="shared" si="234"/>
        <v/>
      </c>
      <c r="B2507" s="89" t="str">
        <f t="shared" si="235"/>
        <v/>
      </c>
      <c r="S2507" s="89" t="str">
        <f t="shared" si="236"/>
        <v/>
      </c>
      <c r="X2507" s="64">
        <f t="shared" si="237"/>
        <v>0</v>
      </c>
      <c r="Y2507" s="53">
        <f t="shared" si="238"/>
        <v>0</v>
      </c>
      <c r="Z2507" s="64">
        <f t="shared" si="239"/>
        <v>0</v>
      </c>
    </row>
    <row r="2508" spans="1:26">
      <c r="A2508" s="89" t="str">
        <f t="shared" si="234"/>
        <v/>
      </c>
      <c r="B2508" s="89" t="str">
        <f t="shared" si="235"/>
        <v/>
      </c>
      <c r="S2508" s="89" t="str">
        <f t="shared" si="236"/>
        <v/>
      </c>
      <c r="X2508" s="64">
        <f t="shared" si="237"/>
        <v>0</v>
      </c>
      <c r="Y2508" s="53">
        <f t="shared" si="238"/>
        <v>0</v>
      </c>
      <c r="Z2508" s="64">
        <f t="shared" si="239"/>
        <v>0</v>
      </c>
    </row>
    <row r="2509" spans="1:26">
      <c r="A2509" s="89" t="str">
        <f t="shared" si="234"/>
        <v/>
      </c>
      <c r="B2509" s="89" t="str">
        <f t="shared" si="235"/>
        <v/>
      </c>
      <c r="S2509" s="89" t="str">
        <f t="shared" si="236"/>
        <v/>
      </c>
      <c r="X2509" s="64">
        <f t="shared" si="237"/>
        <v>0</v>
      </c>
      <c r="Y2509" s="53">
        <f t="shared" si="238"/>
        <v>0</v>
      </c>
      <c r="Z2509" s="64">
        <f t="shared" si="239"/>
        <v>0</v>
      </c>
    </row>
    <row r="2510" spans="1:26">
      <c r="A2510" s="89" t="str">
        <f t="shared" si="234"/>
        <v/>
      </c>
      <c r="B2510" s="89" t="str">
        <f t="shared" si="235"/>
        <v/>
      </c>
      <c r="S2510" s="89" t="str">
        <f t="shared" si="236"/>
        <v/>
      </c>
      <c r="X2510" s="64">
        <f t="shared" si="237"/>
        <v>0</v>
      </c>
      <c r="Y2510" s="53">
        <f t="shared" si="238"/>
        <v>0</v>
      </c>
      <c r="Z2510" s="64">
        <f t="shared" si="239"/>
        <v>0</v>
      </c>
    </row>
    <row r="2511" spans="1:26">
      <c r="A2511" s="89" t="str">
        <f t="shared" si="234"/>
        <v/>
      </c>
      <c r="B2511" s="89" t="str">
        <f t="shared" si="235"/>
        <v/>
      </c>
      <c r="S2511" s="89" t="str">
        <f t="shared" si="236"/>
        <v/>
      </c>
      <c r="X2511" s="64">
        <f t="shared" si="237"/>
        <v>0</v>
      </c>
      <c r="Y2511" s="53">
        <f t="shared" si="238"/>
        <v>0</v>
      </c>
      <c r="Z2511" s="64">
        <f t="shared" si="239"/>
        <v>0</v>
      </c>
    </row>
    <row r="2512" spans="1:26">
      <c r="A2512" s="89" t="str">
        <f t="shared" si="234"/>
        <v/>
      </c>
      <c r="B2512" s="89" t="str">
        <f t="shared" si="235"/>
        <v/>
      </c>
      <c r="S2512" s="89" t="str">
        <f t="shared" si="236"/>
        <v/>
      </c>
      <c r="X2512" s="64">
        <f t="shared" si="237"/>
        <v>0</v>
      </c>
      <c r="Y2512" s="53">
        <f t="shared" si="238"/>
        <v>0</v>
      </c>
      <c r="Z2512" s="64">
        <f t="shared" si="239"/>
        <v>0</v>
      </c>
    </row>
    <row r="2513" spans="1:26">
      <c r="A2513" s="89" t="str">
        <f t="shared" si="234"/>
        <v/>
      </c>
      <c r="B2513" s="89" t="str">
        <f t="shared" si="235"/>
        <v/>
      </c>
      <c r="S2513" s="89" t="str">
        <f t="shared" si="236"/>
        <v/>
      </c>
      <c r="X2513" s="64">
        <f t="shared" si="237"/>
        <v>0</v>
      </c>
      <c r="Y2513" s="53">
        <f t="shared" si="238"/>
        <v>0</v>
      </c>
      <c r="Z2513" s="64">
        <f t="shared" si="239"/>
        <v>0</v>
      </c>
    </row>
    <row r="2514" spans="1:26">
      <c r="A2514" s="89" t="str">
        <f t="shared" si="234"/>
        <v/>
      </c>
      <c r="B2514" s="89" t="str">
        <f t="shared" si="235"/>
        <v/>
      </c>
      <c r="S2514" s="89" t="str">
        <f t="shared" si="236"/>
        <v/>
      </c>
      <c r="X2514" s="64">
        <f t="shared" si="237"/>
        <v>0</v>
      </c>
      <c r="Y2514" s="53">
        <f t="shared" si="238"/>
        <v>0</v>
      </c>
      <c r="Z2514" s="64">
        <f t="shared" si="239"/>
        <v>0</v>
      </c>
    </row>
    <row r="2515" spans="1:26">
      <c r="A2515" s="89" t="str">
        <f t="shared" si="234"/>
        <v/>
      </c>
      <c r="B2515" s="89" t="str">
        <f t="shared" si="235"/>
        <v/>
      </c>
      <c r="S2515" s="89" t="str">
        <f t="shared" si="236"/>
        <v/>
      </c>
      <c r="X2515" s="64">
        <f t="shared" si="237"/>
        <v>0</v>
      </c>
      <c r="Y2515" s="53">
        <f t="shared" si="238"/>
        <v>0</v>
      </c>
      <c r="Z2515" s="64">
        <f t="shared" si="239"/>
        <v>0</v>
      </c>
    </row>
    <row r="2516" spans="1:26">
      <c r="A2516" s="89" t="str">
        <f t="shared" si="234"/>
        <v/>
      </c>
      <c r="B2516" s="89" t="str">
        <f t="shared" si="235"/>
        <v/>
      </c>
      <c r="S2516" s="89" t="str">
        <f t="shared" si="236"/>
        <v/>
      </c>
      <c r="X2516" s="64">
        <f t="shared" si="237"/>
        <v>0</v>
      </c>
      <c r="Y2516" s="53">
        <f t="shared" si="238"/>
        <v>0</v>
      </c>
      <c r="Z2516" s="64">
        <f t="shared" si="239"/>
        <v>0</v>
      </c>
    </row>
    <row r="2517" spans="1:26">
      <c r="A2517" s="89" t="str">
        <f t="shared" si="234"/>
        <v/>
      </c>
      <c r="B2517" s="89" t="str">
        <f t="shared" si="235"/>
        <v/>
      </c>
      <c r="S2517" s="89" t="str">
        <f t="shared" si="236"/>
        <v/>
      </c>
      <c r="X2517" s="64">
        <f t="shared" si="237"/>
        <v>0</v>
      </c>
      <c r="Y2517" s="53">
        <f t="shared" si="238"/>
        <v>0</v>
      </c>
      <c r="Z2517" s="64">
        <f t="shared" si="239"/>
        <v>0</v>
      </c>
    </row>
    <row r="2518" spans="1:26">
      <c r="A2518" s="89" t="str">
        <f t="shared" si="234"/>
        <v/>
      </c>
      <c r="B2518" s="89" t="str">
        <f t="shared" si="235"/>
        <v/>
      </c>
      <c r="S2518" s="89" t="str">
        <f t="shared" si="236"/>
        <v/>
      </c>
      <c r="X2518" s="64">
        <f t="shared" si="237"/>
        <v>0</v>
      </c>
      <c r="Y2518" s="53">
        <f t="shared" si="238"/>
        <v>0</v>
      </c>
      <c r="Z2518" s="64">
        <f t="shared" si="239"/>
        <v>0</v>
      </c>
    </row>
    <row r="2519" spans="1:26">
      <c r="A2519" s="89" t="str">
        <f t="shared" si="234"/>
        <v/>
      </c>
      <c r="B2519" s="89" t="str">
        <f t="shared" si="235"/>
        <v/>
      </c>
      <c r="S2519" s="89" t="str">
        <f t="shared" si="236"/>
        <v/>
      </c>
      <c r="X2519" s="64">
        <f t="shared" si="237"/>
        <v>0</v>
      </c>
      <c r="Y2519" s="53">
        <f t="shared" si="238"/>
        <v>0</v>
      </c>
      <c r="Z2519" s="64">
        <f t="shared" si="239"/>
        <v>0</v>
      </c>
    </row>
    <row r="2520" spans="1:26">
      <c r="A2520" s="89" t="str">
        <f t="shared" si="234"/>
        <v/>
      </c>
      <c r="B2520" s="89" t="str">
        <f t="shared" si="235"/>
        <v/>
      </c>
      <c r="S2520" s="89" t="str">
        <f t="shared" si="236"/>
        <v/>
      </c>
      <c r="X2520" s="64">
        <f t="shared" si="237"/>
        <v>0</v>
      </c>
      <c r="Y2520" s="53">
        <f t="shared" si="238"/>
        <v>0</v>
      </c>
      <c r="Z2520" s="64">
        <f t="shared" si="239"/>
        <v>0</v>
      </c>
    </row>
    <row r="2521" spans="1:26">
      <c r="A2521" s="89" t="str">
        <f t="shared" si="234"/>
        <v/>
      </c>
      <c r="B2521" s="89" t="str">
        <f t="shared" si="235"/>
        <v/>
      </c>
      <c r="S2521" s="89" t="str">
        <f t="shared" si="236"/>
        <v/>
      </c>
      <c r="X2521" s="64">
        <f t="shared" si="237"/>
        <v>0</v>
      </c>
      <c r="Y2521" s="53">
        <f t="shared" si="238"/>
        <v>0</v>
      </c>
      <c r="Z2521" s="64">
        <f t="shared" si="239"/>
        <v>0</v>
      </c>
    </row>
    <row r="2522" spans="1:26">
      <c r="A2522" s="89" t="str">
        <f t="shared" si="234"/>
        <v/>
      </c>
      <c r="B2522" s="89" t="str">
        <f t="shared" si="235"/>
        <v/>
      </c>
      <c r="S2522" s="89" t="str">
        <f t="shared" si="236"/>
        <v/>
      </c>
      <c r="X2522" s="64">
        <f t="shared" si="237"/>
        <v>0</v>
      </c>
      <c r="Y2522" s="53">
        <f t="shared" si="238"/>
        <v>0</v>
      </c>
      <c r="Z2522" s="64">
        <f t="shared" si="239"/>
        <v>0</v>
      </c>
    </row>
    <row r="2523" spans="1:26">
      <c r="A2523" s="89" t="str">
        <f t="shared" si="234"/>
        <v/>
      </c>
      <c r="B2523" s="89" t="str">
        <f t="shared" si="235"/>
        <v/>
      </c>
      <c r="S2523" s="89" t="str">
        <f t="shared" si="236"/>
        <v/>
      </c>
      <c r="X2523" s="64">
        <f t="shared" si="237"/>
        <v>0</v>
      </c>
      <c r="Y2523" s="53">
        <f t="shared" si="238"/>
        <v>0</v>
      </c>
      <c r="Z2523" s="64">
        <f t="shared" si="239"/>
        <v>0</v>
      </c>
    </row>
    <row r="2524" spans="1:26">
      <c r="A2524" s="89" t="str">
        <f t="shared" si="234"/>
        <v/>
      </c>
      <c r="B2524" s="89" t="str">
        <f t="shared" si="235"/>
        <v/>
      </c>
      <c r="S2524" s="89" t="str">
        <f t="shared" si="236"/>
        <v/>
      </c>
      <c r="X2524" s="64">
        <f t="shared" si="237"/>
        <v>0</v>
      </c>
      <c r="Y2524" s="53">
        <f t="shared" si="238"/>
        <v>0</v>
      </c>
      <c r="Z2524" s="64">
        <f t="shared" si="239"/>
        <v>0</v>
      </c>
    </row>
    <row r="2525" spans="1:26">
      <c r="A2525" s="89" t="str">
        <f t="shared" si="234"/>
        <v/>
      </c>
      <c r="B2525" s="89" t="str">
        <f t="shared" si="235"/>
        <v/>
      </c>
      <c r="S2525" s="89" t="str">
        <f t="shared" si="236"/>
        <v/>
      </c>
      <c r="X2525" s="64">
        <f t="shared" si="237"/>
        <v>0</v>
      </c>
      <c r="Y2525" s="53">
        <f t="shared" si="238"/>
        <v>0</v>
      </c>
      <c r="Z2525" s="64">
        <f t="shared" si="239"/>
        <v>0</v>
      </c>
    </row>
    <row r="2526" spans="1:26">
      <c r="A2526" s="89" t="str">
        <f t="shared" si="234"/>
        <v/>
      </c>
      <c r="B2526" s="89" t="str">
        <f t="shared" si="235"/>
        <v/>
      </c>
      <c r="S2526" s="89" t="str">
        <f t="shared" si="236"/>
        <v/>
      </c>
      <c r="X2526" s="64">
        <f t="shared" si="237"/>
        <v>0</v>
      </c>
      <c r="Y2526" s="53">
        <f t="shared" si="238"/>
        <v>0</v>
      </c>
      <c r="Z2526" s="64">
        <f t="shared" si="239"/>
        <v>0</v>
      </c>
    </row>
    <row r="2527" spans="1:26">
      <c r="A2527" s="89" t="str">
        <f t="shared" si="234"/>
        <v/>
      </c>
      <c r="B2527" s="89" t="str">
        <f t="shared" si="235"/>
        <v/>
      </c>
      <c r="S2527" s="89" t="str">
        <f t="shared" si="236"/>
        <v/>
      </c>
      <c r="X2527" s="64">
        <f t="shared" si="237"/>
        <v>0</v>
      </c>
      <c r="Y2527" s="53">
        <f t="shared" si="238"/>
        <v>0</v>
      </c>
      <c r="Z2527" s="64">
        <f t="shared" si="239"/>
        <v>0</v>
      </c>
    </row>
    <row r="2528" spans="1:26">
      <c r="A2528" s="89" t="str">
        <f t="shared" si="234"/>
        <v/>
      </c>
      <c r="B2528" s="89" t="str">
        <f t="shared" si="235"/>
        <v/>
      </c>
      <c r="S2528" s="89" t="str">
        <f t="shared" si="236"/>
        <v/>
      </c>
      <c r="X2528" s="64">
        <f t="shared" si="237"/>
        <v>0</v>
      </c>
      <c r="Y2528" s="53">
        <f t="shared" si="238"/>
        <v>0</v>
      </c>
      <c r="Z2528" s="64">
        <f t="shared" si="239"/>
        <v>0</v>
      </c>
    </row>
    <row r="2529" spans="1:26">
      <c r="A2529" s="89" t="str">
        <f t="shared" si="234"/>
        <v/>
      </c>
      <c r="B2529" s="89" t="str">
        <f t="shared" si="235"/>
        <v/>
      </c>
      <c r="S2529" s="89" t="str">
        <f t="shared" si="236"/>
        <v/>
      </c>
      <c r="X2529" s="64">
        <f t="shared" si="237"/>
        <v>0</v>
      </c>
      <c r="Y2529" s="53">
        <f t="shared" si="238"/>
        <v>0</v>
      </c>
      <c r="Z2529" s="64">
        <f t="shared" si="239"/>
        <v>0</v>
      </c>
    </row>
    <row r="2530" spans="1:26">
      <c r="A2530" s="89" t="str">
        <f t="shared" si="234"/>
        <v/>
      </c>
      <c r="B2530" s="89" t="str">
        <f t="shared" si="235"/>
        <v/>
      </c>
      <c r="S2530" s="89" t="str">
        <f t="shared" si="236"/>
        <v/>
      </c>
      <c r="X2530" s="64">
        <f t="shared" si="237"/>
        <v>0</v>
      </c>
      <c r="Y2530" s="53">
        <f t="shared" si="238"/>
        <v>0</v>
      </c>
      <c r="Z2530" s="64">
        <f t="shared" si="239"/>
        <v>0</v>
      </c>
    </row>
    <row r="2531" spans="1:26">
      <c r="A2531" s="89" t="str">
        <f t="shared" si="234"/>
        <v/>
      </c>
      <c r="B2531" s="89" t="str">
        <f t="shared" si="235"/>
        <v/>
      </c>
      <c r="S2531" s="89" t="str">
        <f t="shared" si="236"/>
        <v/>
      </c>
      <c r="X2531" s="64">
        <f t="shared" si="237"/>
        <v>0</v>
      </c>
      <c r="Y2531" s="53">
        <f t="shared" si="238"/>
        <v>0</v>
      </c>
      <c r="Z2531" s="64">
        <f t="shared" si="239"/>
        <v>0</v>
      </c>
    </row>
    <row r="2532" spans="1:26">
      <c r="A2532" s="89" t="str">
        <f t="shared" si="234"/>
        <v/>
      </c>
      <c r="B2532" s="89" t="str">
        <f t="shared" si="235"/>
        <v/>
      </c>
      <c r="S2532" s="89" t="str">
        <f t="shared" si="236"/>
        <v/>
      </c>
      <c r="X2532" s="64">
        <f t="shared" si="237"/>
        <v>0</v>
      </c>
      <c r="Y2532" s="53">
        <f t="shared" si="238"/>
        <v>0</v>
      </c>
      <c r="Z2532" s="64">
        <f t="shared" si="239"/>
        <v>0</v>
      </c>
    </row>
    <row r="2533" spans="1:26">
      <c r="A2533" s="89" t="str">
        <f t="shared" si="234"/>
        <v/>
      </c>
      <c r="B2533" s="89" t="str">
        <f t="shared" si="235"/>
        <v/>
      </c>
      <c r="S2533" s="89" t="str">
        <f t="shared" si="236"/>
        <v/>
      </c>
      <c r="X2533" s="64">
        <f t="shared" si="237"/>
        <v>0</v>
      </c>
      <c r="Y2533" s="53">
        <f t="shared" si="238"/>
        <v>0</v>
      </c>
      <c r="Z2533" s="64">
        <f t="shared" si="239"/>
        <v>0</v>
      </c>
    </row>
    <row r="2534" spans="1:26">
      <c r="A2534" s="89" t="str">
        <f t="shared" si="234"/>
        <v/>
      </c>
      <c r="B2534" s="89" t="str">
        <f t="shared" si="235"/>
        <v/>
      </c>
      <c r="S2534" s="89" t="str">
        <f t="shared" si="236"/>
        <v/>
      </c>
      <c r="X2534" s="64">
        <f t="shared" si="237"/>
        <v>0</v>
      </c>
      <c r="Y2534" s="53">
        <f t="shared" si="238"/>
        <v>0</v>
      </c>
      <c r="Z2534" s="64">
        <f t="shared" si="239"/>
        <v>0</v>
      </c>
    </row>
    <row r="2535" spans="1:26">
      <c r="A2535" s="89" t="str">
        <f t="shared" si="234"/>
        <v/>
      </c>
      <c r="B2535" s="89" t="str">
        <f t="shared" si="235"/>
        <v/>
      </c>
      <c r="S2535" s="89" t="str">
        <f t="shared" si="236"/>
        <v/>
      </c>
      <c r="X2535" s="64">
        <f t="shared" si="237"/>
        <v>0</v>
      </c>
      <c r="Y2535" s="53">
        <f t="shared" si="238"/>
        <v>0</v>
      </c>
      <c r="Z2535" s="64">
        <f t="shared" si="239"/>
        <v>0</v>
      </c>
    </row>
    <row r="2536" spans="1:26">
      <c r="A2536" s="89" t="str">
        <f t="shared" si="234"/>
        <v/>
      </c>
      <c r="B2536" s="89" t="str">
        <f t="shared" si="235"/>
        <v/>
      </c>
      <c r="S2536" s="89" t="str">
        <f t="shared" si="236"/>
        <v/>
      </c>
      <c r="X2536" s="64">
        <f t="shared" si="237"/>
        <v>0</v>
      </c>
      <c r="Y2536" s="53">
        <f t="shared" si="238"/>
        <v>0</v>
      </c>
      <c r="Z2536" s="64">
        <f t="shared" si="239"/>
        <v>0</v>
      </c>
    </row>
    <row r="2537" spans="1:26">
      <c r="A2537" s="89" t="str">
        <f t="shared" si="234"/>
        <v/>
      </c>
      <c r="B2537" s="89" t="str">
        <f t="shared" si="235"/>
        <v/>
      </c>
      <c r="S2537" s="89" t="str">
        <f t="shared" si="236"/>
        <v/>
      </c>
      <c r="X2537" s="64">
        <f t="shared" si="237"/>
        <v>0</v>
      </c>
      <c r="Y2537" s="53">
        <f t="shared" si="238"/>
        <v>0</v>
      </c>
      <c r="Z2537" s="64">
        <f t="shared" si="239"/>
        <v>0</v>
      </c>
    </row>
    <row r="2538" spans="1:26">
      <c r="A2538" s="89" t="str">
        <f t="shared" si="234"/>
        <v/>
      </c>
      <c r="B2538" s="89" t="str">
        <f t="shared" si="235"/>
        <v/>
      </c>
      <c r="S2538" s="89" t="str">
        <f t="shared" si="236"/>
        <v/>
      </c>
      <c r="X2538" s="64">
        <f t="shared" si="237"/>
        <v>0</v>
      </c>
      <c r="Y2538" s="53">
        <f t="shared" si="238"/>
        <v>0</v>
      </c>
      <c r="Z2538" s="64">
        <f t="shared" si="239"/>
        <v>0</v>
      </c>
    </row>
    <row r="2539" spans="1:26">
      <c r="A2539" s="89" t="str">
        <f t="shared" si="234"/>
        <v/>
      </c>
      <c r="B2539" s="89" t="str">
        <f t="shared" si="235"/>
        <v/>
      </c>
      <c r="S2539" s="89" t="str">
        <f t="shared" si="236"/>
        <v/>
      </c>
      <c r="X2539" s="64">
        <f t="shared" si="237"/>
        <v>0</v>
      </c>
      <c r="Y2539" s="53">
        <f t="shared" si="238"/>
        <v>0</v>
      </c>
      <c r="Z2539" s="64">
        <f t="shared" si="239"/>
        <v>0</v>
      </c>
    </row>
    <row r="2540" spans="1:26">
      <c r="A2540" s="89" t="str">
        <f t="shared" si="234"/>
        <v/>
      </c>
      <c r="B2540" s="89" t="str">
        <f t="shared" si="235"/>
        <v/>
      </c>
      <c r="S2540" s="89" t="str">
        <f t="shared" si="236"/>
        <v/>
      </c>
      <c r="X2540" s="64">
        <f t="shared" si="237"/>
        <v>0</v>
      </c>
      <c r="Y2540" s="53">
        <f t="shared" si="238"/>
        <v>0</v>
      </c>
      <c r="Z2540" s="64">
        <f t="shared" si="239"/>
        <v>0</v>
      </c>
    </row>
    <row r="2541" spans="1:26">
      <c r="A2541" s="89" t="str">
        <f t="shared" si="234"/>
        <v/>
      </c>
      <c r="B2541" s="89" t="str">
        <f t="shared" si="235"/>
        <v/>
      </c>
      <c r="S2541" s="89" t="str">
        <f t="shared" si="236"/>
        <v/>
      </c>
      <c r="X2541" s="64">
        <f t="shared" si="237"/>
        <v>0</v>
      </c>
      <c r="Y2541" s="53">
        <f t="shared" si="238"/>
        <v>0</v>
      </c>
      <c r="Z2541" s="64">
        <f t="shared" si="239"/>
        <v>0</v>
      </c>
    </row>
    <row r="2542" spans="1:26">
      <c r="A2542" s="89" t="str">
        <f t="shared" si="234"/>
        <v/>
      </c>
      <c r="B2542" s="89" t="str">
        <f t="shared" si="235"/>
        <v/>
      </c>
      <c r="S2542" s="89" t="str">
        <f t="shared" si="236"/>
        <v/>
      </c>
      <c r="X2542" s="64">
        <f t="shared" si="237"/>
        <v>0</v>
      </c>
      <c r="Y2542" s="53">
        <f t="shared" si="238"/>
        <v>0</v>
      </c>
      <c r="Z2542" s="64">
        <f t="shared" si="239"/>
        <v>0</v>
      </c>
    </row>
    <row r="2543" spans="1:26">
      <c r="A2543" s="89" t="str">
        <f t="shared" si="234"/>
        <v/>
      </c>
      <c r="B2543" s="89" t="str">
        <f t="shared" si="235"/>
        <v/>
      </c>
      <c r="S2543" s="89" t="str">
        <f t="shared" si="236"/>
        <v/>
      </c>
      <c r="X2543" s="64">
        <f t="shared" si="237"/>
        <v>0</v>
      </c>
      <c r="Y2543" s="53">
        <f t="shared" si="238"/>
        <v>0</v>
      </c>
      <c r="Z2543" s="64">
        <f t="shared" si="239"/>
        <v>0</v>
      </c>
    </row>
    <row r="2544" spans="1:26">
      <c r="A2544" s="89" t="str">
        <f t="shared" si="234"/>
        <v/>
      </c>
      <c r="B2544" s="89" t="str">
        <f t="shared" si="235"/>
        <v/>
      </c>
      <c r="S2544" s="89" t="str">
        <f t="shared" si="236"/>
        <v/>
      </c>
      <c r="X2544" s="64">
        <f t="shared" si="237"/>
        <v>0</v>
      </c>
      <c r="Y2544" s="53">
        <f t="shared" si="238"/>
        <v>0</v>
      </c>
      <c r="Z2544" s="64">
        <f t="shared" si="239"/>
        <v>0</v>
      </c>
    </row>
    <row r="2545" spans="1:26">
      <c r="A2545" s="89" t="str">
        <f t="shared" si="234"/>
        <v/>
      </c>
      <c r="B2545" s="89" t="str">
        <f t="shared" si="235"/>
        <v/>
      </c>
      <c r="S2545" s="89" t="str">
        <f t="shared" si="236"/>
        <v/>
      </c>
      <c r="X2545" s="64">
        <f t="shared" si="237"/>
        <v>0</v>
      </c>
      <c r="Y2545" s="53">
        <f t="shared" si="238"/>
        <v>0</v>
      </c>
      <c r="Z2545" s="64">
        <f t="shared" si="239"/>
        <v>0</v>
      </c>
    </row>
    <row r="2546" spans="1:26">
      <c r="A2546" s="89" t="str">
        <f t="shared" si="234"/>
        <v/>
      </c>
      <c r="B2546" s="89" t="str">
        <f t="shared" si="235"/>
        <v/>
      </c>
      <c r="S2546" s="89" t="str">
        <f t="shared" si="236"/>
        <v/>
      </c>
      <c r="X2546" s="64">
        <f t="shared" si="237"/>
        <v>0</v>
      </c>
      <c r="Y2546" s="53">
        <f t="shared" si="238"/>
        <v>0</v>
      </c>
      <c r="Z2546" s="64">
        <f t="shared" si="239"/>
        <v>0</v>
      </c>
    </row>
    <row r="2547" spans="1:26">
      <c r="A2547" s="89" t="str">
        <f t="shared" si="234"/>
        <v/>
      </c>
      <c r="B2547" s="89" t="str">
        <f t="shared" si="235"/>
        <v/>
      </c>
      <c r="S2547" s="89" t="str">
        <f t="shared" si="236"/>
        <v/>
      </c>
      <c r="X2547" s="64">
        <f t="shared" si="237"/>
        <v>0</v>
      </c>
      <c r="Y2547" s="53">
        <f t="shared" si="238"/>
        <v>0</v>
      </c>
      <c r="Z2547" s="64">
        <f t="shared" si="239"/>
        <v>0</v>
      </c>
    </row>
    <row r="2548" spans="1:26">
      <c r="A2548" s="89" t="str">
        <f t="shared" si="234"/>
        <v/>
      </c>
      <c r="B2548" s="89" t="str">
        <f t="shared" si="235"/>
        <v/>
      </c>
      <c r="S2548" s="89" t="str">
        <f t="shared" si="236"/>
        <v/>
      </c>
      <c r="X2548" s="64">
        <f t="shared" si="237"/>
        <v>0</v>
      </c>
      <c r="Y2548" s="53">
        <f t="shared" si="238"/>
        <v>0</v>
      </c>
      <c r="Z2548" s="64">
        <f t="shared" si="239"/>
        <v>0</v>
      </c>
    </row>
    <row r="2549" spans="1:26">
      <c r="A2549" s="89" t="str">
        <f t="shared" si="234"/>
        <v/>
      </c>
      <c r="B2549" s="89" t="str">
        <f t="shared" si="235"/>
        <v/>
      </c>
      <c r="S2549" s="89" t="str">
        <f t="shared" si="236"/>
        <v/>
      </c>
      <c r="X2549" s="64">
        <f t="shared" si="237"/>
        <v>0</v>
      </c>
      <c r="Y2549" s="53">
        <f t="shared" si="238"/>
        <v>0</v>
      </c>
      <c r="Z2549" s="64">
        <f t="shared" si="239"/>
        <v>0</v>
      </c>
    </row>
    <row r="2550" spans="1:26">
      <c r="A2550" s="89" t="str">
        <f t="shared" si="234"/>
        <v/>
      </c>
      <c r="B2550" s="89" t="str">
        <f t="shared" si="235"/>
        <v/>
      </c>
      <c r="S2550" s="89" t="str">
        <f t="shared" si="236"/>
        <v/>
      </c>
      <c r="X2550" s="64">
        <f t="shared" si="237"/>
        <v>0</v>
      </c>
      <c r="Y2550" s="53">
        <f t="shared" si="238"/>
        <v>0</v>
      </c>
      <c r="Z2550" s="64">
        <f t="shared" si="239"/>
        <v>0</v>
      </c>
    </row>
    <row r="2551" spans="1:26">
      <c r="A2551" s="89" t="str">
        <f t="shared" si="234"/>
        <v/>
      </c>
      <c r="B2551" s="89" t="str">
        <f t="shared" si="235"/>
        <v/>
      </c>
      <c r="S2551" s="89" t="str">
        <f t="shared" si="236"/>
        <v/>
      </c>
      <c r="X2551" s="64">
        <f t="shared" si="237"/>
        <v>0</v>
      </c>
      <c r="Y2551" s="53">
        <f t="shared" si="238"/>
        <v>0</v>
      </c>
      <c r="Z2551" s="64">
        <f t="shared" si="239"/>
        <v>0</v>
      </c>
    </row>
    <row r="2552" spans="1:26">
      <c r="A2552" s="89" t="str">
        <f t="shared" si="234"/>
        <v/>
      </c>
      <c r="B2552" s="89" t="str">
        <f t="shared" si="235"/>
        <v/>
      </c>
      <c r="S2552" s="89" t="str">
        <f t="shared" si="236"/>
        <v/>
      </c>
      <c r="X2552" s="64">
        <f t="shared" si="237"/>
        <v>0</v>
      </c>
      <c r="Y2552" s="53">
        <f t="shared" si="238"/>
        <v>0</v>
      </c>
      <c r="Z2552" s="64">
        <f t="shared" si="239"/>
        <v>0</v>
      </c>
    </row>
    <row r="2553" spans="1:26">
      <c r="A2553" s="89" t="str">
        <f t="shared" si="234"/>
        <v/>
      </c>
      <c r="B2553" s="89" t="str">
        <f t="shared" si="235"/>
        <v/>
      </c>
      <c r="S2553" s="89" t="str">
        <f t="shared" si="236"/>
        <v/>
      </c>
      <c r="X2553" s="64">
        <f t="shared" si="237"/>
        <v>0</v>
      </c>
      <c r="Y2553" s="53">
        <f t="shared" si="238"/>
        <v>0</v>
      </c>
      <c r="Z2553" s="64">
        <f t="shared" si="239"/>
        <v>0</v>
      </c>
    </row>
    <row r="2554" spans="1:26">
      <c r="A2554" s="89" t="str">
        <f t="shared" si="234"/>
        <v/>
      </c>
      <c r="B2554" s="89" t="str">
        <f t="shared" si="235"/>
        <v/>
      </c>
      <c r="S2554" s="89" t="str">
        <f t="shared" si="236"/>
        <v/>
      </c>
      <c r="X2554" s="64">
        <f t="shared" si="237"/>
        <v>0</v>
      </c>
      <c r="Y2554" s="53">
        <f t="shared" si="238"/>
        <v>0</v>
      </c>
      <c r="Z2554" s="64">
        <f t="shared" si="239"/>
        <v>0</v>
      </c>
    </row>
    <row r="2555" spans="1:26">
      <c r="A2555" s="89" t="str">
        <f t="shared" si="234"/>
        <v/>
      </c>
      <c r="B2555" s="89" t="str">
        <f t="shared" si="235"/>
        <v/>
      </c>
      <c r="S2555" s="89" t="str">
        <f t="shared" si="236"/>
        <v/>
      </c>
      <c r="X2555" s="64">
        <f t="shared" si="237"/>
        <v>0</v>
      </c>
      <c r="Y2555" s="53">
        <f t="shared" si="238"/>
        <v>0</v>
      </c>
      <c r="Z2555" s="64">
        <f t="shared" si="239"/>
        <v>0</v>
      </c>
    </row>
    <row r="2556" spans="1:26">
      <c r="A2556" s="89" t="str">
        <f t="shared" si="234"/>
        <v/>
      </c>
      <c r="B2556" s="89" t="str">
        <f t="shared" si="235"/>
        <v/>
      </c>
      <c r="S2556" s="89" t="str">
        <f t="shared" si="236"/>
        <v/>
      </c>
      <c r="X2556" s="64">
        <f t="shared" si="237"/>
        <v>0</v>
      </c>
      <c r="Y2556" s="53">
        <f t="shared" si="238"/>
        <v>0</v>
      </c>
      <c r="Z2556" s="64">
        <f t="shared" si="239"/>
        <v>0</v>
      </c>
    </row>
    <row r="2557" spans="1:26">
      <c r="A2557" s="89" t="str">
        <f t="shared" si="234"/>
        <v/>
      </c>
      <c r="B2557" s="89" t="str">
        <f t="shared" si="235"/>
        <v/>
      </c>
      <c r="S2557" s="89" t="str">
        <f t="shared" si="236"/>
        <v/>
      </c>
      <c r="X2557" s="64">
        <f t="shared" si="237"/>
        <v>0</v>
      </c>
      <c r="Y2557" s="53">
        <f t="shared" si="238"/>
        <v>0</v>
      </c>
      <c r="Z2557" s="64">
        <f t="shared" si="239"/>
        <v>0</v>
      </c>
    </row>
    <row r="2558" spans="1:26">
      <c r="A2558" s="89" t="str">
        <f t="shared" si="234"/>
        <v/>
      </c>
      <c r="B2558" s="89" t="str">
        <f t="shared" si="235"/>
        <v/>
      </c>
      <c r="S2558" s="89" t="str">
        <f t="shared" si="236"/>
        <v/>
      </c>
      <c r="X2558" s="64">
        <f t="shared" si="237"/>
        <v>0</v>
      </c>
      <c r="Y2558" s="53">
        <f t="shared" si="238"/>
        <v>0</v>
      </c>
      <c r="Z2558" s="64">
        <f t="shared" si="239"/>
        <v>0</v>
      </c>
    </row>
    <row r="2559" spans="1:26">
      <c r="A2559" s="89" t="str">
        <f t="shared" si="234"/>
        <v/>
      </c>
      <c r="B2559" s="89" t="str">
        <f t="shared" si="235"/>
        <v/>
      </c>
      <c r="S2559" s="89" t="str">
        <f t="shared" si="236"/>
        <v/>
      </c>
      <c r="X2559" s="64">
        <f t="shared" si="237"/>
        <v>0</v>
      </c>
      <c r="Y2559" s="53">
        <f t="shared" si="238"/>
        <v>0</v>
      </c>
      <c r="Z2559" s="64">
        <f t="shared" si="239"/>
        <v>0</v>
      </c>
    </row>
    <row r="2560" spans="1:26">
      <c r="A2560" s="89" t="str">
        <f t="shared" si="234"/>
        <v/>
      </c>
      <c r="B2560" s="89" t="str">
        <f t="shared" si="235"/>
        <v/>
      </c>
      <c r="S2560" s="89" t="str">
        <f t="shared" si="236"/>
        <v/>
      </c>
      <c r="X2560" s="64">
        <f t="shared" si="237"/>
        <v>0</v>
      </c>
      <c r="Y2560" s="53">
        <f t="shared" si="238"/>
        <v>0</v>
      </c>
      <c r="Z2560" s="64">
        <f t="shared" si="239"/>
        <v>0</v>
      </c>
    </row>
    <row r="2561" spans="1:26">
      <c r="A2561" s="89" t="str">
        <f t="shared" si="234"/>
        <v/>
      </c>
      <c r="B2561" s="89" t="str">
        <f t="shared" si="235"/>
        <v/>
      </c>
      <c r="S2561" s="89" t="str">
        <f t="shared" si="236"/>
        <v/>
      </c>
      <c r="X2561" s="64">
        <f t="shared" si="237"/>
        <v>0</v>
      </c>
      <c r="Y2561" s="53">
        <f t="shared" si="238"/>
        <v>0</v>
      </c>
      <c r="Z2561" s="64">
        <f t="shared" si="239"/>
        <v>0</v>
      </c>
    </row>
    <row r="2562" spans="1:26">
      <c r="A2562" s="89" t="str">
        <f t="shared" si="234"/>
        <v/>
      </c>
      <c r="B2562" s="89" t="str">
        <f t="shared" si="235"/>
        <v/>
      </c>
      <c r="S2562" s="89" t="str">
        <f t="shared" si="236"/>
        <v/>
      </c>
      <c r="X2562" s="64">
        <f t="shared" si="237"/>
        <v>0</v>
      </c>
      <c r="Y2562" s="53">
        <f t="shared" si="238"/>
        <v>0</v>
      </c>
      <c r="Z2562" s="64">
        <f t="shared" si="239"/>
        <v>0</v>
      </c>
    </row>
    <row r="2563" spans="1:26">
      <c r="A2563" s="89" t="str">
        <f t="shared" ref="A2563:A2626" si="240">IF(G2563&amp;Q2563&lt;&gt;"",G2563&amp;Q2563,"")</f>
        <v/>
      </c>
      <c r="B2563" s="89" t="str">
        <f t="shared" ref="B2563:B2626" si="241">IF(C2563&lt;&gt;"",LEFT(C2563,9),"")</f>
        <v/>
      </c>
      <c r="S2563" s="89" t="str">
        <f t="shared" ref="S2563:S2626" si="242">IF(H2563&lt;&gt;"",H2563,"")</f>
        <v/>
      </c>
      <c r="X2563" s="64">
        <f t="shared" ref="X2563:X2626" si="243">IFERROR(VALUE(MID($C2563,1,2)),0)</f>
        <v>0</v>
      </c>
      <c r="Y2563" s="53">
        <f t="shared" ref="Y2563:Y2626" si="244">IFERROR(VALUE(MID($C2563,4,3)),0)</f>
        <v>0</v>
      </c>
      <c r="Z2563" s="64">
        <f t="shared" ref="Z2563:Z2626" si="245">VALUE(RIGHT("00"&amp;X2563,2)&amp;RIGHT("000"&amp;Y2563,3))</f>
        <v>0</v>
      </c>
    </row>
    <row r="2564" spans="1:26">
      <c r="A2564" s="89" t="str">
        <f t="shared" si="240"/>
        <v/>
      </c>
      <c r="B2564" s="89" t="str">
        <f t="shared" si="241"/>
        <v/>
      </c>
      <c r="S2564" s="89" t="str">
        <f t="shared" si="242"/>
        <v/>
      </c>
      <c r="X2564" s="64">
        <f t="shared" si="243"/>
        <v>0</v>
      </c>
      <c r="Y2564" s="53">
        <f t="shared" si="244"/>
        <v>0</v>
      </c>
      <c r="Z2564" s="64">
        <f t="shared" si="245"/>
        <v>0</v>
      </c>
    </row>
    <row r="2565" spans="1:26">
      <c r="A2565" s="89" t="str">
        <f t="shared" si="240"/>
        <v/>
      </c>
      <c r="B2565" s="89" t="str">
        <f t="shared" si="241"/>
        <v/>
      </c>
      <c r="S2565" s="89" t="str">
        <f t="shared" si="242"/>
        <v/>
      </c>
      <c r="X2565" s="64">
        <f t="shared" si="243"/>
        <v>0</v>
      </c>
      <c r="Y2565" s="53">
        <f t="shared" si="244"/>
        <v>0</v>
      </c>
      <c r="Z2565" s="64">
        <f t="shared" si="245"/>
        <v>0</v>
      </c>
    </row>
    <row r="2566" spans="1:26">
      <c r="A2566" s="89" t="str">
        <f t="shared" si="240"/>
        <v/>
      </c>
      <c r="B2566" s="89" t="str">
        <f t="shared" si="241"/>
        <v/>
      </c>
      <c r="S2566" s="89" t="str">
        <f t="shared" si="242"/>
        <v/>
      </c>
      <c r="X2566" s="64">
        <f t="shared" si="243"/>
        <v>0</v>
      </c>
      <c r="Y2566" s="53">
        <f t="shared" si="244"/>
        <v>0</v>
      </c>
      <c r="Z2566" s="64">
        <f t="shared" si="245"/>
        <v>0</v>
      </c>
    </row>
    <row r="2567" spans="1:26">
      <c r="A2567" s="89" t="str">
        <f t="shared" si="240"/>
        <v/>
      </c>
      <c r="B2567" s="89" t="str">
        <f t="shared" si="241"/>
        <v/>
      </c>
      <c r="S2567" s="89" t="str">
        <f t="shared" si="242"/>
        <v/>
      </c>
      <c r="X2567" s="64">
        <f t="shared" si="243"/>
        <v>0</v>
      </c>
      <c r="Y2567" s="53">
        <f t="shared" si="244"/>
        <v>0</v>
      </c>
      <c r="Z2567" s="64">
        <f t="shared" si="245"/>
        <v>0</v>
      </c>
    </row>
    <row r="2568" spans="1:26">
      <c r="A2568" s="89" t="str">
        <f t="shared" si="240"/>
        <v/>
      </c>
      <c r="B2568" s="89" t="str">
        <f t="shared" si="241"/>
        <v/>
      </c>
      <c r="S2568" s="89" t="str">
        <f t="shared" si="242"/>
        <v/>
      </c>
      <c r="X2568" s="64">
        <f t="shared" si="243"/>
        <v>0</v>
      </c>
      <c r="Y2568" s="53">
        <f t="shared" si="244"/>
        <v>0</v>
      </c>
      <c r="Z2568" s="64">
        <f t="shared" si="245"/>
        <v>0</v>
      </c>
    </row>
    <row r="2569" spans="1:26">
      <c r="A2569" s="89" t="str">
        <f t="shared" si="240"/>
        <v/>
      </c>
      <c r="B2569" s="89" t="str">
        <f t="shared" si="241"/>
        <v/>
      </c>
      <c r="S2569" s="89" t="str">
        <f t="shared" si="242"/>
        <v/>
      </c>
      <c r="X2569" s="64">
        <f t="shared" si="243"/>
        <v>0</v>
      </c>
      <c r="Y2569" s="53">
        <f t="shared" si="244"/>
        <v>0</v>
      </c>
      <c r="Z2569" s="64">
        <f t="shared" si="245"/>
        <v>0</v>
      </c>
    </row>
    <row r="2570" spans="1:26">
      <c r="A2570" s="89" t="str">
        <f t="shared" si="240"/>
        <v/>
      </c>
      <c r="B2570" s="89" t="str">
        <f t="shared" si="241"/>
        <v/>
      </c>
      <c r="S2570" s="89" t="str">
        <f t="shared" si="242"/>
        <v/>
      </c>
      <c r="X2570" s="64">
        <f t="shared" si="243"/>
        <v>0</v>
      </c>
      <c r="Y2570" s="53">
        <f t="shared" si="244"/>
        <v>0</v>
      </c>
      <c r="Z2570" s="64">
        <f t="shared" si="245"/>
        <v>0</v>
      </c>
    </row>
    <row r="2571" spans="1:26">
      <c r="A2571" s="89" t="str">
        <f t="shared" si="240"/>
        <v/>
      </c>
      <c r="B2571" s="89" t="str">
        <f t="shared" si="241"/>
        <v/>
      </c>
      <c r="S2571" s="89" t="str">
        <f t="shared" si="242"/>
        <v/>
      </c>
      <c r="X2571" s="64">
        <f t="shared" si="243"/>
        <v>0</v>
      </c>
      <c r="Y2571" s="53">
        <f t="shared" si="244"/>
        <v>0</v>
      </c>
      <c r="Z2571" s="64">
        <f t="shared" si="245"/>
        <v>0</v>
      </c>
    </row>
    <row r="2572" spans="1:26">
      <c r="A2572" s="89" t="str">
        <f t="shared" si="240"/>
        <v/>
      </c>
      <c r="B2572" s="89" t="str">
        <f t="shared" si="241"/>
        <v/>
      </c>
      <c r="S2572" s="89" t="str">
        <f t="shared" si="242"/>
        <v/>
      </c>
      <c r="X2572" s="64">
        <f t="shared" si="243"/>
        <v>0</v>
      </c>
      <c r="Y2572" s="53">
        <f t="shared" si="244"/>
        <v>0</v>
      </c>
      <c r="Z2572" s="64">
        <f t="shared" si="245"/>
        <v>0</v>
      </c>
    </row>
    <row r="2573" spans="1:26">
      <c r="A2573" s="89" t="str">
        <f t="shared" si="240"/>
        <v/>
      </c>
      <c r="B2573" s="89" t="str">
        <f t="shared" si="241"/>
        <v/>
      </c>
      <c r="S2573" s="89" t="str">
        <f t="shared" si="242"/>
        <v/>
      </c>
      <c r="X2573" s="64">
        <f t="shared" si="243"/>
        <v>0</v>
      </c>
      <c r="Y2573" s="53">
        <f t="shared" si="244"/>
        <v>0</v>
      </c>
      <c r="Z2573" s="64">
        <f t="shared" si="245"/>
        <v>0</v>
      </c>
    </row>
    <row r="2574" spans="1:26">
      <c r="A2574" s="89" t="str">
        <f t="shared" si="240"/>
        <v/>
      </c>
      <c r="B2574" s="89" t="str">
        <f t="shared" si="241"/>
        <v/>
      </c>
      <c r="S2574" s="89" t="str">
        <f t="shared" si="242"/>
        <v/>
      </c>
      <c r="X2574" s="64">
        <f t="shared" si="243"/>
        <v>0</v>
      </c>
      <c r="Y2574" s="53">
        <f t="shared" si="244"/>
        <v>0</v>
      </c>
      <c r="Z2574" s="64">
        <f t="shared" si="245"/>
        <v>0</v>
      </c>
    </row>
    <row r="2575" spans="1:26">
      <c r="A2575" s="89" t="str">
        <f t="shared" si="240"/>
        <v/>
      </c>
      <c r="B2575" s="89" t="str">
        <f t="shared" si="241"/>
        <v/>
      </c>
      <c r="S2575" s="89" t="str">
        <f t="shared" si="242"/>
        <v/>
      </c>
      <c r="X2575" s="64">
        <f t="shared" si="243"/>
        <v>0</v>
      </c>
      <c r="Y2575" s="53">
        <f t="shared" si="244"/>
        <v>0</v>
      </c>
      <c r="Z2575" s="64">
        <f t="shared" si="245"/>
        <v>0</v>
      </c>
    </row>
    <row r="2576" spans="1:26">
      <c r="A2576" s="89" t="str">
        <f t="shared" si="240"/>
        <v/>
      </c>
      <c r="B2576" s="89" t="str">
        <f t="shared" si="241"/>
        <v/>
      </c>
      <c r="S2576" s="89" t="str">
        <f t="shared" si="242"/>
        <v/>
      </c>
      <c r="X2576" s="64">
        <f t="shared" si="243"/>
        <v>0</v>
      </c>
      <c r="Y2576" s="53">
        <f t="shared" si="244"/>
        <v>0</v>
      </c>
      <c r="Z2576" s="64">
        <f t="shared" si="245"/>
        <v>0</v>
      </c>
    </row>
    <row r="2577" spans="1:26">
      <c r="A2577" s="89" t="str">
        <f t="shared" si="240"/>
        <v/>
      </c>
      <c r="B2577" s="89" t="str">
        <f t="shared" si="241"/>
        <v/>
      </c>
      <c r="S2577" s="89" t="str">
        <f t="shared" si="242"/>
        <v/>
      </c>
      <c r="X2577" s="64">
        <f t="shared" si="243"/>
        <v>0</v>
      </c>
      <c r="Y2577" s="53">
        <f t="shared" si="244"/>
        <v>0</v>
      </c>
      <c r="Z2577" s="64">
        <f t="shared" si="245"/>
        <v>0</v>
      </c>
    </row>
    <row r="2578" spans="1:26">
      <c r="A2578" s="89" t="str">
        <f t="shared" si="240"/>
        <v/>
      </c>
      <c r="B2578" s="89" t="str">
        <f t="shared" si="241"/>
        <v/>
      </c>
      <c r="S2578" s="89" t="str">
        <f t="shared" si="242"/>
        <v/>
      </c>
      <c r="X2578" s="64">
        <f t="shared" si="243"/>
        <v>0</v>
      </c>
      <c r="Y2578" s="53">
        <f t="shared" si="244"/>
        <v>0</v>
      </c>
      <c r="Z2578" s="64">
        <f t="shared" si="245"/>
        <v>0</v>
      </c>
    </row>
    <row r="2579" spans="1:26">
      <c r="A2579" s="89" t="str">
        <f t="shared" si="240"/>
        <v/>
      </c>
      <c r="B2579" s="89" t="str">
        <f t="shared" si="241"/>
        <v/>
      </c>
      <c r="S2579" s="89" t="str">
        <f t="shared" si="242"/>
        <v/>
      </c>
      <c r="X2579" s="64">
        <f t="shared" si="243"/>
        <v>0</v>
      </c>
      <c r="Y2579" s="53">
        <f t="shared" si="244"/>
        <v>0</v>
      </c>
      <c r="Z2579" s="64">
        <f t="shared" si="245"/>
        <v>0</v>
      </c>
    </row>
    <row r="2580" spans="1:26">
      <c r="A2580" s="89" t="str">
        <f t="shared" si="240"/>
        <v/>
      </c>
      <c r="B2580" s="89" t="str">
        <f t="shared" si="241"/>
        <v/>
      </c>
      <c r="S2580" s="89" t="str">
        <f t="shared" si="242"/>
        <v/>
      </c>
      <c r="X2580" s="64">
        <f t="shared" si="243"/>
        <v>0</v>
      </c>
      <c r="Y2580" s="53">
        <f t="shared" si="244"/>
        <v>0</v>
      </c>
      <c r="Z2580" s="64">
        <f t="shared" si="245"/>
        <v>0</v>
      </c>
    </row>
    <row r="2581" spans="1:26">
      <c r="A2581" s="89" t="str">
        <f t="shared" si="240"/>
        <v/>
      </c>
      <c r="B2581" s="89" t="str">
        <f t="shared" si="241"/>
        <v/>
      </c>
      <c r="S2581" s="89" t="str">
        <f t="shared" si="242"/>
        <v/>
      </c>
      <c r="X2581" s="64">
        <f t="shared" si="243"/>
        <v>0</v>
      </c>
      <c r="Y2581" s="53">
        <f t="shared" si="244"/>
        <v>0</v>
      </c>
      <c r="Z2581" s="64">
        <f t="shared" si="245"/>
        <v>0</v>
      </c>
    </row>
    <row r="2582" spans="1:26">
      <c r="A2582" s="89" t="str">
        <f t="shared" si="240"/>
        <v/>
      </c>
      <c r="B2582" s="89" t="str">
        <f t="shared" si="241"/>
        <v/>
      </c>
      <c r="S2582" s="89" t="str">
        <f t="shared" si="242"/>
        <v/>
      </c>
      <c r="X2582" s="64">
        <f t="shared" si="243"/>
        <v>0</v>
      </c>
      <c r="Y2582" s="53">
        <f t="shared" si="244"/>
        <v>0</v>
      </c>
      <c r="Z2582" s="64">
        <f t="shared" si="245"/>
        <v>0</v>
      </c>
    </row>
    <row r="2583" spans="1:26">
      <c r="A2583" s="89" t="str">
        <f t="shared" si="240"/>
        <v/>
      </c>
      <c r="B2583" s="89" t="str">
        <f t="shared" si="241"/>
        <v/>
      </c>
      <c r="S2583" s="89" t="str">
        <f t="shared" si="242"/>
        <v/>
      </c>
      <c r="X2583" s="64">
        <f t="shared" si="243"/>
        <v>0</v>
      </c>
      <c r="Y2583" s="53">
        <f t="shared" si="244"/>
        <v>0</v>
      </c>
      <c r="Z2583" s="64">
        <f t="shared" si="245"/>
        <v>0</v>
      </c>
    </row>
    <row r="2584" spans="1:26">
      <c r="A2584" s="89" t="str">
        <f t="shared" si="240"/>
        <v/>
      </c>
      <c r="B2584" s="89" t="str">
        <f t="shared" si="241"/>
        <v/>
      </c>
      <c r="S2584" s="89" t="str">
        <f t="shared" si="242"/>
        <v/>
      </c>
      <c r="X2584" s="64">
        <f t="shared" si="243"/>
        <v>0</v>
      </c>
      <c r="Y2584" s="53">
        <f t="shared" si="244"/>
        <v>0</v>
      </c>
      <c r="Z2584" s="64">
        <f t="shared" si="245"/>
        <v>0</v>
      </c>
    </row>
    <row r="2585" spans="1:26">
      <c r="A2585" s="89" t="str">
        <f t="shared" si="240"/>
        <v/>
      </c>
      <c r="B2585" s="89" t="str">
        <f t="shared" si="241"/>
        <v/>
      </c>
      <c r="S2585" s="89" t="str">
        <f t="shared" si="242"/>
        <v/>
      </c>
      <c r="X2585" s="64">
        <f t="shared" si="243"/>
        <v>0</v>
      </c>
      <c r="Y2585" s="53">
        <f t="shared" si="244"/>
        <v>0</v>
      </c>
      <c r="Z2585" s="64">
        <f t="shared" si="245"/>
        <v>0</v>
      </c>
    </row>
    <row r="2586" spans="1:26">
      <c r="A2586" s="89" t="str">
        <f t="shared" si="240"/>
        <v/>
      </c>
      <c r="B2586" s="89" t="str">
        <f t="shared" si="241"/>
        <v/>
      </c>
      <c r="S2586" s="89" t="str">
        <f t="shared" si="242"/>
        <v/>
      </c>
      <c r="X2586" s="64">
        <f t="shared" si="243"/>
        <v>0</v>
      </c>
      <c r="Y2586" s="53">
        <f t="shared" si="244"/>
        <v>0</v>
      </c>
      <c r="Z2586" s="64">
        <f t="shared" si="245"/>
        <v>0</v>
      </c>
    </row>
    <row r="2587" spans="1:26">
      <c r="A2587" s="89" t="str">
        <f t="shared" si="240"/>
        <v/>
      </c>
      <c r="B2587" s="89" t="str">
        <f t="shared" si="241"/>
        <v/>
      </c>
      <c r="S2587" s="89" t="str">
        <f t="shared" si="242"/>
        <v/>
      </c>
      <c r="X2587" s="64">
        <f t="shared" si="243"/>
        <v>0</v>
      </c>
      <c r="Y2587" s="53">
        <f t="shared" si="244"/>
        <v>0</v>
      </c>
      <c r="Z2587" s="64">
        <f t="shared" si="245"/>
        <v>0</v>
      </c>
    </row>
    <row r="2588" spans="1:26">
      <c r="A2588" s="89" t="str">
        <f t="shared" si="240"/>
        <v/>
      </c>
      <c r="B2588" s="89" t="str">
        <f t="shared" si="241"/>
        <v/>
      </c>
      <c r="S2588" s="89" t="str">
        <f t="shared" si="242"/>
        <v/>
      </c>
      <c r="X2588" s="64">
        <f t="shared" si="243"/>
        <v>0</v>
      </c>
      <c r="Y2588" s="53">
        <f t="shared" si="244"/>
        <v>0</v>
      </c>
      <c r="Z2588" s="64">
        <f t="shared" si="245"/>
        <v>0</v>
      </c>
    </row>
    <row r="2589" spans="1:26">
      <c r="A2589" s="89" t="str">
        <f t="shared" si="240"/>
        <v/>
      </c>
      <c r="B2589" s="89" t="str">
        <f t="shared" si="241"/>
        <v/>
      </c>
      <c r="S2589" s="89" t="str">
        <f t="shared" si="242"/>
        <v/>
      </c>
      <c r="X2589" s="64">
        <f t="shared" si="243"/>
        <v>0</v>
      </c>
      <c r="Y2589" s="53">
        <f t="shared" si="244"/>
        <v>0</v>
      </c>
      <c r="Z2589" s="64">
        <f t="shared" si="245"/>
        <v>0</v>
      </c>
    </row>
    <row r="2590" spans="1:26">
      <c r="A2590" s="89" t="str">
        <f t="shared" si="240"/>
        <v/>
      </c>
      <c r="B2590" s="89" t="str">
        <f t="shared" si="241"/>
        <v/>
      </c>
      <c r="S2590" s="89" t="str">
        <f t="shared" si="242"/>
        <v/>
      </c>
      <c r="X2590" s="64">
        <f t="shared" si="243"/>
        <v>0</v>
      </c>
      <c r="Y2590" s="53">
        <f t="shared" si="244"/>
        <v>0</v>
      </c>
      <c r="Z2590" s="64">
        <f t="shared" si="245"/>
        <v>0</v>
      </c>
    </row>
    <row r="2591" spans="1:26">
      <c r="A2591" s="89" t="str">
        <f t="shared" si="240"/>
        <v/>
      </c>
      <c r="B2591" s="89" t="str">
        <f t="shared" si="241"/>
        <v/>
      </c>
      <c r="S2591" s="89" t="str">
        <f t="shared" si="242"/>
        <v/>
      </c>
      <c r="X2591" s="64">
        <f t="shared" si="243"/>
        <v>0</v>
      </c>
      <c r="Y2591" s="53">
        <f t="shared" si="244"/>
        <v>0</v>
      </c>
      <c r="Z2591" s="64">
        <f t="shared" si="245"/>
        <v>0</v>
      </c>
    </row>
    <row r="2592" spans="1:26">
      <c r="A2592" s="89" t="str">
        <f t="shared" si="240"/>
        <v/>
      </c>
      <c r="B2592" s="89" t="str">
        <f t="shared" si="241"/>
        <v/>
      </c>
      <c r="S2592" s="89" t="str">
        <f t="shared" si="242"/>
        <v/>
      </c>
      <c r="X2592" s="64">
        <f t="shared" si="243"/>
        <v>0</v>
      </c>
      <c r="Y2592" s="53">
        <f t="shared" si="244"/>
        <v>0</v>
      </c>
      <c r="Z2592" s="64">
        <f t="shared" si="245"/>
        <v>0</v>
      </c>
    </row>
    <row r="2593" spans="1:26">
      <c r="A2593" s="89" t="str">
        <f t="shared" si="240"/>
        <v/>
      </c>
      <c r="B2593" s="89" t="str">
        <f t="shared" si="241"/>
        <v/>
      </c>
      <c r="S2593" s="89" t="str">
        <f t="shared" si="242"/>
        <v/>
      </c>
      <c r="X2593" s="64">
        <f t="shared" si="243"/>
        <v>0</v>
      </c>
      <c r="Y2593" s="53">
        <f t="shared" si="244"/>
        <v>0</v>
      </c>
      <c r="Z2593" s="64">
        <f t="shared" si="245"/>
        <v>0</v>
      </c>
    </row>
    <row r="2594" spans="1:26">
      <c r="A2594" s="89" t="str">
        <f t="shared" si="240"/>
        <v/>
      </c>
      <c r="B2594" s="89" t="str">
        <f t="shared" si="241"/>
        <v/>
      </c>
      <c r="S2594" s="89" t="str">
        <f t="shared" si="242"/>
        <v/>
      </c>
      <c r="X2594" s="64">
        <f t="shared" si="243"/>
        <v>0</v>
      </c>
      <c r="Y2594" s="53">
        <f t="shared" si="244"/>
        <v>0</v>
      </c>
      <c r="Z2594" s="64">
        <f t="shared" si="245"/>
        <v>0</v>
      </c>
    </row>
    <row r="2595" spans="1:26">
      <c r="A2595" s="89" t="str">
        <f t="shared" si="240"/>
        <v/>
      </c>
      <c r="B2595" s="89" t="str">
        <f t="shared" si="241"/>
        <v/>
      </c>
      <c r="S2595" s="89" t="str">
        <f t="shared" si="242"/>
        <v/>
      </c>
      <c r="X2595" s="64">
        <f t="shared" si="243"/>
        <v>0</v>
      </c>
      <c r="Y2595" s="53">
        <f t="shared" si="244"/>
        <v>0</v>
      </c>
      <c r="Z2595" s="64">
        <f t="shared" si="245"/>
        <v>0</v>
      </c>
    </row>
    <row r="2596" spans="1:26">
      <c r="A2596" s="89" t="str">
        <f t="shared" si="240"/>
        <v/>
      </c>
      <c r="B2596" s="89" t="str">
        <f t="shared" si="241"/>
        <v/>
      </c>
      <c r="S2596" s="89" t="str">
        <f t="shared" si="242"/>
        <v/>
      </c>
      <c r="X2596" s="64">
        <f t="shared" si="243"/>
        <v>0</v>
      </c>
      <c r="Y2596" s="53">
        <f t="shared" si="244"/>
        <v>0</v>
      </c>
      <c r="Z2596" s="64">
        <f t="shared" si="245"/>
        <v>0</v>
      </c>
    </row>
    <row r="2597" spans="1:26">
      <c r="A2597" s="89" t="str">
        <f t="shared" si="240"/>
        <v/>
      </c>
      <c r="B2597" s="89" t="str">
        <f t="shared" si="241"/>
        <v/>
      </c>
      <c r="S2597" s="89" t="str">
        <f t="shared" si="242"/>
        <v/>
      </c>
      <c r="X2597" s="64">
        <f t="shared" si="243"/>
        <v>0</v>
      </c>
      <c r="Y2597" s="53">
        <f t="shared" si="244"/>
        <v>0</v>
      </c>
      <c r="Z2597" s="64">
        <f t="shared" si="245"/>
        <v>0</v>
      </c>
    </row>
    <row r="2598" spans="1:26">
      <c r="A2598" s="89" t="str">
        <f t="shared" si="240"/>
        <v/>
      </c>
      <c r="B2598" s="89" t="str">
        <f t="shared" si="241"/>
        <v/>
      </c>
      <c r="S2598" s="89" t="str">
        <f t="shared" si="242"/>
        <v/>
      </c>
      <c r="X2598" s="64">
        <f t="shared" si="243"/>
        <v>0</v>
      </c>
      <c r="Y2598" s="53">
        <f t="shared" si="244"/>
        <v>0</v>
      </c>
      <c r="Z2598" s="64">
        <f t="shared" si="245"/>
        <v>0</v>
      </c>
    </row>
    <row r="2599" spans="1:26">
      <c r="A2599" s="89" t="str">
        <f t="shared" si="240"/>
        <v/>
      </c>
      <c r="B2599" s="89" t="str">
        <f t="shared" si="241"/>
        <v/>
      </c>
      <c r="S2599" s="89" t="str">
        <f t="shared" si="242"/>
        <v/>
      </c>
      <c r="X2599" s="64">
        <f t="shared" si="243"/>
        <v>0</v>
      </c>
      <c r="Y2599" s="53">
        <f t="shared" si="244"/>
        <v>0</v>
      </c>
      <c r="Z2599" s="64">
        <f t="shared" si="245"/>
        <v>0</v>
      </c>
    </row>
    <row r="2600" spans="1:26">
      <c r="A2600" s="89" t="str">
        <f t="shared" si="240"/>
        <v/>
      </c>
      <c r="B2600" s="89" t="str">
        <f t="shared" si="241"/>
        <v/>
      </c>
      <c r="S2600" s="89" t="str">
        <f t="shared" si="242"/>
        <v/>
      </c>
      <c r="X2600" s="64">
        <f t="shared" si="243"/>
        <v>0</v>
      </c>
      <c r="Y2600" s="53">
        <f t="shared" si="244"/>
        <v>0</v>
      </c>
      <c r="Z2600" s="64">
        <f t="shared" si="245"/>
        <v>0</v>
      </c>
    </row>
    <row r="2601" spans="1:26">
      <c r="A2601" s="89" t="str">
        <f t="shared" si="240"/>
        <v/>
      </c>
      <c r="B2601" s="89" t="str">
        <f t="shared" si="241"/>
        <v/>
      </c>
      <c r="S2601" s="89" t="str">
        <f t="shared" si="242"/>
        <v/>
      </c>
      <c r="X2601" s="64">
        <f t="shared" si="243"/>
        <v>0</v>
      </c>
      <c r="Y2601" s="53">
        <f t="shared" si="244"/>
        <v>0</v>
      </c>
      <c r="Z2601" s="64">
        <f t="shared" si="245"/>
        <v>0</v>
      </c>
    </row>
    <row r="2602" spans="1:26">
      <c r="A2602" s="89" t="str">
        <f t="shared" si="240"/>
        <v/>
      </c>
      <c r="B2602" s="89" t="str">
        <f t="shared" si="241"/>
        <v/>
      </c>
      <c r="S2602" s="89" t="str">
        <f t="shared" si="242"/>
        <v/>
      </c>
      <c r="X2602" s="64">
        <f t="shared" si="243"/>
        <v>0</v>
      </c>
      <c r="Y2602" s="53">
        <f t="shared" si="244"/>
        <v>0</v>
      </c>
      <c r="Z2602" s="64">
        <f t="shared" si="245"/>
        <v>0</v>
      </c>
    </row>
    <row r="2603" spans="1:26">
      <c r="A2603" s="89" t="str">
        <f t="shared" si="240"/>
        <v/>
      </c>
      <c r="B2603" s="89" t="str">
        <f t="shared" si="241"/>
        <v/>
      </c>
      <c r="S2603" s="89" t="str">
        <f t="shared" si="242"/>
        <v/>
      </c>
      <c r="X2603" s="64">
        <f t="shared" si="243"/>
        <v>0</v>
      </c>
      <c r="Y2603" s="53">
        <f t="shared" si="244"/>
        <v>0</v>
      </c>
      <c r="Z2603" s="64">
        <f t="shared" si="245"/>
        <v>0</v>
      </c>
    </row>
    <row r="2604" spans="1:26">
      <c r="A2604" s="89" t="str">
        <f t="shared" si="240"/>
        <v/>
      </c>
      <c r="B2604" s="89" t="str">
        <f t="shared" si="241"/>
        <v/>
      </c>
      <c r="S2604" s="89" t="str">
        <f t="shared" si="242"/>
        <v/>
      </c>
      <c r="X2604" s="64">
        <f t="shared" si="243"/>
        <v>0</v>
      </c>
      <c r="Y2604" s="53">
        <f t="shared" si="244"/>
        <v>0</v>
      </c>
      <c r="Z2604" s="64">
        <f t="shared" si="245"/>
        <v>0</v>
      </c>
    </row>
    <row r="2605" spans="1:26">
      <c r="A2605" s="89" t="str">
        <f t="shared" si="240"/>
        <v/>
      </c>
      <c r="B2605" s="89" t="str">
        <f t="shared" si="241"/>
        <v/>
      </c>
      <c r="S2605" s="89" t="str">
        <f t="shared" si="242"/>
        <v/>
      </c>
      <c r="X2605" s="64">
        <f t="shared" si="243"/>
        <v>0</v>
      </c>
      <c r="Y2605" s="53">
        <f t="shared" si="244"/>
        <v>0</v>
      </c>
      <c r="Z2605" s="64">
        <f t="shared" si="245"/>
        <v>0</v>
      </c>
    </row>
    <row r="2606" spans="1:26">
      <c r="A2606" s="89" t="str">
        <f t="shared" si="240"/>
        <v/>
      </c>
      <c r="B2606" s="89" t="str">
        <f t="shared" si="241"/>
        <v/>
      </c>
      <c r="S2606" s="89" t="str">
        <f t="shared" si="242"/>
        <v/>
      </c>
      <c r="X2606" s="64">
        <f t="shared" si="243"/>
        <v>0</v>
      </c>
      <c r="Y2606" s="53">
        <f t="shared" si="244"/>
        <v>0</v>
      </c>
      <c r="Z2606" s="64">
        <f t="shared" si="245"/>
        <v>0</v>
      </c>
    </row>
    <row r="2607" spans="1:26">
      <c r="A2607" s="89" t="str">
        <f t="shared" si="240"/>
        <v/>
      </c>
      <c r="B2607" s="89" t="str">
        <f t="shared" si="241"/>
        <v/>
      </c>
      <c r="S2607" s="89" t="str">
        <f t="shared" si="242"/>
        <v/>
      </c>
      <c r="X2607" s="64">
        <f t="shared" si="243"/>
        <v>0</v>
      </c>
      <c r="Y2607" s="53">
        <f t="shared" si="244"/>
        <v>0</v>
      </c>
      <c r="Z2607" s="64">
        <f t="shared" si="245"/>
        <v>0</v>
      </c>
    </row>
    <row r="2608" spans="1:26">
      <c r="A2608" s="89" t="str">
        <f t="shared" si="240"/>
        <v/>
      </c>
      <c r="B2608" s="89" t="str">
        <f t="shared" si="241"/>
        <v/>
      </c>
      <c r="S2608" s="89" t="str">
        <f t="shared" si="242"/>
        <v/>
      </c>
      <c r="X2608" s="64">
        <f t="shared" si="243"/>
        <v>0</v>
      </c>
      <c r="Y2608" s="53">
        <f t="shared" si="244"/>
        <v>0</v>
      </c>
      <c r="Z2608" s="64">
        <f t="shared" si="245"/>
        <v>0</v>
      </c>
    </row>
    <row r="2609" spans="1:26">
      <c r="A2609" s="89" t="str">
        <f t="shared" si="240"/>
        <v/>
      </c>
      <c r="B2609" s="89" t="str">
        <f t="shared" si="241"/>
        <v/>
      </c>
      <c r="S2609" s="89" t="str">
        <f t="shared" si="242"/>
        <v/>
      </c>
      <c r="X2609" s="64">
        <f t="shared" si="243"/>
        <v>0</v>
      </c>
      <c r="Y2609" s="53">
        <f t="shared" si="244"/>
        <v>0</v>
      </c>
      <c r="Z2609" s="64">
        <f t="shared" si="245"/>
        <v>0</v>
      </c>
    </row>
    <row r="2610" spans="1:26">
      <c r="A2610" s="89" t="str">
        <f t="shared" si="240"/>
        <v/>
      </c>
      <c r="B2610" s="89" t="str">
        <f t="shared" si="241"/>
        <v/>
      </c>
      <c r="S2610" s="89" t="str">
        <f t="shared" si="242"/>
        <v/>
      </c>
      <c r="X2610" s="64">
        <f t="shared" si="243"/>
        <v>0</v>
      </c>
      <c r="Y2610" s="53">
        <f t="shared" si="244"/>
        <v>0</v>
      </c>
      <c r="Z2610" s="64">
        <f t="shared" si="245"/>
        <v>0</v>
      </c>
    </row>
    <row r="2611" spans="1:26">
      <c r="A2611" s="89" t="str">
        <f t="shared" si="240"/>
        <v/>
      </c>
      <c r="B2611" s="89" t="str">
        <f t="shared" si="241"/>
        <v/>
      </c>
      <c r="S2611" s="89" t="str">
        <f t="shared" si="242"/>
        <v/>
      </c>
      <c r="X2611" s="64">
        <f t="shared" si="243"/>
        <v>0</v>
      </c>
      <c r="Y2611" s="53">
        <f t="shared" si="244"/>
        <v>0</v>
      </c>
      <c r="Z2611" s="64">
        <f t="shared" si="245"/>
        <v>0</v>
      </c>
    </row>
    <row r="2612" spans="1:26">
      <c r="A2612" s="89" t="str">
        <f t="shared" si="240"/>
        <v/>
      </c>
      <c r="B2612" s="89" t="str">
        <f t="shared" si="241"/>
        <v/>
      </c>
      <c r="S2612" s="89" t="str">
        <f t="shared" si="242"/>
        <v/>
      </c>
      <c r="X2612" s="64">
        <f t="shared" si="243"/>
        <v>0</v>
      </c>
      <c r="Y2612" s="53">
        <f t="shared" si="244"/>
        <v>0</v>
      </c>
      <c r="Z2612" s="64">
        <f t="shared" si="245"/>
        <v>0</v>
      </c>
    </row>
    <row r="2613" spans="1:26">
      <c r="A2613" s="89" t="str">
        <f t="shared" si="240"/>
        <v/>
      </c>
      <c r="B2613" s="89" t="str">
        <f t="shared" si="241"/>
        <v/>
      </c>
      <c r="S2613" s="89" t="str">
        <f t="shared" si="242"/>
        <v/>
      </c>
      <c r="X2613" s="64">
        <f t="shared" si="243"/>
        <v>0</v>
      </c>
      <c r="Y2613" s="53">
        <f t="shared" si="244"/>
        <v>0</v>
      </c>
      <c r="Z2613" s="64">
        <f t="shared" si="245"/>
        <v>0</v>
      </c>
    </row>
    <row r="2614" spans="1:26">
      <c r="A2614" s="89" t="str">
        <f t="shared" si="240"/>
        <v/>
      </c>
      <c r="B2614" s="89" t="str">
        <f t="shared" si="241"/>
        <v/>
      </c>
      <c r="S2614" s="89" t="str">
        <f t="shared" si="242"/>
        <v/>
      </c>
      <c r="X2614" s="64">
        <f t="shared" si="243"/>
        <v>0</v>
      </c>
      <c r="Y2614" s="53">
        <f t="shared" si="244"/>
        <v>0</v>
      </c>
      <c r="Z2614" s="64">
        <f t="shared" si="245"/>
        <v>0</v>
      </c>
    </row>
    <row r="2615" spans="1:26">
      <c r="A2615" s="89" t="str">
        <f t="shared" si="240"/>
        <v/>
      </c>
      <c r="B2615" s="89" t="str">
        <f t="shared" si="241"/>
        <v/>
      </c>
      <c r="S2615" s="89" t="str">
        <f t="shared" si="242"/>
        <v/>
      </c>
      <c r="X2615" s="64">
        <f t="shared" si="243"/>
        <v>0</v>
      </c>
      <c r="Y2615" s="53">
        <f t="shared" si="244"/>
        <v>0</v>
      </c>
      <c r="Z2615" s="64">
        <f t="shared" si="245"/>
        <v>0</v>
      </c>
    </row>
    <row r="2616" spans="1:26">
      <c r="A2616" s="89" t="str">
        <f t="shared" si="240"/>
        <v/>
      </c>
      <c r="B2616" s="89" t="str">
        <f t="shared" si="241"/>
        <v/>
      </c>
      <c r="S2616" s="89" t="str">
        <f t="shared" si="242"/>
        <v/>
      </c>
      <c r="X2616" s="64">
        <f t="shared" si="243"/>
        <v>0</v>
      </c>
      <c r="Y2616" s="53">
        <f t="shared" si="244"/>
        <v>0</v>
      </c>
      <c r="Z2616" s="64">
        <f t="shared" si="245"/>
        <v>0</v>
      </c>
    </row>
    <row r="2617" spans="1:26">
      <c r="A2617" s="89" t="str">
        <f t="shared" si="240"/>
        <v/>
      </c>
      <c r="B2617" s="89" t="str">
        <f t="shared" si="241"/>
        <v/>
      </c>
      <c r="S2617" s="89" t="str">
        <f t="shared" si="242"/>
        <v/>
      </c>
      <c r="X2617" s="64">
        <f t="shared" si="243"/>
        <v>0</v>
      </c>
      <c r="Y2617" s="53">
        <f t="shared" si="244"/>
        <v>0</v>
      </c>
      <c r="Z2617" s="64">
        <f t="shared" si="245"/>
        <v>0</v>
      </c>
    </row>
    <row r="2618" spans="1:26">
      <c r="A2618" s="89" t="str">
        <f t="shared" si="240"/>
        <v/>
      </c>
      <c r="B2618" s="89" t="str">
        <f t="shared" si="241"/>
        <v/>
      </c>
      <c r="S2618" s="89" t="str">
        <f t="shared" si="242"/>
        <v/>
      </c>
      <c r="X2618" s="64">
        <f t="shared" si="243"/>
        <v>0</v>
      </c>
      <c r="Y2618" s="53">
        <f t="shared" si="244"/>
        <v>0</v>
      </c>
      <c r="Z2618" s="64">
        <f t="shared" si="245"/>
        <v>0</v>
      </c>
    </row>
    <row r="2619" spans="1:26">
      <c r="A2619" s="89" t="str">
        <f t="shared" si="240"/>
        <v/>
      </c>
      <c r="B2619" s="89" t="str">
        <f t="shared" si="241"/>
        <v/>
      </c>
      <c r="S2619" s="89" t="str">
        <f t="shared" si="242"/>
        <v/>
      </c>
      <c r="X2619" s="64">
        <f t="shared" si="243"/>
        <v>0</v>
      </c>
      <c r="Y2619" s="53">
        <f t="shared" si="244"/>
        <v>0</v>
      </c>
      <c r="Z2619" s="64">
        <f t="shared" si="245"/>
        <v>0</v>
      </c>
    </row>
    <row r="2620" spans="1:26">
      <c r="A2620" s="89" t="str">
        <f t="shared" si="240"/>
        <v/>
      </c>
      <c r="B2620" s="89" t="str">
        <f t="shared" si="241"/>
        <v/>
      </c>
      <c r="S2620" s="89" t="str">
        <f t="shared" si="242"/>
        <v/>
      </c>
      <c r="X2620" s="64">
        <f t="shared" si="243"/>
        <v>0</v>
      </c>
      <c r="Y2620" s="53">
        <f t="shared" si="244"/>
        <v>0</v>
      </c>
      <c r="Z2620" s="64">
        <f t="shared" si="245"/>
        <v>0</v>
      </c>
    </row>
    <row r="2621" spans="1:26">
      <c r="A2621" s="89" t="str">
        <f t="shared" si="240"/>
        <v/>
      </c>
      <c r="B2621" s="89" t="str">
        <f t="shared" si="241"/>
        <v/>
      </c>
      <c r="S2621" s="89" t="str">
        <f t="shared" si="242"/>
        <v/>
      </c>
      <c r="X2621" s="64">
        <f t="shared" si="243"/>
        <v>0</v>
      </c>
      <c r="Y2621" s="53">
        <f t="shared" si="244"/>
        <v>0</v>
      </c>
      <c r="Z2621" s="64">
        <f t="shared" si="245"/>
        <v>0</v>
      </c>
    </row>
    <row r="2622" spans="1:26">
      <c r="A2622" s="89" t="str">
        <f t="shared" si="240"/>
        <v/>
      </c>
      <c r="B2622" s="89" t="str">
        <f t="shared" si="241"/>
        <v/>
      </c>
      <c r="S2622" s="89" t="str">
        <f t="shared" si="242"/>
        <v/>
      </c>
      <c r="X2622" s="64">
        <f t="shared" si="243"/>
        <v>0</v>
      </c>
      <c r="Y2622" s="53">
        <f t="shared" si="244"/>
        <v>0</v>
      </c>
      <c r="Z2622" s="64">
        <f t="shared" si="245"/>
        <v>0</v>
      </c>
    </row>
    <row r="2623" spans="1:26">
      <c r="A2623" s="89" t="str">
        <f t="shared" si="240"/>
        <v/>
      </c>
      <c r="B2623" s="89" t="str">
        <f t="shared" si="241"/>
        <v/>
      </c>
      <c r="S2623" s="89" t="str">
        <f t="shared" si="242"/>
        <v/>
      </c>
      <c r="X2623" s="64">
        <f t="shared" si="243"/>
        <v>0</v>
      </c>
      <c r="Y2623" s="53">
        <f t="shared" si="244"/>
        <v>0</v>
      </c>
      <c r="Z2623" s="64">
        <f t="shared" si="245"/>
        <v>0</v>
      </c>
    </row>
    <row r="2624" spans="1:26">
      <c r="A2624" s="89" t="str">
        <f t="shared" si="240"/>
        <v/>
      </c>
      <c r="B2624" s="89" t="str">
        <f t="shared" si="241"/>
        <v/>
      </c>
      <c r="S2624" s="89" t="str">
        <f t="shared" si="242"/>
        <v/>
      </c>
      <c r="X2624" s="64">
        <f t="shared" si="243"/>
        <v>0</v>
      </c>
      <c r="Y2624" s="53">
        <f t="shared" si="244"/>
        <v>0</v>
      </c>
      <c r="Z2624" s="64">
        <f t="shared" si="245"/>
        <v>0</v>
      </c>
    </row>
    <row r="2625" spans="1:26">
      <c r="A2625" s="89" t="str">
        <f t="shared" si="240"/>
        <v/>
      </c>
      <c r="B2625" s="89" t="str">
        <f t="shared" si="241"/>
        <v/>
      </c>
      <c r="S2625" s="89" t="str">
        <f t="shared" si="242"/>
        <v/>
      </c>
      <c r="X2625" s="64">
        <f t="shared" si="243"/>
        <v>0</v>
      </c>
      <c r="Y2625" s="53">
        <f t="shared" si="244"/>
        <v>0</v>
      </c>
      <c r="Z2625" s="64">
        <f t="shared" si="245"/>
        <v>0</v>
      </c>
    </row>
    <row r="2626" spans="1:26">
      <c r="A2626" s="89" t="str">
        <f t="shared" si="240"/>
        <v/>
      </c>
      <c r="B2626" s="89" t="str">
        <f t="shared" si="241"/>
        <v/>
      </c>
      <c r="S2626" s="89" t="str">
        <f t="shared" si="242"/>
        <v/>
      </c>
      <c r="X2626" s="64">
        <f t="shared" si="243"/>
        <v>0</v>
      </c>
      <c r="Y2626" s="53">
        <f t="shared" si="244"/>
        <v>0</v>
      </c>
      <c r="Z2626" s="64">
        <f t="shared" si="245"/>
        <v>0</v>
      </c>
    </row>
    <row r="2627" spans="1:26">
      <c r="A2627" s="89" t="str">
        <f t="shared" ref="A2627:A2690" si="246">IF(G2627&amp;Q2627&lt;&gt;"",G2627&amp;Q2627,"")</f>
        <v/>
      </c>
      <c r="B2627" s="89" t="str">
        <f t="shared" ref="B2627:B2690" si="247">IF(C2627&lt;&gt;"",LEFT(C2627,9),"")</f>
        <v/>
      </c>
      <c r="S2627" s="89" t="str">
        <f t="shared" ref="S2627:S2690" si="248">IF(H2627&lt;&gt;"",H2627,"")</f>
        <v/>
      </c>
      <c r="X2627" s="64">
        <f t="shared" ref="X2627:X2690" si="249">IFERROR(VALUE(MID($C2627,1,2)),0)</f>
        <v>0</v>
      </c>
      <c r="Y2627" s="53">
        <f t="shared" ref="Y2627:Y2690" si="250">IFERROR(VALUE(MID($C2627,4,3)),0)</f>
        <v>0</v>
      </c>
      <c r="Z2627" s="64">
        <f t="shared" ref="Z2627:Z2690" si="251">VALUE(RIGHT("00"&amp;X2627,2)&amp;RIGHT("000"&amp;Y2627,3))</f>
        <v>0</v>
      </c>
    </row>
    <row r="2628" spans="1:26">
      <c r="A2628" s="89" t="str">
        <f t="shared" si="246"/>
        <v/>
      </c>
      <c r="B2628" s="89" t="str">
        <f t="shared" si="247"/>
        <v/>
      </c>
      <c r="S2628" s="89" t="str">
        <f t="shared" si="248"/>
        <v/>
      </c>
      <c r="X2628" s="64">
        <f t="shared" si="249"/>
        <v>0</v>
      </c>
      <c r="Y2628" s="53">
        <f t="shared" si="250"/>
        <v>0</v>
      </c>
      <c r="Z2628" s="64">
        <f t="shared" si="251"/>
        <v>0</v>
      </c>
    </row>
    <row r="2629" spans="1:26">
      <c r="A2629" s="89" t="str">
        <f t="shared" si="246"/>
        <v/>
      </c>
      <c r="B2629" s="89" t="str">
        <f t="shared" si="247"/>
        <v/>
      </c>
      <c r="S2629" s="89" t="str">
        <f t="shared" si="248"/>
        <v/>
      </c>
      <c r="X2629" s="64">
        <f t="shared" si="249"/>
        <v>0</v>
      </c>
      <c r="Y2629" s="53">
        <f t="shared" si="250"/>
        <v>0</v>
      </c>
      <c r="Z2629" s="64">
        <f t="shared" si="251"/>
        <v>0</v>
      </c>
    </row>
    <row r="2630" spans="1:26">
      <c r="A2630" s="89" t="str">
        <f t="shared" si="246"/>
        <v/>
      </c>
      <c r="B2630" s="89" t="str">
        <f t="shared" si="247"/>
        <v/>
      </c>
      <c r="S2630" s="89" t="str">
        <f t="shared" si="248"/>
        <v/>
      </c>
      <c r="X2630" s="64">
        <f t="shared" si="249"/>
        <v>0</v>
      </c>
      <c r="Y2630" s="53">
        <f t="shared" si="250"/>
        <v>0</v>
      </c>
      <c r="Z2630" s="64">
        <f t="shared" si="251"/>
        <v>0</v>
      </c>
    </row>
    <row r="2631" spans="1:26">
      <c r="A2631" s="89" t="str">
        <f t="shared" si="246"/>
        <v/>
      </c>
      <c r="B2631" s="89" t="str">
        <f t="shared" si="247"/>
        <v/>
      </c>
      <c r="S2631" s="89" t="str">
        <f t="shared" si="248"/>
        <v/>
      </c>
      <c r="X2631" s="64">
        <f t="shared" si="249"/>
        <v>0</v>
      </c>
      <c r="Y2631" s="53">
        <f t="shared" si="250"/>
        <v>0</v>
      </c>
      <c r="Z2631" s="64">
        <f t="shared" si="251"/>
        <v>0</v>
      </c>
    </row>
    <row r="2632" spans="1:26">
      <c r="A2632" s="89" t="str">
        <f t="shared" si="246"/>
        <v/>
      </c>
      <c r="B2632" s="89" t="str">
        <f t="shared" si="247"/>
        <v/>
      </c>
      <c r="S2632" s="89" t="str">
        <f t="shared" si="248"/>
        <v/>
      </c>
      <c r="X2632" s="64">
        <f t="shared" si="249"/>
        <v>0</v>
      </c>
      <c r="Y2632" s="53">
        <f t="shared" si="250"/>
        <v>0</v>
      </c>
      <c r="Z2632" s="64">
        <f t="shared" si="251"/>
        <v>0</v>
      </c>
    </row>
    <row r="2633" spans="1:26">
      <c r="A2633" s="89" t="str">
        <f t="shared" si="246"/>
        <v/>
      </c>
      <c r="B2633" s="89" t="str">
        <f t="shared" si="247"/>
        <v/>
      </c>
      <c r="S2633" s="89" t="str">
        <f t="shared" si="248"/>
        <v/>
      </c>
      <c r="X2633" s="64">
        <f t="shared" si="249"/>
        <v>0</v>
      </c>
      <c r="Y2633" s="53">
        <f t="shared" si="250"/>
        <v>0</v>
      </c>
      <c r="Z2633" s="64">
        <f t="shared" si="251"/>
        <v>0</v>
      </c>
    </row>
    <row r="2634" spans="1:26">
      <c r="A2634" s="89" t="str">
        <f t="shared" si="246"/>
        <v/>
      </c>
      <c r="B2634" s="89" t="str">
        <f t="shared" si="247"/>
        <v/>
      </c>
      <c r="S2634" s="89" t="str">
        <f t="shared" si="248"/>
        <v/>
      </c>
      <c r="X2634" s="64">
        <f t="shared" si="249"/>
        <v>0</v>
      </c>
      <c r="Y2634" s="53">
        <f t="shared" si="250"/>
        <v>0</v>
      </c>
      <c r="Z2634" s="64">
        <f t="shared" si="251"/>
        <v>0</v>
      </c>
    </row>
    <row r="2635" spans="1:26">
      <c r="A2635" s="89" t="str">
        <f t="shared" si="246"/>
        <v/>
      </c>
      <c r="B2635" s="89" t="str">
        <f t="shared" si="247"/>
        <v/>
      </c>
      <c r="S2635" s="89" t="str">
        <f t="shared" si="248"/>
        <v/>
      </c>
      <c r="X2635" s="64">
        <f t="shared" si="249"/>
        <v>0</v>
      </c>
      <c r="Y2635" s="53">
        <f t="shared" si="250"/>
        <v>0</v>
      </c>
      <c r="Z2635" s="64">
        <f t="shared" si="251"/>
        <v>0</v>
      </c>
    </row>
    <row r="2636" spans="1:26">
      <c r="A2636" s="89" t="str">
        <f t="shared" si="246"/>
        <v/>
      </c>
      <c r="B2636" s="89" t="str">
        <f t="shared" si="247"/>
        <v/>
      </c>
      <c r="S2636" s="89" t="str">
        <f t="shared" si="248"/>
        <v/>
      </c>
      <c r="X2636" s="64">
        <f t="shared" si="249"/>
        <v>0</v>
      </c>
      <c r="Y2636" s="53">
        <f t="shared" si="250"/>
        <v>0</v>
      </c>
      <c r="Z2636" s="64">
        <f t="shared" si="251"/>
        <v>0</v>
      </c>
    </row>
    <row r="2637" spans="1:26">
      <c r="A2637" s="89" t="str">
        <f t="shared" si="246"/>
        <v/>
      </c>
      <c r="B2637" s="89" t="str">
        <f t="shared" si="247"/>
        <v/>
      </c>
      <c r="S2637" s="89" t="str">
        <f t="shared" si="248"/>
        <v/>
      </c>
      <c r="X2637" s="64">
        <f t="shared" si="249"/>
        <v>0</v>
      </c>
      <c r="Y2637" s="53">
        <f t="shared" si="250"/>
        <v>0</v>
      </c>
      <c r="Z2637" s="64">
        <f t="shared" si="251"/>
        <v>0</v>
      </c>
    </row>
    <row r="2638" spans="1:26">
      <c r="A2638" s="89" t="str">
        <f t="shared" si="246"/>
        <v/>
      </c>
      <c r="B2638" s="89" t="str">
        <f t="shared" si="247"/>
        <v/>
      </c>
      <c r="S2638" s="89" t="str">
        <f t="shared" si="248"/>
        <v/>
      </c>
      <c r="X2638" s="64">
        <f t="shared" si="249"/>
        <v>0</v>
      </c>
      <c r="Y2638" s="53">
        <f t="shared" si="250"/>
        <v>0</v>
      </c>
      <c r="Z2638" s="64">
        <f t="shared" si="251"/>
        <v>0</v>
      </c>
    </row>
    <row r="2639" spans="1:26">
      <c r="A2639" s="89" t="str">
        <f t="shared" si="246"/>
        <v/>
      </c>
      <c r="B2639" s="89" t="str">
        <f t="shared" si="247"/>
        <v/>
      </c>
      <c r="S2639" s="89" t="str">
        <f t="shared" si="248"/>
        <v/>
      </c>
      <c r="X2639" s="64">
        <f t="shared" si="249"/>
        <v>0</v>
      </c>
      <c r="Y2639" s="53">
        <f t="shared" si="250"/>
        <v>0</v>
      </c>
      <c r="Z2639" s="64">
        <f t="shared" si="251"/>
        <v>0</v>
      </c>
    </row>
    <row r="2640" spans="1:26">
      <c r="A2640" s="89" t="str">
        <f t="shared" si="246"/>
        <v/>
      </c>
      <c r="B2640" s="89" t="str">
        <f t="shared" si="247"/>
        <v/>
      </c>
      <c r="S2640" s="89" t="str">
        <f t="shared" si="248"/>
        <v/>
      </c>
      <c r="X2640" s="64">
        <f t="shared" si="249"/>
        <v>0</v>
      </c>
      <c r="Y2640" s="53">
        <f t="shared" si="250"/>
        <v>0</v>
      </c>
      <c r="Z2640" s="64">
        <f t="shared" si="251"/>
        <v>0</v>
      </c>
    </row>
    <row r="2641" spans="1:26">
      <c r="A2641" s="89" t="str">
        <f t="shared" si="246"/>
        <v/>
      </c>
      <c r="B2641" s="89" t="str">
        <f t="shared" si="247"/>
        <v/>
      </c>
      <c r="S2641" s="89" t="str">
        <f t="shared" si="248"/>
        <v/>
      </c>
      <c r="X2641" s="64">
        <f t="shared" si="249"/>
        <v>0</v>
      </c>
      <c r="Y2641" s="53">
        <f t="shared" si="250"/>
        <v>0</v>
      </c>
      <c r="Z2641" s="64">
        <f t="shared" si="251"/>
        <v>0</v>
      </c>
    </row>
    <row r="2642" spans="1:26">
      <c r="A2642" s="89" t="str">
        <f t="shared" si="246"/>
        <v/>
      </c>
      <c r="B2642" s="89" t="str">
        <f t="shared" si="247"/>
        <v/>
      </c>
      <c r="S2642" s="89" t="str">
        <f t="shared" si="248"/>
        <v/>
      </c>
      <c r="X2642" s="64">
        <f t="shared" si="249"/>
        <v>0</v>
      </c>
      <c r="Y2642" s="53">
        <f t="shared" si="250"/>
        <v>0</v>
      </c>
      <c r="Z2642" s="64">
        <f t="shared" si="251"/>
        <v>0</v>
      </c>
    </row>
    <row r="2643" spans="1:26">
      <c r="A2643" s="89" t="str">
        <f t="shared" si="246"/>
        <v/>
      </c>
      <c r="B2643" s="89" t="str">
        <f t="shared" si="247"/>
        <v/>
      </c>
      <c r="S2643" s="89" t="str">
        <f t="shared" si="248"/>
        <v/>
      </c>
      <c r="X2643" s="64">
        <f t="shared" si="249"/>
        <v>0</v>
      </c>
      <c r="Y2643" s="53">
        <f t="shared" si="250"/>
        <v>0</v>
      </c>
      <c r="Z2643" s="64">
        <f t="shared" si="251"/>
        <v>0</v>
      </c>
    </row>
    <row r="2644" spans="1:26">
      <c r="A2644" s="89" t="str">
        <f t="shared" si="246"/>
        <v/>
      </c>
      <c r="B2644" s="89" t="str">
        <f t="shared" si="247"/>
        <v/>
      </c>
      <c r="S2644" s="89" t="str">
        <f t="shared" si="248"/>
        <v/>
      </c>
      <c r="X2644" s="64">
        <f t="shared" si="249"/>
        <v>0</v>
      </c>
      <c r="Y2644" s="53">
        <f t="shared" si="250"/>
        <v>0</v>
      </c>
      <c r="Z2644" s="64">
        <f t="shared" si="251"/>
        <v>0</v>
      </c>
    </row>
    <row r="2645" spans="1:26">
      <c r="A2645" s="89" t="str">
        <f t="shared" si="246"/>
        <v/>
      </c>
      <c r="B2645" s="89" t="str">
        <f t="shared" si="247"/>
        <v/>
      </c>
      <c r="S2645" s="89" t="str">
        <f t="shared" si="248"/>
        <v/>
      </c>
      <c r="X2645" s="64">
        <f t="shared" si="249"/>
        <v>0</v>
      </c>
      <c r="Y2645" s="53">
        <f t="shared" si="250"/>
        <v>0</v>
      </c>
      <c r="Z2645" s="64">
        <f t="shared" si="251"/>
        <v>0</v>
      </c>
    </row>
    <row r="2646" spans="1:26">
      <c r="A2646" s="89" t="str">
        <f t="shared" si="246"/>
        <v/>
      </c>
      <c r="B2646" s="89" t="str">
        <f t="shared" si="247"/>
        <v/>
      </c>
      <c r="S2646" s="89" t="str">
        <f t="shared" si="248"/>
        <v/>
      </c>
      <c r="X2646" s="64">
        <f t="shared" si="249"/>
        <v>0</v>
      </c>
      <c r="Y2646" s="53">
        <f t="shared" si="250"/>
        <v>0</v>
      </c>
      <c r="Z2646" s="64">
        <f t="shared" si="251"/>
        <v>0</v>
      </c>
    </row>
    <row r="2647" spans="1:26">
      <c r="A2647" s="89" t="str">
        <f t="shared" si="246"/>
        <v/>
      </c>
      <c r="B2647" s="89" t="str">
        <f t="shared" si="247"/>
        <v/>
      </c>
      <c r="S2647" s="89" t="str">
        <f t="shared" si="248"/>
        <v/>
      </c>
      <c r="X2647" s="64">
        <f t="shared" si="249"/>
        <v>0</v>
      </c>
      <c r="Y2647" s="53">
        <f t="shared" si="250"/>
        <v>0</v>
      </c>
      <c r="Z2647" s="64">
        <f t="shared" si="251"/>
        <v>0</v>
      </c>
    </row>
    <row r="2648" spans="1:26">
      <c r="A2648" s="89" t="str">
        <f t="shared" si="246"/>
        <v/>
      </c>
      <c r="B2648" s="89" t="str">
        <f t="shared" si="247"/>
        <v/>
      </c>
      <c r="S2648" s="89" t="str">
        <f t="shared" si="248"/>
        <v/>
      </c>
      <c r="X2648" s="64">
        <f t="shared" si="249"/>
        <v>0</v>
      </c>
      <c r="Y2648" s="53">
        <f t="shared" si="250"/>
        <v>0</v>
      </c>
      <c r="Z2648" s="64">
        <f t="shared" si="251"/>
        <v>0</v>
      </c>
    </row>
    <row r="2649" spans="1:26">
      <c r="A2649" s="89" t="str">
        <f t="shared" si="246"/>
        <v/>
      </c>
      <c r="B2649" s="89" t="str">
        <f t="shared" si="247"/>
        <v/>
      </c>
      <c r="S2649" s="89" t="str">
        <f t="shared" si="248"/>
        <v/>
      </c>
      <c r="X2649" s="64">
        <f t="shared" si="249"/>
        <v>0</v>
      </c>
      <c r="Y2649" s="53">
        <f t="shared" si="250"/>
        <v>0</v>
      </c>
      <c r="Z2649" s="64">
        <f t="shared" si="251"/>
        <v>0</v>
      </c>
    </row>
    <row r="2650" spans="1:26">
      <c r="A2650" s="89" t="str">
        <f t="shared" si="246"/>
        <v/>
      </c>
      <c r="B2650" s="89" t="str">
        <f t="shared" si="247"/>
        <v/>
      </c>
      <c r="S2650" s="89" t="str">
        <f t="shared" si="248"/>
        <v/>
      </c>
      <c r="X2650" s="64">
        <f t="shared" si="249"/>
        <v>0</v>
      </c>
      <c r="Y2650" s="53">
        <f t="shared" si="250"/>
        <v>0</v>
      </c>
      <c r="Z2650" s="64">
        <f t="shared" si="251"/>
        <v>0</v>
      </c>
    </row>
    <row r="2651" spans="1:26">
      <c r="A2651" s="89" t="str">
        <f t="shared" si="246"/>
        <v/>
      </c>
      <c r="B2651" s="89" t="str">
        <f t="shared" si="247"/>
        <v/>
      </c>
      <c r="S2651" s="89" t="str">
        <f t="shared" si="248"/>
        <v/>
      </c>
      <c r="X2651" s="64">
        <f t="shared" si="249"/>
        <v>0</v>
      </c>
      <c r="Y2651" s="53">
        <f t="shared" si="250"/>
        <v>0</v>
      </c>
      <c r="Z2651" s="64">
        <f t="shared" si="251"/>
        <v>0</v>
      </c>
    </row>
    <row r="2652" spans="1:26">
      <c r="A2652" s="89" t="str">
        <f t="shared" si="246"/>
        <v/>
      </c>
      <c r="B2652" s="89" t="str">
        <f t="shared" si="247"/>
        <v/>
      </c>
      <c r="S2652" s="89" t="str">
        <f t="shared" si="248"/>
        <v/>
      </c>
      <c r="X2652" s="64">
        <f t="shared" si="249"/>
        <v>0</v>
      </c>
      <c r="Y2652" s="53">
        <f t="shared" si="250"/>
        <v>0</v>
      </c>
      <c r="Z2652" s="64">
        <f t="shared" si="251"/>
        <v>0</v>
      </c>
    </row>
    <row r="2653" spans="1:26">
      <c r="A2653" s="89" t="str">
        <f t="shared" si="246"/>
        <v/>
      </c>
      <c r="B2653" s="89" t="str">
        <f t="shared" si="247"/>
        <v/>
      </c>
      <c r="S2653" s="89" t="str">
        <f t="shared" si="248"/>
        <v/>
      </c>
      <c r="X2653" s="64">
        <f t="shared" si="249"/>
        <v>0</v>
      </c>
      <c r="Y2653" s="53">
        <f t="shared" si="250"/>
        <v>0</v>
      </c>
      <c r="Z2653" s="64">
        <f t="shared" si="251"/>
        <v>0</v>
      </c>
    </row>
    <row r="2654" spans="1:26">
      <c r="A2654" s="89" t="str">
        <f t="shared" si="246"/>
        <v/>
      </c>
      <c r="B2654" s="89" t="str">
        <f t="shared" si="247"/>
        <v/>
      </c>
      <c r="S2654" s="89" t="str">
        <f t="shared" si="248"/>
        <v/>
      </c>
      <c r="X2654" s="64">
        <f t="shared" si="249"/>
        <v>0</v>
      </c>
      <c r="Y2654" s="53">
        <f t="shared" si="250"/>
        <v>0</v>
      </c>
      <c r="Z2654" s="64">
        <f t="shared" si="251"/>
        <v>0</v>
      </c>
    </row>
    <row r="2655" spans="1:26">
      <c r="A2655" s="89" t="str">
        <f t="shared" si="246"/>
        <v/>
      </c>
      <c r="B2655" s="89" t="str">
        <f t="shared" si="247"/>
        <v/>
      </c>
      <c r="S2655" s="89" t="str">
        <f t="shared" si="248"/>
        <v/>
      </c>
      <c r="X2655" s="64">
        <f t="shared" si="249"/>
        <v>0</v>
      </c>
      <c r="Y2655" s="53">
        <f t="shared" si="250"/>
        <v>0</v>
      </c>
      <c r="Z2655" s="64">
        <f t="shared" si="251"/>
        <v>0</v>
      </c>
    </row>
    <row r="2656" spans="1:26">
      <c r="A2656" s="89" t="str">
        <f t="shared" si="246"/>
        <v/>
      </c>
      <c r="B2656" s="89" t="str">
        <f t="shared" si="247"/>
        <v/>
      </c>
      <c r="S2656" s="89" t="str">
        <f t="shared" si="248"/>
        <v/>
      </c>
      <c r="X2656" s="64">
        <f t="shared" si="249"/>
        <v>0</v>
      </c>
      <c r="Y2656" s="53">
        <f t="shared" si="250"/>
        <v>0</v>
      </c>
      <c r="Z2656" s="64">
        <f t="shared" si="251"/>
        <v>0</v>
      </c>
    </row>
    <row r="2657" spans="1:26">
      <c r="A2657" s="89" t="str">
        <f t="shared" si="246"/>
        <v/>
      </c>
      <c r="B2657" s="89" t="str">
        <f t="shared" si="247"/>
        <v/>
      </c>
      <c r="S2657" s="89" t="str">
        <f t="shared" si="248"/>
        <v/>
      </c>
      <c r="X2657" s="64">
        <f t="shared" si="249"/>
        <v>0</v>
      </c>
      <c r="Y2657" s="53">
        <f t="shared" si="250"/>
        <v>0</v>
      </c>
      <c r="Z2657" s="64">
        <f t="shared" si="251"/>
        <v>0</v>
      </c>
    </row>
    <row r="2658" spans="1:26">
      <c r="A2658" s="89" t="str">
        <f t="shared" si="246"/>
        <v/>
      </c>
      <c r="B2658" s="89" t="str">
        <f t="shared" si="247"/>
        <v/>
      </c>
      <c r="S2658" s="89" t="str">
        <f t="shared" si="248"/>
        <v/>
      </c>
      <c r="X2658" s="64">
        <f t="shared" si="249"/>
        <v>0</v>
      </c>
      <c r="Y2658" s="53">
        <f t="shared" si="250"/>
        <v>0</v>
      </c>
      <c r="Z2658" s="64">
        <f t="shared" si="251"/>
        <v>0</v>
      </c>
    </row>
    <row r="2659" spans="1:26">
      <c r="A2659" s="89" t="str">
        <f t="shared" si="246"/>
        <v/>
      </c>
      <c r="B2659" s="89" t="str">
        <f t="shared" si="247"/>
        <v/>
      </c>
      <c r="S2659" s="89" t="str">
        <f t="shared" si="248"/>
        <v/>
      </c>
      <c r="X2659" s="64">
        <f t="shared" si="249"/>
        <v>0</v>
      </c>
      <c r="Y2659" s="53">
        <f t="shared" si="250"/>
        <v>0</v>
      </c>
      <c r="Z2659" s="64">
        <f t="shared" si="251"/>
        <v>0</v>
      </c>
    </row>
    <row r="2660" spans="1:26">
      <c r="A2660" s="89" t="str">
        <f t="shared" si="246"/>
        <v/>
      </c>
      <c r="B2660" s="89" t="str">
        <f t="shared" si="247"/>
        <v/>
      </c>
      <c r="S2660" s="89" t="str">
        <f t="shared" si="248"/>
        <v/>
      </c>
      <c r="X2660" s="64">
        <f t="shared" si="249"/>
        <v>0</v>
      </c>
      <c r="Y2660" s="53">
        <f t="shared" si="250"/>
        <v>0</v>
      </c>
      <c r="Z2660" s="64">
        <f t="shared" si="251"/>
        <v>0</v>
      </c>
    </row>
    <row r="2661" spans="1:26">
      <c r="A2661" s="89" t="str">
        <f t="shared" si="246"/>
        <v/>
      </c>
      <c r="B2661" s="89" t="str">
        <f t="shared" si="247"/>
        <v/>
      </c>
      <c r="S2661" s="89" t="str">
        <f t="shared" si="248"/>
        <v/>
      </c>
      <c r="X2661" s="64">
        <f t="shared" si="249"/>
        <v>0</v>
      </c>
      <c r="Y2661" s="53">
        <f t="shared" si="250"/>
        <v>0</v>
      </c>
      <c r="Z2661" s="64">
        <f t="shared" si="251"/>
        <v>0</v>
      </c>
    </row>
    <row r="2662" spans="1:26">
      <c r="A2662" s="89" t="str">
        <f t="shared" si="246"/>
        <v/>
      </c>
      <c r="B2662" s="89" t="str">
        <f t="shared" si="247"/>
        <v/>
      </c>
      <c r="S2662" s="89" t="str">
        <f t="shared" si="248"/>
        <v/>
      </c>
      <c r="X2662" s="64">
        <f t="shared" si="249"/>
        <v>0</v>
      </c>
      <c r="Y2662" s="53">
        <f t="shared" si="250"/>
        <v>0</v>
      </c>
      <c r="Z2662" s="64">
        <f t="shared" si="251"/>
        <v>0</v>
      </c>
    </row>
    <row r="2663" spans="1:26">
      <c r="A2663" s="89" t="str">
        <f t="shared" si="246"/>
        <v/>
      </c>
      <c r="B2663" s="89" t="str">
        <f t="shared" si="247"/>
        <v/>
      </c>
      <c r="S2663" s="89" t="str">
        <f t="shared" si="248"/>
        <v/>
      </c>
      <c r="X2663" s="64">
        <f t="shared" si="249"/>
        <v>0</v>
      </c>
      <c r="Y2663" s="53">
        <f t="shared" si="250"/>
        <v>0</v>
      </c>
      <c r="Z2663" s="64">
        <f t="shared" si="251"/>
        <v>0</v>
      </c>
    </row>
    <row r="2664" spans="1:26">
      <c r="A2664" s="89" t="str">
        <f t="shared" si="246"/>
        <v/>
      </c>
      <c r="B2664" s="89" t="str">
        <f t="shared" si="247"/>
        <v/>
      </c>
      <c r="S2664" s="89" t="str">
        <f t="shared" si="248"/>
        <v/>
      </c>
      <c r="X2664" s="64">
        <f t="shared" si="249"/>
        <v>0</v>
      </c>
      <c r="Y2664" s="53">
        <f t="shared" si="250"/>
        <v>0</v>
      </c>
      <c r="Z2664" s="64">
        <f t="shared" si="251"/>
        <v>0</v>
      </c>
    </row>
    <row r="2665" spans="1:26">
      <c r="A2665" s="89" t="str">
        <f t="shared" si="246"/>
        <v/>
      </c>
      <c r="B2665" s="89" t="str">
        <f t="shared" si="247"/>
        <v/>
      </c>
      <c r="S2665" s="89" t="str">
        <f t="shared" si="248"/>
        <v/>
      </c>
      <c r="X2665" s="64">
        <f t="shared" si="249"/>
        <v>0</v>
      </c>
      <c r="Y2665" s="53">
        <f t="shared" si="250"/>
        <v>0</v>
      </c>
      <c r="Z2665" s="64">
        <f t="shared" si="251"/>
        <v>0</v>
      </c>
    </row>
    <row r="2666" spans="1:26">
      <c r="A2666" s="89" t="str">
        <f t="shared" si="246"/>
        <v/>
      </c>
      <c r="B2666" s="89" t="str">
        <f t="shared" si="247"/>
        <v/>
      </c>
      <c r="S2666" s="89" t="str">
        <f t="shared" si="248"/>
        <v/>
      </c>
      <c r="X2666" s="64">
        <f t="shared" si="249"/>
        <v>0</v>
      </c>
      <c r="Y2666" s="53">
        <f t="shared" si="250"/>
        <v>0</v>
      </c>
      <c r="Z2666" s="64">
        <f t="shared" si="251"/>
        <v>0</v>
      </c>
    </row>
    <row r="2667" spans="1:26">
      <c r="A2667" s="89" t="str">
        <f t="shared" si="246"/>
        <v/>
      </c>
      <c r="B2667" s="89" t="str">
        <f t="shared" si="247"/>
        <v/>
      </c>
      <c r="S2667" s="89" t="str">
        <f t="shared" si="248"/>
        <v/>
      </c>
      <c r="X2667" s="64">
        <f t="shared" si="249"/>
        <v>0</v>
      </c>
      <c r="Y2667" s="53">
        <f t="shared" si="250"/>
        <v>0</v>
      </c>
      <c r="Z2667" s="64">
        <f t="shared" si="251"/>
        <v>0</v>
      </c>
    </row>
    <row r="2668" spans="1:26">
      <c r="A2668" s="89" t="str">
        <f t="shared" si="246"/>
        <v/>
      </c>
      <c r="B2668" s="89" t="str">
        <f t="shared" si="247"/>
        <v/>
      </c>
      <c r="S2668" s="89" t="str">
        <f t="shared" si="248"/>
        <v/>
      </c>
      <c r="X2668" s="64">
        <f t="shared" si="249"/>
        <v>0</v>
      </c>
      <c r="Y2668" s="53">
        <f t="shared" si="250"/>
        <v>0</v>
      </c>
      <c r="Z2668" s="64">
        <f t="shared" si="251"/>
        <v>0</v>
      </c>
    </row>
    <row r="2669" spans="1:26">
      <c r="A2669" s="89" t="str">
        <f t="shared" si="246"/>
        <v/>
      </c>
      <c r="B2669" s="89" t="str">
        <f t="shared" si="247"/>
        <v/>
      </c>
      <c r="S2669" s="89" t="str">
        <f t="shared" si="248"/>
        <v/>
      </c>
      <c r="X2669" s="64">
        <f t="shared" si="249"/>
        <v>0</v>
      </c>
      <c r="Y2669" s="53">
        <f t="shared" si="250"/>
        <v>0</v>
      </c>
      <c r="Z2669" s="64">
        <f t="shared" si="251"/>
        <v>0</v>
      </c>
    </row>
    <row r="2670" spans="1:26">
      <c r="A2670" s="89" t="str">
        <f t="shared" si="246"/>
        <v/>
      </c>
      <c r="B2670" s="89" t="str">
        <f t="shared" si="247"/>
        <v/>
      </c>
      <c r="S2670" s="89" t="str">
        <f t="shared" si="248"/>
        <v/>
      </c>
      <c r="X2670" s="64">
        <f t="shared" si="249"/>
        <v>0</v>
      </c>
      <c r="Y2670" s="53">
        <f t="shared" si="250"/>
        <v>0</v>
      </c>
      <c r="Z2670" s="64">
        <f t="shared" si="251"/>
        <v>0</v>
      </c>
    </row>
    <row r="2671" spans="1:26">
      <c r="A2671" s="89" t="str">
        <f t="shared" si="246"/>
        <v/>
      </c>
      <c r="B2671" s="89" t="str">
        <f t="shared" si="247"/>
        <v/>
      </c>
      <c r="S2671" s="89" t="str">
        <f t="shared" si="248"/>
        <v/>
      </c>
      <c r="X2671" s="64">
        <f t="shared" si="249"/>
        <v>0</v>
      </c>
      <c r="Y2671" s="53">
        <f t="shared" si="250"/>
        <v>0</v>
      </c>
      <c r="Z2671" s="64">
        <f t="shared" si="251"/>
        <v>0</v>
      </c>
    </row>
    <row r="2672" spans="1:26">
      <c r="A2672" s="89" t="str">
        <f t="shared" si="246"/>
        <v/>
      </c>
      <c r="B2672" s="89" t="str">
        <f t="shared" si="247"/>
        <v/>
      </c>
      <c r="S2672" s="89" t="str">
        <f t="shared" si="248"/>
        <v/>
      </c>
      <c r="X2672" s="64">
        <f t="shared" si="249"/>
        <v>0</v>
      </c>
      <c r="Y2672" s="53">
        <f t="shared" si="250"/>
        <v>0</v>
      </c>
      <c r="Z2672" s="64">
        <f t="shared" si="251"/>
        <v>0</v>
      </c>
    </row>
    <row r="2673" spans="1:26">
      <c r="A2673" s="89" t="str">
        <f t="shared" si="246"/>
        <v/>
      </c>
      <c r="B2673" s="89" t="str">
        <f t="shared" si="247"/>
        <v/>
      </c>
      <c r="S2673" s="89" t="str">
        <f t="shared" si="248"/>
        <v/>
      </c>
      <c r="X2673" s="64">
        <f t="shared" si="249"/>
        <v>0</v>
      </c>
      <c r="Y2673" s="53">
        <f t="shared" si="250"/>
        <v>0</v>
      </c>
      <c r="Z2673" s="64">
        <f t="shared" si="251"/>
        <v>0</v>
      </c>
    </row>
    <row r="2674" spans="1:26">
      <c r="A2674" s="89" t="str">
        <f t="shared" si="246"/>
        <v/>
      </c>
      <c r="B2674" s="89" t="str">
        <f t="shared" si="247"/>
        <v/>
      </c>
      <c r="S2674" s="89" t="str">
        <f t="shared" si="248"/>
        <v/>
      </c>
      <c r="X2674" s="64">
        <f t="shared" si="249"/>
        <v>0</v>
      </c>
      <c r="Y2674" s="53">
        <f t="shared" si="250"/>
        <v>0</v>
      </c>
      <c r="Z2674" s="64">
        <f t="shared" si="251"/>
        <v>0</v>
      </c>
    </row>
    <row r="2675" spans="1:26">
      <c r="A2675" s="89" t="str">
        <f t="shared" si="246"/>
        <v/>
      </c>
      <c r="B2675" s="89" t="str">
        <f t="shared" si="247"/>
        <v/>
      </c>
      <c r="S2675" s="89" t="str">
        <f t="shared" si="248"/>
        <v/>
      </c>
      <c r="X2675" s="64">
        <f t="shared" si="249"/>
        <v>0</v>
      </c>
      <c r="Y2675" s="53">
        <f t="shared" si="250"/>
        <v>0</v>
      </c>
      <c r="Z2675" s="64">
        <f t="shared" si="251"/>
        <v>0</v>
      </c>
    </row>
    <row r="2676" spans="1:26">
      <c r="A2676" s="89" t="str">
        <f t="shared" si="246"/>
        <v/>
      </c>
      <c r="B2676" s="89" t="str">
        <f t="shared" si="247"/>
        <v/>
      </c>
      <c r="S2676" s="89" t="str">
        <f t="shared" si="248"/>
        <v/>
      </c>
      <c r="X2676" s="64">
        <f t="shared" si="249"/>
        <v>0</v>
      </c>
      <c r="Y2676" s="53">
        <f t="shared" si="250"/>
        <v>0</v>
      </c>
      <c r="Z2676" s="64">
        <f t="shared" si="251"/>
        <v>0</v>
      </c>
    </row>
    <row r="2677" spans="1:26">
      <c r="A2677" s="89" t="str">
        <f t="shared" si="246"/>
        <v/>
      </c>
      <c r="B2677" s="89" t="str">
        <f t="shared" si="247"/>
        <v/>
      </c>
      <c r="S2677" s="89" t="str">
        <f t="shared" si="248"/>
        <v/>
      </c>
      <c r="X2677" s="64">
        <f t="shared" si="249"/>
        <v>0</v>
      </c>
      <c r="Y2677" s="53">
        <f t="shared" si="250"/>
        <v>0</v>
      </c>
      <c r="Z2677" s="64">
        <f t="shared" si="251"/>
        <v>0</v>
      </c>
    </row>
    <row r="2678" spans="1:26">
      <c r="A2678" s="89" t="str">
        <f t="shared" si="246"/>
        <v/>
      </c>
      <c r="B2678" s="89" t="str">
        <f t="shared" si="247"/>
        <v/>
      </c>
      <c r="S2678" s="89" t="str">
        <f t="shared" si="248"/>
        <v/>
      </c>
      <c r="X2678" s="64">
        <f t="shared" si="249"/>
        <v>0</v>
      </c>
      <c r="Y2678" s="53">
        <f t="shared" si="250"/>
        <v>0</v>
      </c>
      <c r="Z2678" s="64">
        <f t="shared" si="251"/>
        <v>0</v>
      </c>
    </row>
    <row r="2679" spans="1:26">
      <c r="A2679" s="89" t="str">
        <f t="shared" si="246"/>
        <v/>
      </c>
      <c r="B2679" s="89" t="str">
        <f t="shared" si="247"/>
        <v/>
      </c>
      <c r="S2679" s="89" t="str">
        <f t="shared" si="248"/>
        <v/>
      </c>
      <c r="X2679" s="64">
        <f t="shared" si="249"/>
        <v>0</v>
      </c>
      <c r="Y2679" s="53">
        <f t="shared" si="250"/>
        <v>0</v>
      </c>
      <c r="Z2679" s="64">
        <f t="shared" si="251"/>
        <v>0</v>
      </c>
    </row>
    <row r="2680" spans="1:26">
      <c r="A2680" s="89" t="str">
        <f t="shared" si="246"/>
        <v/>
      </c>
      <c r="B2680" s="89" t="str">
        <f t="shared" si="247"/>
        <v/>
      </c>
      <c r="S2680" s="89" t="str">
        <f t="shared" si="248"/>
        <v/>
      </c>
      <c r="X2680" s="64">
        <f t="shared" si="249"/>
        <v>0</v>
      </c>
      <c r="Y2680" s="53">
        <f t="shared" si="250"/>
        <v>0</v>
      </c>
      <c r="Z2680" s="64">
        <f t="shared" si="251"/>
        <v>0</v>
      </c>
    </row>
    <row r="2681" spans="1:26">
      <c r="A2681" s="89" t="str">
        <f t="shared" si="246"/>
        <v/>
      </c>
      <c r="B2681" s="89" t="str">
        <f t="shared" si="247"/>
        <v/>
      </c>
      <c r="S2681" s="89" t="str">
        <f t="shared" si="248"/>
        <v/>
      </c>
      <c r="X2681" s="64">
        <f t="shared" si="249"/>
        <v>0</v>
      </c>
      <c r="Y2681" s="53">
        <f t="shared" si="250"/>
        <v>0</v>
      </c>
      <c r="Z2681" s="64">
        <f t="shared" si="251"/>
        <v>0</v>
      </c>
    </row>
    <row r="2682" spans="1:26">
      <c r="A2682" s="89" t="str">
        <f t="shared" si="246"/>
        <v/>
      </c>
      <c r="B2682" s="89" t="str">
        <f t="shared" si="247"/>
        <v/>
      </c>
      <c r="S2682" s="89" t="str">
        <f t="shared" si="248"/>
        <v/>
      </c>
      <c r="X2682" s="64">
        <f t="shared" si="249"/>
        <v>0</v>
      </c>
      <c r="Y2682" s="53">
        <f t="shared" si="250"/>
        <v>0</v>
      </c>
      <c r="Z2682" s="64">
        <f t="shared" si="251"/>
        <v>0</v>
      </c>
    </row>
    <row r="2683" spans="1:26">
      <c r="A2683" s="89" t="str">
        <f t="shared" si="246"/>
        <v/>
      </c>
      <c r="B2683" s="89" t="str">
        <f t="shared" si="247"/>
        <v/>
      </c>
      <c r="S2683" s="89" t="str">
        <f t="shared" si="248"/>
        <v/>
      </c>
      <c r="X2683" s="64">
        <f t="shared" si="249"/>
        <v>0</v>
      </c>
      <c r="Y2683" s="53">
        <f t="shared" si="250"/>
        <v>0</v>
      </c>
      <c r="Z2683" s="64">
        <f t="shared" si="251"/>
        <v>0</v>
      </c>
    </row>
    <row r="2684" spans="1:26">
      <c r="A2684" s="89" t="str">
        <f t="shared" si="246"/>
        <v/>
      </c>
      <c r="B2684" s="89" t="str">
        <f t="shared" si="247"/>
        <v/>
      </c>
      <c r="S2684" s="89" t="str">
        <f t="shared" si="248"/>
        <v/>
      </c>
      <c r="X2684" s="64">
        <f t="shared" si="249"/>
        <v>0</v>
      </c>
      <c r="Y2684" s="53">
        <f t="shared" si="250"/>
        <v>0</v>
      </c>
      <c r="Z2684" s="64">
        <f t="shared" si="251"/>
        <v>0</v>
      </c>
    </row>
    <row r="2685" spans="1:26">
      <c r="A2685" s="89" t="str">
        <f t="shared" si="246"/>
        <v/>
      </c>
      <c r="B2685" s="89" t="str">
        <f t="shared" si="247"/>
        <v/>
      </c>
      <c r="S2685" s="89" t="str">
        <f t="shared" si="248"/>
        <v/>
      </c>
      <c r="X2685" s="64">
        <f t="shared" si="249"/>
        <v>0</v>
      </c>
      <c r="Y2685" s="53">
        <f t="shared" si="250"/>
        <v>0</v>
      </c>
      <c r="Z2685" s="64">
        <f t="shared" si="251"/>
        <v>0</v>
      </c>
    </row>
    <row r="2686" spans="1:26">
      <c r="A2686" s="89" t="str">
        <f t="shared" si="246"/>
        <v/>
      </c>
      <c r="B2686" s="89" t="str">
        <f t="shared" si="247"/>
        <v/>
      </c>
      <c r="S2686" s="89" t="str">
        <f t="shared" si="248"/>
        <v/>
      </c>
      <c r="X2686" s="64">
        <f t="shared" si="249"/>
        <v>0</v>
      </c>
      <c r="Y2686" s="53">
        <f t="shared" si="250"/>
        <v>0</v>
      </c>
      <c r="Z2686" s="64">
        <f t="shared" si="251"/>
        <v>0</v>
      </c>
    </row>
    <row r="2687" spans="1:26">
      <c r="A2687" s="89" t="str">
        <f t="shared" si="246"/>
        <v/>
      </c>
      <c r="B2687" s="89" t="str">
        <f t="shared" si="247"/>
        <v/>
      </c>
      <c r="S2687" s="89" t="str">
        <f t="shared" si="248"/>
        <v/>
      </c>
      <c r="X2687" s="64">
        <f t="shared" si="249"/>
        <v>0</v>
      </c>
      <c r="Y2687" s="53">
        <f t="shared" si="250"/>
        <v>0</v>
      </c>
      <c r="Z2687" s="64">
        <f t="shared" si="251"/>
        <v>0</v>
      </c>
    </row>
    <row r="2688" spans="1:26">
      <c r="A2688" s="89" t="str">
        <f t="shared" si="246"/>
        <v/>
      </c>
      <c r="B2688" s="89" t="str">
        <f t="shared" si="247"/>
        <v/>
      </c>
      <c r="S2688" s="89" t="str">
        <f t="shared" si="248"/>
        <v/>
      </c>
      <c r="X2688" s="64">
        <f t="shared" si="249"/>
        <v>0</v>
      </c>
      <c r="Y2688" s="53">
        <f t="shared" si="250"/>
        <v>0</v>
      </c>
      <c r="Z2688" s="64">
        <f t="shared" si="251"/>
        <v>0</v>
      </c>
    </row>
    <row r="2689" spans="1:26">
      <c r="A2689" s="89" t="str">
        <f t="shared" si="246"/>
        <v/>
      </c>
      <c r="B2689" s="89" t="str">
        <f t="shared" si="247"/>
        <v/>
      </c>
      <c r="S2689" s="89" t="str">
        <f t="shared" si="248"/>
        <v/>
      </c>
      <c r="X2689" s="64">
        <f t="shared" si="249"/>
        <v>0</v>
      </c>
      <c r="Y2689" s="53">
        <f t="shared" si="250"/>
        <v>0</v>
      </c>
      <c r="Z2689" s="64">
        <f t="shared" si="251"/>
        <v>0</v>
      </c>
    </row>
    <row r="2690" spans="1:26">
      <c r="A2690" s="89" t="str">
        <f t="shared" si="246"/>
        <v/>
      </c>
      <c r="B2690" s="89" t="str">
        <f t="shared" si="247"/>
        <v/>
      </c>
      <c r="S2690" s="89" t="str">
        <f t="shared" si="248"/>
        <v/>
      </c>
      <c r="X2690" s="64">
        <f t="shared" si="249"/>
        <v>0</v>
      </c>
      <c r="Y2690" s="53">
        <f t="shared" si="250"/>
        <v>0</v>
      </c>
      <c r="Z2690" s="64">
        <f t="shared" si="251"/>
        <v>0</v>
      </c>
    </row>
    <row r="2691" spans="1:26">
      <c r="A2691" s="89" t="str">
        <f t="shared" ref="A2691:A2754" si="252">IF(G2691&amp;Q2691&lt;&gt;"",G2691&amp;Q2691,"")</f>
        <v/>
      </c>
      <c r="B2691" s="89" t="str">
        <f t="shared" ref="B2691:B2754" si="253">IF(C2691&lt;&gt;"",LEFT(C2691,9),"")</f>
        <v/>
      </c>
      <c r="S2691" s="89" t="str">
        <f t="shared" ref="S2691:S2754" si="254">IF(H2691&lt;&gt;"",H2691,"")</f>
        <v/>
      </c>
      <c r="X2691" s="64">
        <f t="shared" ref="X2691:X2754" si="255">IFERROR(VALUE(MID($C2691,1,2)),0)</f>
        <v>0</v>
      </c>
      <c r="Y2691" s="53">
        <f t="shared" ref="Y2691:Y2754" si="256">IFERROR(VALUE(MID($C2691,4,3)),0)</f>
        <v>0</v>
      </c>
      <c r="Z2691" s="64">
        <f t="shared" ref="Z2691:Z2754" si="257">VALUE(RIGHT("00"&amp;X2691,2)&amp;RIGHT("000"&amp;Y2691,3))</f>
        <v>0</v>
      </c>
    </row>
    <row r="2692" spans="1:26">
      <c r="A2692" s="89" t="str">
        <f t="shared" si="252"/>
        <v/>
      </c>
      <c r="B2692" s="89" t="str">
        <f t="shared" si="253"/>
        <v/>
      </c>
      <c r="S2692" s="89" t="str">
        <f t="shared" si="254"/>
        <v/>
      </c>
      <c r="X2692" s="64">
        <f t="shared" si="255"/>
        <v>0</v>
      </c>
      <c r="Y2692" s="53">
        <f t="shared" si="256"/>
        <v>0</v>
      </c>
      <c r="Z2692" s="64">
        <f t="shared" si="257"/>
        <v>0</v>
      </c>
    </row>
    <row r="2693" spans="1:26">
      <c r="A2693" s="89" t="str">
        <f t="shared" si="252"/>
        <v/>
      </c>
      <c r="B2693" s="89" t="str">
        <f t="shared" si="253"/>
        <v/>
      </c>
      <c r="S2693" s="89" t="str">
        <f t="shared" si="254"/>
        <v/>
      </c>
      <c r="X2693" s="64">
        <f t="shared" si="255"/>
        <v>0</v>
      </c>
      <c r="Y2693" s="53">
        <f t="shared" si="256"/>
        <v>0</v>
      </c>
      <c r="Z2693" s="64">
        <f t="shared" si="257"/>
        <v>0</v>
      </c>
    </row>
    <row r="2694" spans="1:26">
      <c r="A2694" s="89" t="str">
        <f t="shared" si="252"/>
        <v/>
      </c>
      <c r="B2694" s="89" t="str">
        <f t="shared" si="253"/>
        <v/>
      </c>
      <c r="S2694" s="89" t="str">
        <f t="shared" si="254"/>
        <v/>
      </c>
      <c r="X2694" s="64">
        <f t="shared" si="255"/>
        <v>0</v>
      </c>
      <c r="Y2694" s="53">
        <f t="shared" si="256"/>
        <v>0</v>
      </c>
      <c r="Z2694" s="64">
        <f t="shared" si="257"/>
        <v>0</v>
      </c>
    </row>
    <row r="2695" spans="1:26">
      <c r="A2695" s="89" t="str">
        <f t="shared" si="252"/>
        <v/>
      </c>
      <c r="B2695" s="89" t="str">
        <f t="shared" si="253"/>
        <v/>
      </c>
      <c r="S2695" s="89" t="str">
        <f t="shared" si="254"/>
        <v/>
      </c>
      <c r="X2695" s="64">
        <f t="shared" si="255"/>
        <v>0</v>
      </c>
      <c r="Y2695" s="53">
        <f t="shared" si="256"/>
        <v>0</v>
      </c>
      <c r="Z2695" s="64">
        <f t="shared" si="257"/>
        <v>0</v>
      </c>
    </row>
    <row r="2696" spans="1:26">
      <c r="A2696" s="89" t="str">
        <f t="shared" si="252"/>
        <v/>
      </c>
      <c r="B2696" s="89" t="str">
        <f t="shared" si="253"/>
        <v/>
      </c>
      <c r="S2696" s="89" t="str">
        <f t="shared" si="254"/>
        <v/>
      </c>
      <c r="X2696" s="64">
        <f t="shared" si="255"/>
        <v>0</v>
      </c>
      <c r="Y2696" s="53">
        <f t="shared" si="256"/>
        <v>0</v>
      </c>
      <c r="Z2696" s="64">
        <f t="shared" si="257"/>
        <v>0</v>
      </c>
    </row>
    <row r="2697" spans="1:26">
      <c r="A2697" s="89" t="str">
        <f t="shared" si="252"/>
        <v/>
      </c>
      <c r="B2697" s="89" t="str">
        <f t="shared" si="253"/>
        <v/>
      </c>
      <c r="S2697" s="89" t="str">
        <f t="shared" si="254"/>
        <v/>
      </c>
      <c r="X2697" s="64">
        <f t="shared" si="255"/>
        <v>0</v>
      </c>
      <c r="Y2697" s="53">
        <f t="shared" si="256"/>
        <v>0</v>
      </c>
      <c r="Z2697" s="64">
        <f t="shared" si="257"/>
        <v>0</v>
      </c>
    </row>
    <row r="2698" spans="1:26">
      <c r="A2698" s="89" t="str">
        <f t="shared" si="252"/>
        <v/>
      </c>
      <c r="B2698" s="89" t="str">
        <f t="shared" si="253"/>
        <v/>
      </c>
      <c r="S2698" s="89" t="str">
        <f t="shared" si="254"/>
        <v/>
      </c>
      <c r="X2698" s="64">
        <f t="shared" si="255"/>
        <v>0</v>
      </c>
      <c r="Y2698" s="53">
        <f t="shared" si="256"/>
        <v>0</v>
      </c>
      <c r="Z2698" s="64">
        <f t="shared" si="257"/>
        <v>0</v>
      </c>
    </row>
    <row r="2699" spans="1:26">
      <c r="A2699" s="89" t="str">
        <f t="shared" si="252"/>
        <v/>
      </c>
      <c r="B2699" s="89" t="str">
        <f t="shared" si="253"/>
        <v/>
      </c>
      <c r="S2699" s="89" t="str">
        <f t="shared" si="254"/>
        <v/>
      </c>
      <c r="X2699" s="64">
        <f t="shared" si="255"/>
        <v>0</v>
      </c>
      <c r="Y2699" s="53">
        <f t="shared" si="256"/>
        <v>0</v>
      </c>
      <c r="Z2699" s="64">
        <f t="shared" si="257"/>
        <v>0</v>
      </c>
    </row>
    <row r="2700" spans="1:26">
      <c r="A2700" s="89" t="str">
        <f t="shared" si="252"/>
        <v/>
      </c>
      <c r="B2700" s="89" t="str">
        <f t="shared" si="253"/>
        <v/>
      </c>
      <c r="S2700" s="89" t="str">
        <f t="shared" si="254"/>
        <v/>
      </c>
      <c r="X2700" s="64">
        <f t="shared" si="255"/>
        <v>0</v>
      </c>
      <c r="Y2700" s="53">
        <f t="shared" si="256"/>
        <v>0</v>
      </c>
      <c r="Z2700" s="64">
        <f t="shared" si="257"/>
        <v>0</v>
      </c>
    </row>
    <row r="2701" spans="1:26">
      <c r="A2701" s="89" t="str">
        <f t="shared" si="252"/>
        <v/>
      </c>
      <c r="B2701" s="89" t="str">
        <f t="shared" si="253"/>
        <v/>
      </c>
      <c r="S2701" s="89" t="str">
        <f t="shared" si="254"/>
        <v/>
      </c>
      <c r="X2701" s="64">
        <f t="shared" si="255"/>
        <v>0</v>
      </c>
      <c r="Y2701" s="53">
        <f t="shared" si="256"/>
        <v>0</v>
      </c>
      <c r="Z2701" s="64">
        <f t="shared" si="257"/>
        <v>0</v>
      </c>
    </row>
    <row r="2702" spans="1:26">
      <c r="A2702" s="89" t="str">
        <f t="shared" si="252"/>
        <v/>
      </c>
      <c r="B2702" s="89" t="str">
        <f t="shared" si="253"/>
        <v/>
      </c>
      <c r="S2702" s="89" t="str">
        <f t="shared" si="254"/>
        <v/>
      </c>
      <c r="X2702" s="64">
        <f t="shared" si="255"/>
        <v>0</v>
      </c>
      <c r="Y2702" s="53">
        <f t="shared" si="256"/>
        <v>0</v>
      </c>
      <c r="Z2702" s="64">
        <f t="shared" si="257"/>
        <v>0</v>
      </c>
    </row>
    <row r="2703" spans="1:26">
      <c r="A2703" s="89" t="str">
        <f t="shared" si="252"/>
        <v/>
      </c>
      <c r="B2703" s="89" t="str">
        <f t="shared" si="253"/>
        <v/>
      </c>
      <c r="S2703" s="89" t="str">
        <f t="shared" si="254"/>
        <v/>
      </c>
      <c r="X2703" s="64">
        <f t="shared" si="255"/>
        <v>0</v>
      </c>
      <c r="Y2703" s="53">
        <f t="shared" si="256"/>
        <v>0</v>
      </c>
      <c r="Z2703" s="64">
        <f t="shared" si="257"/>
        <v>0</v>
      </c>
    </row>
    <row r="2704" spans="1:26">
      <c r="A2704" s="89" t="str">
        <f t="shared" si="252"/>
        <v/>
      </c>
      <c r="B2704" s="89" t="str">
        <f t="shared" si="253"/>
        <v/>
      </c>
      <c r="S2704" s="89" t="str">
        <f t="shared" si="254"/>
        <v/>
      </c>
      <c r="X2704" s="64">
        <f t="shared" si="255"/>
        <v>0</v>
      </c>
      <c r="Y2704" s="53">
        <f t="shared" si="256"/>
        <v>0</v>
      </c>
      <c r="Z2704" s="64">
        <f t="shared" si="257"/>
        <v>0</v>
      </c>
    </row>
    <row r="2705" spans="1:26">
      <c r="A2705" s="89" t="str">
        <f t="shared" si="252"/>
        <v/>
      </c>
      <c r="B2705" s="89" t="str">
        <f t="shared" si="253"/>
        <v/>
      </c>
      <c r="S2705" s="89" t="str">
        <f t="shared" si="254"/>
        <v/>
      </c>
      <c r="X2705" s="64">
        <f t="shared" si="255"/>
        <v>0</v>
      </c>
      <c r="Y2705" s="53">
        <f t="shared" si="256"/>
        <v>0</v>
      </c>
      <c r="Z2705" s="64">
        <f t="shared" si="257"/>
        <v>0</v>
      </c>
    </row>
    <row r="2706" spans="1:26">
      <c r="A2706" s="89" t="str">
        <f t="shared" si="252"/>
        <v/>
      </c>
      <c r="B2706" s="89" t="str">
        <f t="shared" si="253"/>
        <v/>
      </c>
      <c r="S2706" s="89" t="str">
        <f t="shared" si="254"/>
        <v/>
      </c>
      <c r="X2706" s="64">
        <f t="shared" si="255"/>
        <v>0</v>
      </c>
      <c r="Y2706" s="53">
        <f t="shared" si="256"/>
        <v>0</v>
      </c>
      <c r="Z2706" s="64">
        <f t="shared" si="257"/>
        <v>0</v>
      </c>
    </row>
    <row r="2707" spans="1:26">
      <c r="A2707" s="89" t="str">
        <f t="shared" si="252"/>
        <v/>
      </c>
      <c r="B2707" s="89" t="str">
        <f t="shared" si="253"/>
        <v/>
      </c>
      <c r="S2707" s="89" t="str">
        <f t="shared" si="254"/>
        <v/>
      </c>
      <c r="X2707" s="64">
        <f t="shared" si="255"/>
        <v>0</v>
      </c>
      <c r="Y2707" s="53">
        <f t="shared" si="256"/>
        <v>0</v>
      </c>
      <c r="Z2707" s="64">
        <f t="shared" si="257"/>
        <v>0</v>
      </c>
    </row>
    <row r="2708" spans="1:26">
      <c r="A2708" s="89" t="str">
        <f t="shared" si="252"/>
        <v/>
      </c>
      <c r="B2708" s="89" t="str">
        <f t="shared" si="253"/>
        <v/>
      </c>
      <c r="S2708" s="89" t="str">
        <f t="shared" si="254"/>
        <v/>
      </c>
      <c r="X2708" s="64">
        <f t="shared" si="255"/>
        <v>0</v>
      </c>
      <c r="Y2708" s="53">
        <f t="shared" si="256"/>
        <v>0</v>
      </c>
      <c r="Z2708" s="64">
        <f t="shared" si="257"/>
        <v>0</v>
      </c>
    </row>
    <row r="2709" spans="1:26">
      <c r="A2709" s="89" t="str">
        <f t="shared" si="252"/>
        <v/>
      </c>
      <c r="B2709" s="89" t="str">
        <f t="shared" si="253"/>
        <v/>
      </c>
      <c r="S2709" s="89" t="str">
        <f t="shared" si="254"/>
        <v/>
      </c>
      <c r="X2709" s="64">
        <f t="shared" si="255"/>
        <v>0</v>
      </c>
      <c r="Y2709" s="53">
        <f t="shared" si="256"/>
        <v>0</v>
      </c>
      <c r="Z2709" s="64">
        <f t="shared" si="257"/>
        <v>0</v>
      </c>
    </row>
    <row r="2710" spans="1:26">
      <c r="A2710" s="89" t="str">
        <f t="shared" si="252"/>
        <v/>
      </c>
      <c r="B2710" s="89" t="str">
        <f t="shared" si="253"/>
        <v/>
      </c>
      <c r="S2710" s="89" t="str">
        <f t="shared" si="254"/>
        <v/>
      </c>
      <c r="X2710" s="64">
        <f t="shared" si="255"/>
        <v>0</v>
      </c>
      <c r="Y2710" s="53">
        <f t="shared" si="256"/>
        <v>0</v>
      </c>
      <c r="Z2710" s="64">
        <f t="shared" si="257"/>
        <v>0</v>
      </c>
    </row>
    <row r="2711" spans="1:26">
      <c r="A2711" s="89" t="str">
        <f t="shared" si="252"/>
        <v/>
      </c>
      <c r="B2711" s="89" t="str">
        <f t="shared" si="253"/>
        <v/>
      </c>
      <c r="S2711" s="89" t="str">
        <f t="shared" si="254"/>
        <v/>
      </c>
      <c r="X2711" s="64">
        <f t="shared" si="255"/>
        <v>0</v>
      </c>
      <c r="Y2711" s="53">
        <f t="shared" si="256"/>
        <v>0</v>
      </c>
      <c r="Z2711" s="64">
        <f t="shared" si="257"/>
        <v>0</v>
      </c>
    </row>
    <row r="2712" spans="1:26">
      <c r="A2712" s="89" t="str">
        <f t="shared" si="252"/>
        <v/>
      </c>
      <c r="B2712" s="89" t="str">
        <f t="shared" si="253"/>
        <v/>
      </c>
      <c r="S2712" s="89" t="str">
        <f t="shared" si="254"/>
        <v/>
      </c>
      <c r="X2712" s="64">
        <f t="shared" si="255"/>
        <v>0</v>
      </c>
      <c r="Y2712" s="53">
        <f t="shared" si="256"/>
        <v>0</v>
      </c>
      <c r="Z2712" s="64">
        <f t="shared" si="257"/>
        <v>0</v>
      </c>
    </row>
    <row r="2713" spans="1:26">
      <c r="A2713" s="89" t="str">
        <f t="shared" si="252"/>
        <v/>
      </c>
      <c r="B2713" s="89" t="str">
        <f t="shared" si="253"/>
        <v/>
      </c>
      <c r="S2713" s="89" t="str">
        <f t="shared" si="254"/>
        <v/>
      </c>
      <c r="X2713" s="64">
        <f t="shared" si="255"/>
        <v>0</v>
      </c>
      <c r="Y2713" s="53">
        <f t="shared" si="256"/>
        <v>0</v>
      </c>
      <c r="Z2713" s="64">
        <f t="shared" si="257"/>
        <v>0</v>
      </c>
    </row>
    <row r="2714" spans="1:26">
      <c r="A2714" s="89" t="str">
        <f t="shared" si="252"/>
        <v/>
      </c>
      <c r="B2714" s="89" t="str">
        <f t="shared" si="253"/>
        <v/>
      </c>
      <c r="S2714" s="89" t="str">
        <f t="shared" si="254"/>
        <v/>
      </c>
      <c r="X2714" s="64">
        <f t="shared" si="255"/>
        <v>0</v>
      </c>
      <c r="Y2714" s="53">
        <f t="shared" si="256"/>
        <v>0</v>
      </c>
      <c r="Z2714" s="64">
        <f t="shared" si="257"/>
        <v>0</v>
      </c>
    </row>
    <row r="2715" spans="1:26">
      <c r="A2715" s="89" t="str">
        <f t="shared" si="252"/>
        <v/>
      </c>
      <c r="B2715" s="89" t="str">
        <f t="shared" si="253"/>
        <v/>
      </c>
      <c r="S2715" s="89" t="str">
        <f t="shared" si="254"/>
        <v/>
      </c>
      <c r="X2715" s="64">
        <f t="shared" si="255"/>
        <v>0</v>
      </c>
      <c r="Y2715" s="53">
        <f t="shared" si="256"/>
        <v>0</v>
      </c>
      <c r="Z2715" s="64">
        <f t="shared" si="257"/>
        <v>0</v>
      </c>
    </row>
    <row r="2716" spans="1:26">
      <c r="A2716" s="89" t="str">
        <f t="shared" si="252"/>
        <v/>
      </c>
      <c r="B2716" s="89" t="str">
        <f t="shared" si="253"/>
        <v/>
      </c>
      <c r="S2716" s="89" t="str">
        <f t="shared" si="254"/>
        <v/>
      </c>
      <c r="X2716" s="64">
        <f t="shared" si="255"/>
        <v>0</v>
      </c>
      <c r="Y2716" s="53">
        <f t="shared" si="256"/>
        <v>0</v>
      </c>
      <c r="Z2716" s="64">
        <f t="shared" si="257"/>
        <v>0</v>
      </c>
    </row>
    <row r="2717" spans="1:26">
      <c r="A2717" s="89" t="str">
        <f t="shared" si="252"/>
        <v/>
      </c>
      <c r="B2717" s="89" t="str">
        <f t="shared" si="253"/>
        <v/>
      </c>
      <c r="S2717" s="89" t="str">
        <f t="shared" si="254"/>
        <v/>
      </c>
      <c r="X2717" s="64">
        <f t="shared" si="255"/>
        <v>0</v>
      </c>
      <c r="Y2717" s="53">
        <f t="shared" si="256"/>
        <v>0</v>
      </c>
      <c r="Z2717" s="64">
        <f t="shared" si="257"/>
        <v>0</v>
      </c>
    </row>
    <row r="2718" spans="1:26">
      <c r="A2718" s="89" t="str">
        <f t="shared" si="252"/>
        <v/>
      </c>
      <c r="B2718" s="89" t="str">
        <f t="shared" si="253"/>
        <v/>
      </c>
      <c r="S2718" s="89" t="str">
        <f t="shared" si="254"/>
        <v/>
      </c>
      <c r="X2718" s="64">
        <f t="shared" si="255"/>
        <v>0</v>
      </c>
      <c r="Y2718" s="53">
        <f t="shared" si="256"/>
        <v>0</v>
      </c>
      <c r="Z2718" s="64">
        <f t="shared" si="257"/>
        <v>0</v>
      </c>
    </row>
    <row r="2719" spans="1:26">
      <c r="A2719" s="89" t="str">
        <f t="shared" si="252"/>
        <v/>
      </c>
      <c r="B2719" s="89" t="str">
        <f t="shared" si="253"/>
        <v/>
      </c>
      <c r="S2719" s="89" t="str">
        <f t="shared" si="254"/>
        <v/>
      </c>
      <c r="X2719" s="64">
        <f t="shared" si="255"/>
        <v>0</v>
      </c>
      <c r="Y2719" s="53">
        <f t="shared" si="256"/>
        <v>0</v>
      </c>
      <c r="Z2719" s="64">
        <f t="shared" si="257"/>
        <v>0</v>
      </c>
    </row>
    <row r="2720" spans="1:26">
      <c r="A2720" s="89" t="str">
        <f t="shared" si="252"/>
        <v/>
      </c>
      <c r="B2720" s="89" t="str">
        <f t="shared" si="253"/>
        <v/>
      </c>
      <c r="S2720" s="89" t="str">
        <f t="shared" si="254"/>
        <v/>
      </c>
      <c r="X2720" s="64">
        <f t="shared" si="255"/>
        <v>0</v>
      </c>
      <c r="Y2720" s="53">
        <f t="shared" si="256"/>
        <v>0</v>
      </c>
      <c r="Z2720" s="64">
        <f t="shared" si="257"/>
        <v>0</v>
      </c>
    </row>
    <row r="2721" spans="1:26">
      <c r="A2721" s="89" t="str">
        <f t="shared" si="252"/>
        <v/>
      </c>
      <c r="B2721" s="89" t="str">
        <f t="shared" si="253"/>
        <v/>
      </c>
      <c r="S2721" s="89" t="str">
        <f t="shared" si="254"/>
        <v/>
      </c>
      <c r="X2721" s="64">
        <f t="shared" si="255"/>
        <v>0</v>
      </c>
      <c r="Y2721" s="53">
        <f t="shared" si="256"/>
        <v>0</v>
      </c>
      <c r="Z2721" s="64">
        <f t="shared" si="257"/>
        <v>0</v>
      </c>
    </row>
    <row r="2722" spans="1:26">
      <c r="A2722" s="89" t="str">
        <f t="shared" si="252"/>
        <v/>
      </c>
      <c r="B2722" s="89" t="str">
        <f t="shared" si="253"/>
        <v/>
      </c>
      <c r="S2722" s="89" t="str">
        <f t="shared" si="254"/>
        <v/>
      </c>
      <c r="X2722" s="64">
        <f t="shared" si="255"/>
        <v>0</v>
      </c>
      <c r="Y2722" s="53">
        <f t="shared" si="256"/>
        <v>0</v>
      </c>
      <c r="Z2722" s="64">
        <f t="shared" si="257"/>
        <v>0</v>
      </c>
    </row>
    <row r="2723" spans="1:26">
      <c r="A2723" s="89" t="str">
        <f t="shared" si="252"/>
        <v/>
      </c>
      <c r="B2723" s="89" t="str">
        <f t="shared" si="253"/>
        <v/>
      </c>
      <c r="S2723" s="89" t="str">
        <f t="shared" si="254"/>
        <v/>
      </c>
      <c r="X2723" s="64">
        <f t="shared" si="255"/>
        <v>0</v>
      </c>
      <c r="Y2723" s="53">
        <f t="shared" si="256"/>
        <v>0</v>
      </c>
      <c r="Z2723" s="64">
        <f t="shared" si="257"/>
        <v>0</v>
      </c>
    </row>
    <row r="2724" spans="1:26">
      <c r="A2724" s="89" t="str">
        <f t="shared" si="252"/>
        <v/>
      </c>
      <c r="B2724" s="89" t="str">
        <f t="shared" si="253"/>
        <v/>
      </c>
      <c r="S2724" s="89" t="str">
        <f t="shared" si="254"/>
        <v/>
      </c>
      <c r="X2724" s="64">
        <f t="shared" si="255"/>
        <v>0</v>
      </c>
      <c r="Y2724" s="53">
        <f t="shared" si="256"/>
        <v>0</v>
      </c>
      <c r="Z2724" s="64">
        <f t="shared" si="257"/>
        <v>0</v>
      </c>
    </row>
    <row r="2725" spans="1:26">
      <c r="A2725" s="89" t="str">
        <f t="shared" si="252"/>
        <v/>
      </c>
      <c r="B2725" s="89" t="str">
        <f t="shared" si="253"/>
        <v/>
      </c>
      <c r="S2725" s="89" t="str">
        <f t="shared" si="254"/>
        <v/>
      </c>
      <c r="X2725" s="64">
        <f t="shared" si="255"/>
        <v>0</v>
      </c>
      <c r="Y2725" s="53">
        <f t="shared" si="256"/>
        <v>0</v>
      </c>
      <c r="Z2725" s="64">
        <f t="shared" si="257"/>
        <v>0</v>
      </c>
    </row>
    <row r="2726" spans="1:26">
      <c r="A2726" s="89" t="str">
        <f t="shared" si="252"/>
        <v/>
      </c>
      <c r="B2726" s="89" t="str">
        <f t="shared" si="253"/>
        <v/>
      </c>
      <c r="S2726" s="89" t="str">
        <f t="shared" si="254"/>
        <v/>
      </c>
      <c r="X2726" s="64">
        <f t="shared" si="255"/>
        <v>0</v>
      </c>
      <c r="Y2726" s="53">
        <f t="shared" si="256"/>
        <v>0</v>
      </c>
      <c r="Z2726" s="64">
        <f t="shared" si="257"/>
        <v>0</v>
      </c>
    </row>
    <row r="2727" spans="1:26">
      <c r="A2727" s="89" t="str">
        <f t="shared" si="252"/>
        <v/>
      </c>
      <c r="B2727" s="89" t="str">
        <f t="shared" si="253"/>
        <v/>
      </c>
      <c r="S2727" s="89" t="str">
        <f t="shared" si="254"/>
        <v/>
      </c>
      <c r="X2727" s="64">
        <f t="shared" si="255"/>
        <v>0</v>
      </c>
      <c r="Y2727" s="53">
        <f t="shared" si="256"/>
        <v>0</v>
      </c>
      <c r="Z2727" s="64">
        <f t="shared" si="257"/>
        <v>0</v>
      </c>
    </row>
    <row r="2728" spans="1:26">
      <c r="A2728" s="89" t="str">
        <f t="shared" si="252"/>
        <v/>
      </c>
      <c r="B2728" s="89" t="str">
        <f t="shared" si="253"/>
        <v/>
      </c>
      <c r="S2728" s="89" t="str">
        <f t="shared" si="254"/>
        <v/>
      </c>
      <c r="X2728" s="64">
        <f t="shared" si="255"/>
        <v>0</v>
      </c>
      <c r="Y2728" s="53">
        <f t="shared" si="256"/>
        <v>0</v>
      </c>
      <c r="Z2728" s="64">
        <f t="shared" si="257"/>
        <v>0</v>
      </c>
    </row>
    <row r="2729" spans="1:26">
      <c r="A2729" s="89" t="str">
        <f t="shared" si="252"/>
        <v/>
      </c>
      <c r="B2729" s="89" t="str">
        <f t="shared" si="253"/>
        <v/>
      </c>
      <c r="S2729" s="89" t="str">
        <f t="shared" si="254"/>
        <v/>
      </c>
      <c r="X2729" s="64">
        <f t="shared" si="255"/>
        <v>0</v>
      </c>
      <c r="Y2729" s="53">
        <f t="shared" si="256"/>
        <v>0</v>
      </c>
      <c r="Z2729" s="64">
        <f t="shared" si="257"/>
        <v>0</v>
      </c>
    </row>
    <row r="2730" spans="1:26">
      <c r="A2730" s="89" t="str">
        <f t="shared" si="252"/>
        <v/>
      </c>
      <c r="B2730" s="89" t="str">
        <f t="shared" si="253"/>
        <v/>
      </c>
      <c r="S2730" s="89" t="str">
        <f t="shared" si="254"/>
        <v/>
      </c>
      <c r="X2730" s="64">
        <f t="shared" si="255"/>
        <v>0</v>
      </c>
      <c r="Y2730" s="53">
        <f t="shared" si="256"/>
        <v>0</v>
      </c>
      <c r="Z2730" s="64">
        <f t="shared" si="257"/>
        <v>0</v>
      </c>
    </row>
    <row r="2731" spans="1:26">
      <c r="A2731" s="89" t="str">
        <f t="shared" si="252"/>
        <v/>
      </c>
      <c r="B2731" s="89" t="str">
        <f t="shared" si="253"/>
        <v/>
      </c>
      <c r="S2731" s="89" t="str">
        <f t="shared" si="254"/>
        <v/>
      </c>
      <c r="X2731" s="64">
        <f t="shared" si="255"/>
        <v>0</v>
      </c>
      <c r="Y2731" s="53">
        <f t="shared" si="256"/>
        <v>0</v>
      </c>
      <c r="Z2731" s="64">
        <f t="shared" si="257"/>
        <v>0</v>
      </c>
    </row>
    <row r="2732" spans="1:26">
      <c r="A2732" s="89" t="str">
        <f t="shared" si="252"/>
        <v/>
      </c>
      <c r="B2732" s="89" t="str">
        <f t="shared" si="253"/>
        <v/>
      </c>
      <c r="S2732" s="89" t="str">
        <f t="shared" si="254"/>
        <v/>
      </c>
      <c r="X2732" s="64">
        <f t="shared" si="255"/>
        <v>0</v>
      </c>
      <c r="Y2732" s="53">
        <f t="shared" si="256"/>
        <v>0</v>
      </c>
      <c r="Z2732" s="64">
        <f t="shared" si="257"/>
        <v>0</v>
      </c>
    </row>
    <row r="2733" spans="1:26">
      <c r="A2733" s="89" t="str">
        <f t="shared" si="252"/>
        <v/>
      </c>
      <c r="B2733" s="89" t="str">
        <f t="shared" si="253"/>
        <v/>
      </c>
      <c r="S2733" s="89" t="str">
        <f t="shared" si="254"/>
        <v/>
      </c>
      <c r="X2733" s="64">
        <f t="shared" si="255"/>
        <v>0</v>
      </c>
      <c r="Y2733" s="53">
        <f t="shared" si="256"/>
        <v>0</v>
      </c>
      <c r="Z2733" s="64">
        <f t="shared" si="257"/>
        <v>0</v>
      </c>
    </row>
    <row r="2734" spans="1:26">
      <c r="A2734" s="89" t="str">
        <f t="shared" si="252"/>
        <v/>
      </c>
      <c r="B2734" s="89" t="str">
        <f t="shared" si="253"/>
        <v/>
      </c>
      <c r="S2734" s="89" t="str">
        <f t="shared" si="254"/>
        <v/>
      </c>
      <c r="X2734" s="64">
        <f t="shared" si="255"/>
        <v>0</v>
      </c>
      <c r="Y2734" s="53">
        <f t="shared" si="256"/>
        <v>0</v>
      </c>
      <c r="Z2734" s="64">
        <f t="shared" si="257"/>
        <v>0</v>
      </c>
    </row>
    <row r="2735" spans="1:26">
      <c r="A2735" s="89" t="str">
        <f t="shared" si="252"/>
        <v/>
      </c>
      <c r="B2735" s="89" t="str">
        <f t="shared" si="253"/>
        <v/>
      </c>
      <c r="S2735" s="89" t="str">
        <f t="shared" si="254"/>
        <v/>
      </c>
      <c r="X2735" s="64">
        <f t="shared" si="255"/>
        <v>0</v>
      </c>
      <c r="Y2735" s="53">
        <f t="shared" si="256"/>
        <v>0</v>
      </c>
      <c r="Z2735" s="64">
        <f t="shared" si="257"/>
        <v>0</v>
      </c>
    </row>
    <row r="2736" spans="1:26">
      <c r="A2736" s="89" t="str">
        <f t="shared" si="252"/>
        <v/>
      </c>
      <c r="B2736" s="89" t="str">
        <f t="shared" si="253"/>
        <v/>
      </c>
      <c r="S2736" s="89" t="str">
        <f t="shared" si="254"/>
        <v/>
      </c>
      <c r="X2736" s="64">
        <f t="shared" si="255"/>
        <v>0</v>
      </c>
      <c r="Y2736" s="53">
        <f t="shared" si="256"/>
        <v>0</v>
      </c>
      <c r="Z2736" s="64">
        <f t="shared" si="257"/>
        <v>0</v>
      </c>
    </row>
    <row r="2737" spans="1:26">
      <c r="A2737" s="89" t="str">
        <f t="shared" si="252"/>
        <v/>
      </c>
      <c r="B2737" s="89" t="str">
        <f t="shared" si="253"/>
        <v/>
      </c>
      <c r="S2737" s="89" t="str">
        <f t="shared" si="254"/>
        <v/>
      </c>
      <c r="X2737" s="64">
        <f t="shared" si="255"/>
        <v>0</v>
      </c>
      <c r="Y2737" s="53">
        <f t="shared" si="256"/>
        <v>0</v>
      </c>
      <c r="Z2737" s="64">
        <f t="shared" si="257"/>
        <v>0</v>
      </c>
    </row>
    <row r="2738" spans="1:26">
      <c r="A2738" s="89" t="str">
        <f t="shared" si="252"/>
        <v/>
      </c>
      <c r="B2738" s="89" t="str">
        <f t="shared" si="253"/>
        <v/>
      </c>
      <c r="S2738" s="89" t="str">
        <f t="shared" si="254"/>
        <v/>
      </c>
      <c r="X2738" s="64">
        <f t="shared" si="255"/>
        <v>0</v>
      </c>
      <c r="Y2738" s="53">
        <f t="shared" si="256"/>
        <v>0</v>
      </c>
      <c r="Z2738" s="64">
        <f t="shared" si="257"/>
        <v>0</v>
      </c>
    </row>
    <row r="2739" spans="1:26">
      <c r="A2739" s="89" t="str">
        <f t="shared" si="252"/>
        <v/>
      </c>
      <c r="B2739" s="89" t="str">
        <f t="shared" si="253"/>
        <v/>
      </c>
      <c r="S2739" s="89" t="str">
        <f t="shared" si="254"/>
        <v/>
      </c>
      <c r="X2739" s="64">
        <f t="shared" si="255"/>
        <v>0</v>
      </c>
      <c r="Y2739" s="53">
        <f t="shared" si="256"/>
        <v>0</v>
      </c>
      <c r="Z2739" s="64">
        <f t="shared" si="257"/>
        <v>0</v>
      </c>
    </row>
    <row r="2740" spans="1:26">
      <c r="A2740" s="89" t="str">
        <f t="shared" si="252"/>
        <v/>
      </c>
      <c r="B2740" s="89" t="str">
        <f t="shared" si="253"/>
        <v/>
      </c>
      <c r="S2740" s="89" t="str">
        <f t="shared" si="254"/>
        <v/>
      </c>
      <c r="X2740" s="64">
        <f t="shared" si="255"/>
        <v>0</v>
      </c>
      <c r="Y2740" s="53">
        <f t="shared" si="256"/>
        <v>0</v>
      </c>
      <c r="Z2740" s="64">
        <f t="shared" si="257"/>
        <v>0</v>
      </c>
    </row>
    <row r="2741" spans="1:26">
      <c r="A2741" s="89" t="str">
        <f t="shared" si="252"/>
        <v/>
      </c>
      <c r="B2741" s="89" t="str">
        <f t="shared" si="253"/>
        <v/>
      </c>
      <c r="S2741" s="89" t="str">
        <f t="shared" si="254"/>
        <v/>
      </c>
      <c r="X2741" s="64">
        <f t="shared" si="255"/>
        <v>0</v>
      </c>
      <c r="Y2741" s="53">
        <f t="shared" si="256"/>
        <v>0</v>
      </c>
      <c r="Z2741" s="64">
        <f t="shared" si="257"/>
        <v>0</v>
      </c>
    </row>
    <row r="2742" spans="1:26">
      <c r="A2742" s="89" t="str">
        <f t="shared" si="252"/>
        <v/>
      </c>
      <c r="B2742" s="89" t="str">
        <f t="shared" si="253"/>
        <v/>
      </c>
      <c r="S2742" s="89" t="str">
        <f t="shared" si="254"/>
        <v/>
      </c>
      <c r="X2742" s="64">
        <f t="shared" si="255"/>
        <v>0</v>
      </c>
      <c r="Y2742" s="53">
        <f t="shared" si="256"/>
        <v>0</v>
      </c>
      <c r="Z2742" s="64">
        <f t="shared" si="257"/>
        <v>0</v>
      </c>
    </row>
    <row r="2743" spans="1:26">
      <c r="A2743" s="89" t="str">
        <f t="shared" si="252"/>
        <v/>
      </c>
      <c r="B2743" s="89" t="str">
        <f t="shared" si="253"/>
        <v/>
      </c>
      <c r="S2743" s="89" t="str">
        <f t="shared" si="254"/>
        <v/>
      </c>
      <c r="X2743" s="64">
        <f t="shared" si="255"/>
        <v>0</v>
      </c>
      <c r="Y2743" s="53">
        <f t="shared" si="256"/>
        <v>0</v>
      </c>
      <c r="Z2743" s="64">
        <f t="shared" si="257"/>
        <v>0</v>
      </c>
    </row>
    <row r="2744" spans="1:26">
      <c r="A2744" s="89" t="str">
        <f t="shared" si="252"/>
        <v/>
      </c>
      <c r="B2744" s="89" t="str">
        <f t="shared" si="253"/>
        <v/>
      </c>
      <c r="S2744" s="89" t="str">
        <f t="shared" si="254"/>
        <v/>
      </c>
      <c r="X2744" s="64">
        <f t="shared" si="255"/>
        <v>0</v>
      </c>
      <c r="Y2744" s="53">
        <f t="shared" si="256"/>
        <v>0</v>
      </c>
      <c r="Z2744" s="64">
        <f t="shared" si="257"/>
        <v>0</v>
      </c>
    </row>
    <row r="2745" spans="1:26">
      <c r="A2745" s="89" t="str">
        <f t="shared" si="252"/>
        <v/>
      </c>
      <c r="B2745" s="89" t="str">
        <f t="shared" si="253"/>
        <v/>
      </c>
      <c r="S2745" s="89" t="str">
        <f t="shared" si="254"/>
        <v/>
      </c>
      <c r="X2745" s="64">
        <f t="shared" si="255"/>
        <v>0</v>
      </c>
      <c r="Y2745" s="53">
        <f t="shared" si="256"/>
        <v>0</v>
      </c>
      <c r="Z2745" s="64">
        <f t="shared" si="257"/>
        <v>0</v>
      </c>
    </row>
    <row r="2746" spans="1:26">
      <c r="A2746" s="89" t="str">
        <f t="shared" si="252"/>
        <v/>
      </c>
      <c r="B2746" s="89" t="str">
        <f t="shared" si="253"/>
        <v/>
      </c>
      <c r="S2746" s="89" t="str">
        <f t="shared" si="254"/>
        <v/>
      </c>
      <c r="X2746" s="64">
        <f t="shared" si="255"/>
        <v>0</v>
      </c>
      <c r="Y2746" s="53">
        <f t="shared" si="256"/>
        <v>0</v>
      </c>
      <c r="Z2746" s="64">
        <f t="shared" si="257"/>
        <v>0</v>
      </c>
    </row>
    <row r="2747" spans="1:26">
      <c r="A2747" s="89" t="str">
        <f t="shared" si="252"/>
        <v/>
      </c>
      <c r="B2747" s="89" t="str">
        <f t="shared" si="253"/>
        <v/>
      </c>
      <c r="S2747" s="89" t="str">
        <f t="shared" si="254"/>
        <v/>
      </c>
      <c r="X2747" s="64">
        <f t="shared" si="255"/>
        <v>0</v>
      </c>
      <c r="Y2747" s="53">
        <f t="shared" si="256"/>
        <v>0</v>
      </c>
      <c r="Z2747" s="64">
        <f t="shared" si="257"/>
        <v>0</v>
      </c>
    </row>
    <row r="2748" spans="1:26">
      <c r="A2748" s="89" t="str">
        <f t="shared" si="252"/>
        <v/>
      </c>
      <c r="B2748" s="89" t="str">
        <f t="shared" si="253"/>
        <v/>
      </c>
      <c r="S2748" s="89" t="str">
        <f t="shared" si="254"/>
        <v/>
      </c>
      <c r="X2748" s="64">
        <f t="shared" si="255"/>
        <v>0</v>
      </c>
      <c r="Y2748" s="53">
        <f t="shared" si="256"/>
        <v>0</v>
      </c>
      <c r="Z2748" s="64">
        <f t="shared" si="257"/>
        <v>0</v>
      </c>
    </row>
    <row r="2749" spans="1:26">
      <c r="A2749" s="89" t="str">
        <f t="shared" si="252"/>
        <v/>
      </c>
      <c r="B2749" s="89" t="str">
        <f t="shared" si="253"/>
        <v/>
      </c>
      <c r="S2749" s="89" t="str">
        <f t="shared" si="254"/>
        <v/>
      </c>
      <c r="X2749" s="64">
        <f t="shared" si="255"/>
        <v>0</v>
      </c>
      <c r="Y2749" s="53">
        <f t="shared" si="256"/>
        <v>0</v>
      </c>
      <c r="Z2749" s="64">
        <f t="shared" si="257"/>
        <v>0</v>
      </c>
    </row>
    <row r="2750" spans="1:26">
      <c r="A2750" s="89" t="str">
        <f t="shared" si="252"/>
        <v/>
      </c>
      <c r="B2750" s="89" t="str">
        <f t="shared" si="253"/>
        <v/>
      </c>
      <c r="S2750" s="89" t="str">
        <f t="shared" si="254"/>
        <v/>
      </c>
      <c r="X2750" s="64">
        <f t="shared" si="255"/>
        <v>0</v>
      </c>
      <c r="Y2750" s="53">
        <f t="shared" si="256"/>
        <v>0</v>
      </c>
      <c r="Z2750" s="64">
        <f t="shared" si="257"/>
        <v>0</v>
      </c>
    </row>
    <row r="2751" spans="1:26">
      <c r="A2751" s="89" t="str">
        <f t="shared" si="252"/>
        <v/>
      </c>
      <c r="B2751" s="89" t="str">
        <f t="shared" si="253"/>
        <v/>
      </c>
      <c r="S2751" s="89" t="str">
        <f t="shared" si="254"/>
        <v/>
      </c>
      <c r="X2751" s="64">
        <f t="shared" si="255"/>
        <v>0</v>
      </c>
      <c r="Y2751" s="53">
        <f t="shared" si="256"/>
        <v>0</v>
      </c>
      <c r="Z2751" s="64">
        <f t="shared" si="257"/>
        <v>0</v>
      </c>
    </row>
    <row r="2752" spans="1:26">
      <c r="A2752" s="89" t="str">
        <f t="shared" si="252"/>
        <v/>
      </c>
      <c r="B2752" s="89" t="str">
        <f t="shared" si="253"/>
        <v/>
      </c>
      <c r="S2752" s="89" t="str">
        <f t="shared" si="254"/>
        <v/>
      </c>
      <c r="X2752" s="64">
        <f t="shared" si="255"/>
        <v>0</v>
      </c>
      <c r="Y2752" s="53">
        <f t="shared" si="256"/>
        <v>0</v>
      </c>
      <c r="Z2752" s="64">
        <f t="shared" si="257"/>
        <v>0</v>
      </c>
    </row>
    <row r="2753" spans="1:26">
      <c r="A2753" s="89" t="str">
        <f t="shared" si="252"/>
        <v/>
      </c>
      <c r="B2753" s="89" t="str">
        <f t="shared" si="253"/>
        <v/>
      </c>
      <c r="S2753" s="89" t="str">
        <f t="shared" si="254"/>
        <v/>
      </c>
      <c r="X2753" s="64">
        <f t="shared" si="255"/>
        <v>0</v>
      </c>
      <c r="Y2753" s="53">
        <f t="shared" si="256"/>
        <v>0</v>
      </c>
      <c r="Z2753" s="64">
        <f t="shared" si="257"/>
        <v>0</v>
      </c>
    </row>
    <row r="2754" spans="1:26">
      <c r="A2754" s="89" t="str">
        <f t="shared" si="252"/>
        <v/>
      </c>
      <c r="B2754" s="89" t="str">
        <f t="shared" si="253"/>
        <v/>
      </c>
      <c r="S2754" s="89" t="str">
        <f t="shared" si="254"/>
        <v/>
      </c>
      <c r="X2754" s="64">
        <f t="shared" si="255"/>
        <v>0</v>
      </c>
      <c r="Y2754" s="53">
        <f t="shared" si="256"/>
        <v>0</v>
      </c>
      <c r="Z2754" s="64">
        <f t="shared" si="257"/>
        <v>0</v>
      </c>
    </row>
    <row r="2755" spans="1:26">
      <c r="A2755" s="89" t="str">
        <f t="shared" ref="A2755:A2818" si="258">IF(G2755&amp;Q2755&lt;&gt;"",G2755&amp;Q2755,"")</f>
        <v/>
      </c>
      <c r="B2755" s="89" t="str">
        <f t="shared" ref="B2755:B2818" si="259">IF(C2755&lt;&gt;"",LEFT(C2755,9),"")</f>
        <v/>
      </c>
      <c r="S2755" s="89" t="str">
        <f t="shared" ref="S2755:S2818" si="260">IF(H2755&lt;&gt;"",H2755,"")</f>
        <v/>
      </c>
      <c r="X2755" s="64">
        <f t="shared" ref="X2755:X2818" si="261">IFERROR(VALUE(MID($C2755,1,2)),0)</f>
        <v>0</v>
      </c>
      <c r="Y2755" s="53">
        <f t="shared" ref="Y2755:Y2818" si="262">IFERROR(VALUE(MID($C2755,4,3)),0)</f>
        <v>0</v>
      </c>
      <c r="Z2755" s="64">
        <f t="shared" ref="Z2755:Z2818" si="263">VALUE(RIGHT("00"&amp;X2755,2)&amp;RIGHT("000"&amp;Y2755,3))</f>
        <v>0</v>
      </c>
    </row>
    <row r="2756" spans="1:26">
      <c r="A2756" s="89" t="str">
        <f t="shared" si="258"/>
        <v/>
      </c>
      <c r="B2756" s="89" t="str">
        <f t="shared" si="259"/>
        <v/>
      </c>
      <c r="S2756" s="89" t="str">
        <f t="shared" si="260"/>
        <v/>
      </c>
      <c r="X2756" s="64">
        <f t="shared" si="261"/>
        <v>0</v>
      </c>
      <c r="Y2756" s="53">
        <f t="shared" si="262"/>
        <v>0</v>
      </c>
      <c r="Z2756" s="64">
        <f t="shared" si="263"/>
        <v>0</v>
      </c>
    </row>
    <row r="2757" spans="1:26">
      <c r="A2757" s="89" t="str">
        <f t="shared" si="258"/>
        <v/>
      </c>
      <c r="B2757" s="89" t="str">
        <f t="shared" si="259"/>
        <v/>
      </c>
      <c r="S2757" s="89" t="str">
        <f t="shared" si="260"/>
        <v/>
      </c>
      <c r="X2757" s="64">
        <f t="shared" si="261"/>
        <v>0</v>
      </c>
      <c r="Y2757" s="53">
        <f t="shared" si="262"/>
        <v>0</v>
      </c>
      <c r="Z2757" s="64">
        <f t="shared" si="263"/>
        <v>0</v>
      </c>
    </row>
    <row r="2758" spans="1:26">
      <c r="A2758" s="89" t="str">
        <f t="shared" si="258"/>
        <v/>
      </c>
      <c r="B2758" s="89" t="str">
        <f t="shared" si="259"/>
        <v/>
      </c>
      <c r="S2758" s="89" t="str">
        <f t="shared" si="260"/>
        <v/>
      </c>
      <c r="X2758" s="64">
        <f t="shared" si="261"/>
        <v>0</v>
      </c>
      <c r="Y2758" s="53">
        <f t="shared" si="262"/>
        <v>0</v>
      </c>
      <c r="Z2758" s="64">
        <f t="shared" si="263"/>
        <v>0</v>
      </c>
    </row>
    <row r="2759" spans="1:26">
      <c r="A2759" s="89" t="str">
        <f t="shared" si="258"/>
        <v/>
      </c>
      <c r="B2759" s="89" t="str">
        <f t="shared" si="259"/>
        <v/>
      </c>
      <c r="S2759" s="89" t="str">
        <f t="shared" si="260"/>
        <v/>
      </c>
      <c r="X2759" s="64">
        <f t="shared" si="261"/>
        <v>0</v>
      </c>
      <c r="Y2759" s="53">
        <f t="shared" si="262"/>
        <v>0</v>
      </c>
      <c r="Z2759" s="64">
        <f t="shared" si="263"/>
        <v>0</v>
      </c>
    </row>
    <row r="2760" spans="1:26">
      <c r="A2760" s="89" t="str">
        <f t="shared" si="258"/>
        <v/>
      </c>
      <c r="B2760" s="89" t="str">
        <f t="shared" si="259"/>
        <v/>
      </c>
      <c r="S2760" s="89" t="str">
        <f t="shared" si="260"/>
        <v/>
      </c>
      <c r="X2760" s="64">
        <f t="shared" si="261"/>
        <v>0</v>
      </c>
      <c r="Y2760" s="53">
        <f t="shared" si="262"/>
        <v>0</v>
      </c>
      <c r="Z2760" s="64">
        <f t="shared" si="263"/>
        <v>0</v>
      </c>
    </row>
    <row r="2761" spans="1:26">
      <c r="A2761" s="89" t="str">
        <f t="shared" si="258"/>
        <v/>
      </c>
      <c r="B2761" s="89" t="str">
        <f t="shared" si="259"/>
        <v/>
      </c>
      <c r="S2761" s="89" t="str">
        <f t="shared" si="260"/>
        <v/>
      </c>
      <c r="X2761" s="64">
        <f t="shared" si="261"/>
        <v>0</v>
      </c>
      <c r="Y2761" s="53">
        <f t="shared" si="262"/>
        <v>0</v>
      </c>
      <c r="Z2761" s="64">
        <f t="shared" si="263"/>
        <v>0</v>
      </c>
    </row>
    <row r="2762" spans="1:26">
      <c r="A2762" s="89" t="str">
        <f t="shared" si="258"/>
        <v/>
      </c>
      <c r="B2762" s="89" t="str">
        <f t="shared" si="259"/>
        <v/>
      </c>
      <c r="S2762" s="89" t="str">
        <f t="shared" si="260"/>
        <v/>
      </c>
      <c r="X2762" s="64">
        <f t="shared" si="261"/>
        <v>0</v>
      </c>
      <c r="Y2762" s="53">
        <f t="shared" si="262"/>
        <v>0</v>
      </c>
      <c r="Z2762" s="64">
        <f t="shared" si="263"/>
        <v>0</v>
      </c>
    </row>
    <row r="2763" spans="1:26">
      <c r="A2763" s="89" t="str">
        <f t="shared" si="258"/>
        <v/>
      </c>
      <c r="B2763" s="89" t="str">
        <f t="shared" si="259"/>
        <v/>
      </c>
      <c r="S2763" s="89" t="str">
        <f t="shared" si="260"/>
        <v/>
      </c>
      <c r="X2763" s="64">
        <f t="shared" si="261"/>
        <v>0</v>
      </c>
      <c r="Y2763" s="53">
        <f t="shared" si="262"/>
        <v>0</v>
      </c>
      <c r="Z2763" s="64">
        <f t="shared" si="263"/>
        <v>0</v>
      </c>
    </row>
    <row r="2764" spans="1:26">
      <c r="A2764" s="89" t="str">
        <f t="shared" si="258"/>
        <v/>
      </c>
      <c r="B2764" s="89" t="str">
        <f t="shared" si="259"/>
        <v/>
      </c>
      <c r="S2764" s="89" t="str">
        <f t="shared" si="260"/>
        <v/>
      </c>
      <c r="X2764" s="64">
        <f t="shared" si="261"/>
        <v>0</v>
      </c>
      <c r="Y2764" s="53">
        <f t="shared" si="262"/>
        <v>0</v>
      </c>
      <c r="Z2764" s="64">
        <f t="shared" si="263"/>
        <v>0</v>
      </c>
    </row>
    <row r="2765" spans="1:26">
      <c r="A2765" s="89" t="str">
        <f t="shared" si="258"/>
        <v/>
      </c>
      <c r="B2765" s="89" t="str">
        <f t="shared" si="259"/>
        <v/>
      </c>
      <c r="S2765" s="89" t="str">
        <f t="shared" si="260"/>
        <v/>
      </c>
      <c r="X2765" s="64">
        <f t="shared" si="261"/>
        <v>0</v>
      </c>
      <c r="Y2765" s="53">
        <f t="shared" si="262"/>
        <v>0</v>
      </c>
      <c r="Z2765" s="64">
        <f t="shared" si="263"/>
        <v>0</v>
      </c>
    </row>
    <row r="2766" spans="1:26">
      <c r="A2766" s="89" t="str">
        <f t="shared" si="258"/>
        <v/>
      </c>
      <c r="B2766" s="89" t="str">
        <f t="shared" si="259"/>
        <v/>
      </c>
      <c r="S2766" s="89" t="str">
        <f t="shared" si="260"/>
        <v/>
      </c>
      <c r="X2766" s="64">
        <f t="shared" si="261"/>
        <v>0</v>
      </c>
      <c r="Y2766" s="53">
        <f t="shared" si="262"/>
        <v>0</v>
      </c>
      <c r="Z2766" s="64">
        <f t="shared" si="263"/>
        <v>0</v>
      </c>
    </row>
    <row r="2767" spans="1:26">
      <c r="A2767" s="89" t="str">
        <f t="shared" si="258"/>
        <v/>
      </c>
      <c r="B2767" s="89" t="str">
        <f t="shared" si="259"/>
        <v/>
      </c>
      <c r="S2767" s="89" t="str">
        <f t="shared" si="260"/>
        <v/>
      </c>
      <c r="X2767" s="64">
        <f t="shared" si="261"/>
        <v>0</v>
      </c>
      <c r="Y2767" s="53">
        <f t="shared" si="262"/>
        <v>0</v>
      </c>
      <c r="Z2767" s="64">
        <f t="shared" si="263"/>
        <v>0</v>
      </c>
    </row>
    <row r="2768" spans="1:26">
      <c r="A2768" s="89" t="str">
        <f t="shared" si="258"/>
        <v/>
      </c>
      <c r="B2768" s="89" t="str">
        <f t="shared" si="259"/>
        <v/>
      </c>
      <c r="S2768" s="89" t="str">
        <f t="shared" si="260"/>
        <v/>
      </c>
      <c r="X2768" s="64">
        <f t="shared" si="261"/>
        <v>0</v>
      </c>
      <c r="Y2768" s="53">
        <f t="shared" si="262"/>
        <v>0</v>
      </c>
      <c r="Z2768" s="64">
        <f t="shared" si="263"/>
        <v>0</v>
      </c>
    </row>
    <row r="2769" spans="1:26">
      <c r="A2769" s="89" t="str">
        <f t="shared" si="258"/>
        <v/>
      </c>
      <c r="B2769" s="89" t="str">
        <f t="shared" si="259"/>
        <v/>
      </c>
      <c r="S2769" s="89" t="str">
        <f t="shared" si="260"/>
        <v/>
      </c>
      <c r="X2769" s="64">
        <f t="shared" si="261"/>
        <v>0</v>
      </c>
      <c r="Y2769" s="53">
        <f t="shared" si="262"/>
        <v>0</v>
      </c>
      <c r="Z2769" s="64">
        <f t="shared" si="263"/>
        <v>0</v>
      </c>
    </row>
    <row r="2770" spans="1:26">
      <c r="A2770" s="89" t="str">
        <f t="shared" si="258"/>
        <v/>
      </c>
      <c r="B2770" s="89" t="str">
        <f t="shared" si="259"/>
        <v/>
      </c>
      <c r="S2770" s="89" t="str">
        <f t="shared" si="260"/>
        <v/>
      </c>
      <c r="X2770" s="64">
        <f t="shared" si="261"/>
        <v>0</v>
      </c>
      <c r="Y2770" s="53">
        <f t="shared" si="262"/>
        <v>0</v>
      </c>
      <c r="Z2770" s="64">
        <f t="shared" si="263"/>
        <v>0</v>
      </c>
    </row>
    <row r="2771" spans="1:26">
      <c r="A2771" s="89" t="str">
        <f t="shared" si="258"/>
        <v/>
      </c>
      <c r="B2771" s="89" t="str">
        <f t="shared" si="259"/>
        <v/>
      </c>
      <c r="S2771" s="89" t="str">
        <f t="shared" si="260"/>
        <v/>
      </c>
      <c r="X2771" s="64">
        <f t="shared" si="261"/>
        <v>0</v>
      </c>
      <c r="Y2771" s="53">
        <f t="shared" si="262"/>
        <v>0</v>
      </c>
      <c r="Z2771" s="64">
        <f t="shared" si="263"/>
        <v>0</v>
      </c>
    </row>
    <row r="2772" spans="1:26">
      <c r="A2772" s="89" t="str">
        <f t="shared" si="258"/>
        <v/>
      </c>
      <c r="B2772" s="89" t="str">
        <f t="shared" si="259"/>
        <v/>
      </c>
      <c r="S2772" s="89" t="str">
        <f t="shared" si="260"/>
        <v/>
      </c>
      <c r="X2772" s="64">
        <f t="shared" si="261"/>
        <v>0</v>
      </c>
      <c r="Y2772" s="53">
        <f t="shared" si="262"/>
        <v>0</v>
      </c>
      <c r="Z2772" s="64">
        <f t="shared" si="263"/>
        <v>0</v>
      </c>
    </row>
    <row r="2773" spans="1:26">
      <c r="A2773" s="89" t="str">
        <f t="shared" si="258"/>
        <v/>
      </c>
      <c r="B2773" s="89" t="str">
        <f t="shared" si="259"/>
        <v/>
      </c>
      <c r="S2773" s="89" t="str">
        <f t="shared" si="260"/>
        <v/>
      </c>
      <c r="X2773" s="64">
        <f t="shared" si="261"/>
        <v>0</v>
      </c>
      <c r="Y2773" s="53">
        <f t="shared" si="262"/>
        <v>0</v>
      </c>
      <c r="Z2773" s="64">
        <f t="shared" si="263"/>
        <v>0</v>
      </c>
    </row>
    <row r="2774" spans="1:26">
      <c r="A2774" s="89" t="str">
        <f t="shared" si="258"/>
        <v/>
      </c>
      <c r="B2774" s="89" t="str">
        <f t="shared" si="259"/>
        <v/>
      </c>
      <c r="S2774" s="89" t="str">
        <f t="shared" si="260"/>
        <v/>
      </c>
      <c r="X2774" s="64">
        <f t="shared" si="261"/>
        <v>0</v>
      </c>
      <c r="Y2774" s="53">
        <f t="shared" si="262"/>
        <v>0</v>
      </c>
      <c r="Z2774" s="64">
        <f t="shared" si="263"/>
        <v>0</v>
      </c>
    </row>
    <row r="2775" spans="1:26">
      <c r="A2775" s="89" t="str">
        <f t="shared" si="258"/>
        <v/>
      </c>
      <c r="B2775" s="89" t="str">
        <f t="shared" si="259"/>
        <v/>
      </c>
      <c r="S2775" s="89" t="str">
        <f t="shared" si="260"/>
        <v/>
      </c>
      <c r="X2775" s="64">
        <f t="shared" si="261"/>
        <v>0</v>
      </c>
      <c r="Y2775" s="53">
        <f t="shared" si="262"/>
        <v>0</v>
      </c>
      <c r="Z2775" s="64">
        <f t="shared" si="263"/>
        <v>0</v>
      </c>
    </row>
    <row r="2776" spans="1:26">
      <c r="A2776" s="89" t="str">
        <f t="shared" si="258"/>
        <v/>
      </c>
      <c r="B2776" s="89" t="str">
        <f t="shared" si="259"/>
        <v/>
      </c>
      <c r="S2776" s="89" t="str">
        <f t="shared" si="260"/>
        <v/>
      </c>
      <c r="X2776" s="64">
        <f t="shared" si="261"/>
        <v>0</v>
      </c>
      <c r="Y2776" s="53">
        <f t="shared" si="262"/>
        <v>0</v>
      </c>
      <c r="Z2776" s="64">
        <f t="shared" si="263"/>
        <v>0</v>
      </c>
    </row>
    <row r="2777" spans="1:26">
      <c r="A2777" s="89" t="str">
        <f t="shared" si="258"/>
        <v/>
      </c>
      <c r="B2777" s="89" t="str">
        <f t="shared" si="259"/>
        <v/>
      </c>
      <c r="S2777" s="89" t="str">
        <f t="shared" si="260"/>
        <v/>
      </c>
      <c r="X2777" s="64">
        <f t="shared" si="261"/>
        <v>0</v>
      </c>
      <c r="Y2777" s="53">
        <f t="shared" si="262"/>
        <v>0</v>
      </c>
      <c r="Z2777" s="64">
        <f t="shared" si="263"/>
        <v>0</v>
      </c>
    </row>
    <row r="2778" spans="1:26">
      <c r="A2778" s="89" t="str">
        <f t="shared" si="258"/>
        <v/>
      </c>
      <c r="B2778" s="89" t="str">
        <f t="shared" si="259"/>
        <v/>
      </c>
      <c r="S2778" s="89" t="str">
        <f t="shared" si="260"/>
        <v/>
      </c>
      <c r="X2778" s="64">
        <f t="shared" si="261"/>
        <v>0</v>
      </c>
      <c r="Y2778" s="53">
        <f t="shared" si="262"/>
        <v>0</v>
      </c>
      <c r="Z2778" s="64">
        <f t="shared" si="263"/>
        <v>0</v>
      </c>
    </row>
    <row r="2779" spans="1:26">
      <c r="A2779" s="89" t="str">
        <f t="shared" si="258"/>
        <v/>
      </c>
      <c r="B2779" s="89" t="str">
        <f t="shared" si="259"/>
        <v/>
      </c>
      <c r="S2779" s="89" t="str">
        <f t="shared" si="260"/>
        <v/>
      </c>
      <c r="X2779" s="64">
        <f t="shared" si="261"/>
        <v>0</v>
      </c>
      <c r="Y2779" s="53">
        <f t="shared" si="262"/>
        <v>0</v>
      </c>
      <c r="Z2779" s="64">
        <f t="shared" si="263"/>
        <v>0</v>
      </c>
    </row>
    <row r="2780" spans="1:26">
      <c r="A2780" s="89" t="str">
        <f t="shared" si="258"/>
        <v/>
      </c>
      <c r="B2780" s="89" t="str">
        <f t="shared" si="259"/>
        <v/>
      </c>
      <c r="S2780" s="89" t="str">
        <f t="shared" si="260"/>
        <v/>
      </c>
      <c r="X2780" s="64">
        <f t="shared" si="261"/>
        <v>0</v>
      </c>
      <c r="Y2780" s="53">
        <f t="shared" si="262"/>
        <v>0</v>
      </c>
      <c r="Z2780" s="64">
        <f t="shared" si="263"/>
        <v>0</v>
      </c>
    </row>
    <row r="2781" spans="1:26">
      <c r="A2781" s="89" t="str">
        <f t="shared" si="258"/>
        <v/>
      </c>
      <c r="B2781" s="89" t="str">
        <f t="shared" si="259"/>
        <v/>
      </c>
      <c r="S2781" s="89" t="str">
        <f t="shared" si="260"/>
        <v/>
      </c>
      <c r="X2781" s="64">
        <f t="shared" si="261"/>
        <v>0</v>
      </c>
      <c r="Y2781" s="53">
        <f t="shared" si="262"/>
        <v>0</v>
      </c>
      <c r="Z2781" s="64">
        <f t="shared" si="263"/>
        <v>0</v>
      </c>
    </row>
    <row r="2782" spans="1:26">
      <c r="A2782" s="89" t="str">
        <f t="shared" si="258"/>
        <v/>
      </c>
      <c r="B2782" s="89" t="str">
        <f t="shared" si="259"/>
        <v/>
      </c>
      <c r="S2782" s="89" t="str">
        <f t="shared" si="260"/>
        <v/>
      </c>
      <c r="X2782" s="64">
        <f t="shared" si="261"/>
        <v>0</v>
      </c>
      <c r="Y2782" s="53">
        <f t="shared" si="262"/>
        <v>0</v>
      </c>
      <c r="Z2782" s="64">
        <f t="shared" si="263"/>
        <v>0</v>
      </c>
    </row>
    <row r="2783" spans="1:26">
      <c r="A2783" s="89" t="str">
        <f t="shared" si="258"/>
        <v/>
      </c>
      <c r="B2783" s="89" t="str">
        <f t="shared" si="259"/>
        <v/>
      </c>
      <c r="S2783" s="89" t="str">
        <f t="shared" si="260"/>
        <v/>
      </c>
      <c r="X2783" s="64">
        <f t="shared" si="261"/>
        <v>0</v>
      </c>
      <c r="Y2783" s="53">
        <f t="shared" si="262"/>
        <v>0</v>
      </c>
      <c r="Z2783" s="64">
        <f t="shared" si="263"/>
        <v>0</v>
      </c>
    </row>
    <row r="2784" spans="1:26">
      <c r="A2784" s="89" t="str">
        <f t="shared" si="258"/>
        <v/>
      </c>
      <c r="B2784" s="89" t="str">
        <f t="shared" si="259"/>
        <v/>
      </c>
      <c r="S2784" s="89" t="str">
        <f t="shared" si="260"/>
        <v/>
      </c>
      <c r="X2784" s="64">
        <f t="shared" si="261"/>
        <v>0</v>
      </c>
      <c r="Y2784" s="53">
        <f t="shared" si="262"/>
        <v>0</v>
      </c>
      <c r="Z2784" s="64">
        <f t="shared" si="263"/>
        <v>0</v>
      </c>
    </row>
    <row r="2785" spans="1:26">
      <c r="A2785" s="89" t="str">
        <f t="shared" si="258"/>
        <v/>
      </c>
      <c r="B2785" s="89" t="str">
        <f t="shared" si="259"/>
        <v/>
      </c>
      <c r="S2785" s="89" t="str">
        <f t="shared" si="260"/>
        <v/>
      </c>
      <c r="X2785" s="64">
        <f t="shared" si="261"/>
        <v>0</v>
      </c>
      <c r="Y2785" s="53">
        <f t="shared" si="262"/>
        <v>0</v>
      </c>
      <c r="Z2785" s="64">
        <f t="shared" si="263"/>
        <v>0</v>
      </c>
    </row>
    <row r="2786" spans="1:26">
      <c r="A2786" s="89" t="str">
        <f t="shared" si="258"/>
        <v/>
      </c>
      <c r="B2786" s="89" t="str">
        <f t="shared" si="259"/>
        <v/>
      </c>
      <c r="S2786" s="89" t="str">
        <f t="shared" si="260"/>
        <v/>
      </c>
      <c r="X2786" s="64">
        <f t="shared" si="261"/>
        <v>0</v>
      </c>
      <c r="Y2786" s="53">
        <f t="shared" si="262"/>
        <v>0</v>
      </c>
      <c r="Z2786" s="64">
        <f t="shared" si="263"/>
        <v>0</v>
      </c>
    </row>
    <row r="2787" spans="1:26">
      <c r="A2787" s="89" t="str">
        <f t="shared" si="258"/>
        <v/>
      </c>
      <c r="B2787" s="89" t="str">
        <f t="shared" si="259"/>
        <v/>
      </c>
      <c r="S2787" s="89" t="str">
        <f t="shared" si="260"/>
        <v/>
      </c>
      <c r="X2787" s="64">
        <f t="shared" si="261"/>
        <v>0</v>
      </c>
      <c r="Y2787" s="53">
        <f t="shared" si="262"/>
        <v>0</v>
      </c>
      <c r="Z2787" s="64">
        <f t="shared" si="263"/>
        <v>0</v>
      </c>
    </row>
    <row r="2788" spans="1:26">
      <c r="A2788" s="89" t="str">
        <f t="shared" si="258"/>
        <v/>
      </c>
      <c r="B2788" s="89" t="str">
        <f t="shared" si="259"/>
        <v/>
      </c>
      <c r="S2788" s="89" t="str">
        <f t="shared" si="260"/>
        <v/>
      </c>
      <c r="X2788" s="64">
        <f t="shared" si="261"/>
        <v>0</v>
      </c>
      <c r="Y2788" s="53">
        <f t="shared" si="262"/>
        <v>0</v>
      </c>
      <c r="Z2788" s="64">
        <f t="shared" si="263"/>
        <v>0</v>
      </c>
    </row>
    <row r="2789" spans="1:26">
      <c r="A2789" s="89" t="str">
        <f t="shared" si="258"/>
        <v/>
      </c>
      <c r="B2789" s="89" t="str">
        <f t="shared" si="259"/>
        <v/>
      </c>
      <c r="S2789" s="89" t="str">
        <f t="shared" si="260"/>
        <v/>
      </c>
      <c r="X2789" s="64">
        <f t="shared" si="261"/>
        <v>0</v>
      </c>
      <c r="Y2789" s="53">
        <f t="shared" si="262"/>
        <v>0</v>
      </c>
      <c r="Z2789" s="64">
        <f t="shared" si="263"/>
        <v>0</v>
      </c>
    </row>
    <row r="2790" spans="1:26">
      <c r="A2790" s="89" t="str">
        <f t="shared" si="258"/>
        <v/>
      </c>
      <c r="B2790" s="89" t="str">
        <f t="shared" si="259"/>
        <v/>
      </c>
      <c r="S2790" s="89" t="str">
        <f t="shared" si="260"/>
        <v/>
      </c>
      <c r="X2790" s="64">
        <f t="shared" si="261"/>
        <v>0</v>
      </c>
      <c r="Y2790" s="53">
        <f t="shared" si="262"/>
        <v>0</v>
      </c>
      <c r="Z2790" s="64">
        <f t="shared" si="263"/>
        <v>0</v>
      </c>
    </row>
    <row r="2791" spans="1:26">
      <c r="A2791" s="89" t="str">
        <f t="shared" si="258"/>
        <v/>
      </c>
      <c r="B2791" s="89" t="str">
        <f t="shared" si="259"/>
        <v/>
      </c>
      <c r="S2791" s="89" t="str">
        <f t="shared" si="260"/>
        <v/>
      </c>
      <c r="X2791" s="64">
        <f t="shared" si="261"/>
        <v>0</v>
      </c>
      <c r="Y2791" s="53">
        <f t="shared" si="262"/>
        <v>0</v>
      </c>
      <c r="Z2791" s="64">
        <f t="shared" si="263"/>
        <v>0</v>
      </c>
    </row>
    <row r="2792" spans="1:26">
      <c r="A2792" s="89" t="str">
        <f t="shared" si="258"/>
        <v/>
      </c>
      <c r="B2792" s="89" t="str">
        <f t="shared" si="259"/>
        <v/>
      </c>
      <c r="S2792" s="89" t="str">
        <f t="shared" si="260"/>
        <v/>
      </c>
      <c r="X2792" s="64">
        <f t="shared" si="261"/>
        <v>0</v>
      </c>
      <c r="Y2792" s="53">
        <f t="shared" si="262"/>
        <v>0</v>
      </c>
      <c r="Z2792" s="64">
        <f t="shared" si="263"/>
        <v>0</v>
      </c>
    </row>
    <row r="2793" spans="1:26">
      <c r="A2793" s="89" t="str">
        <f t="shared" si="258"/>
        <v/>
      </c>
      <c r="B2793" s="89" t="str">
        <f t="shared" si="259"/>
        <v/>
      </c>
      <c r="S2793" s="89" t="str">
        <f t="shared" si="260"/>
        <v/>
      </c>
      <c r="X2793" s="64">
        <f t="shared" si="261"/>
        <v>0</v>
      </c>
      <c r="Y2793" s="53">
        <f t="shared" si="262"/>
        <v>0</v>
      </c>
      <c r="Z2793" s="64">
        <f t="shared" si="263"/>
        <v>0</v>
      </c>
    </row>
    <row r="2794" spans="1:26">
      <c r="A2794" s="89" t="str">
        <f t="shared" si="258"/>
        <v/>
      </c>
      <c r="B2794" s="89" t="str">
        <f t="shared" si="259"/>
        <v/>
      </c>
      <c r="S2794" s="89" t="str">
        <f t="shared" si="260"/>
        <v/>
      </c>
      <c r="X2794" s="64">
        <f t="shared" si="261"/>
        <v>0</v>
      </c>
      <c r="Y2794" s="53">
        <f t="shared" si="262"/>
        <v>0</v>
      </c>
      <c r="Z2794" s="64">
        <f t="shared" si="263"/>
        <v>0</v>
      </c>
    </row>
    <row r="2795" spans="1:26">
      <c r="A2795" s="89" t="str">
        <f t="shared" si="258"/>
        <v/>
      </c>
      <c r="B2795" s="89" t="str">
        <f t="shared" si="259"/>
        <v/>
      </c>
      <c r="S2795" s="89" t="str">
        <f t="shared" si="260"/>
        <v/>
      </c>
      <c r="X2795" s="64">
        <f t="shared" si="261"/>
        <v>0</v>
      </c>
      <c r="Y2795" s="53">
        <f t="shared" si="262"/>
        <v>0</v>
      </c>
      <c r="Z2795" s="64">
        <f t="shared" si="263"/>
        <v>0</v>
      </c>
    </row>
    <row r="2796" spans="1:26">
      <c r="A2796" s="89" t="str">
        <f t="shared" si="258"/>
        <v/>
      </c>
      <c r="B2796" s="89" t="str">
        <f t="shared" si="259"/>
        <v/>
      </c>
      <c r="S2796" s="89" t="str">
        <f t="shared" si="260"/>
        <v/>
      </c>
      <c r="X2796" s="64">
        <f t="shared" si="261"/>
        <v>0</v>
      </c>
      <c r="Y2796" s="53">
        <f t="shared" si="262"/>
        <v>0</v>
      </c>
      <c r="Z2796" s="64">
        <f t="shared" si="263"/>
        <v>0</v>
      </c>
    </row>
    <row r="2797" spans="1:26">
      <c r="A2797" s="89" t="str">
        <f t="shared" si="258"/>
        <v/>
      </c>
      <c r="B2797" s="89" t="str">
        <f t="shared" si="259"/>
        <v/>
      </c>
      <c r="S2797" s="89" t="str">
        <f t="shared" si="260"/>
        <v/>
      </c>
      <c r="X2797" s="64">
        <f t="shared" si="261"/>
        <v>0</v>
      </c>
      <c r="Y2797" s="53">
        <f t="shared" si="262"/>
        <v>0</v>
      </c>
      <c r="Z2797" s="64">
        <f t="shared" si="263"/>
        <v>0</v>
      </c>
    </row>
    <row r="2798" spans="1:26">
      <c r="A2798" s="89" t="str">
        <f t="shared" si="258"/>
        <v/>
      </c>
      <c r="B2798" s="89" t="str">
        <f t="shared" si="259"/>
        <v/>
      </c>
      <c r="S2798" s="89" t="str">
        <f t="shared" si="260"/>
        <v/>
      </c>
      <c r="X2798" s="64">
        <f t="shared" si="261"/>
        <v>0</v>
      </c>
      <c r="Y2798" s="53">
        <f t="shared" si="262"/>
        <v>0</v>
      </c>
      <c r="Z2798" s="64">
        <f t="shared" si="263"/>
        <v>0</v>
      </c>
    </row>
    <row r="2799" spans="1:26">
      <c r="A2799" s="89" t="str">
        <f t="shared" si="258"/>
        <v/>
      </c>
      <c r="B2799" s="89" t="str">
        <f t="shared" si="259"/>
        <v/>
      </c>
      <c r="S2799" s="89" t="str">
        <f t="shared" si="260"/>
        <v/>
      </c>
      <c r="X2799" s="64">
        <f t="shared" si="261"/>
        <v>0</v>
      </c>
      <c r="Y2799" s="53">
        <f t="shared" si="262"/>
        <v>0</v>
      </c>
      <c r="Z2799" s="64">
        <f t="shared" si="263"/>
        <v>0</v>
      </c>
    </row>
    <row r="2800" spans="1:26">
      <c r="A2800" s="89" t="str">
        <f t="shared" si="258"/>
        <v/>
      </c>
      <c r="B2800" s="89" t="str">
        <f t="shared" si="259"/>
        <v/>
      </c>
      <c r="S2800" s="89" t="str">
        <f t="shared" si="260"/>
        <v/>
      </c>
      <c r="X2800" s="64">
        <f t="shared" si="261"/>
        <v>0</v>
      </c>
      <c r="Y2800" s="53">
        <f t="shared" si="262"/>
        <v>0</v>
      </c>
      <c r="Z2800" s="64">
        <f t="shared" si="263"/>
        <v>0</v>
      </c>
    </row>
    <row r="2801" spans="1:26">
      <c r="A2801" s="89" t="str">
        <f t="shared" si="258"/>
        <v/>
      </c>
      <c r="B2801" s="89" t="str">
        <f t="shared" si="259"/>
        <v/>
      </c>
      <c r="S2801" s="89" t="str">
        <f t="shared" si="260"/>
        <v/>
      </c>
      <c r="X2801" s="64">
        <f t="shared" si="261"/>
        <v>0</v>
      </c>
      <c r="Y2801" s="53">
        <f t="shared" si="262"/>
        <v>0</v>
      </c>
      <c r="Z2801" s="64">
        <f t="shared" si="263"/>
        <v>0</v>
      </c>
    </row>
    <row r="2802" spans="1:26">
      <c r="A2802" s="89" t="str">
        <f t="shared" si="258"/>
        <v/>
      </c>
      <c r="B2802" s="89" t="str">
        <f t="shared" si="259"/>
        <v/>
      </c>
      <c r="S2802" s="89" t="str">
        <f t="shared" si="260"/>
        <v/>
      </c>
      <c r="X2802" s="64">
        <f t="shared" si="261"/>
        <v>0</v>
      </c>
      <c r="Y2802" s="53">
        <f t="shared" si="262"/>
        <v>0</v>
      </c>
      <c r="Z2802" s="64">
        <f t="shared" si="263"/>
        <v>0</v>
      </c>
    </row>
    <row r="2803" spans="1:26">
      <c r="A2803" s="89" t="str">
        <f t="shared" si="258"/>
        <v/>
      </c>
      <c r="B2803" s="89" t="str">
        <f t="shared" si="259"/>
        <v/>
      </c>
      <c r="S2803" s="89" t="str">
        <f t="shared" si="260"/>
        <v/>
      </c>
      <c r="X2803" s="64">
        <f t="shared" si="261"/>
        <v>0</v>
      </c>
      <c r="Y2803" s="53">
        <f t="shared" si="262"/>
        <v>0</v>
      </c>
      <c r="Z2803" s="64">
        <f t="shared" si="263"/>
        <v>0</v>
      </c>
    </row>
    <row r="2804" spans="1:26">
      <c r="A2804" s="89" t="str">
        <f t="shared" si="258"/>
        <v/>
      </c>
      <c r="B2804" s="89" t="str">
        <f t="shared" si="259"/>
        <v/>
      </c>
      <c r="S2804" s="89" t="str">
        <f t="shared" si="260"/>
        <v/>
      </c>
      <c r="X2804" s="64">
        <f t="shared" si="261"/>
        <v>0</v>
      </c>
      <c r="Y2804" s="53">
        <f t="shared" si="262"/>
        <v>0</v>
      </c>
      <c r="Z2804" s="64">
        <f t="shared" si="263"/>
        <v>0</v>
      </c>
    </row>
    <row r="2805" spans="1:26">
      <c r="A2805" s="89" t="str">
        <f t="shared" si="258"/>
        <v/>
      </c>
      <c r="B2805" s="89" t="str">
        <f t="shared" si="259"/>
        <v/>
      </c>
      <c r="S2805" s="89" t="str">
        <f t="shared" si="260"/>
        <v/>
      </c>
      <c r="X2805" s="64">
        <f t="shared" si="261"/>
        <v>0</v>
      </c>
      <c r="Y2805" s="53">
        <f t="shared" si="262"/>
        <v>0</v>
      </c>
      <c r="Z2805" s="64">
        <f t="shared" si="263"/>
        <v>0</v>
      </c>
    </row>
    <row r="2806" spans="1:26">
      <c r="A2806" s="89" t="str">
        <f t="shared" si="258"/>
        <v/>
      </c>
      <c r="B2806" s="89" t="str">
        <f t="shared" si="259"/>
        <v/>
      </c>
      <c r="S2806" s="89" t="str">
        <f t="shared" si="260"/>
        <v/>
      </c>
      <c r="X2806" s="64">
        <f t="shared" si="261"/>
        <v>0</v>
      </c>
      <c r="Y2806" s="53">
        <f t="shared" si="262"/>
        <v>0</v>
      </c>
      <c r="Z2806" s="64">
        <f t="shared" si="263"/>
        <v>0</v>
      </c>
    </row>
    <row r="2807" spans="1:26">
      <c r="A2807" s="89" t="str">
        <f t="shared" si="258"/>
        <v/>
      </c>
      <c r="B2807" s="89" t="str">
        <f t="shared" si="259"/>
        <v/>
      </c>
      <c r="S2807" s="89" t="str">
        <f t="shared" si="260"/>
        <v/>
      </c>
      <c r="X2807" s="64">
        <f t="shared" si="261"/>
        <v>0</v>
      </c>
      <c r="Y2807" s="53">
        <f t="shared" si="262"/>
        <v>0</v>
      </c>
      <c r="Z2807" s="64">
        <f t="shared" si="263"/>
        <v>0</v>
      </c>
    </row>
    <row r="2808" spans="1:26">
      <c r="A2808" s="89" t="str">
        <f t="shared" si="258"/>
        <v/>
      </c>
      <c r="B2808" s="89" t="str">
        <f t="shared" si="259"/>
        <v/>
      </c>
      <c r="S2808" s="89" t="str">
        <f t="shared" si="260"/>
        <v/>
      </c>
      <c r="X2808" s="64">
        <f t="shared" si="261"/>
        <v>0</v>
      </c>
      <c r="Y2808" s="53">
        <f t="shared" si="262"/>
        <v>0</v>
      </c>
      <c r="Z2808" s="64">
        <f t="shared" si="263"/>
        <v>0</v>
      </c>
    </row>
    <row r="2809" spans="1:26">
      <c r="A2809" s="89" t="str">
        <f t="shared" si="258"/>
        <v/>
      </c>
      <c r="B2809" s="89" t="str">
        <f t="shared" si="259"/>
        <v/>
      </c>
      <c r="S2809" s="89" t="str">
        <f t="shared" si="260"/>
        <v/>
      </c>
      <c r="X2809" s="64">
        <f t="shared" si="261"/>
        <v>0</v>
      </c>
      <c r="Y2809" s="53">
        <f t="shared" si="262"/>
        <v>0</v>
      </c>
      <c r="Z2809" s="64">
        <f t="shared" si="263"/>
        <v>0</v>
      </c>
    </row>
    <row r="2810" spans="1:26">
      <c r="A2810" s="89" t="str">
        <f t="shared" si="258"/>
        <v/>
      </c>
      <c r="B2810" s="89" t="str">
        <f t="shared" si="259"/>
        <v/>
      </c>
      <c r="S2810" s="89" t="str">
        <f t="shared" si="260"/>
        <v/>
      </c>
      <c r="X2810" s="64">
        <f t="shared" si="261"/>
        <v>0</v>
      </c>
      <c r="Y2810" s="53">
        <f t="shared" si="262"/>
        <v>0</v>
      </c>
      <c r="Z2810" s="64">
        <f t="shared" si="263"/>
        <v>0</v>
      </c>
    </row>
    <row r="2811" spans="1:26">
      <c r="A2811" s="89" t="str">
        <f t="shared" si="258"/>
        <v/>
      </c>
      <c r="B2811" s="89" t="str">
        <f t="shared" si="259"/>
        <v/>
      </c>
      <c r="S2811" s="89" t="str">
        <f t="shared" si="260"/>
        <v/>
      </c>
      <c r="X2811" s="64">
        <f t="shared" si="261"/>
        <v>0</v>
      </c>
      <c r="Y2811" s="53">
        <f t="shared" si="262"/>
        <v>0</v>
      </c>
      <c r="Z2811" s="64">
        <f t="shared" si="263"/>
        <v>0</v>
      </c>
    </row>
    <row r="2812" spans="1:26">
      <c r="A2812" s="89" t="str">
        <f t="shared" si="258"/>
        <v/>
      </c>
      <c r="B2812" s="89" t="str">
        <f t="shared" si="259"/>
        <v/>
      </c>
      <c r="S2812" s="89" t="str">
        <f t="shared" si="260"/>
        <v/>
      </c>
      <c r="X2812" s="64">
        <f t="shared" si="261"/>
        <v>0</v>
      </c>
      <c r="Y2812" s="53">
        <f t="shared" si="262"/>
        <v>0</v>
      </c>
      <c r="Z2812" s="64">
        <f t="shared" si="263"/>
        <v>0</v>
      </c>
    </row>
    <row r="2813" spans="1:26">
      <c r="A2813" s="89" t="str">
        <f t="shared" si="258"/>
        <v/>
      </c>
      <c r="B2813" s="89" t="str">
        <f t="shared" si="259"/>
        <v/>
      </c>
      <c r="S2813" s="89" t="str">
        <f t="shared" si="260"/>
        <v/>
      </c>
      <c r="X2813" s="64">
        <f t="shared" si="261"/>
        <v>0</v>
      </c>
      <c r="Y2813" s="53">
        <f t="shared" si="262"/>
        <v>0</v>
      </c>
      <c r="Z2813" s="64">
        <f t="shared" si="263"/>
        <v>0</v>
      </c>
    </row>
    <row r="2814" spans="1:26">
      <c r="A2814" s="89" t="str">
        <f t="shared" si="258"/>
        <v/>
      </c>
      <c r="B2814" s="89" t="str">
        <f t="shared" si="259"/>
        <v/>
      </c>
      <c r="S2814" s="89" t="str">
        <f t="shared" si="260"/>
        <v/>
      </c>
      <c r="X2814" s="64">
        <f t="shared" si="261"/>
        <v>0</v>
      </c>
      <c r="Y2814" s="53">
        <f t="shared" si="262"/>
        <v>0</v>
      </c>
      <c r="Z2814" s="64">
        <f t="shared" si="263"/>
        <v>0</v>
      </c>
    </row>
    <row r="2815" spans="1:26">
      <c r="A2815" s="89" t="str">
        <f t="shared" si="258"/>
        <v/>
      </c>
      <c r="B2815" s="89" t="str">
        <f t="shared" si="259"/>
        <v/>
      </c>
      <c r="S2815" s="89" t="str">
        <f t="shared" si="260"/>
        <v/>
      </c>
      <c r="X2815" s="64">
        <f t="shared" si="261"/>
        <v>0</v>
      </c>
      <c r="Y2815" s="53">
        <f t="shared" si="262"/>
        <v>0</v>
      </c>
      <c r="Z2815" s="64">
        <f t="shared" si="263"/>
        <v>0</v>
      </c>
    </row>
    <row r="2816" spans="1:26">
      <c r="A2816" s="89" t="str">
        <f t="shared" si="258"/>
        <v/>
      </c>
      <c r="B2816" s="89" t="str">
        <f t="shared" si="259"/>
        <v/>
      </c>
      <c r="S2816" s="89" t="str">
        <f t="shared" si="260"/>
        <v/>
      </c>
      <c r="X2816" s="64">
        <f t="shared" si="261"/>
        <v>0</v>
      </c>
      <c r="Y2816" s="53">
        <f t="shared" si="262"/>
        <v>0</v>
      </c>
      <c r="Z2816" s="64">
        <f t="shared" si="263"/>
        <v>0</v>
      </c>
    </row>
    <row r="2817" spans="1:26">
      <c r="A2817" s="89" t="str">
        <f t="shared" si="258"/>
        <v/>
      </c>
      <c r="B2817" s="89" t="str">
        <f t="shared" si="259"/>
        <v/>
      </c>
      <c r="S2817" s="89" t="str">
        <f t="shared" si="260"/>
        <v/>
      </c>
      <c r="X2817" s="64">
        <f t="shared" si="261"/>
        <v>0</v>
      </c>
      <c r="Y2817" s="53">
        <f t="shared" si="262"/>
        <v>0</v>
      </c>
      <c r="Z2817" s="64">
        <f t="shared" si="263"/>
        <v>0</v>
      </c>
    </row>
    <row r="2818" spans="1:26">
      <c r="A2818" s="89" t="str">
        <f t="shared" si="258"/>
        <v/>
      </c>
      <c r="B2818" s="89" t="str">
        <f t="shared" si="259"/>
        <v/>
      </c>
      <c r="S2818" s="89" t="str">
        <f t="shared" si="260"/>
        <v/>
      </c>
      <c r="X2818" s="64">
        <f t="shared" si="261"/>
        <v>0</v>
      </c>
      <c r="Y2818" s="53">
        <f t="shared" si="262"/>
        <v>0</v>
      </c>
      <c r="Z2818" s="64">
        <f t="shared" si="263"/>
        <v>0</v>
      </c>
    </row>
    <row r="2819" spans="1:26">
      <c r="A2819" s="89" t="str">
        <f t="shared" ref="A2819:A2882" si="264">IF(G2819&amp;Q2819&lt;&gt;"",G2819&amp;Q2819,"")</f>
        <v/>
      </c>
      <c r="B2819" s="89" t="str">
        <f t="shared" ref="B2819:B2882" si="265">IF(C2819&lt;&gt;"",LEFT(C2819,9),"")</f>
        <v/>
      </c>
      <c r="S2819" s="89" t="str">
        <f t="shared" ref="S2819:S2882" si="266">IF(H2819&lt;&gt;"",H2819,"")</f>
        <v/>
      </c>
      <c r="X2819" s="64">
        <f t="shared" ref="X2819:X2882" si="267">IFERROR(VALUE(MID($C2819,1,2)),0)</f>
        <v>0</v>
      </c>
      <c r="Y2819" s="53">
        <f t="shared" ref="Y2819:Y2882" si="268">IFERROR(VALUE(MID($C2819,4,3)),0)</f>
        <v>0</v>
      </c>
      <c r="Z2819" s="64">
        <f t="shared" ref="Z2819:Z2882" si="269">VALUE(RIGHT("00"&amp;X2819,2)&amp;RIGHT("000"&amp;Y2819,3))</f>
        <v>0</v>
      </c>
    </row>
    <row r="2820" spans="1:26">
      <c r="A2820" s="89" t="str">
        <f t="shared" si="264"/>
        <v/>
      </c>
      <c r="B2820" s="89" t="str">
        <f t="shared" si="265"/>
        <v/>
      </c>
      <c r="S2820" s="89" t="str">
        <f t="shared" si="266"/>
        <v/>
      </c>
      <c r="X2820" s="64">
        <f t="shared" si="267"/>
        <v>0</v>
      </c>
      <c r="Y2820" s="53">
        <f t="shared" si="268"/>
        <v>0</v>
      </c>
      <c r="Z2820" s="64">
        <f t="shared" si="269"/>
        <v>0</v>
      </c>
    </row>
    <row r="2821" spans="1:26">
      <c r="A2821" s="89" t="str">
        <f t="shared" si="264"/>
        <v/>
      </c>
      <c r="B2821" s="89" t="str">
        <f t="shared" si="265"/>
        <v/>
      </c>
      <c r="S2821" s="89" t="str">
        <f t="shared" si="266"/>
        <v/>
      </c>
      <c r="X2821" s="64">
        <f t="shared" si="267"/>
        <v>0</v>
      </c>
      <c r="Y2821" s="53">
        <f t="shared" si="268"/>
        <v>0</v>
      </c>
      <c r="Z2821" s="64">
        <f t="shared" si="269"/>
        <v>0</v>
      </c>
    </row>
    <row r="2822" spans="1:26">
      <c r="A2822" s="89" t="str">
        <f t="shared" si="264"/>
        <v/>
      </c>
      <c r="B2822" s="89" t="str">
        <f t="shared" si="265"/>
        <v/>
      </c>
      <c r="S2822" s="89" t="str">
        <f t="shared" si="266"/>
        <v/>
      </c>
      <c r="X2822" s="64">
        <f t="shared" si="267"/>
        <v>0</v>
      </c>
      <c r="Y2822" s="53">
        <f t="shared" si="268"/>
        <v>0</v>
      </c>
      <c r="Z2822" s="64">
        <f t="shared" si="269"/>
        <v>0</v>
      </c>
    </row>
    <row r="2823" spans="1:26">
      <c r="A2823" s="89" t="str">
        <f t="shared" si="264"/>
        <v/>
      </c>
      <c r="B2823" s="89" t="str">
        <f t="shared" si="265"/>
        <v/>
      </c>
      <c r="S2823" s="89" t="str">
        <f t="shared" si="266"/>
        <v/>
      </c>
      <c r="X2823" s="64">
        <f t="shared" si="267"/>
        <v>0</v>
      </c>
      <c r="Y2823" s="53">
        <f t="shared" si="268"/>
        <v>0</v>
      </c>
      <c r="Z2823" s="64">
        <f t="shared" si="269"/>
        <v>0</v>
      </c>
    </row>
    <row r="2824" spans="1:26">
      <c r="A2824" s="89" t="str">
        <f t="shared" si="264"/>
        <v/>
      </c>
      <c r="B2824" s="89" t="str">
        <f t="shared" si="265"/>
        <v/>
      </c>
      <c r="S2824" s="89" t="str">
        <f t="shared" si="266"/>
        <v/>
      </c>
      <c r="X2824" s="64">
        <f t="shared" si="267"/>
        <v>0</v>
      </c>
      <c r="Y2824" s="53">
        <f t="shared" si="268"/>
        <v>0</v>
      </c>
      <c r="Z2824" s="64">
        <f t="shared" si="269"/>
        <v>0</v>
      </c>
    </row>
    <row r="2825" spans="1:26">
      <c r="A2825" s="89" t="str">
        <f t="shared" si="264"/>
        <v/>
      </c>
      <c r="B2825" s="89" t="str">
        <f t="shared" si="265"/>
        <v/>
      </c>
      <c r="S2825" s="89" t="str">
        <f t="shared" si="266"/>
        <v/>
      </c>
      <c r="X2825" s="64">
        <f t="shared" si="267"/>
        <v>0</v>
      </c>
      <c r="Y2825" s="53">
        <f t="shared" si="268"/>
        <v>0</v>
      </c>
      <c r="Z2825" s="64">
        <f t="shared" si="269"/>
        <v>0</v>
      </c>
    </row>
    <row r="2826" spans="1:26">
      <c r="A2826" s="89" t="str">
        <f t="shared" si="264"/>
        <v/>
      </c>
      <c r="B2826" s="89" t="str">
        <f t="shared" si="265"/>
        <v/>
      </c>
      <c r="S2826" s="89" t="str">
        <f t="shared" si="266"/>
        <v/>
      </c>
      <c r="X2826" s="64">
        <f t="shared" si="267"/>
        <v>0</v>
      </c>
      <c r="Y2826" s="53">
        <f t="shared" si="268"/>
        <v>0</v>
      </c>
      <c r="Z2826" s="64">
        <f t="shared" si="269"/>
        <v>0</v>
      </c>
    </row>
    <row r="2827" spans="1:26">
      <c r="A2827" s="89" t="str">
        <f t="shared" si="264"/>
        <v/>
      </c>
      <c r="B2827" s="89" t="str">
        <f t="shared" si="265"/>
        <v/>
      </c>
      <c r="S2827" s="89" t="str">
        <f t="shared" si="266"/>
        <v/>
      </c>
      <c r="X2827" s="64">
        <f t="shared" si="267"/>
        <v>0</v>
      </c>
      <c r="Y2827" s="53">
        <f t="shared" si="268"/>
        <v>0</v>
      </c>
      <c r="Z2827" s="64">
        <f t="shared" si="269"/>
        <v>0</v>
      </c>
    </row>
    <row r="2828" spans="1:26">
      <c r="A2828" s="89" t="str">
        <f t="shared" si="264"/>
        <v/>
      </c>
      <c r="B2828" s="89" t="str">
        <f t="shared" si="265"/>
        <v/>
      </c>
      <c r="S2828" s="89" t="str">
        <f t="shared" si="266"/>
        <v/>
      </c>
      <c r="X2828" s="64">
        <f t="shared" si="267"/>
        <v>0</v>
      </c>
      <c r="Y2828" s="53">
        <f t="shared" si="268"/>
        <v>0</v>
      </c>
      <c r="Z2828" s="64">
        <f t="shared" si="269"/>
        <v>0</v>
      </c>
    </row>
    <row r="2829" spans="1:26">
      <c r="A2829" s="89" t="str">
        <f t="shared" si="264"/>
        <v/>
      </c>
      <c r="B2829" s="89" t="str">
        <f t="shared" si="265"/>
        <v/>
      </c>
      <c r="S2829" s="89" t="str">
        <f t="shared" si="266"/>
        <v/>
      </c>
      <c r="X2829" s="64">
        <f t="shared" si="267"/>
        <v>0</v>
      </c>
      <c r="Y2829" s="53">
        <f t="shared" si="268"/>
        <v>0</v>
      </c>
      <c r="Z2829" s="64">
        <f t="shared" si="269"/>
        <v>0</v>
      </c>
    </row>
    <row r="2830" spans="1:26">
      <c r="A2830" s="89" t="str">
        <f t="shared" si="264"/>
        <v/>
      </c>
      <c r="B2830" s="89" t="str">
        <f t="shared" si="265"/>
        <v/>
      </c>
      <c r="S2830" s="89" t="str">
        <f t="shared" si="266"/>
        <v/>
      </c>
      <c r="X2830" s="64">
        <f t="shared" si="267"/>
        <v>0</v>
      </c>
      <c r="Y2830" s="53">
        <f t="shared" si="268"/>
        <v>0</v>
      </c>
      <c r="Z2830" s="64">
        <f t="shared" si="269"/>
        <v>0</v>
      </c>
    </row>
    <row r="2831" spans="1:26">
      <c r="A2831" s="89" t="str">
        <f t="shared" si="264"/>
        <v/>
      </c>
      <c r="B2831" s="89" t="str">
        <f t="shared" si="265"/>
        <v/>
      </c>
      <c r="S2831" s="89" t="str">
        <f t="shared" si="266"/>
        <v/>
      </c>
      <c r="X2831" s="64">
        <f t="shared" si="267"/>
        <v>0</v>
      </c>
      <c r="Y2831" s="53">
        <f t="shared" si="268"/>
        <v>0</v>
      </c>
      <c r="Z2831" s="64">
        <f t="shared" si="269"/>
        <v>0</v>
      </c>
    </row>
    <row r="2832" spans="1:26">
      <c r="A2832" s="89" t="str">
        <f t="shared" si="264"/>
        <v/>
      </c>
      <c r="B2832" s="89" t="str">
        <f t="shared" si="265"/>
        <v/>
      </c>
      <c r="S2832" s="89" t="str">
        <f t="shared" si="266"/>
        <v/>
      </c>
      <c r="X2832" s="64">
        <f t="shared" si="267"/>
        <v>0</v>
      </c>
      <c r="Y2832" s="53">
        <f t="shared" si="268"/>
        <v>0</v>
      </c>
      <c r="Z2832" s="64">
        <f t="shared" si="269"/>
        <v>0</v>
      </c>
    </row>
    <row r="2833" spans="1:26">
      <c r="A2833" s="89" t="str">
        <f t="shared" si="264"/>
        <v/>
      </c>
      <c r="B2833" s="89" t="str">
        <f t="shared" si="265"/>
        <v/>
      </c>
      <c r="S2833" s="89" t="str">
        <f t="shared" si="266"/>
        <v/>
      </c>
      <c r="X2833" s="64">
        <f t="shared" si="267"/>
        <v>0</v>
      </c>
      <c r="Y2833" s="53">
        <f t="shared" si="268"/>
        <v>0</v>
      </c>
      <c r="Z2833" s="64">
        <f t="shared" si="269"/>
        <v>0</v>
      </c>
    </row>
    <row r="2834" spans="1:26">
      <c r="A2834" s="89" t="str">
        <f t="shared" si="264"/>
        <v/>
      </c>
      <c r="B2834" s="89" t="str">
        <f t="shared" si="265"/>
        <v/>
      </c>
      <c r="S2834" s="89" t="str">
        <f t="shared" si="266"/>
        <v/>
      </c>
      <c r="X2834" s="64">
        <f t="shared" si="267"/>
        <v>0</v>
      </c>
      <c r="Y2834" s="53">
        <f t="shared" si="268"/>
        <v>0</v>
      </c>
      <c r="Z2834" s="64">
        <f t="shared" si="269"/>
        <v>0</v>
      </c>
    </row>
    <row r="2835" spans="1:26">
      <c r="A2835" s="89" t="str">
        <f t="shared" si="264"/>
        <v/>
      </c>
      <c r="B2835" s="89" t="str">
        <f t="shared" si="265"/>
        <v/>
      </c>
      <c r="S2835" s="89" t="str">
        <f t="shared" si="266"/>
        <v/>
      </c>
      <c r="X2835" s="64">
        <f t="shared" si="267"/>
        <v>0</v>
      </c>
      <c r="Y2835" s="53">
        <f t="shared" si="268"/>
        <v>0</v>
      </c>
      <c r="Z2835" s="64">
        <f t="shared" si="269"/>
        <v>0</v>
      </c>
    </row>
    <row r="2836" spans="1:26">
      <c r="A2836" s="89" t="str">
        <f t="shared" si="264"/>
        <v/>
      </c>
      <c r="B2836" s="89" t="str">
        <f t="shared" si="265"/>
        <v/>
      </c>
      <c r="S2836" s="89" t="str">
        <f t="shared" si="266"/>
        <v/>
      </c>
      <c r="X2836" s="64">
        <f t="shared" si="267"/>
        <v>0</v>
      </c>
      <c r="Y2836" s="53">
        <f t="shared" si="268"/>
        <v>0</v>
      </c>
      <c r="Z2836" s="64">
        <f t="shared" si="269"/>
        <v>0</v>
      </c>
    </row>
    <row r="2837" spans="1:26">
      <c r="A2837" s="89" t="str">
        <f t="shared" si="264"/>
        <v/>
      </c>
      <c r="B2837" s="89" t="str">
        <f t="shared" si="265"/>
        <v/>
      </c>
      <c r="S2837" s="89" t="str">
        <f t="shared" si="266"/>
        <v/>
      </c>
      <c r="X2837" s="64">
        <f t="shared" si="267"/>
        <v>0</v>
      </c>
      <c r="Y2837" s="53">
        <f t="shared" si="268"/>
        <v>0</v>
      </c>
      <c r="Z2837" s="64">
        <f t="shared" si="269"/>
        <v>0</v>
      </c>
    </row>
    <row r="2838" spans="1:26">
      <c r="A2838" s="89" t="str">
        <f t="shared" si="264"/>
        <v/>
      </c>
      <c r="B2838" s="89" t="str">
        <f t="shared" si="265"/>
        <v/>
      </c>
      <c r="S2838" s="89" t="str">
        <f t="shared" si="266"/>
        <v/>
      </c>
      <c r="X2838" s="64">
        <f t="shared" si="267"/>
        <v>0</v>
      </c>
      <c r="Y2838" s="53">
        <f t="shared" si="268"/>
        <v>0</v>
      </c>
      <c r="Z2838" s="64">
        <f t="shared" si="269"/>
        <v>0</v>
      </c>
    </row>
    <row r="2839" spans="1:26">
      <c r="A2839" s="89" t="str">
        <f t="shared" si="264"/>
        <v/>
      </c>
      <c r="B2839" s="89" t="str">
        <f t="shared" si="265"/>
        <v/>
      </c>
      <c r="S2839" s="89" t="str">
        <f t="shared" si="266"/>
        <v/>
      </c>
      <c r="X2839" s="64">
        <f t="shared" si="267"/>
        <v>0</v>
      </c>
      <c r="Y2839" s="53">
        <f t="shared" si="268"/>
        <v>0</v>
      </c>
      <c r="Z2839" s="64">
        <f t="shared" si="269"/>
        <v>0</v>
      </c>
    </row>
    <row r="2840" spans="1:26">
      <c r="A2840" s="89" t="str">
        <f t="shared" si="264"/>
        <v/>
      </c>
      <c r="B2840" s="89" t="str">
        <f t="shared" si="265"/>
        <v/>
      </c>
      <c r="S2840" s="89" t="str">
        <f t="shared" si="266"/>
        <v/>
      </c>
      <c r="X2840" s="64">
        <f t="shared" si="267"/>
        <v>0</v>
      </c>
      <c r="Y2840" s="53">
        <f t="shared" si="268"/>
        <v>0</v>
      </c>
      <c r="Z2840" s="64">
        <f t="shared" si="269"/>
        <v>0</v>
      </c>
    </row>
    <row r="2841" spans="1:26">
      <c r="A2841" s="89" t="str">
        <f t="shared" si="264"/>
        <v/>
      </c>
      <c r="B2841" s="89" t="str">
        <f t="shared" si="265"/>
        <v/>
      </c>
      <c r="S2841" s="89" t="str">
        <f t="shared" si="266"/>
        <v/>
      </c>
      <c r="X2841" s="64">
        <f t="shared" si="267"/>
        <v>0</v>
      </c>
      <c r="Y2841" s="53">
        <f t="shared" si="268"/>
        <v>0</v>
      </c>
      <c r="Z2841" s="64">
        <f t="shared" si="269"/>
        <v>0</v>
      </c>
    </row>
    <row r="2842" spans="1:26">
      <c r="A2842" s="89" t="str">
        <f t="shared" si="264"/>
        <v/>
      </c>
      <c r="B2842" s="89" t="str">
        <f t="shared" si="265"/>
        <v/>
      </c>
      <c r="S2842" s="89" t="str">
        <f t="shared" si="266"/>
        <v/>
      </c>
      <c r="X2842" s="64">
        <f t="shared" si="267"/>
        <v>0</v>
      </c>
      <c r="Y2842" s="53">
        <f t="shared" si="268"/>
        <v>0</v>
      </c>
      <c r="Z2842" s="64">
        <f t="shared" si="269"/>
        <v>0</v>
      </c>
    </row>
    <row r="2843" spans="1:26">
      <c r="A2843" s="89" t="str">
        <f t="shared" si="264"/>
        <v/>
      </c>
      <c r="B2843" s="89" t="str">
        <f t="shared" si="265"/>
        <v/>
      </c>
      <c r="S2843" s="89" t="str">
        <f t="shared" si="266"/>
        <v/>
      </c>
      <c r="X2843" s="64">
        <f t="shared" si="267"/>
        <v>0</v>
      </c>
      <c r="Y2843" s="53">
        <f t="shared" si="268"/>
        <v>0</v>
      </c>
      <c r="Z2843" s="64">
        <f t="shared" si="269"/>
        <v>0</v>
      </c>
    </row>
    <row r="2844" spans="1:26">
      <c r="A2844" s="89" t="str">
        <f t="shared" si="264"/>
        <v/>
      </c>
      <c r="B2844" s="89" t="str">
        <f t="shared" si="265"/>
        <v/>
      </c>
      <c r="S2844" s="89" t="str">
        <f t="shared" si="266"/>
        <v/>
      </c>
      <c r="X2844" s="64">
        <f t="shared" si="267"/>
        <v>0</v>
      </c>
      <c r="Y2844" s="53">
        <f t="shared" si="268"/>
        <v>0</v>
      </c>
      <c r="Z2844" s="64">
        <f t="shared" si="269"/>
        <v>0</v>
      </c>
    </row>
    <row r="2845" spans="1:26">
      <c r="A2845" s="89" t="str">
        <f t="shared" si="264"/>
        <v/>
      </c>
      <c r="B2845" s="89" t="str">
        <f t="shared" si="265"/>
        <v/>
      </c>
      <c r="S2845" s="89" t="str">
        <f t="shared" si="266"/>
        <v/>
      </c>
      <c r="X2845" s="64">
        <f t="shared" si="267"/>
        <v>0</v>
      </c>
      <c r="Y2845" s="53">
        <f t="shared" si="268"/>
        <v>0</v>
      </c>
      <c r="Z2845" s="64">
        <f t="shared" si="269"/>
        <v>0</v>
      </c>
    </row>
    <row r="2846" spans="1:26">
      <c r="A2846" s="89" t="str">
        <f t="shared" si="264"/>
        <v/>
      </c>
      <c r="B2846" s="89" t="str">
        <f t="shared" si="265"/>
        <v/>
      </c>
      <c r="S2846" s="89" t="str">
        <f t="shared" si="266"/>
        <v/>
      </c>
      <c r="X2846" s="64">
        <f t="shared" si="267"/>
        <v>0</v>
      </c>
      <c r="Y2846" s="53">
        <f t="shared" si="268"/>
        <v>0</v>
      </c>
      <c r="Z2846" s="64">
        <f t="shared" si="269"/>
        <v>0</v>
      </c>
    </row>
    <row r="2847" spans="1:26">
      <c r="A2847" s="89" t="str">
        <f t="shared" si="264"/>
        <v/>
      </c>
      <c r="B2847" s="89" t="str">
        <f t="shared" si="265"/>
        <v/>
      </c>
      <c r="S2847" s="89" t="str">
        <f t="shared" si="266"/>
        <v/>
      </c>
      <c r="X2847" s="64">
        <f t="shared" si="267"/>
        <v>0</v>
      </c>
      <c r="Y2847" s="53">
        <f t="shared" si="268"/>
        <v>0</v>
      </c>
      <c r="Z2847" s="64">
        <f t="shared" si="269"/>
        <v>0</v>
      </c>
    </row>
    <row r="2848" spans="1:26">
      <c r="A2848" s="89" t="str">
        <f t="shared" si="264"/>
        <v/>
      </c>
      <c r="B2848" s="89" t="str">
        <f t="shared" si="265"/>
        <v/>
      </c>
      <c r="S2848" s="89" t="str">
        <f t="shared" si="266"/>
        <v/>
      </c>
      <c r="X2848" s="64">
        <f t="shared" si="267"/>
        <v>0</v>
      </c>
      <c r="Y2848" s="53">
        <f t="shared" si="268"/>
        <v>0</v>
      </c>
      <c r="Z2848" s="64">
        <f t="shared" si="269"/>
        <v>0</v>
      </c>
    </row>
    <row r="2849" spans="1:26">
      <c r="A2849" s="89" t="str">
        <f t="shared" si="264"/>
        <v/>
      </c>
      <c r="B2849" s="89" t="str">
        <f t="shared" si="265"/>
        <v/>
      </c>
      <c r="S2849" s="89" t="str">
        <f t="shared" si="266"/>
        <v/>
      </c>
      <c r="X2849" s="64">
        <f t="shared" si="267"/>
        <v>0</v>
      </c>
      <c r="Y2849" s="53">
        <f t="shared" si="268"/>
        <v>0</v>
      </c>
      <c r="Z2849" s="64">
        <f t="shared" si="269"/>
        <v>0</v>
      </c>
    </row>
    <row r="2850" spans="1:26">
      <c r="A2850" s="89" t="str">
        <f t="shared" si="264"/>
        <v/>
      </c>
      <c r="B2850" s="89" t="str">
        <f t="shared" si="265"/>
        <v/>
      </c>
      <c r="S2850" s="89" t="str">
        <f t="shared" si="266"/>
        <v/>
      </c>
      <c r="X2850" s="64">
        <f t="shared" si="267"/>
        <v>0</v>
      </c>
      <c r="Y2850" s="53">
        <f t="shared" si="268"/>
        <v>0</v>
      </c>
      <c r="Z2850" s="64">
        <f t="shared" si="269"/>
        <v>0</v>
      </c>
    </row>
    <row r="2851" spans="1:26">
      <c r="A2851" s="89" t="str">
        <f t="shared" si="264"/>
        <v/>
      </c>
      <c r="B2851" s="89" t="str">
        <f t="shared" si="265"/>
        <v/>
      </c>
      <c r="S2851" s="89" t="str">
        <f t="shared" si="266"/>
        <v/>
      </c>
      <c r="X2851" s="64">
        <f t="shared" si="267"/>
        <v>0</v>
      </c>
      <c r="Y2851" s="53">
        <f t="shared" si="268"/>
        <v>0</v>
      </c>
      <c r="Z2851" s="64">
        <f t="shared" si="269"/>
        <v>0</v>
      </c>
    </row>
    <row r="2852" spans="1:26">
      <c r="A2852" s="89" t="str">
        <f t="shared" si="264"/>
        <v/>
      </c>
      <c r="B2852" s="89" t="str">
        <f t="shared" si="265"/>
        <v/>
      </c>
      <c r="S2852" s="89" t="str">
        <f t="shared" si="266"/>
        <v/>
      </c>
      <c r="X2852" s="64">
        <f t="shared" si="267"/>
        <v>0</v>
      </c>
      <c r="Y2852" s="53">
        <f t="shared" si="268"/>
        <v>0</v>
      </c>
      <c r="Z2852" s="64">
        <f t="shared" si="269"/>
        <v>0</v>
      </c>
    </row>
    <row r="2853" spans="1:26">
      <c r="A2853" s="89" t="str">
        <f t="shared" si="264"/>
        <v/>
      </c>
      <c r="B2853" s="89" t="str">
        <f t="shared" si="265"/>
        <v/>
      </c>
      <c r="S2853" s="89" t="str">
        <f t="shared" si="266"/>
        <v/>
      </c>
      <c r="X2853" s="64">
        <f t="shared" si="267"/>
        <v>0</v>
      </c>
      <c r="Y2853" s="53">
        <f t="shared" si="268"/>
        <v>0</v>
      </c>
      <c r="Z2853" s="64">
        <f t="shared" si="269"/>
        <v>0</v>
      </c>
    </row>
    <row r="2854" spans="1:26">
      <c r="A2854" s="89" t="str">
        <f t="shared" si="264"/>
        <v/>
      </c>
      <c r="B2854" s="89" t="str">
        <f t="shared" si="265"/>
        <v/>
      </c>
      <c r="S2854" s="89" t="str">
        <f t="shared" si="266"/>
        <v/>
      </c>
      <c r="X2854" s="64">
        <f t="shared" si="267"/>
        <v>0</v>
      </c>
      <c r="Y2854" s="53">
        <f t="shared" si="268"/>
        <v>0</v>
      </c>
      <c r="Z2854" s="64">
        <f t="shared" si="269"/>
        <v>0</v>
      </c>
    </row>
    <row r="2855" spans="1:26">
      <c r="A2855" s="89" t="str">
        <f t="shared" si="264"/>
        <v/>
      </c>
      <c r="B2855" s="89" t="str">
        <f t="shared" si="265"/>
        <v/>
      </c>
      <c r="S2855" s="89" t="str">
        <f t="shared" si="266"/>
        <v/>
      </c>
      <c r="X2855" s="64">
        <f t="shared" si="267"/>
        <v>0</v>
      </c>
      <c r="Y2855" s="53">
        <f t="shared" si="268"/>
        <v>0</v>
      </c>
      <c r="Z2855" s="64">
        <f t="shared" si="269"/>
        <v>0</v>
      </c>
    </row>
    <row r="2856" spans="1:26">
      <c r="A2856" s="89" t="str">
        <f t="shared" si="264"/>
        <v/>
      </c>
      <c r="B2856" s="89" t="str">
        <f t="shared" si="265"/>
        <v/>
      </c>
      <c r="S2856" s="89" t="str">
        <f t="shared" si="266"/>
        <v/>
      </c>
      <c r="X2856" s="64">
        <f t="shared" si="267"/>
        <v>0</v>
      </c>
      <c r="Y2856" s="53">
        <f t="shared" si="268"/>
        <v>0</v>
      </c>
      <c r="Z2856" s="64">
        <f t="shared" si="269"/>
        <v>0</v>
      </c>
    </row>
    <row r="2857" spans="1:26">
      <c r="A2857" s="89" t="str">
        <f t="shared" si="264"/>
        <v/>
      </c>
      <c r="B2857" s="89" t="str">
        <f t="shared" si="265"/>
        <v/>
      </c>
      <c r="S2857" s="89" t="str">
        <f t="shared" si="266"/>
        <v/>
      </c>
      <c r="X2857" s="64">
        <f t="shared" si="267"/>
        <v>0</v>
      </c>
      <c r="Y2857" s="53">
        <f t="shared" si="268"/>
        <v>0</v>
      </c>
      <c r="Z2857" s="64">
        <f t="shared" si="269"/>
        <v>0</v>
      </c>
    </row>
    <row r="2858" spans="1:26">
      <c r="A2858" s="89" t="str">
        <f t="shared" si="264"/>
        <v/>
      </c>
      <c r="B2858" s="89" t="str">
        <f t="shared" si="265"/>
        <v/>
      </c>
      <c r="S2858" s="89" t="str">
        <f t="shared" si="266"/>
        <v/>
      </c>
      <c r="X2858" s="64">
        <f t="shared" si="267"/>
        <v>0</v>
      </c>
      <c r="Y2858" s="53">
        <f t="shared" si="268"/>
        <v>0</v>
      </c>
      <c r="Z2858" s="64">
        <f t="shared" si="269"/>
        <v>0</v>
      </c>
    </row>
    <row r="2859" spans="1:26">
      <c r="A2859" s="89" t="str">
        <f t="shared" si="264"/>
        <v/>
      </c>
      <c r="B2859" s="89" t="str">
        <f t="shared" si="265"/>
        <v/>
      </c>
      <c r="S2859" s="89" t="str">
        <f t="shared" si="266"/>
        <v/>
      </c>
      <c r="X2859" s="64">
        <f t="shared" si="267"/>
        <v>0</v>
      </c>
      <c r="Y2859" s="53">
        <f t="shared" si="268"/>
        <v>0</v>
      </c>
      <c r="Z2859" s="64">
        <f t="shared" si="269"/>
        <v>0</v>
      </c>
    </row>
    <row r="2860" spans="1:26">
      <c r="A2860" s="89" t="str">
        <f t="shared" si="264"/>
        <v/>
      </c>
      <c r="B2860" s="89" t="str">
        <f t="shared" si="265"/>
        <v/>
      </c>
      <c r="S2860" s="89" t="str">
        <f t="shared" si="266"/>
        <v/>
      </c>
      <c r="X2860" s="64">
        <f t="shared" si="267"/>
        <v>0</v>
      </c>
      <c r="Y2860" s="53">
        <f t="shared" si="268"/>
        <v>0</v>
      </c>
      <c r="Z2860" s="64">
        <f t="shared" si="269"/>
        <v>0</v>
      </c>
    </row>
    <row r="2861" spans="1:26">
      <c r="A2861" s="89" t="str">
        <f t="shared" si="264"/>
        <v/>
      </c>
      <c r="B2861" s="89" t="str">
        <f t="shared" si="265"/>
        <v/>
      </c>
      <c r="S2861" s="89" t="str">
        <f t="shared" si="266"/>
        <v/>
      </c>
      <c r="X2861" s="64">
        <f t="shared" si="267"/>
        <v>0</v>
      </c>
      <c r="Y2861" s="53">
        <f t="shared" si="268"/>
        <v>0</v>
      </c>
      <c r="Z2861" s="64">
        <f t="shared" si="269"/>
        <v>0</v>
      </c>
    </row>
    <row r="2862" spans="1:26">
      <c r="A2862" s="89" t="str">
        <f t="shared" si="264"/>
        <v/>
      </c>
      <c r="B2862" s="89" t="str">
        <f t="shared" si="265"/>
        <v/>
      </c>
      <c r="S2862" s="89" t="str">
        <f t="shared" si="266"/>
        <v/>
      </c>
      <c r="X2862" s="64">
        <f t="shared" si="267"/>
        <v>0</v>
      </c>
      <c r="Y2862" s="53">
        <f t="shared" si="268"/>
        <v>0</v>
      </c>
      <c r="Z2862" s="64">
        <f t="shared" si="269"/>
        <v>0</v>
      </c>
    </row>
    <row r="2863" spans="1:26">
      <c r="A2863" s="89" t="str">
        <f t="shared" si="264"/>
        <v/>
      </c>
      <c r="B2863" s="89" t="str">
        <f t="shared" si="265"/>
        <v/>
      </c>
      <c r="S2863" s="89" t="str">
        <f t="shared" si="266"/>
        <v/>
      </c>
      <c r="X2863" s="64">
        <f t="shared" si="267"/>
        <v>0</v>
      </c>
      <c r="Y2863" s="53">
        <f t="shared" si="268"/>
        <v>0</v>
      </c>
      <c r="Z2863" s="64">
        <f t="shared" si="269"/>
        <v>0</v>
      </c>
    </row>
    <row r="2864" spans="1:26">
      <c r="A2864" s="89" t="str">
        <f t="shared" si="264"/>
        <v/>
      </c>
      <c r="B2864" s="89" t="str">
        <f t="shared" si="265"/>
        <v/>
      </c>
      <c r="S2864" s="89" t="str">
        <f t="shared" si="266"/>
        <v/>
      </c>
      <c r="X2864" s="64">
        <f t="shared" si="267"/>
        <v>0</v>
      </c>
      <c r="Y2864" s="53">
        <f t="shared" si="268"/>
        <v>0</v>
      </c>
      <c r="Z2864" s="64">
        <f t="shared" si="269"/>
        <v>0</v>
      </c>
    </row>
    <row r="2865" spans="1:26">
      <c r="A2865" s="89" t="str">
        <f t="shared" si="264"/>
        <v/>
      </c>
      <c r="B2865" s="89" t="str">
        <f t="shared" si="265"/>
        <v/>
      </c>
      <c r="S2865" s="89" t="str">
        <f t="shared" si="266"/>
        <v/>
      </c>
      <c r="X2865" s="64">
        <f t="shared" si="267"/>
        <v>0</v>
      </c>
      <c r="Y2865" s="53">
        <f t="shared" si="268"/>
        <v>0</v>
      </c>
      <c r="Z2865" s="64">
        <f t="shared" si="269"/>
        <v>0</v>
      </c>
    </row>
    <row r="2866" spans="1:26">
      <c r="A2866" s="89" t="str">
        <f t="shared" si="264"/>
        <v/>
      </c>
      <c r="B2866" s="89" t="str">
        <f t="shared" si="265"/>
        <v/>
      </c>
      <c r="S2866" s="89" t="str">
        <f t="shared" si="266"/>
        <v/>
      </c>
      <c r="X2866" s="64">
        <f t="shared" si="267"/>
        <v>0</v>
      </c>
      <c r="Y2866" s="53">
        <f t="shared" si="268"/>
        <v>0</v>
      </c>
      <c r="Z2866" s="64">
        <f t="shared" si="269"/>
        <v>0</v>
      </c>
    </row>
    <row r="2867" spans="1:26">
      <c r="A2867" s="89" t="str">
        <f t="shared" si="264"/>
        <v/>
      </c>
      <c r="B2867" s="89" t="str">
        <f t="shared" si="265"/>
        <v/>
      </c>
      <c r="S2867" s="89" t="str">
        <f t="shared" si="266"/>
        <v/>
      </c>
      <c r="X2867" s="64">
        <f t="shared" si="267"/>
        <v>0</v>
      </c>
      <c r="Y2867" s="53">
        <f t="shared" si="268"/>
        <v>0</v>
      </c>
      <c r="Z2867" s="64">
        <f t="shared" si="269"/>
        <v>0</v>
      </c>
    </row>
    <row r="2868" spans="1:26">
      <c r="A2868" s="89" t="str">
        <f t="shared" si="264"/>
        <v/>
      </c>
      <c r="B2868" s="89" t="str">
        <f t="shared" si="265"/>
        <v/>
      </c>
      <c r="S2868" s="89" t="str">
        <f t="shared" si="266"/>
        <v/>
      </c>
      <c r="X2868" s="64">
        <f t="shared" si="267"/>
        <v>0</v>
      </c>
      <c r="Y2868" s="53">
        <f t="shared" si="268"/>
        <v>0</v>
      </c>
      <c r="Z2868" s="64">
        <f t="shared" si="269"/>
        <v>0</v>
      </c>
    </row>
    <row r="2869" spans="1:26">
      <c r="A2869" s="89" t="str">
        <f t="shared" si="264"/>
        <v/>
      </c>
      <c r="B2869" s="89" t="str">
        <f t="shared" si="265"/>
        <v/>
      </c>
      <c r="S2869" s="89" t="str">
        <f t="shared" si="266"/>
        <v/>
      </c>
      <c r="X2869" s="64">
        <f t="shared" si="267"/>
        <v>0</v>
      </c>
      <c r="Y2869" s="53">
        <f t="shared" si="268"/>
        <v>0</v>
      </c>
      <c r="Z2869" s="64">
        <f t="shared" si="269"/>
        <v>0</v>
      </c>
    </row>
    <row r="2870" spans="1:26">
      <c r="A2870" s="89" t="str">
        <f t="shared" si="264"/>
        <v/>
      </c>
      <c r="B2870" s="89" t="str">
        <f t="shared" si="265"/>
        <v/>
      </c>
      <c r="S2870" s="89" t="str">
        <f t="shared" si="266"/>
        <v/>
      </c>
      <c r="X2870" s="64">
        <f t="shared" si="267"/>
        <v>0</v>
      </c>
      <c r="Y2870" s="53">
        <f t="shared" si="268"/>
        <v>0</v>
      </c>
      <c r="Z2870" s="64">
        <f t="shared" si="269"/>
        <v>0</v>
      </c>
    </row>
    <row r="2871" spans="1:26">
      <c r="A2871" s="89" t="str">
        <f t="shared" si="264"/>
        <v/>
      </c>
      <c r="B2871" s="89" t="str">
        <f t="shared" si="265"/>
        <v/>
      </c>
      <c r="S2871" s="89" t="str">
        <f t="shared" si="266"/>
        <v/>
      </c>
      <c r="X2871" s="64">
        <f t="shared" si="267"/>
        <v>0</v>
      </c>
      <c r="Y2871" s="53">
        <f t="shared" si="268"/>
        <v>0</v>
      </c>
      <c r="Z2871" s="64">
        <f t="shared" si="269"/>
        <v>0</v>
      </c>
    </row>
    <row r="2872" spans="1:26">
      <c r="A2872" s="89" t="str">
        <f t="shared" si="264"/>
        <v/>
      </c>
      <c r="B2872" s="89" t="str">
        <f t="shared" si="265"/>
        <v/>
      </c>
      <c r="S2872" s="89" t="str">
        <f t="shared" si="266"/>
        <v/>
      </c>
      <c r="X2872" s="64">
        <f t="shared" si="267"/>
        <v>0</v>
      </c>
      <c r="Y2872" s="53">
        <f t="shared" si="268"/>
        <v>0</v>
      </c>
      <c r="Z2872" s="64">
        <f t="shared" si="269"/>
        <v>0</v>
      </c>
    </row>
    <row r="2873" spans="1:26">
      <c r="A2873" s="89" t="str">
        <f t="shared" si="264"/>
        <v/>
      </c>
      <c r="B2873" s="89" t="str">
        <f t="shared" si="265"/>
        <v/>
      </c>
      <c r="S2873" s="89" t="str">
        <f t="shared" si="266"/>
        <v/>
      </c>
      <c r="X2873" s="64">
        <f t="shared" si="267"/>
        <v>0</v>
      </c>
      <c r="Y2873" s="53">
        <f t="shared" si="268"/>
        <v>0</v>
      </c>
      <c r="Z2873" s="64">
        <f t="shared" si="269"/>
        <v>0</v>
      </c>
    </row>
    <row r="2874" spans="1:26">
      <c r="A2874" s="89" t="str">
        <f t="shared" si="264"/>
        <v/>
      </c>
      <c r="B2874" s="89" t="str">
        <f t="shared" si="265"/>
        <v/>
      </c>
      <c r="S2874" s="89" t="str">
        <f t="shared" si="266"/>
        <v/>
      </c>
      <c r="X2874" s="64">
        <f t="shared" si="267"/>
        <v>0</v>
      </c>
      <c r="Y2874" s="53">
        <f t="shared" si="268"/>
        <v>0</v>
      </c>
      <c r="Z2874" s="64">
        <f t="shared" si="269"/>
        <v>0</v>
      </c>
    </row>
    <row r="2875" spans="1:26">
      <c r="A2875" s="89" t="str">
        <f t="shared" si="264"/>
        <v/>
      </c>
      <c r="B2875" s="89" t="str">
        <f t="shared" si="265"/>
        <v/>
      </c>
      <c r="S2875" s="89" t="str">
        <f t="shared" si="266"/>
        <v/>
      </c>
      <c r="X2875" s="64">
        <f t="shared" si="267"/>
        <v>0</v>
      </c>
      <c r="Y2875" s="53">
        <f t="shared" si="268"/>
        <v>0</v>
      </c>
      <c r="Z2875" s="64">
        <f t="shared" si="269"/>
        <v>0</v>
      </c>
    </row>
    <row r="2876" spans="1:26">
      <c r="A2876" s="89" t="str">
        <f t="shared" si="264"/>
        <v/>
      </c>
      <c r="B2876" s="89" t="str">
        <f t="shared" si="265"/>
        <v/>
      </c>
      <c r="S2876" s="89" t="str">
        <f t="shared" si="266"/>
        <v/>
      </c>
      <c r="X2876" s="64">
        <f t="shared" si="267"/>
        <v>0</v>
      </c>
      <c r="Y2876" s="53">
        <f t="shared" si="268"/>
        <v>0</v>
      </c>
      <c r="Z2876" s="64">
        <f t="shared" si="269"/>
        <v>0</v>
      </c>
    </row>
    <row r="2877" spans="1:26">
      <c r="A2877" s="89" t="str">
        <f t="shared" si="264"/>
        <v/>
      </c>
      <c r="B2877" s="89" t="str">
        <f t="shared" si="265"/>
        <v/>
      </c>
      <c r="S2877" s="89" t="str">
        <f t="shared" si="266"/>
        <v/>
      </c>
      <c r="X2877" s="64">
        <f t="shared" si="267"/>
        <v>0</v>
      </c>
      <c r="Y2877" s="53">
        <f t="shared" si="268"/>
        <v>0</v>
      </c>
      <c r="Z2877" s="64">
        <f t="shared" si="269"/>
        <v>0</v>
      </c>
    </row>
    <row r="2878" spans="1:26">
      <c r="A2878" s="89" t="str">
        <f t="shared" si="264"/>
        <v/>
      </c>
      <c r="B2878" s="89" t="str">
        <f t="shared" si="265"/>
        <v/>
      </c>
      <c r="S2878" s="89" t="str">
        <f t="shared" si="266"/>
        <v/>
      </c>
      <c r="X2878" s="64">
        <f t="shared" si="267"/>
        <v>0</v>
      </c>
      <c r="Y2878" s="53">
        <f t="shared" si="268"/>
        <v>0</v>
      </c>
      <c r="Z2878" s="64">
        <f t="shared" si="269"/>
        <v>0</v>
      </c>
    </row>
    <row r="2879" spans="1:26">
      <c r="A2879" s="89" t="str">
        <f t="shared" si="264"/>
        <v/>
      </c>
      <c r="B2879" s="89" t="str">
        <f t="shared" si="265"/>
        <v/>
      </c>
      <c r="S2879" s="89" t="str">
        <f t="shared" si="266"/>
        <v/>
      </c>
      <c r="X2879" s="64">
        <f t="shared" si="267"/>
        <v>0</v>
      </c>
      <c r="Y2879" s="53">
        <f t="shared" si="268"/>
        <v>0</v>
      </c>
      <c r="Z2879" s="64">
        <f t="shared" si="269"/>
        <v>0</v>
      </c>
    </row>
    <row r="2880" spans="1:26">
      <c r="A2880" s="89" t="str">
        <f t="shared" si="264"/>
        <v/>
      </c>
      <c r="B2880" s="89" t="str">
        <f t="shared" si="265"/>
        <v/>
      </c>
      <c r="S2880" s="89" t="str">
        <f t="shared" si="266"/>
        <v/>
      </c>
      <c r="X2880" s="64">
        <f t="shared" si="267"/>
        <v>0</v>
      </c>
      <c r="Y2880" s="53">
        <f t="shared" si="268"/>
        <v>0</v>
      </c>
      <c r="Z2880" s="64">
        <f t="shared" si="269"/>
        <v>0</v>
      </c>
    </row>
    <row r="2881" spans="1:26">
      <c r="A2881" s="89" t="str">
        <f t="shared" si="264"/>
        <v/>
      </c>
      <c r="B2881" s="89" t="str">
        <f t="shared" si="265"/>
        <v/>
      </c>
      <c r="S2881" s="89" t="str">
        <f t="shared" si="266"/>
        <v/>
      </c>
      <c r="X2881" s="64">
        <f t="shared" si="267"/>
        <v>0</v>
      </c>
      <c r="Y2881" s="53">
        <f t="shared" si="268"/>
        <v>0</v>
      </c>
      <c r="Z2881" s="64">
        <f t="shared" si="269"/>
        <v>0</v>
      </c>
    </row>
    <row r="2882" spans="1:26">
      <c r="A2882" s="89" t="str">
        <f t="shared" si="264"/>
        <v/>
      </c>
      <c r="B2882" s="89" t="str">
        <f t="shared" si="265"/>
        <v/>
      </c>
      <c r="S2882" s="89" t="str">
        <f t="shared" si="266"/>
        <v/>
      </c>
      <c r="X2882" s="64">
        <f t="shared" si="267"/>
        <v>0</v>
      </c>
      <c r="Y2882" s="53">
        <f t="shared" si="268"/>
        <v>0</v>
      </c>
      <c r="Z2882" s="64">
        <f t="shared" si="269"/>
        <v>0</v>
      </c>
    </row>
    <row r="2883" spans="1:26">
      <c r="A2883" s="89" t="str">
        <f t="shared" ref="A2883:A2946" si="270">IF(G2883&amp;Q2883&lt;&gt;"",G2883&amp;Q2883,"")</f>
        <v/>
      </c>
      <c r="B2883" s="89" t="str">
        <f t="shared" ref="B2883:B2946" si="271">IF(C2883&lt;&gt;"",LEFT(C2883,9),"")</f>
        <v/>
      </c>
      <c r="S2883" s="89" t="str">
        <f t="shared" ref="S2883:S2946" si="272">IF(H2883&lt;&gt;"",H2883,"")</f>
        <v/>
      </c>
      <c r="X2883" s="64">
        <f t="shared" ref="X2883:X2946" si="273">IFERROR(VALUE(MID($C2883,1,2)),0)</f>
        <v>0</v>
      </c>
      <c r="Y2883" s="53">
        <f t="shared" ref="Y2883:Y2946" si="274">IFERROR(VALUE(MID($C2883,4,3)),0)</f>
        <v>0</v>
      </c>
      <c r="Z2883" s="64">
        <f t="shared" ref="Z2883:Z2946" si="275">VALUE(RIGHT("00"&amp;X2883,2)&amp;RIGHT("000"&amp;Y2883,3))</f>
        <v>0</v>
      </c>
    </row>
    <row r="2884" spans="1:26">
      <c r="A2884" s="89" t="str">
        <f t="shared" si="270"/>
        <v/>
      </c>
      <c r="B2884" s="89" t="str">
        <f t="shared" si="271"/>
        <v/>
      </c>
      <c r="S2884" s="89" t="str">
        <f t="shared" si="272"/>
        <v/>
      </c>
      <c r="X2884" s="64">
        <f t="shared" si="273"/>
        <v>0</v>
      </c>
      <c r="Y2884" s="53">
        <f t="shared" si="274"/>
        <v>0</v>
      </c>
      <c r="Z2884" s="64">
        <f t="shared" si="275"/>
        <v>0</v>
      </c>
    </row>
    <row r="2885" spans="1:26">
      <c r="A2885" s="89" t="str">
        <f t="shared" si="270"/>
        <v/>
      </c>
      <c r="B2885" s="89" t="str">
        <f t="shared" si="271"/>
        <v/>
      </c>
      <c r="S2885" s="89" t="str">
        <f t="shared" si="272"/>
        <v/>
      </c>
      <c r="X2885" s="64">
        <f t="shared" si="273"/>
        <v>0</v>
      </c>
      <c r="Y2885" s="53">
        <f t="shared" si="274"/>
        <v>0</v>
      </c>
      <c r="Z2885" s="64">
        <f t="shared" si="275"/>
        <v>0</v>
      </c>
    </row>
    <row r="2886" spans="1:26">
      <c r="A2886" s="89" t="str">
        <f t="shared" si="270"/>
        <v/>
      </c>
      <c r="B2886" s="89" t="str">
        <f t="shared" si="271"/>
        <v/>
      </c>
      <c r="S2886" s="89" t="str">
        <f t="shared" si="272"/>
        <v/>
      </c>
      <c r="X2886" s="64">
        <f t="shared" si="273"/>
        <v>0</v>
      </c>
      <c r="Y2886" s="53">
        <f t="shared" si="274"/>
        <v>0</v>
      </c>
      <c r="Z2886" s="64">
        <f t="shared" si="275"/>
        <v>0</v>
      </c>
    </row>
    <row r="2887" spans="1:26">
      <c r="A2887" s="89" t="str">
        <f t="shared" si="270"/>
        <v/>
      </c>
      <c r="B2887" s="89" t="str">
        <f t="shared" si="271"/>
        <v/>
      </c>
      <c r="S2887" s="89" t="str">
        <f t="shared" si="272"/>
        <v/>
      </c>
      <c r="X2887" s="64">
        <f t="shared" si="273"/>
        <v>0</v>
      </c>
      <c r="Y2887" s="53">
        <f t="shared" si="274"/>
        <v>0</v>
      </c>
      <c r="Z2887" s="64">
        <f t="shared" si="275"/>
        <v>0</v>
      </c>
    </row>
    <row r="2888" spans="1:26">
      <c r="A2888" s="89" t="str">
        <f t="shared" si="270"/>
        <v/>
      </c>
      <c r="B2888" s="89" t="str">
        <f t="shared" si="271"/>
        <v/>
      </c>
      <c r="S2888" s="89" t="str">
        <f t="shared" si="272"/>
        <v/>
      </c>
      <c r="X2888" s="64">
        <f t="shared" si="273"/>
        <v>0</v>
      </c>
      <c r="Y2888" s="53">
        <f t="shared" si="274"/>
        <v>0</v>
      </c>
      <c r="Z2888" s="64">
        <f t="shared" si="275"/>
        <v>0</v>
      </c>
    </row>
    <row r="2889" spans="1:26">
      <c r="A2889" s="89" t="str">
        <f t="shared" si="270"/>
        <v/>
      </c>
      <c r="B2889" s="89" t="str">
        <f t="shared" si="271"/>
        <v/>
      </c>
      <c r="S2889" s="89" t="str">
        <f t="shared" si="272"/>
        <v/>
      </c>
      <c r="X2889" s="64">
        <f t="shared" si="273"/>
        <v>0</v>
      </c>
      <c r="Y2889" s="53">
        <f t="shared" si="274"/>
        <v>0</v>
      </c>
      <c r="Z2889" s="64">
        <f t="shared" si="275"/>
        <v>0</v>
      </c>
    </row>
    <row r="2890" spans="1:26">
      <c r="A2890" s="89" t="str">
        <f t="shared" si="270"/>
        <v/>
      </c>
      <c r="B2890" s="89" t="str">
        <f t="shared" si="271"/>
        <v/>
      </c>
      <c r="S2890" s="89" t="str">
        <f t="shared" si="272"/>
        <v/>
      </c>
      <c r="X2890" s="64">
        <f t="shared" si="273"/>
        <v>0</v>
      </c>
      <c r="Y2890" s="53">
        <f t="shared" si="274"/>
        <v>0</v>
      </c>
      <c r="Z2890" s="64">
        <f t="shared" si="275"/>
        <v>0</v>
      </c>
    </row>
    <row r="2891" spans="1:26">
      <c r="A2891" s="89" t="str">
        <f t="shared" si="270"/>
        <v/>
      </c>
      <c r="B2891" s="89" t="str">
        <f t="shared" si="271"/>
        <v/>
      </c>
      <c r="S2891" s="89" t="str">
        <f t="shared" si="272"/>
        <v/>
      </c>
      <c r="X2891" s="64">
        <f t="shared" si="273"/>
        <v>0</v>
      </c>
      <c r="Y2891" s="53">
        <f t="shared" si="274"/>
        <v>0</v>
      </c>
      <c r="Z2891" s="64">
        <f t="shared" si="275"/>
        <v>0</v>
      </c>
    </row>
    <row r="2892" spans="1:26">
      <c r="A2892" s="89" t="str">
        <f t="shared" si="270"/>
        <v/>
      </c>
      <c r="B2892" s="89" t="str">
        <f t="shared" si="271"/>
        <v/>
      </c>
      <c r="S2892" s="89" t="str">
        <f t="shared" si="272"/>
        <v/>
      </c>
      <c r="X2892" s="64">
        <f t="shared" si="273"/>
        <v>0</v>
      </c>
      <c r="Y2892" s="53">
        <f t="shared" si="274"/>
        <v>0</v>
      </c>
      <c r="Z2892" s="64">
        <f t="shared" si="275"/>
        <v>0</v>
      </c>
    </row>
    <row r="2893" spans="1:26">
      <c r="A2893" s="89" t="str">
        <f t="shared" si="270"/>
        <v/>
      </c>
      <c r="B2893" s="89" t="str">
        <f t="shared" si="271"/>
        <v/>
      </c>
      <c r="S2893" s="89" t="str">
        <f t="shared" si="272"/>
        <v/>
      </c>
      <c r="X2893" s="64">
        <f t="shared" si="273"/>
        <v>0</v>
      </c>
      <c r="Y2893" s="53">
        <f t="shared" si="274"/>
        <v>0</v>
      </c>
      <c r="Z2893" s="64">
        <f t="shared" si="275"/>
        <v>0</v>
      </c>
    </row>
    <row r="2894" spans="1:26">
      <c r="A2894" s="89" t="str">
        <f t="shared" si="270"/>
        <v/>
      </c>
      <c r="B2894" s="89" t="str">
        <f t="shared" si="271"/>
        <v/>
      </c>
      <c r="S2894" s="89" t="str">
        <f t="shared" si="272"/>
        <v/>
      </c>
      <c r="X2894" s="64">
        <f t="shared" si="273"/>
        <v>0</v>
      </c>
      <c r="Y2894" s="53">
        <f t="shared" si="274"/>
        <v>0</v>
      </c>
      <c r="Z2894" s="64">
        <f t="shared" si="275"/>
        <v>0</v>
      </c>
    </row>
    <row r="2895" spans="1:26">
      <c r="A2895" s="89" t="str">
        <f t="shared" si="270"/>
        <v/>
      </c>
      <c r="B2895" s="89" t="str">
        <f t="shared" si="271"/>
        <v/>
      </c>
      <c r="S2895" s="89" t="str">
        <f t="shared" si="272"/>
        <v/>
      </c>
      <c r="X2895" s="64">
        <f t="shared" si="273"/>
        <v>0</v>
      </c>
      <c r="Y2895" s="53">
        <f t="shared" si="274"/>
        <v>0</v>
      </c>
      <c r="Z2895" s="64">
        <f t="shared" si="275"/>
        <v>0</v>
      </c>
    </row>
    <row r="2896" spans="1:26">
      <c r="A2896" s="89" t="str">
        <f t="shared" si="270"/>
        <v/>
      </c>
      <c r="B2896" s="89" t="str">
        <f t="shared" si="271"/>
        <v/>
      </c>
      <c r="S2896" s="89" t="str">
        <f t="shared" si="272"/>
        <v/>
      </c>
      <c r="X2896" s="64">
        <f t="shared" si="273"/>
        <v>0</v>
      </c>
      <c r="Y2896" s="53">
        <f t="shared" si="274"/>
        <v>0</v>
      </c>
      <c r="Z2896" s="64">
        <f t="shared" si="275"/>
        <v>0</v>
      </c>
    </row>
    <row r="2897" spans="1:26">
      <c r="A2897" s="89" t="str">
        <f t="shared" si="270"/>
        <v/>
      </c>
      <c r="B2897" s="89" t="str">
        <f t="shared" si="271"/>
        <v/>
      </c>
      <c r="S2897" s="89" t="str">
        <f t="shared" si="272"/>
        <v/>
      </c>
      <c r="X2897" s="64">
        <f t="shared" si="273"/>
        <v>0</v>
      </c>
      <c r="Y2897" s="53">
        <f t="shared" si="274"/>
        <v>0</v>
      </c>
      <c r="Z2897" s="64">
        <f t="shared" si="275"/>
        <v>0</v>
      </c>
    </row>
    <row r="2898" spans="1:26">
      <c r="A2898" s="89" t="str">
        <f t="shared" si="270"/>
        <v/>
      </c>
      <c r="B2898" s="89" t="str">
        <f t="shared" si="271"/>
        <v/>
      </c>
      <c r="S2898" s="89" t="str">
        <f t="shared" si="272"/>
        <v/>
      </c>
      <c r="X2898" s="64">
        <f t="shared" si="273"/>
        <v>0</v>
      </c>
      <c r="Y2898" s="53">
        <f t="shared" si="274"/>
        <v>0</v>
      </c>
      <c r="Z2898" s="64">
        <f t="shared" si="275"/>
        <v>0</v>
      </c>
    </row>
    <row r="2899" spans="1:26">
      <c r="A2899" s="89" t="str">
        <f t="shared" si="270"/>
        <v/>
      </c>
      <c r="B2899" s="89" t="str">
        <f t="shared" si="271"/>
        <v/>
      </c>
      <c r="S2899" s="89" t="str">
        <f t="shared" si="272"/>
        <v/>
      </c>
      <c r="X2899" s="64">
        <f t="shared" si="273"/>
        <v>0</v>
      </c>
      <c r="Y2899" s="53">
        <f t="shared" si="274"/>
        <v>0</v>
      </c>
      <c r="Z2899" s="64">
        <f t="shared" si="275"/>
        <v>0</v>
      </c>
    </row>
    <row r="2900" spans="1:26">
      <c r="A2900" s="89" t="str">
        <f t="shared" si="270"/>
        <v/>
      </c>
      <c r="B2900" s="89" t="str">
        <f t="shared" si="271"/>
        <v/>
      </c>
      <c r="S2900" s="89" t="str">
        <f t="shared" si="272"/>
        <v/>
      </c>
      <c r="X2900" s="64">
        <f t="shared" si="273"/>
        <v>0</v>
      </c>
      <c r="Y2900" s="53">
        <f t="shared" si="274"/>
        <v>0</v>
      </c>
      <c r="Z2900" s="64">
        <f t="shared" si="275"/>
        <v>0</v>
      </c>
    </row>
    <row r="2901" spans="1:26">
      <c r="A2901" s="89" t="str">
        <f t="shared" si="270"/>
        <v/>
      </c>
      <c r="B2901" s="89" t="str">
        <f t="shared" si="271"/>
        <v/>
      </c>
      <c r="S2901" s="89" t="str">
        <f t="shared" si="272"/>
        <v/>
      </c>
      <c r="X2901" s="64">
        <f t="shared" si="273"/>
        <v>0</v>
      </c>
      <c r="Y2901" s="53">
        <f t="shared" si="274"/>
        <v>0</v>
      </c>
      <c r="Z2901" s="64">
        <f t="shared" si="275"/>
        <v>0</v>
      </c>
    </row>
    <row r="2902" spans="1:26">
      <c r="A2902" s="89" t="str">
        <f t="shared" si="270"/>
        <v/>
      </c>
      <c r="B2902" s="89" t="str">
        <f t="shared" si="271"/>
        <v/>
      </c>
      <c r="S2902" s="89" t="str">
        <f t="shared" si="272"/>
        <v/>
      </c>
      <c r="X2902" s="64">
        <f t="shared" si="273"/>
        <v>0</v>
      </c>
      <c r="Y2902" s="53">
        <f t="shared" si="274"/>
        <v>0</v>
      </c>
      <c r="Z2902" s="64">
        <f t="shared" si="275"/>
        <v>0</v>
      </c>
    </row>
    <row r="2903" spans="1:26">
      <c r="A2903" s="89" t="str">
        <f t="shared" si="270"/>
        <v/>
      </c>
      <c r="B2903" s="89" t="str">
        <f t="shared" si="271"/>
        <v/>
      </c>
      <c r="S2903" s="89" t="str">
        <f t="shared" si="272"/>
        <v/>
      </c>
      <c r="X2903" s="64">
        <f t="shared" si="273"/>
        <v>0</v>
      </c>
      <c r="Y2903" s="53">
        <f t="shared" si="274"/>
        <v>0</v>
      </c>
      <c r="Z2903" s="64">
        <f t="shared" si="275"/>
        <v>0</v>
      </c>
    </row>
    <row r="2904" spans="1:26">
      <c r="A2904" s="89" t="str">
        <f t="shared" si="270"/>
        <v/>
      </c>
      <c r="B2904" s="89" t="str">
        <f t="shared" si="271"/>
        <v/>
      </c>
      <c r="S2904" s="89" t="str">
        <f t="shared" si="272"/>
        <v/>
      </c>
      <c r="X2904" s="64">
        <f t="shared" si="273"/>
        <v>0</v>
      </c>
      <c r="Y2904" s="53">
        <f t="shared" si="274"/>
        <v>0</v>
      </c>
      <c r="Z2904" s="64">
        <f t="shared" si="275"/>
        <v>0</v>
      </c>
    </row>
    <row r="2905" spans="1:26">
      <c r="A2905" s="89" t="str">
        <f t="shared" si="270"/>
        <v/>
      </c>
      <c r="B2905" s="89" t="str">
        <f t="shared" si="271"/>
        <v/>
      </c>
      <c r="S2905" s="89" t="str">
        <f t="shared" si="272"/>
        <v/>
      </c>
      <c r="X2905" s="64">
        <f t="shared" si="273"/>
        <v>0</v>
      </c>
      <c r="Y2905" s="53">
        <f t="shared" si="274"/>
        <v>0</v>
      </c>
      <c r="Z2905" s="64">
        <f t="shared" si="275"/>
        <v>0</v>
      </c>
    </row>
    <row r="2906" spans="1:26">
      <c r="A2906" s="89" t="str">
        <f t="shared" si="270"/>
        <v/>
      </c>
      <c r="B2906" s="89" t="str">
        <f t="shared" si="271"/>
        <v/>
      </c>
      <c r="S2906" s="89" t="str">
        <f t="shared" si="272"/>
        <v/>
      </c>
      <c r="X2906" s="64">
        <f t="shared" si="273"/>
        <v>0</v>
      </c>
      <c r="Y2906" s="53">
        <f t="shared" si="274"/>
        <v>0</v>
      </c>
      <c r="Z2906" s="64">
        <f t="shared" si="275"/>
        <v>0</v>
      </c>
    </row>
    <row r="2907" spans="1:26">
      <c r="A2907" s="89" t="str">
        <f t="shared" si="270"/>
        <v/>
      </c>
      <c r="B2907" s="89" t="str">
        <f t="shared" si="271"/>
        <v/>
      </c>
      <c r="S2907" s="89" t="str">
        <f t="shared" si="272"/>
        <v/>
      </c>
      <c r="X2907" s="64">
        <f t="shared" si="273"/>
        <v>0</v>
      </c>
      <c r="Y2907" s="53">
        <f t="shared" si="274"/>
        <v>0</v>
      </c>
      <c r="Z2907" s="64">
        <f t="shared" si="275"/>
        <v>0</v>
      </c>
    </row>
    <row r="2908" spans="1:26">
      <c r="A2908" s="89" t="str">
        <f t="shared" si="270"/>
        <v/>
      </c>
      <c r="B2908" s="89" t="str">
        <f t="shared" si="271"/>
        <v/>
      </c>
      <c r="S2908" s="89" t="str">
        <f t="shared" si="272"/>
        <v/>
      </c>
      <c r="X2908" s="64">
        <f t="shared" si="273"/>
        <v>0</v>
      </c>
      <c r="Y2908" s="53">
        <f t="shared" si="274"/>
        <v>0</v>
      </c>
      <c r="Z2908" s="64">
        <f t="shared" si="275"/>
        <v>0</v>
      </c>
    </row>
    <row r="2909" spans="1:26">
      <c r="A2909" s="89" t="str">
        <f t="shared" si="270"/>
        <v/>
      </c>
      <c r="B2909" s="89" t="str">
        <f t="shared" si="271"/>
        <v/>
      </c>
      <c r="S2909" s="89" t="str">
        <f t="shared" si="272"/>
        <v/>
      </c>
      <c r="X2909" s="64">
        <f t="shared" si="273"/>
        <v>0</v>
      </c>
      <c r="Y2909" s="53">
        <f t="shared" si="274"/>
        <v>0</v>
      </c>
      <c r="Z2909" s="64">
        <f t="shared" si="275"/>
        <v>0</v>
      </c>
    </row>
    <row r="2910" spans="1:26">
      <c r="A2910" s="89" t="str">
        <f t="shared" si="270"/>
        <v/>
      </c>
      <c r="B2910" s="89" t="str">
        <f t="shared" si="271"/>
        <v/>
      </c>
      <c r="S2910" s="89" t="str">
        <f t="shared" si="272"/>
        <v/>
      </c>
      <c r="X2910" s="64">
        <f t="shared" si="273"/>
        <v>0</v>
      </c>
      <c r="Y2910" s="53">
        <f t="shared" si="274"/>
        <v>0</v>
      </c>
      <c r="Z2910" s="64">
        <f t="shared" si="275"/>
        <v>0</v>
      </c>
    </row>
    <row r="2911" spans="1:26">
      <c r="A2911" s="89" t="str">
        <f t="shared" si="270"/>
        <v/>
      </c>
      <c r="B2911" s="89" t="str">
        <f t="shared" si="271"/>
        <v/>
      </c>
      <c r="S2911" s="89" t="str">
        <f t="shared" si="272"/>
        <v/>
      </c>
      <c r="X2911" s="64">
        <f t="shared" si="273"/>
        <v>0</v>
      </c>
      <c r="Y2911" s="53">
        <f t="shared" si="274"/>
        <v>0</v>
      </c>
      <c r="Z2911" s="64">
        <f t="shared" si="275"/>
        <v>0</v>
      </c>
    </row>
    <row r="2912" spans="1:26">
      <c r="A2912" s="89" t="str">
        <f t="shared" si="270"/>
        <v/>
      </c>
      <c r="B2912" s="89" t="str">
        <f t="shared" si="271"/>
        <v/>
      </c>
      <c r="S2912" s="89" t="str">
        <f t="shared" si="272"/>
        <v/>
      </c>
      <c r="X2912" s="64">
        <f t="shared" si="273"/>
        <v>0</v>
      </c>
      <c r="Y2912" s="53">
        <f t="shared" si="274"/>
        <v>0</v>
      </c>
      <c r="Z2912" s="64">
        <f t="shared" si="275"/>
        <v>0</v>
      </c>
    </row>
    <row r="2913" spans="1:26">
      <c r="A2913" s="89" t="str">
        <f t="shared" si="270"/>
        <v/>
      </c>
      <c r="B2913" s="89" t="str">
        <f t="shared" si="271"/>
        <v/>
      </c>
      <c r="S2913" s="89" t="str">
        <f t="shared" si="272"/>
        <v/>
      </c>
      <c r="X2913" s="64">
        <f t="shared" si="273"/>
        <v>0</v>
      </c>
      <c r="Y2913" s="53">
        <f t="shared" si="274"/>
        <v>0</v>
      </c>
      <c r="Z2913" s="64">
        <f t="shared" si="275"/>
        <v>0</v>
      </c>
    </row>
    <row r="2914" spans="1:26">
      <c r="A2914" s="89" t="str">
        <f t="shared" si="270"/>
        <v/>
      </c>
      <c r="B2914" s="89" t="str">
        <f t="shared" si="271"/>
        <v/>
      </c>
      <c r="S2914" s="89" t="str">
        <f t="shared" si="272"/>
        <v/>
      </c>
      <c r="X2914" s="64">
        <f t="shared" si="273"/>
        <v>0</v>
      </c>
      <c r="Y2914" s="53">
        <f t="shared" si="274"/>
        <v>0</v>
      </c>
      <c r="Z2914" s="64">
        <f t="shared" si="275"/>
        <v>0</v>
      </c>
    </row>
    <row r="2915" spans="1:26">
      <c r="A2915" s="89" t="str">
        <f t="shared" si="270"/>
        <v/>
      </c>
      <c r="B2915" s="89" t="str">
        <f t="shared" si="271"/>
        <v/>
      </c>
      <c r="S2915" s="89" t="str">
        <f t="shared" si="272"/>
        <v/>
      </c>
      <c r="X2915" s="64">
        <f t="shared" si="273"/>
        <v>0</v>
      </c>
      <c r="Y2915" s="53">
        <f t="shared" si="274"/>
        <v>0</v>
      </c>
      <c r="Z2915" s="64">
        <f t="shared" si="275"/>
        <v>0</v>
      </c>
    </row>
    <row r="2916" spans="1:26">
      <c r="A2916" s="89" t="str">
        <f t="shared" si="270"/>
        <v/>
      </c>
      <c r="B2916" s="89" t="str">
        <f t="shared" si="271"/>
        <v/>
      </c>
      <c r="S2916" s="89" t="str">
        <f t="shared" si="272"/>
        <v/>
      </c>
      <c r="X2916" s="64">
        <f t="shared" si="273"/>
        <v>0</v>
      </c>
      <c r="Y2916" s="53">
        <f t="shared" si="274"/>
        <v>0</v>
      </c>
      <c r="Z2916" s="64">
        <f t="shared" si="275"/>
        <v>0</v>
      </c>
    </row>
    <row r="2917" spans="1:26">
      <c r="A2917" s="89" t="str">
        <f t="shared" si="270"/>
        <v/>
      </c>
      <c r="B2917" s="89" t="str">
        <f t="shared" si="271"/>
        <v/>
      </c>
      <c r="S2917" s="89" t="str">
        <f t="shared" si="272"/>
        <v/>
      </c>
      <c r="X2917" s="64">
        <f t="shared" si="273"/>
        <v>0</v>
      </c>
      <c r="Y2917" s="53">
        <f t="shared" si="274"/>
        <v>0</v>
      </c>
      <c r="Z2917" s="64">
        <f t="shared" si="275"/>
        <v>0</v>
      </c>
    </row>
    <row r="2918" spans="1:26">
      <c r="A2918" s="89" t="str">
        <f t="shared" si="270"/>
        <v/>
      </c>
      <c r="B2918" s="89" t="str">
        <f t="shared" si="271"/>
        <v/>
      </c>
      <c r="S2918" s="89" t="str">
        <f t="shared" si="272"/>
        <v/>
      </c>
      <c r="X2918" s="64">
        <f t="shared" si="273"/>
        <v>0</v>
      </c>
      <c r="Y2918" s="53">
        <f t="shared" si="274"/>
        <v>0</v>
      </c>
      <c r="Z2918" s="64">
        <f t="shared" si="275"/>
        <v>0</v>
      </c>
    </row>
    <row r="2919" spans="1:26">
      <c r="A2919" s="89" t="str">
        <f t="shared" si="270"/>
        <v/>
      </c>
      <c r="B2919" s="89" t="str">
        <f t="shared" si="271"/>
        <v/>
      </c>
      <c r="S2919" s="89" t="str">
        <f t="shared" si="272"/>
        <v/>
      </c>
      <c r="X2919" s="64">
        <f t="shared" si="273"/>
        <v>0</v>
      </c>
      <c r="Y2919" s="53">
        <f t="shared" si="274"/>
        <v>0</v>
      </c>
      <c r="Z2919" s="64">
        <f t="shared" si="275"/>
        <v>0</v>
      </c>
    </row>
    <row r="2920" spans="1:26">
      <c r="A2920" s="89" t="str">
        <f t="shared" si="270"/>
        <v/>
      </c>
      <c r="B2920" s="89" t="str">
        <f t="shared" si="271"/>
        <v/>
      </c>
      <c r="S2920" s="89" t="str">
        <f t="shared" si="272"/>
        <v/>
      </c>
      <c r="X2920" s="64">
        <f t="shared" si="273"/>
        <v>0</v>
      </c>
      <c r="Y2920" s="53">
        <f t="shared" si="274"/>
        <v>0</v>
      </c>
      <c r="Z2920" s="64">
        <f t="shared" si="275"/>
        <v>0</v>
      </c>
    </row>
    <row r="2921" spans="1:26">
      <c r="A2921" s="89" t="str">
        <f t="shared" si="270"/>
        <v/>
      </c>
      <c r="B2921" s="89" t="str">
        <f t="shared" si="271"/>
        <v/>
      </c>
      <c r="S2921" s="89" t="str">
        <f t="shared" si="272"/>
        <v/>
      </c>
      <c r="X2921" s="64">
        <f t="shared" si="273"/>
        <v>0</v>
      </c>
      <c r="Y2921" s="53">
        <f t="shared" si="274"/>
        <v>0</v>
      </c>
      <c r="Z2921" s="64">
        <f t="shared" si="275"/>
        <v>0</v>
      </c>
    </row>
    <row r="2922" spans="1:26">
      <c r="A2922" s="89" t="str">
        <f t="shared" si="270"/>
        <v/>
      </c>
      <c r="B2922" s="89" t="str">
        <f t="shared" si="271"/>
        <v/>
      </c>
      <c r="S2922" s="89" t="str">
        <f t="shared" si="272"/>
        <v/>
      </c>
      <c r="X2922" s="64">
        <f t="shared" si="273"/>
        <v>0</v>
      </c>
      <c r="Y2922" s="53">
        <f t="shared" si="274"/>
        <v>0</v>
      </c>
      <c r="Z2922" s="64">
        <f t="shared" si="275"/>
        <v>0</v>
      </c>
    </row>
    <row r="2923" spans="1:26">
      <c r="A2923" s="89" t="str">
        <f t="shared" si="270"/>
        <v/>
      </c>
      <c r="B2923" s="89" t="str">
        <f t="shared" si="271"/>
        <v/>
      </c>
      <c r="S2923" s="89" t="str">
        <f t="shared" si="272"/>
        <v/>
      </c>
      <c r="X2923" s="64">
        <f t="shared" si="273"/>
        <v>0</v>
      </c>
      <c r="Y2923" s="53">
        <f t="shared" si="274"/>
        <v>0</v>
      </c>
      <c r="Z2923" s="64">
        <f t="shared" si="275"/>
        <v>0</v>
      </c>
    </row>
    <row r="2924" spans="1:26">
      <c r="A2924" s="89" t="str">
        <f t="shared" si="270"/>
        <v/>
      </c>
      <c r="B2924" s="89" t="str">
        <f t="shared" si="271"/>
        <v/>
      </c>
      <c r="S2924" s="89" t="str">
        <f t="shared" si="272"/>
        <v/>
      </c>
      <c r="X2924" s="64">
        <f t="shared" si="273"/>
        <v>0</v>
      </c>
      <c r="Y2924" s="53">
        <f t="shared" si="274"/>
        <v>0</v>
      </c>
      <c r="Z2924" s="64">
        <f t="shared" si="275"/>
        <v>0</v>
      </c>
    </row>
    <row r="2925" spans="1:26">
      <c r="A2925" s="89" t="str">
        <f t="shared" si="270"/>
        <v/>
      </c>
      <c r="B2925" s="89" t="str">
        <f t="shared" si="271"/>
        <v/>
      </c>
      <c r="S2925" s="89" t="str">
        <f t="shared" si="272"/>
        <v/>
      </c>
      <c r="X2925" s="64">
        <f t="shared" si="273"/>
        <v>0</v>
      </c>
      <c r="Y2925" s="53">
        <f t="shared" si="274"/>
        <v>0</v>
      </c>
      <c r="Z2925" s="64">
        <f t="shared" si="275"/>
        <v>0</v>
      </c>
    </row>
    <row r="2926" spans="1:26">
      <c r="A2926" s="89" t="str">
        <f t="shared" si="270"/>
        <v/>
      </c>
      <c r="B2926" s="89" t="str">
        <f t="shared" si="271"/>
        <v/>
      </c>
      <c r="S2926" s="89" t="str">
        <f t="shared" si="272"/>
        <v/>
      </c>
      <c r="X2926" s="64">
        <f t="shared" si="273"/>
        <v>0</v>
      </c>
      <c r="Y2926" s="53">
        <f t="shared" si="274"/>
        <v>0</v>
      </c>
      <c r="Z2926" s="64">
        <f t="shared" si="275"/>
        <v>0</v>
      </c>
    </row>
    <row r="2927" spans="1:26">
      <c r="A2927" s="89" t="str">
        <f t="shared" si="270"/>
        <v/>
      </c>
      <c r="B2927" s="89" t="str">
        <f t="shared" si="271"/>
        <v/>
      </c>
      <c r="S2927" s="89" t="str">
        <f t="shared" si="272"/>
        <v/>
      </c>
      <c r="X2927" s="64">
        <f t="shared" si="273"/>
        <v>0</v>
      </c>
      <c r="Y2927" s="53">
        <f t="shared" si="274"/>
        <v>0</v>
      </c>
      <c r="Z2927" s="64">
        <f t="shared" si="275"/>
        <v>0</v>
      </c>
    </row>
    <row r="2928" spans="1:26">
      <c r="A2928" s="89" t="str">
        <f t="shared" si="270"/>
        <v/>
      </c>
      <c r="B2928" s="89" t="str">
        <f t="shared" si="271"/>
        <v/>
      </c>
      <c r="S2928" s="89" t="str">
        <f t="shared" si="272"/>
        <v/>
      </c>
      <c r="X2928" s="64">
        <f t="shared" si="273"/>
        <v>0</v>
      </c>
      <c r="Y2928" s="53">
        <f t="shared" si="274"/>
        <v>0</v>
      </c>
      <c r="Z2928" s="64">
        <f t="shared" si="275"/>
        <v>0</v>
      </c>
    </row>
    <row r="2929" spans="1:26">
      <c r="A2929" s="89" t="str">
        <f t="shared" si="270"/>
        <v/>
      </c>
      <c r="B2929" s="89" t="str">
        <f t="shared" si="271"/>
        <v/>
      </c>
      <c r="S2929" s="89" t="str">
        <f t="shared" si="272"/>
        <v/>
      </c>
      <c r="X2929" s="64">
        <f t="shared" si="273"/>
        <v>0</v>
      </c>
      <c r="Y2929" s="53">
        <f t="shared" si="274"/>
        <v>0</v>
      </c>
      <c r="Z2929" s="64">
        <f t="shared" si="275"/>
        <v>0</v>
      </c>
    </row>
    <row r="2930" spans="1:26">
      <c r="A2930" s="89" t="str">
        <f t="shared" si="270"/>
        <v/>
      </c>
      <c r="B2930" s="89" t="str">
        <f t="shared" si="271"/>
        <v/>
      </c>
      <c r="S2930" s="89" t="str">
        <f t="shared" si="272"/>
        <v/>
      </c>
      <c r="X2930" s="64">
        <f t="shared" si="273"/>
        <v>0</v>
      </c>
      <c r="Y2930" s="53">
        <f t="shared" si="274"/>
        <v>0</v>
      </c>
      <c r="Z2930" s="64">
        <f t="shared" si="275"/>
        <v>0</v>
      </c>
    </row>
    <row r="2931" spans="1:26">
      <c r="A2931" s="89" t="str">
        <f t="shared" si="270"/>
        <v/>
      </c>
      <c r="B2931" s="89" t="str">
        <f t="shared" si="271"/>
        <v/>
      </c>
      <c r="S2931" s="89" t="str">
        <f t="shared" si="272"/>
        <v/>
      </c>
      <c r="X2931" s="64">
        <f t="shared" si="273"/>
        <v>0</v>
      </c>
      <c r="Y2931" s="53">
        <f t="shared" si="274"/>
        <v>0</v>
      </c>
      <c r="Z2931" s="64">
        <f t="shared" si="275"/>
        <v>0</v>
      </c>
    </row>
    <row r="2932" spans="1:26">
      <c r="A2932" s="89" t="str">
        <f t="shared" si="270"/>
        <v/>
      </c>
      <c r="B2932" s="89" t="str">
        <f t="shared" si="271"/>
        <v/>
      </c>
      <c r="S2932" s="89" t="str">
        <f t="shared" si="272"/>
        <v/>
      </c>
      <c r="X2932" s="64">
        <f t="shared" si="273"/>
        <v>0</v>
      </c>
      <c r="Y2932" s="53">
        <f t="shared" si="274"/>
        <v>0</v>
      </c>
      <c r="Z2932" s="64">
        <f t="shared" si="275"/>
        <v>0</v>
      </c>
    </row>
    <row r="2933" spans="1:26">
      <c r="A2933" s="89" t="str">
        <f t="shared" si="270"/>
        <v/>
      </c>
      <c r="B2933" s="89" t="str">
        <f t="shared" si="271"/>
        <v/>
      </c>
      <c r="S2933" s="89" t="str">
        <f t="shared" si="272"/>
        <v/>
      </c>
      <c r="X2933" s="64">
        <f t="shared" si="273"/>
        <v>0</v>
      </c>
      <c r="Y2933" s="53">
        <f t="shared" si="274"/>
        <v>0</v>
      </c>
      <c r="Z2933" s="64">
        <f t="shared" si="275"/>
        <v>0</v>
      </c>
    </row>
    <row r="2934" spans="1:26">
      <c r="A2934" s="89" t="str">
        <f t="shared" si="270"/>
        <v/>
      </c>
      <c r="B2934" s="89" t="str">
        <f t="shared" si="271"/>
        <v/>
      </c>
      <c r="S2934" s="89" t="str">
        <f t="shared" si="272"/>
        <v/>
      </c>
      <c r="X2934" s="64">
        <f t="shared" si="273"/>
        <v>0</v>
      </c>
      <c r="Y2934" s="53">
        <f t="shared" si="274"/>
        <v>0</v>
      </c>
      <c r="Z2934" s="64">
        <f t="shared" si="275"/>
        <v>0</v>
      </c>
    </row>
    <row r="2935" spans="1:26">
      <c r="A2935" s="89" t="str">
        <f t="shared" si="270"/>
        <v/>
      </c>
      <c r="B2935" s="89" t="str">
        <f t="shared" si="271"/>
        <v/>
      </c>
      <c r="S2935" s="89" t="str">
        <f t="shared" si="272"/>
        <v/>
      </c>
      <c r="X2935" s="64">
        <f t="shared" si="273"/>
        <v>0</v>
      </c>
      <c r="Y2935" s="53">
        <f t="shared" si="274"/>
        <v>0</v>
      </c>
      <c r="Z2935" s="64">
        <f t="shared" si="275"/>
        <v>0</v>
      </c>
    </row>
    <row r="2936" spans="1:26">
      <c r="A2936" s="89" t="str">
        <f t="shared" si="270"/>
        <v/>
      </c>
      <c r="B2936" s="89" t="str">
        <f t="shared" si="271"/>
        <v/>
      </c>
      <c r="S2936" s="89" t="str">
        <f t="shared" si="272"/>
        <v/>
      </c>
      <c r="X2936" s="64">
        <f t="shared" si="273"/>
        <v>0</v>
      </c>
      <c r="Y2936" s="53">
        <f t="shared" si="274"/>
        <v>0</v>
      </c>
      <c r="Z2936" s="64">
        <f t="shared" si="275"/>
        <v>0</v>
      </c>
    </row>
    <row r="2937" spans="1:26">
      <c r="A2937" s="89" t="str">
        <f t="shared" si="270"/>
        <v/>
      </c>
      <c r="B2937" s="89" t="str">
        <f t="shared" si="271"/>
        <v/>
      </c>
      <c r="S2937" s="89" t="str">
        <f t="shared" si="272"/>
        <v/>
      </c>
      <c r="X2937" s="64">
        <f t="shared" si="273"/>
        <v>0</v>
      </c>
      <c r="Y2937" s="53">
        <f t="shared" si="274"/>
        <v>0</v>
      </c>
      <c r="Z2937" s="64">
        <f t="shared" si="275"/>
        <v>0</v>
      </c>
    </row>
    <row r="2938" spans="1:26">
      <c r="A2938" s="89" t="str">
        <f t="shared" si="270"/>
        <v/>
      </c>
      <c r="B2938" s="89" t="str">
        <f t="shared" si="271"/>
        <v/>
      </c>
      <c r="S2938" s="89" t="str">
        <f t="shared" si="272"/>
        <v/>
      </c>
      <c r="X2938" s="64">
        <f t="shared" si="273"/>
        <v>0</v>
      </c>
      <c r="Y2938" s="53">
        <f t="shared" si="274"/>
        <v>0</v>
      </c>
      <c r="Z2938" s="64">
        <f t="shared" si="275"/>
        <v>0</v>
      </c>
    </row>
    <row r="2939" spans="1:26">
      <c r="A2939" s="89" t="str">
        <f t="shared" si="270"/>
        <v/>
      </c>
      <c r="B2939" s="89" t="str">
        <f t="shared" si="271"/>
        <v/>
      </c>
      <c r="S2939" s="89" t="str">
        <f t="shared" si="272"/>
        <v/>
      </c>
      <c r="X2939" s="64">
        <f t="shared" si="273"/>
        <v>0</v>
      </c>
      <c r="Y2939" s="53">
        <f t="shared" si="274"/>
        <v>0</v>
      </c>
      <c r="Z2939" s="64">
        <f t="shared" si="275"/>
        <v>0</v>
      </c>
    </row>
    <row r="2940" spans="1:26">
      <c r="A2940" s="89" t="str">
        <f t="shared" si="270"/>
        <v/>
      </c>
      <c r="B2940" s="89" t="str">
        <f t="shared" si="271"/>
        <v/>
      </c>
      <c r="S2940" s="89" t="str">
        <f t="shared" si="272"/>
        <v/>
      </c>
      <c r="X2940" s="64">
        <f t="shared" si="273"/>
        <v>0</v>
      </c>
      <c r="Y2940" s="53">
        <f t="shared" si="274"/>
        <v>0</v>
      </c>
      <c r="Z2940" s="64">
        <f t="shared" si="275"/>
        <v>0</v>
      </c>
    </row>
    <row r="2941" spans="1:26">
      <c r="A2941" s="89" t="str">
        <f t="shared" si="270"/>
        <v/>
      </c>
      <c r="B2941" s="89" t="str">
        <f t="shared" si="271"/>
        <v/>
      </c>
      <c r="S2941" s="89" t="str">
        <f t="shared" si="272"/>
        <v/>
      </c>
      <c r="X2941" s="64">
        <f t="shared" si="273"/>
        <v>0</v>
      </c>
      <c r="Y2941" s="53">
        <f t="shared" si="274"/>
        <v>0</v>
      </c>
      <c r="Z2941" s="64">
        <f t="shared" si="275"/>
        <v>0</v>
      </c>
    </row>
    <row r="2942" spans="1:26">
      <c r="A2942" s="89" t="str">
        <f t="shared" si="270"/>
        <v/>
      </c>
      <c r="B2942" s="89" t="str">
        <f t="shared" si="271"/>
        <v/>
      </c>
      <c r="S2942" s="89" t="str">
        <f t="shared" si="272"/>
        <v/>
      </c>
      <c r="X2942" s="64">
        <f t="shared" si="273"/>
        <v>0</v>
      </c>
      <c r="Y2942" s="53">
        <f t="shared" si="274"/>
        <v>0</v>
      </c>
      <c r="Z2942" s="64">
        <f t="shared" si="275"/>
        <v>0</v>
      </c>
    </row>
    <row r="2943" spans="1:26">
      <c r="A2943" s="89" t="str">
        <f t="shared" si="270"/>
        <v/>
      </c>
      <c r="B2943" s="89" t="str">
        <f t="shared" si="271"/>
        <v/>
      </c>
      <c r="S2943" s="89" t="str">
        <f t="shared" si="272"/>
        <v/>
      </c>
      <c r="X2943" s="64">
        <f t="shared" si="273"/>
        <v>0</v>
      </c>
      <c r="Y2943" s="53">
        <f t="shared" si="274"/>
        <v>0</v>
      </c>
      <c r="Z2943" s="64">
        <f t="shared" si="275"/>
        <v>0</v>
      </c>
    </row>
    <row r="2944" spans="1:26">
      <c r="A2944" s="89" t="str">
        <f t="shared" si="270"/>
        <v/>
      </c>
      <c r="B2944" s="89" t="str">
        <f t="shared" si="271"/>
        <v/>
      </c>
      <c r="S2944" s="89" t="str">
        <f t="shared" si="272"/>
        <v/>
      </c>
      <c r="X2944" s="64">
        <f t="shared" si="273"/>
        <v>0</v>
      </c>
      <c r="Y2944" s="53">
        <f t="shared" si="274"/>
        <v>0</v>
      </c>
      <c r="Z2944" s="64">
        <f t="shared" si="275"/>
        <v>0</v>
      </c>
    </row>
    <row r="2945" spans="1:26">
      <c r="A2945" s="89" t="str">
        <f t="shared" si="270"/>
        <v/>
      </c>
      <c r="B2945" s="89" t="str">
        <f t="shared" si="271"/>
        <v/>
      </c>
      <c r="S2945" s="89" t="str">
        <f t="shared" si="272"/>
        <v/>
      </c>
      <c r="X2945" s="64">
        <f t="shared" si="273"/>
        <v>0</v>
      </c>
      <c r="Y2945" s="53">
        <f t="shared" si="274"/>
        <v>0</v>
      </c>
      <c r="Z2945" s="64">
        <f t="shared" si="275"/>
        <v>0</v>
      </c>
    </row>
    <row r="2946" spans="1:26">
      <c r="A2946" s="89" t="str">
        <f t="shared" si="270"/>
        <v/>
      </c>
      <c r="B2946" s="89" t="str">
        <f t="shared" si="271"/>
        <v/>
      </c>
      <c r="S2946" s="89" t="str">
        <f t="shared" si="272"/>
        <v/>
      </c>
      <c r="X2946" s="64">
        <f t="shared" si="273"/>
        <v>0</v>
      </c>
      <c r="Y2946" s="53">
        <f t="shared" si="274"/>
        <v>0</v>
      </c>
      <c r="Z2946" s="64">
        <f t="shared" si="275"/>
        <v>0</v>
      </c>
    </row>
    <row r="2947" spans="1:26">
      <c r="A2947" s="89" t="str">
        <f t="shared" ref="A2947:A3010" si="276">IF(G2947&amp;Q2947&lt;&gt;"",G2947&amp;Q2947,"")</f>
        <v/>
      </c>
      <c r="B2947" s="89" t="str">
        <f t="shared" ref="B2947:B3010" si="277">IF(C2947&lt;&gt;"",LEFT(C2947,9),"")</f>
        <v/>
      </c>
      <c r="S2947" s="89" t="str">
        <f t="shared" ref="S2947:S3010" si="278">IF(H2947&lt;&gt;"",H2947,"")</f>
        <v/>
      </c>
      <c r="X2947" s="64">
        <f t="shared" ref="X2947:X3010" si="279">IFERROR(VALUE(MID($C2947,1,2)),0)</f>
        <v>0</v>
      </c>
      <c r="Y2947" s="53">
        <f t="shared" ref="Y2947:Y3010" si="280">IFERROR(VALUE(MID($C2947,4,3)),0)</f>
        <v>0</v>
      </c>
      <c r="Z2947" s="64">
        <f t="shared" ref="Z2947:Z3010" si="281">VALUE(RIGHT("00"&amp;X2947,2)&amp;RIGHT("000"&amp;Y2947,3))</f>
        <v>0</v>
      </c>
    </row>
    <row r="2948" spans="1:26">
      <c r="A2948" s="89" t="str">
        <f t="shared" si="276"/>
        <v/>
      </c>
      <c r="B2948" s="89" t="str">
        <f t="shared" si="277"/>
        <v/>
      </c>
      <c r="S2948" s="89" t="str">
        <f t="shared" si="278"/>
        <v/>
      </c>
      <c r="X2948" s="64">
        <f t="shared" si="279"/>
        <v>0</v>
      </c>
      <c r="Y2948" s="53">
        <f t="shared" si="280"/>
        <v>0</v>
      </c>
      <c r="Z2948" s="64">
        <f t="shared" si="281"/>
        <v>0</v>
      </c>
    </row>
    <row r="2949" spans="1:26">
      <c r="A2949" s="89" t="str">
        <f t="shared" si="276"/>
        <v/>
      </c>
      <c r="B2949" s="89" t="str">
        <f t="shared" si="277"/>
        <v/>
      </c>
      <c r="S2949" s="89" t="str">
        <f t="shared" si="278"/>
        <v/>
      </c>
      <c r="X2949" s="64">
        <f t="shared" si="279"/>
        <v>0</v>
      </c>
      <c r="Y2949" s="53">
        <f t="shared" si="280"/>
        <v>0</v>
      </c>
      <c r="Z2949" s="64">
        <f t="shared" si="281"/>
        <v>0</v>
      </c>
    </row>
    <row r="2950" spans="1:26">
      <c r="A2950" s="89" t="str">
        <f t="shared" si="276"/>
        <v/>
      </c>
      <c r="B2950" s="89" t="str">
        <f t="shared" si="277"/>
        <v/>
      </c>
      <c r="S2950" s="89" t="str">
        <f t="shared" si="278"/>
        <v/>
      </c>
      <c r="X2950" s="64">
        <f t="shared" si="279"/>
        <v>0</v>
      </c>
      <c r="Y2950" s="53">
        <f t="shared" si="280"/>
        <v>0</v>
      </c>
      <c r="Z2950" s="64">
        <f t="shared" si="281"/>
        <v>0</v>
      </c>
    </row>
    <row r="2951" spans="1:26">
      <c r="A2951" s="89" t="str">
        <f t="shared" si="276"/>
        <v/>
      </c>
      <c r="B2951" s="89" t="str">
        <f t="shared" si="277"/>
        <v/>
      </c>
      <c r="S2951" s="89" t="str">
        <f t="shared" si="278"/>
        <v/>
      </c>
      <c r="X2951" s="64">
        <f t="shared" si="279"/>
        <v>0</v>
      </c>
      <c r="Y2951" s="53">
        <f t="shared" si="280"/>
        <v>0</v>
      </c>
      <c r="Z2951" s="64">
        <f t="shared" si="281"/>
        <v>0</v>
      </c>
    </row>
    <row r="2952" spans="1:26">
      <c r="A2952" s="89" t="str">
        <f t="shared" si="276"/>
        <v/>
      </c>
      <c r="B2952" s="89" t="str">
        <f t="shared" si="277"/>
        <v/>
      </c>
      <c r="S2952" s="89" t="str">
        <f t="shared" si="278"/>
        <v/>
      </c>
      <c r="X2952" s="64">
        <f t="shared" si="279"/>
        <v>0</v>
      </c>
      <c r="Y2952" s="53">
        <f t="shared" si="280"/>
        <v>0</v>
      </c>
      <c r="Z2952" s="64">
        <f t="shared" si="281"/>
        <v>0</v>
      </c>
    </row>
    <row r="2953" spans="1:26">
      <c r="A2953" s="89" t="str">
        <f t="shared" si="276"/>
        <v/>
      </c>
      <c r="B2953" s="89" t="str">
        <f t="shared" si="277"/>
        <v/>
      </c>
      <c r="S2953" s="89" t="str">
        <f t="shared" si="278"/>
        <v/>
      </c>
      <c r="X2953" s="64">
        <f t="shared" si="279"/>
        <v>0</v>
      </c>
      <c r="Y2953" s="53">
        <f t="shared" si="280"/>
        <v>0</v>
      </c>
      <c r="Z2953" s="64">
        <f t="shared" si="281"/>
        <v>0</v>
      </c>
    </row>
    <row r="2954" spans="1:26">
      <c r="A2954" s="89" t="str">
        <f t="shared" si="276"/>
        <v/>
      </c>
      <c r="B2954" s="89" t="str">
        <f t="shared" si="277"/>
        <v/>
      </c>
      <c r="S2954" s="89" t="str">
        <f t="shared" si="278"/>
        <v/>
      </c>
      <c r="X2954" s="64">
        <f t="shared" si="279"/>
        <v>0</v>
      </c>
      <c r="Y2954" s="53">
        <f t="shared" si="280"/>
        <v>0</v>
      </c>
      <c r="Z2954" s="64">
        <f t="shared" si="281"/>
        <v>0</v>
      </c>
    </row>
    <row r="2955" spans="1:26">
      <c r="A2955" s="89" t="str">
        <f t="shared" si="276"/>
        <v/>
      </c>
      <c r="B2955" s="89" t="str">
        <f t="shared" si="277"/>
        <v/>
      </c>
      <c r="S2955" s="89" t="str">
        <f t="shared" si="278"/>
        <v/>
      </c>
      <c r="X2955" s="64">
        <f t="shared" si="279"/>
        <v>0</v>
      </c>
      <c r="Y2955" s="53">
        <f t="shared" si="280"/>
        <v>0</v>
      </c>
      <c r="Z2955" s="64">
        <f t="shared" si="281"/>
        <v>0</v>
      </c>
    </row>
    <row r="2956" spans="1:26">
      <c r="A2956" s="89" t="str">
        <f t="shared" si="276"/>
        <v/>
      </c>
      <c r="B2956" s="89" t="str">
        <f t="shared" si="277"/>
        <v/>
      </c>
      <c r="S2956" s="89" t="str">
        <f t="shared" si="278"/>
        <v/>
      </c>
      <c r="X2956" s="64">
        <f t="shared" si="279"/>
        <v>0</v>
      </c>
      <c r="Y2956" s="53">
        <f t="shared" si="280"/>
        <v>0</v>
      </c>
      <c r="Z2956" s="64">
        <f t="shared" si="281"/>
        <v>0</v>
      </c>
    </row>
    <row r="2957" spans="1:26">
      <c r="A2957" s="89" t="str">
        <f t="shared" si="276"/>
        <v/>
      </c>
      <c r="B2957" s="89" t="str">
        <f t="shared" si="277"/>
        <v/>
      </c>
      <c r="S2957" s="89" t="str">
        <f t="shared" si="278"/>
        <v/>
      </c>
      <c r="X2957" s="64">
        <f t="shared" si="279"/>
        <v>0</v>
      </c>
      <c r="Y2957" s="53">
        <f t="shared" si="280"/>
        <v>0</v>
      </c>
      <c r="Z2957" s="64">
        <f t="shared" si="281"/>
        <v>0</v>
      </c>
    </row>
    <row r="2958" spans="1:26">
      <c r="A2958" s="89" t="str">
        <f t="shared" si="276"/>
        <v/>
      </c>
      <c r="B2958" s="89" t="str">
        <f t="shared" si="277"/>
        <v/>
      </c>
      <c r="S2958" s="89" t="str">
        <f t="shared" si="278"/>
        <v/>
      </c>
      <c r="X2958" s="64">
        <f t="shared" si="279"/>
        <v>0</v>
      </c>
      <c r="Y2958" s="53">
        <f t="shared" si="280"/>
        <v>0</v>
      </c>
      <c r="Z2958" s="64">
        <f t="shared" si="281"/>
        <v>0</v>
      </c>
    </row>
    <row r="2959" spans="1:26">
      <c r="A2959" s="89" t="str">
        <f t="shared" si="276"/>
        <v/>
      </c>
      <c r="B2959" s="89" t="str">
        <f t="shared" si="277"/>
        <v/>
      </c>
      <c r="S2959" s="89" t="str">
        <f t="shared" si="278"/>
        <v/>
      </c>
      <c r="X2959" s="64">
        <f t="shared" si="279"/>
        <v>0</v>
      </c>
      <c r="Y2959" s="53">
        <f t="shared" si="280"/>
        <v>0</v>
      </c>
      <c r="Z2959" s="64">
        <f t="shared" si="281"/>
        <v>0</v>
      </c>
    </row>
    <row r="2960" spans="1:26">
      <c r="A2960" s="89" t="str">
        <f t="shared" si="276"/>
        <v/>
      </c>
      <c r="B2960" s="89" t="str">
        <f t="shared" si="277"/>
        <v/>
      </c>
      <c r="S2960" s="89" t="str">
        <f t="shared" si="278"/>
        <v/>
      </c>
      <c r="X2960" s="64">
        <f t="shared" si="279"/>
        <v>0</v>
      </c>
      <c r="Y2960" s="53">
        <f t="shared" si="280"/>
        <v>0</v>
      </c>
      <c r="Z2960" s="64">
        <f t="shared" si="281"/>
        <v>0</v>
      </c>
    </row>
    <row r="2961" spans="1:26">
      <c r="A2961" s="89" t="str">
        <f t="shared" si="276"/>
        <v/>
      </c>
      <c r="B2961" s="89" t="str">
        <f t="shared" si="277"/>
        <v/>
      </c>
      <c r="S2961" s="89" t="str">
        <f t="shared" si="278"/>
        <v/>
      </c>
      <c r="X2961" s="64">
        <f t="shared" si="279"/>
        <v>0</v>
      </c>
      <c r="Y2961" s="53">
        <f t="shared" si="280"/>
        <v>0</v>
      </c>
      <c r="Z2961" s="64">
        <f t="shared" si="281"/>
        <v>0</v>
      </c>
    </row>
    <row r="2962" spans="1:26">
      <c r="A2962" s="89" t="str">
        <f t="shared" si="276"/>
        <v/>
      </c>
      <c r="B2962" s="89" t="str">
        <f t="shared" si="277"/>
        <v/>
      </c>
      <c r="S2962" s="89" t="str">
        <f t="shared" si="278"/>
        <v/>
      </c>
      <c r="X2962" s="64">
        <f t="shared" si="279"/>
        <v>0</v>
      </c>
      <c r="Y2962" s="53">
        <f t="shared" si="280"/>
        <v>0</v>
      </c>
      <c r="Z2962" s="64">
        <f t="shared" si="281"/>
        <v>0</v>
      </c>
    </row>
    <row r="2963" spans="1:26">
      <c r="A2963" s="89" t="str">
        <f t="shared" si="276"/>
        <v/>
      </c>
      <c r="B2963" s="89" t="str">
        <f t="shared" si="277"/>
        <v/>
      </c>
      <c r="S2963" s="89" t="str">
        <f t="shared" si="278"/>
        <v/>
      </c>
      <c r="X2963" s="64">
        <f t="shared" si="279"/>
        <v>0</v>
      </c>
      <c r="Y2963" s="53">
        <f t="shared" si="280"/>
        <v>0</v>
      </c>
      <c r="Z2963" s="64">
        <f t="shared" si="281"/>
        <v>0</v>
      </c>
    </row>
    <row r="2964" spans="1:26">
      <c r="A2964" s="89" t="str">
        <f t="shared" si="276"/>
        <v/>
      </c>
      <c r="B2964" s="89" t="str">
        <f t="shared" si="277"/>
        <v/>
      </c>
      <c r="S2964" s="89" t="str">
        <f t="shared" si="278"/>
        <v/>
      </c>
      <c r="X2964" s="64">
        <f t="shared" si="279"/>
        <v>0</v>
      </c>
      <c r="Y2964" s="53">
        <f t="shared" si="280"/>
        <v>0</v>
      </c>
      <c r="Z2964" s="64">
        <f t="shared" si="281"/>
        <v>0</v>
      </c>
    </row>
    <row r="2965" spans="1:26">
      <c r="A2965" s="89" t="str">
        <f t="shared" si="276"/>
        <v/>
      </c>
      <c r="B2965" s="89" t="str">
        <f t="shared" si="277"/>
        <v/>
      </c>
      <c r="S2965" s="89" t="str">
        <f t="shared" si="278"/>
        <v/>
      </c>
      <c r="X2965" s="64">
        <f t="shared" si="279"/>
        <v>0</v>
      </c>
      <c r="Y2965" s="53">
        <f t="shared" si="280"/>
        <v>0</v>
      </c>
      <c r="Z2965" s="64">
        <f t="shared" si="281"/>
        <v>0</v>
      </c>
    </row>
    <row r="2966" spans="1:26">
      <c r="A2966" s="89" t="str">
        <f t="shared" si="276"/>
        <v/>
      </c>
      <c r="B2966" s="89" t="str">
        <f t="shared" si="277"/>
        <v/>
      </c>
      <c r="S2966" s="89" t="str">
        <f t="shared" si="278"/>
        <v/>
      </c>
      <c r="X2966" s="64">
        <f t="shared" si="279"/>
        <v>0</v>
      </c>
      <c r="Y2966" s="53">
        <f t="shared" si="280"/>
        <v>0</v>
      </c>
      <c r="Z2966" s="64">
        <f t="shared" si="281"/>
        <v>0</v>
      </c>
    </row>
    <row r="2967" spans="1:26">
      <c r="A2967" s="89" t="str">
        <f t="shared" si="276"/>
        <v/>
      </c>
      <c r="B2967" s="89" t="str">
        <f t="shared" si="277"/>
        <v/>
      </c>
      <c r="S2967" s="89" t="str">
        <f t="shared" si="278"/>
        <v/>
      </c>
      <c r="X2967" s="64">
        <f t="shared" si="279"/>
        <v>0</v>
      </c>
      <c r="Y2967" s="53">
        <f t="shared" si="280"/>
        <v>0</v>
      </c>
      <c r="Z2967" s="64">
        <f t="shared" si="281"/>
        <v>0</v>
      </c>
    </row>
    <row r="2968" spans="1:26">
      <c r="A2968" s="89" t="str">
        <f t="shared" si="276"/>
        <v/>
      </c>
      <c r="B2968" s="89" t="str">
        <f t="shared" si="277"/>
        <v/>
      </c>
      <c r="S2968" s="89" t="str">
        <f t="shared" si="278"/>
        <v/>
      </c>
      <c r="X2968" s="64">
        <f t="shared" si="279"/>
        <v>0</v>
      </c>
      <c r="Y2968" s="53">
        <f t="shared" si="280"/>
        <v>0</v>
      </c>
      <c r="Z2968" s="64">
        <f t="shared" si="281"/>
        <v>0</v>
      </c>
    </row>
    <row r="2969" spans="1:26">
      <c r="A2969" s="89" t="str">
        <f t="shared" si="276"/>
        <v/>
      </c>
      <c r="B2969" s="89" t="str">
        <f t="shared" si="277"/>
        <v/>
      </c>
      <c r="S2969" s="89" t="str">
        <f t="shared" si="278"/>
        <v/>
      </c>
      <c r="X2969" s="64">
        <f t="shared" si="279"/>
        <v>0</v>
      </c>
      <c r="Y2969" s="53">
        <f t="shared" si="280"/>
        <v>0</v>
      </c>
      <c r="Z2969" s="64">
        <f t="shared" si="281"/>
        <v>0</v>
      </c>
    </row>
    <row r="2970" spans="1:26">
      <c r="A2970" s="89" t="str">
        <f t="shared" si="276"/>
        <v/>
      </c>
      <c r="B2970" s="89" t="str">
        <f t="shared" si="277"/>
        <v/>
      </c>
      <c r="S2970" s="89" t="str">
        <f t="shared" si="278"/>
        <v/>
      </c>
      <c r="X2970" s="64">
        <f t="shared" si="279"/>
        <v>0</v>
      </c>
      <c r="Y2970" s="53">
        <f t="shared" si="280"/>
        <v>0</v>
      </c>
      <c r="Z2970" s="64">
        <f t="shared" si="281"/>
        <v>0</v>
      </c>
    </row>
    <row r="2971" spans="1:26">
      <c r="A2971" s="89" t="str">
        <f t="shared" si="276"/>
        <v/>
      </c>
      <c r="B2971" s="89" t="str">
        <f t="shared" si="277"/>
        <v/>
      </c>
      <c r="S2971" s="89" t="str">
        <f t="shared" si="278"/>
        <v/>
      </c>
      <c r="X2971" s="64">
        <f t="shared" si="279"/>
        <v>0</v>
      </c>
      <c r="Y2971" s="53">
        <f t="shared" si="280"/>
        <v>0</v>
      </c>
      <c r="Z2971" s="64">
        <f t="shared" si="281"/>
        <v>0</v>
      </c>
    </row>
    <row r="2972" spans="1:26">
      <c r="A2972" s="89" t="str">
        <f t="shared" si="276"/>
        <v/>
      </c>
      <c r="B2972" s="89" t="str">
        <f t="shared" si="277"/>
        <v/>
      </c>
      <c r="S2972" s="89" t="str">
        <f t="shared" si="278"/>
        <v/>
      </c>
      <c r="X2972" s="64">
        <f t="shared" si="279"/>
        <v>0</v>
      </c>
      <c r="Y2972" s="53">
        <f t="shared" si="280"/>
        <v>0</v>
      </c>
      <c r="Z2972" s="64">
        <f t="shared" si="281"/>
        <v>0</v>
      </c>
    </row>
    <row r="2973" spans="1:26">
      <c r="A2973" s="89" t="str">
        <f t="shared" si="276"/>
        <v/>
      </c>
      <c r="B2973" s="89" t="str">
        <f t="shared" si="277"/>
        <v/>
      </c>
      <c r="S2973" s="89" t="str">
        <f t="shared" si="278"/>
        <v/>
      </c>
      <c r="X2973" s="64">
        <f t="shared" si="279"/>
        <v>0</v>
      </c>
      <c r="Y2973" s="53">
        <f t="shared" si="280"/>
        <v>0</v>
      </c>
      <c r="Z2973" s="64">
        <f t="shared" si="281"/>
        <v>0</v>
      </c>
    </row>
    <row r="2974" spans="1:26">
      <c r="A2974" s="89" t="str">
        <f t="shared" si="276"/>
        <v/>
      </c>
      <c r="B2974" s="89" t="str">
        <f t="shared" si="277"/>
        <v/>
      </c>
      <c r="S2974" s="89" t="str">
        <f t="shared" si="278"/>
        <v/>
      </c>
      <c r="X2974" s="64">
        <f t="shared" si="279"/>
        <v>0</v>
      </c>
      <c r="Y2974" s="53">
        <f t="shared" si="280"/>
        <v>0</v>
      </c>
      <c r="Z2974" s="64">
        <f t="shared" si="281"/>
        <v>0</v>
      </c>
    </row>
    <row r="2975" spans="1:26">
      <c r="A2975" s="89" t="str">
        <f t="shared" si="276"/>
        <v/>
      </c>
      <c r="B2975" s="89" t="str">
        <f t="shared" si="277"/>
        <v/>
      </c>
      <c r="S2975" s="89" t="str">
        <f t="shared" si="278"/>
        <v/>
      </c>
      <c r="X2975" s="64">
        <f t="shared" si="279"/>
        <v>0</v>
      </c>
      <c r="Y2975" s="53">
        <f t="shared" si="280"/>
        <v>0</v>
      </c>
      <c r="Z2975" s="64">
        <f t="shared" si="281"/>
        <v>0</v>
      </c>
    </row>
    <row r="2976" spans="1:26">
      <c r="A2976" s="89" t="str">
        <f t="shared" si="276"/>
        <v/>
      </c>
      <c r="B2976" s="89" t="str">
        <f t="shared" si="277"/>
        <v/>
      </c>
      <c r="S2976" s="89" t="str">
        <f t="shared" si="278"/>
        <v/>
      </c>
      <c r="X2976" s="64">
        <f t="shared" si="279"/>
        <v>0</v>
      </c>
      <c r="Y2976" s="53">
        <f t="shared" si="280"/>
        <v>0</v>
      </c>
      <c r="Z2976" s="64">
        <f t="shared" si="281"/>
        <v>0</v>
      </c>
    </row>
    <row r="2977" spans="1:26">
      <c r="A2977" s="89" t="str">
        <f t="shared" si="276"/>
        <v/>
      </c>
      <c r="B2977" s="89" t="str">
        <f t="shared" si="277"/>
        <v/>
      </c>
      <c r="S2977" s="89" t="str">
        <f t="shared" si="278"/>
        <v/>
      </c>
      <c r="X2977" s="64">
        <f t="shared" si="279"/>
        <v>0</v>
      </c>
      <c r="Y2977" s="53">
        <f t="shared" si="280"/>
        <v>0</v>
      </c>
      <c r="Z2977" s="64">
        <f t="shared" si="281"/>
        <v>0</v>
      </c>
    </row>
    <row r="2978" spans="1:26">
      <c r="A2978" s="89" t="str">
        <f t="shared" si="276"/>
        <v/>
      </c>
      <c r="B2978" s="89" t="str">
        <f t="shared" si="277"/>
        <v/>
      </c>
      <c r="S2978" s="89" t="str">
        <f t="shared" si="278"/>
        <v/>
      </c>
      <c r="X2978" s="64">
        <f t="shared" si="279"/>
        <v>0</v>
      </c>
      <c r="Y2978" s="53">
        <f t="shared" si="280"/>
        <v>0</v>
      </c>
      <c r="Z2978" s="64">
        <f t="shared" si="281"/>
        <v>0</v>
      </c>
    </row>
    <row r="2979" spans="1:26">
      <c r="A2979" s="89" t="str">
        <f t="shared" si="276"/>
        <v/>
      </c>
      <c r="B2979" s="89" t="str">
        <f t="shared" si="277"/>
        <v/>
      </c>
      <c r="S2979" s="89" t="str">
        <f t="shared" si="278"/>
        <v/>
      </c>
      <c r="X2979" s="64">
        <f t="shared" si="279"/>
        <v>0</v>
      </c>
      <c r="Y2979" s="53">
        <f t="shared" si="280"/>
        <v>0</v>
      </c>
      <c r="Z2979" s="64">
        <f t="shared" si="281"/>
        <v>0</v>
      </c>
    </row>
    <row r="2980" spans="1:26">
      <c r="A2980" s="89" t="str">
        <f t="shared" si="276"/>
        <v/>
      </c>
      <c r="B2980" s="89" t="str">
        <f t="shared" si="277"/>
        <v/>
      </c>
      <c r="S2980" s="89" t="str">
        <f t="shared" si="278"/>
        <v/>
      </c>
      <c r="X2980" s="64">
        <f t="shared" si="279"/>
        <v>0</v>
      </c>
      <c r="Y2980" s="53">
        <f t="shared" si="280"/>
        <v>0</v>
      </c>
      <c r="Z2980" s="64">
        <f t="shared" si="281"/>
        <v>0</v>
      </c>
    </row>
    <row r="2981" spans="1:26">
      <c r="A2981" s="89" t="str">
        <f t="shared" si="276"/>
        <v/>
      </c>
      <c r="B2981" s="89" t="str">
        <f t="shared" si="277"/>
        <v/>
      </c>
      <c r="S2981" s="89" t="str">
        <f t="shared" si="278"/>
        <v/>
      </c>
      <c r="X2981" s="64">
        <f t="shared" si="279"/>
        <v>0</v>
      </c>
      <c r="Y2981" s="53">
        <f t="shared" si="280"/>
        <v>0</v>
      </c>
      <c r="Z2981" s="64">
        <f t="shared" si="281"/>
        <v>0</v>
      </c>
    </row>
    <row r="2982" spans="1:26">
      <c r="A2982" s="89" t="str">
        <f t="shared" si="276"/>
        <v/>
      </c>
      <c r="B2982" s="89" t="str">
        <f t="shared" si="277"/>
        <v/>
      </c>
      <c r="S2982" s="89" t="str">
        <f t="shared" si="278"/>
        <v/>
      </c>
      <c r="X2982" s="64">
        <f t="shared" si="279"/>
        <v>0</v>
      </c>
      <c r="Y2982" s="53">
        <f t="shared" si="280"/>
        <v>0</v>
      </c>
      <c r="Z2982" s="64">
        <f t="shared" si="281"/>
        <v>0</v>
      </c>
    </row>
    <row r="2983" spans="1:26">
      <c r="A2983" s="89" t="str">
        <f t="shared" si="276"/>
        <v/>
      </c>
      <c r="B2983" s="89" t="str">
        <f t="shared" si="277"/>
        <v/>
      </c>
      <c r="S2983" s="89" t="str">
        <f t="shared" si="278"/>
        <v/>
      </c>
      <c r="X2983" s="64">
        <f t="shared" si="279"/>
        <v>0</v>
      </c>
      <c r="Y2983" s="53">
        <f t="shared" si="280"/>
        <v>0</v>
      </c>
      <c r="Z2983" s="64">
        <f t="shared" si="281"/>
        <v>0</v>
      </c>
    </row>
    <row r="2984" spans="1:26">
      <c r="A2984" s="89" t="str">
        <f t="shared" si="276"/>
        <v/>
      </c>
      <c r="B2984" s="89" t="str">
        <f t="shared" si="277"/>
        <v/>
      </c>
      <c r="S2984" s="89" t="str">
        <f t="shared" si="278"/>
        <v/>
      </c>
      <c r="X2984" s="64">
        <f t="shared" si="279"/>
        <v>0</v>
      </c>
      <c r="Y2984" s="53">
        <f t="shared" si="280"/>
        <v>0</v>
      </c>
      <c r="Z2984" s="64">
        <f t="shared" si="281"/>
        <v>0</v>
      </c>
    </row>
    <row r="2985" spans="1:26">
      <c r="A2985" s="89" t="str">
        <f t="shared" si="276"/>
        <v/>
      </c>
      <c r="B2985" s="89" t="str">
        <f t="shared" si="277"/>
        <v/>
      </c>
      <c r="S2985" s="89" t="str">
        <f t="shared" si="278"/>
        <v/>
      </c>
      <c r="X2985" s="64">
        <f t="shared" si="279"/>
        <v>0</v>
      </c>
      <c r="Y2985" s="53">
        <f t="shared" si="280"/>
        <v>0</v>
      </c>
      <c r="Z2985" s="64">
        <f t="shared" si="281"/>
        <v>0</v>
      </c>
    </row>
    <row r="2986" spans="1:26">
      <c r="A2986" s="89" t="str">
        <f t="shared" si="276"/>
        <v/>
      </c>
      <c r="B2986" s="89" t="str">
        <f t="shared" si="277"/>
        <v/>
      </c>
      <c r="S2986" s="89" t="str">
        <f t="shared" si="278"/>
        <v/>
      </c>
      <c r="X2986" s="64">
        <f t="shared" si="279"/>
        <v>0</v>
      </c>
      <c r="Y2986" s="53">
        <f t="shared" si="280"/>
        <v>0</v>
      </c>
      <c r="Z2986" s="64">
        <f t="shared" si="281"/>
        <v>0</v>
      </c>
    </row>
    <row r="2987" spans="1:26">
      <c r="A2987" s="89" t="str">
        <f t="shared" si="276"/>
        <v/>
      </c>
      <c r="B2987" s="89" t="str">
        <f t="shared" si="277"/>
        <v/>
      </c>
      <c r="S2987" s="89" t="str">
        <f t="shared" si="278"/>
        <v/>
      </c>
      <c r="X2987" s="64">
        <f t="shared" si="279"/>
        <v>0</v>
      </c>
      <c r="Y2987" s="53">
        <f t="shared" si="280"/>
        <v>0</v>
      </c>
      <c r="Z2987" s="64">
        <f t="shared" si="281"/>
        <v>0</v>
      </c>
    </row>
    <row r="2988" spans="1:26">
      <c r="A2988" s="89" t="str">
        <f t="shared" si="276"/>
        <v/>
      </c>
      <c r="B2988" s="89" t="str">
        <f t="shared" si="277"/>
        <v/>
      </c>
      <c r="S2988" s="89" t="str">
        <f t="shared" si="278"/>
        <v/>
      </c>
      <c r="X2988" s="64">
        <f t="shared" si="279"/>
        <v>0</v>
      </c>
      <c r="Y2988" s="53">
        <f t="shared" si="280"/>
        <v>0</v>
      </c>
      <c r="Z2988" s="64">
        <f t="shared" si="281"/>
        <v>0</v>
      </c>
    </row>
    <row r="2989" spans="1:26">
      <c r="A2989" s="89" t="str">
        <f t="shared" si="276"/>
        <v/>
      </c>
      <c r="B2989" s="89" t="str">
        <f t="shared" si="277"/>
        <v/>
      </c>
      <c r="S2989" s="89" t="str">
        <f t="shared" si="278"/>
        <v/>
      </c>
      <c r="X2989" s="64">
        <f t="shared" si="279"/>
        <v>0</v>
      </c>
      <c r="Y2989" s="53">
        <f t="shared" si="280"/>
        <v>0</v>
      </c>
      <c r="Z2989" s="64">
        <f t="shared" si="281"/>
        <v>0</v>
      </c>
    </row>
    <row r="2990" spans="1:26">
      <c r="A2990" s="89" t="str">
        <f t="shared" si="276"/>
        <v/>
      </c>
      <c r="B2990" s="89" t="str">
        <f t="shared" si="277"/>
        <v/>
      </c>
      <c r="S2990" s="89" t="str">
        <f t="shared" si="278"/>
        <v/>
      </c>
      <c r="X2990" s="64">
        <f t="shared" si="279"/>
        <v>0</v>
      </c>
      <c r="Y2990" s="53">
        <f t="shared" si="280"/>
        <v>0</v>
      </c>
      <c r="Z2990" s="64">
        <f t="shared" si="281"/>
        <v>0</v>
      </c>
    </row>
    <row r="2991" spans="1:26">
      <c r="A2991" s="89" t="str">
        <f t="shared" si="276"/>
        <v/>
      </c>
      <c r="B2991" s="89" t="str">
        <f t="shared" si="277"/>
        <v/>
      </c>
      <c r="S2991" s="89" t="str">
        <f t="shared" si="278"/>
        <v/>
      </c>
      <c r="X2991" s="64">
        <f t="shared" si="279"/>
        <v>0</v>
      </c>
      <c r="Y2991" s="53">
        <f t="shared" si="280"/>
        <v>0</v>
      </c>
      <c r="Z2991" s="64">
        <f t="shared" si="281"/>
        <v>0</v>
      </c>
    </row>
    <row r="2992" spans="1:26">
      <c r="A2992" s="89" t="str">
        <f t="shared" si="276"/>
        <v/>
      </c>
      <c r="B2992" s="89" t="str">
        <f t="shared" si="277"/>
        <v/>
      </c>
      <c r="S2992" s="89" t="str">
        <f t="shared" si="278"/>
        <v/>
      </c>
      <c r="X2992" s="64">
        <f t="shared" si="279"/>
        <v>0</v>
      </c>
      <c r="Y2992" s="53">
        <f t="shared" si="280"/>
        <v>0</v>
      </c>
      <c r="Z2992" s="64">
        <f t="shared" si="281"/>
        <v>0</v>
      </c>
    </row>
    <row r="2993" spans="1:26">
      <c r="A2993" s="89" t="str">
        <f t="shared" si="276"/>
        <v/>
      </c>
      <c r="B2993" s="89" t="str">
        <f t="shared" si="277"/>
        <v/>
      </c>
      <c r="S2993" s="89" t="str">
        <f t="shared" si="278"/>
        <v/>
      </c>
      <c r="X2993" s="64">
        <f t="shared" si="279"/>
        <v>0</v>
      </c>
      <c r="Y2993" s="53">
        <f t="shared" si="280"/>
        <v>0</v>
      </c>
      <c r="Z2993" s="64">
        <f t="shared" si="281"/>
        <v>0</v>
      </c>
    </row>
    <row r="2994" spans="1:26">
      <c r="A2994" s="89" t="str">
        <f t="shared" si="276"/>
        <v/>
      </c>
      <c r="B2994" s="89" t="str">
        <f t="shared" si="277"/>
        <v/>
      </c>
      <c r="S2994" s="89" t="str">
        <f t="shared" si="278"/>
        <v/>
      </c>
      <c r="X2994" s="64">
        <f t="shared" si="279"/>
        <v>0</v>
      </c>
      <c r="Y2994" s="53">
        <f t="shared" si="280"/>
        <v>0</v>
      </c>
      <c r="Z2994" s="64">
        <f t="shared" si="281"/>
        <v>0</v>
      </c>
    </row>
    <row r="2995" spans="1:26">
      <c r="A2995" s="89" t="str">
        <f t="shared" si="276"/>
        <v/>
      </c>
      <c r="B2995" s="89" t="str">
        <f t="shared" si="277"/>
        <v/>
      </c>
      <c r="S2995" s="89" t="str">
        <f t="shared" si="278"/>
        <v/>
      </c>
      <c r="X2995" s="64">
        <f t="shared" si="279"/>
        <v>0</v>
      </c>
      <c r="Y2995" s="53">
        <f t="shared" si="280"/>
        <v>0</v>
      </c>
      <c r="Z2995" s="64">
        <f t="shared" si="281"/>
        <v>0</v>
      </c>
    </row>
    <row r="2996" spans="1:26">
      <c r="A2996" s="89" t="str">
        <f t="shared" si="276"/>
        <v/>
      </c>
      <c r="B2996" s="89" t="str">
        <f t="shared" si="277"/>
        <v/>
      </c>
      <c r="S2996" s="89" t="str">
        <f t="shared" si="278"/>
        <v/>
      </c>
      <c r="X2996" s="64">
        <f t="shared" si="279"/>
        <v>0</v>
      </c>
      <c r="Y2996" s="53">
        <f t="shared" si="280"/>
        <v>0</v>
      </c>
      <c r="Z2996" s="64">
        <f t="shared" si="281"/>
        <v>0</v>
      </c>
    </row>
    <row r="2997" spans="1:26">
      <c r="A2997" s="89" t="str">
        <f t="shared" si="276"/>
        <v/>
      </c>
      <c r="B2997" s="89" t="str">
        <f t="shared" si="277"/>
        <v/>
      </c>
      <c r="S2997" s="89" t="str">
        <f t="shared" si="278"/>
        <v/>
      </c>
      <c r="X2997" s="64">
        <f t="shared" si="279"/>
        <v>0</v>
      </c>
      <c r="Y2997" s="53">
        <f t="shared" si="280"/>
        <v>0</v>
      </c>
      <c r="Z2997" s="64">
        <f t="shared" si="281"/>
        <v>0</v>
      </c>
    </row>
    <row r="2998" spans="1:26">
      <c r="A2998" s="89" t="str">
        <f t="shared" si="276"/>
        <v/>
      </c>
      <c r="B2998" s="89" t="str">
        <f t="shared" si="277"/>
        <v/>
      </c>
      <c r="S2998" s="89" t="str">
        <f t="shared" si="278"/>
        <v/>
      </c>
      <c r="X2998" s="64">
        <f t="shared" si="279"/>
        <v>0</v>
      </c>
      <c r="Y2998" s="53">
        <f t="shared" si="280"/>
        <v>0</v>
      </c>
      <c r="Z2998" s="64">
        <f t="shared" si="281"/>
        <v>0</v>
      </c>
    </row>
    <row r="2999" spans="1:26">
      <c r="A2999" s="89" t="str">
        <f t="shared" si="276"/>
        <v/>
      </c>
      <c r="B2999" s="89" t="str">
        <f t="shared" si="277"/>
        <v/>
      </c>
      <c r="S2999" s="89" t="str">
        <f t="shared" si="278"/>
        <v/>
      </c>
      <c r="X2999" s="64">
        <f t="shared" si="279"/>
        <v>0</v>
      </c>
      <c r="Y2999" s="53">
        <f t="shared" si="280"/>
        <v>0</v>
      </c>
      <c r="Z2999" s="64">
        <f t="shared" si="281"/>
        <v>0</v>
      </c>
    </row>
    <row r="3000" spans="1:26">
      <c r="A3000" s="89" t="str">
        <f t="shared" si="276"/>
        <v/>
      </c>
      <c r="B3000" s="89" t="str">
        <f t="shared" si="277"/>
        <v/>
      </c>
      <c r="S3000" s="89" t="str">
        <f t="shared" si="278"/>
        <v/>
      </c>
      <c r="X3000" s="64">
        <f t="shared" si="279"/>
        <v>0</v>
      </c>
      <c r="Y3000" s="53">
        <f t="shared" si="280"/>
        <v>0</v>
      </c>
      <c r="Z3000" s="64">
        <f t="shared" si="281"/>
        <v>0</v>
      </c>
    </row>
    <row r="3001" spans="1:26">
      <c r="A3001" s="89" t="str">
        <f t="shared" si="276"/>
        <v/>
      </c>
      <c r="B3001" s="89" t="str">
        <f t="shared" si="277"/>
        <v/>
      </c>
      <c r="S3001" s="89" t="str">
        <f t="shared" si="278"/>
        <v/>
      </c>
      <c r="X3001" s="64">
        <f t="shared" si="279"/>
        <v>0</v>
      </c>
      <c r="Y3001" s="53">
        <f t="shared" si="280"/>
        <v>0</v>
      </c>
      <c r="Z3001" s="64">
        <f t="shared" si="281"/>
        <v>0</v>
      </c>
    </row>
    <row r="3002" spans="1:26">
      <c r="A3002" s="89" t="str">
        <f t="shared" si="276"/>
        <v/>
      </c>
      <c r="B3002" s="89" t="str">
        <f t="shared" si="277"/>
        <v/>
      </c>
      <c r="S3002" s="89" t="str">
        <f t="shared" si="278"/>
        <v/>
      </c>
      <c r="X3002" s="64">
        <f t="shared" si="279"/>
        <v>0</v>
      </c>
      <c r="Y3002" s="53">
        <f t="shared" si="280"/>
        <v>0</v>
      </c>
      <c r="Z3002" s="64">
        <f t="shared" si="281"/>
        <v>0</v>
      </c>
    </row>
    <row r="3003" spans="1:26">
      <c r="A3003" s="89" t="str">
        <f t="shared" si="276"/>
        <v/>
      </c>
      <c r="B3003" s="89" t="str">
        <f t="shared" si="277"/>
        <v/>
      </c>
      <c r="S3003" s="89" t="str">
        <f t="shared" si="278"/>
        <v/>
      </c>
      <c r="X3003" s="64">
        <f t="shared" si="279"/>
        <v>0</v>
      </c>
      <c r="Y3003" s="53">
        <f t="shared" si="280"/>
        <v>0</v>
      </c>
      <c r="Z3003" s="64">
        <f t="shared" si="281"/>
        <v>0</v>
      </c>
    </row>
    <row r="3004" spans="1:26">
      <c r="A3004" s="89" t="str">
        <f t="shared" si="276"/>
        <v/>
      </c>
      <c r="B3004" s="89" t="str">
        <f t="shared" si="277"/>
        <v/>
      </c>
      <c r="S3004" s="89" t="str">
        <f t="shared" si="278"/>
        <v/>
      </c>
      <c r="X3004" s="64">
        <f t="shared" si="279"/>
        <v>0</v>
      </c>
      <c r="Y3004" s="53">
        <f t="shared" si="280"/>
        <v>0</v>
      </c>
      <c r="Z3004" s="64">
        <f t="shared" si="281"/>
        <v>0</v>
      </c>
    </row>
    <row r="3005" spans="1:26">
      <c r="A3005" s="89" t="str">
        <f t="shared" si="276"/>
        <v/>
      </c>
      <c r="B3005" s="89" t="str">
        <f t="shared" si="277"/>
        <v/>
      </c>
      <c r="S3005" s="89" t="str">
        <f t="shared" si="278"/>
        <v/>
      </c>
      <c r="X3005" s="64">
        <f t="shared" si="279"/>
        <v>0</v>
      </c>
      <c r="Y3005" s="53">
        <f t="shared" si="280"/>
        <v>0</v>
      </c>
      <c r="Z3005" s="64">
        <f t="shared" si="281"/>
        <v>0</v>
      </c>
    </row>
    <row r="3006" spans="1:26">
      <c r="A3006" s="89" t="str">
        <f t="shared" si="276"/>
        <v/>
      </c>
      <c r="B3006" s="89" t="str">
        <f t="shared" si="277"/>
        <v/>
      </c>
      <c r="S3006" s="89" t="str">
        <f t="shared" si="278"/>
        <v/>
      </c>
      <c r="X3006" s="64">
        <f t="shared" si="279"/>
        <v>0</v>
      </c>
      <c r="Y3006" s="53">
        <f t="shared" si="280"/>
        <v>0</v>
      </c>
      <c r="Z3006" s="64">
        <f t="shared" si="281"/>
        <v>0</v>
      </c>
    </row>
    <row r="3007" spans="1:26">
      <c r="A3007" s="89" t="str">
        <f t="shared" si="276"/>
        <v/>
      </c>
      <c r="B3007" s="89" t="str">
        <f t="shared" si="277"/>
        <v/>
      </c>
      <c r="S3007" s="89" t="str">
        <f t="shared" si="278"/>
        <v/>
      </c>
      <c r="X3007" s="64">
        <f t="shared" si="279"/>
        <v>0</v>
      </c>
      <c r="Y3007" s="53">
        <f t="shared" si="280"/>
        <v>0</v>
      </c>
      <c r="Z3007" s="64">
        <f t="shared" si="281"/>
        <v>0</v>
      </c>
    </row>
    <row r="3008" spans="1:26">
      <c r="A3008" s="89" t="str">
        <f t="shared" si="276"/>
        <v/>
      </c>
      <c r="B3008" s="89" t="str">
        <f t="shared" si="277"/>
        <v/>
      </c>
      <c r="S3008" s="89" t="str">
        <f t="shared" si="278"/>
        <v/>
      </c>
      <c r="X3008" s="64">
        <f t="shared" si="279"/>
        <v>0</v>
      </c>
      <c r="Y3008" s="53">
        <f t="shared" si="280"/>
        <v>0</v>
      </c>
      <c r="Z3008" s="64">
        <f t="shared" si="281"/>
        <v>0</v>
      </c>
    </row>
    <row r="3009" spans="1:26">
      <c r="A3009" s="89" t="str">
        <f t="shared" si="276"/>
        <v/>
      </c>
      <c r="B3009" s="89" t="str">
        <f t="shared" si="277"/>
        <v/>
      </c>
      <c r="S3009" s="89" t="str">
        <f t="shared" si="278"/>
        <v/>
      </c>
      <c r="X3009" s="64">
        <f t="shared" si="279"/>
        <v>0</v>
      </c>
      <c r="Y3009" s="53">
        <f t="shared" si="280"/>
        <v>0</v>
      </c>
      <c r="Z3009" s="64">
        <f t="shared" si="281"/>
        <v>0</v>
      </c>
    </row>
    <row r="3010" spans="1:26">
      <c r="A3010" s="89" t="str">
        <f t="shared" si="276"/>
        <v/>
      </c>
      <c r="B3010" s="89" t="str">
        <f t="shared" si="277"/>
        <v/>
      </c>
      <c r="S3010" s="89" t="str">
        <f t="shared" si="278"/>
        <v/>
      </c>
      <c r="X3010" s="64">
        <f t="shared" si="279"/>
        <v>0</v>
      </c>
      <c r="Y3010" s="53">
        <f t="shared" si="280"/>
        <v>0</v>
      </c>
      <c r="Z3010" s="64">
        <f t="shared" si="281"/>
        <v>0</v>
      </c>
    </row>
    <row r="3011" spans="1:26">
      <c r="A3011" s="89" t="str">
        <f t="shared" ref="A3011:A3074" si="282">IF(G3011&amp;Q3011&lt;&gt;"",G3011&amp;Q3011,"")</f>
        <v/>
      </c>
      <c r="B3011" s="89" t="str">
        <f t="shared" ref="B3011:B3074" si="283">IF(C3011&lt;&gt;"",LEFT(C3011,9),"")</f>
        <v/>
      </c>
      <c r="S3011" s="89" t="str">
        <f t="shared" ref="S3011:S3074" si="284">IF(H3011&lt;&gt;"",H3011,"")</f>
        <v/>
      </c>
      <c r="X3011" s="64">
        <f t="shared" ref="X3011:X3074" si="285">IFERROR(VALUE(MID($C3011,1,2)),0)</f>
        <v>0</v>
      </c>
      <c r="Y3011" s="53">
        <f t="shared" ref="Y3011:Y3074" si="286">IFERROR(VALUE(MID($C3011,4,3)),0)</f>
        <v>0</v>
      </c>
      <c r="Z3011" s="64">
        <f t="shared" ref="Z3011:Z3074" si="287">VALUE(RIGHT("00"&amp;X3011,2)&amp;RIGHT("000"&amp;Y3011,3))</f>
        <v>0</v>
      </c>
    </row>
    <row r="3012" spans="1:26">
      <c r="A3012" s="89" t="str">
        <f t="shared" si="282"/>
        <v/>
      </c>
      <c r="B3012" s="89" t="str">
        <f t="shared" si="283"/>
        <v/>
      </c>
      <c r="S3012" s="89" t="str">
        <f t="shared" si="284"/>
        <v/>
      </c>
      <c r="X3012" s="64">
        <f t="shared" si="285"/>
        <v>0</v>
      </c>
      <c r="Y3012" s="53">
        <f t="shared" si="286"/>
        <v>0</v>
      </c>
      <c r="Z3012" s="64">
        <f t="shared" si="287"/>
        <v>0</v>
      </c>
    </row>
    <row r="3013" spans="1:26">
      <c r="A3013" s="89" t="str">
        <f t="shared" si="282"/>
        <v/>
      </c>
      <c r="B3013" s="89" t="str">
        <f t="shared" si="283"/>
        <v/>
      </c>
      <c r="S3013" s="89" t="str">
        <f t="shared" si="284"/>
        <v/>
      </c>
      <c r="X3013" s="64">
        <f t="shared" si="285"/>
        <v>0</v>
      </c>
      <c r="Y3013" s="53">
        <f t="shared" si="286"/>
        <v>0</v>
      </c>
      <c r="Z3013" s="64">
        <f t="shared" si="287"/>
        <v>0</v>
      </c>
    </row>
    <row r="3014" spans="1:26">
      <c r="A3014" s="89" t="str">
        <f t="shared" si="282"/>
        <v/>
      </c>
      <c r="B3014" s="89" t="str">
        <f t="shared" si="283"/>
        <v/>
      </c>
      <c r="S3014" s="89" t="str">
        <f t="shared" si="284"/>
        <v/>
      </c>
      <c r="X3014" s="64">
        <f t="shared" si="285"/>
        <v>0</v>
      </c>
      <c r="Y3014" s="53">
        <f t="shared" si="286"/>
        <v>0</v>
      </c>
      <c r="Z3014" s="64">
        <f t="shared" si="287"/>
        <v>0</v>
      </c>
    </row>
    <row r="3015" spans="1:26">
      <c r="A3015" s="89" t="str">
        <f t="shared" si="282"/>
        <v/>
      </c>
      <c r="B3015" s="89" t="str">
        <f t="shared" si="283"/>
        <v/>
      </c>
      <c r="S3015" s="89" t="str">
        <f t="shared" si="284"/>
        <v/>
      </c>
      <c r="X3015" s="64">
        <f t="shared" si="285"/>
        <v>0</v>
      </c>
      <c r="Y3015" s="53">
        <f t="shared" si="286"/>
        <v>0</v>
      </c>
      <c r="Z3015" s="64">
        <f t="shared" si="287"/>
        <v>0</v>
      </c>
    </row>
    <row r="3016" spans="1:26">
      <c r="A3016" s="89" t="str">
        <f t="shared" si="282"/>
        <v/>
      </c>
      <c r="B3016" s="89" t="str">
        <f t="shared" si="283"/>
        <v/>
      </c>
      <c r="S3016" s="89" t="str">
        <f t="shared" si="284"/>
        <v/>
      </c>
      <c r="X3016" s="64">
        <f t="shared" si="285"/>
        <v>0</v>
      </c>
      <c r="Y3016" s="53">
        <f t="shared" si="286"/>
        <v>0</v>
      </c>
      <c r="Z3016" s="64">
        <f t="shared" si="287"/>
        <v>0</v>
      </c>
    </row>
    <row r="3017" spans="1:26">
      <c r="A3017" s="89" t="str">
        <f t="shared" si="282"/>
        <v/>
      </c>
      <c r="B3017" s="89" t="str">
        <f t="shared" si="283"/>
        <v/>
      </c>
      <c r="S3017" s="89" t="str">
        <f t="shared" si="284"/>
        <v/>
      </c>
      <c r="X3017" s="64">
        <f t="shared" si="285"/>
        <v>0</v>
      </c>
      <c r="Y3017" s="53">
        <f t="shared" si="286"/>
        <v>0</v>
      </c>
      <c r="Z3017" s="64">
        <f t="shared" si="287"/>
        <v>0</v>
      </c>
    </row>
    <row r="3018" spans="1:26">
      <c r="A3018" s="89" t="str">
        <f t="shared" si="282"/>
        <v/>
      </c>
      <c r="B3018" s="89" t="str">
        <f t="shared" si="283"/>
        <v/>
      </c>
      <c r="S3018" s="89" t="str">
        <f t="shared" si="284"/>
        <v/>
      </c>
      <c r="X3018" s="64">
        <f t="shared" si="285"/>
        <v>0</v>
      </c>
      <c r="Y3018" s="53">
        <f t="shared" si="286"/>
        <v>0</v>
      </c>
      <c r="Z3018" s="64">
        <f t="shared" si="287"/>
        <v>0</v>
      </c>
    </row>
    <row r="3019" spans="1:26">
      <c r="A3019" s="89" t="str">
        <f t="shared" si="282"/>
        <v/>
      </c>
      <c r="B3019" s="89" t="str">
        <f t="shared" si="283"/>
        <v/>
      </c>
      <c r="S3019" s="89" t="str">
        <f t="shared" si="284"/>
        <v/>
      </c>
      <c r="X3019" s="64">
        <f t="shared" si="285"/>
        <v>0</v>
      </c>
      <c r="Y3019" s="53">
        <f t="shared" si="286"/>
        <v>0</v>
      </c>
      <c r="Z3019" s="64">
        <f t="shared" si="287"/>
        <v>0</v>
      </c>
    </row>
    <row r="3020" spans="1:26">
      <c r="A3020" s="89" t="str">
        <f t="shared" si="282"/>
        <v/>
      </c>
      <c r="B3020" s="89" t="str">
        <f t="shared" si="283"/>
        <v/>
      </c>
      <c r="S3020" s="89" t="str">
        <f t="shared" si="284"/>
        <v/>
      </c>
      <c r="X3020" s="64">
        <f t="shared" si="285"/>
        <v>0</v>
      </c>
      <c r="Y3020" s="53">
        <f t="shared" si="286"/>
        <v>0</v>
      </c>
      <c r="Z3020" s="64">
        <f t="shared" si="287"/>
        <v>0</v>
      </c>
    </row>
    <row r="3021" spans="1:26">
      <c r="A3021" s="89" t="str">
        <f t="shared" si="282"/>
        <v/>
      </c>
      <c r="B3021" s="89" t="str">
        <f t="shared" si="283"/>
        <v/>
      </c>
      <c r="S3021" s="89" t="str">
        <f t="shared" si="284"/>
        <v/>
      </c>
      <c r="X3021" s="64">
        <f t="shared" si="285"/>
        <v>0</v>
      </c>
      <c r="Y3021" s="53">
        <f t="shared" si="286"/>
        <v>0</v>
      </c>
      <c r="Z3021" s="64">
        <f t="shared" si="287"/>
        <v>0</v>
      </c>
    </row>
    <row r="3022" spans="1:26">
      <c r="A3022" s="89" t="str">
        <f t="shared" si="282"/>
        <v/>
      </c>
      <c r="B3022" s="89" t="str">
        <f t="shared" si="283"/>
        <v/>
      </c>
      <c r="S3022" s="89" t="str">
        <f t="shared" si="284"/>
        <v/>
      </c>
      <c r="X3022" s="64">
        <f t="shared" si="285"/>
        <v>0</v>
      </c>
      <c r="Y3022" s="53">
        <f t="shared" si="286"/>
        <v>0</v>
      </c>
      <c r="Z3022" s="64">
        <f t="shared" si="287"/>
        <v>0</v>
      </c>
    </row>
    <row r="3023" spans="1:26">
      <c r="A3023" s="89" t="str">
        <f t="shared" si="282"/>
        <v/>
      </c>
      <c r="B3023" s="89" t="str">
        <f t="shared" si="283"/>
        <v/>
      </c>
      <c r="S3023" s="89" t="str">
        <f t="shared" si="284"/>
        <v/>
      </c>
      <c r="X3023" s="64">
        <f t="shared" si="285"/>
        <v>0</v>
      </c>
      <c r="Y3023" s="53">
        <f t="shared" si="286"/>
        <v>0</v>
      </c>
      <c r="Z3023" s="64">
        <f t="shared" si="287"/>
        <v>0</v>
      </c>
    </row>
    <row r="3024" spans="1:26">
      <c r="A3024" s="89" t="str">
        <f t="shared" si="282"/>
        <v/>
      </c>
      <c r="B3024" s="89" t="str">
        <f t="shared" si="283"/>
        <v/>
      </c>
      <c r="S3024" s="89" t="str">
        <f t="shared" si="284"/>
        <v/>
      </c>
      <c r="X3024" s="64">
        <f t="shared" si="285"/>
        <v>0</v>
      </c>
      <c r="Y3024" s="53">
        <f t="shared" si="286"/>
        <v>0</v>
      </c>
      <c r="Z3024" s="64">
        <f t="shared" si="287"/>
        <v>0</v>
      </c>
    </row>
    <row r="3025" spans="1:26">
      <c r="A3025" s="89" t="str">
        <f t="shared" si="282"/>
        <v/>
      </c>
      <c r="B3025" s="89" t="str">
        <f t="shared" si="283"/>
        <v/>
      </c>
      <c r="S3025" s="89" t="str">
        <f t="shared" si="284"/>
        <v/>
      </c>
      <c r="X3025" s="64">
        <f t="shared" si="285"/>
        <v>0</v>
      </c>
      <c r="Y3025" s="53">
        <f t="shared" si="286"/>
        <v>0</v>
      </c>
      <c r="Z3025" s="64">
        <f t="shared" si="287"/>
        <v>0</v>
      </c>
    </row>
    <row r="3026" spans="1:26">
      <c r="A3026" s="89" t="str">
        <f t="shared" si="282"/>
        <v/>
      </c>
      <c r="B3026" s="89" t="str">
        <f t="shared" si="283"/>
        <v/>
      </c>
      <c r="S3026" s="89" t="str">
        <f t="shared" si="284"/>
        <v/>
      </c>
      <c r="X3026" s="64">
        <f t="shared" si="285"/>
        <v>0</v>
      </c>
      <c r="Y3026" s="53">
        <f t="shared" si="286"/>
        <v>0</v>
      </c>
      <c r="Z3026" s="64">
        <f t="shared" si="287"/>
        <v>0</v>
      </c>
    </row>
    <row r="3027" spans="1:26">
      <c r="A3027" s="89" t="str">
        <f t="shared" si="282"/>
        <v/>
      </c>
      <c r="B3027" s="89" t="str">
        <f t="shared" si="283"/>
        <v/>
      </c>
      <c r="S3027" s="89" t="str">
        <f t="shared" si="284"/>
        <v/>
      </c>
      <c r="X3027" s="64">
        <f t="shared" si="285"/>
        <v>0</v>
      </c>
      <c r="Y3027" s="53">
        <f t="shared" si="286"/>
        <v>0</v>
      </c>
      <c r="Z3027" s="64">
        <f t="shared" si="287"/>
        <v>0</v>
      </c>
    </row>
    <row r="3028" spans="1:26">
      <c r="A3028" s="89" t="str">
        <f t="shared" si="282"/>
        <v/>
      </c>
      <c r="B3028" s="89" t="str">
        <f t="shared" si="283"/>
        <v/>
      </c>
      <c r="S3028" s="89" t="str">
        <f t="shared" si="284"/>
        <v/>
      </c>
      <c r="X3028" s="64">
        <f t="shared" si="285"/>
        <v>0</v>
      </c>
      <c r="Y3028" s="53">
        <f t="shared" si="286"/>
        <v>0</v>
      </c>
      <c r="Z3028" s="64">
        <f t="shared" si="287"/>
        <v>0</v>
      </c>
    </row>
    <row r="3029" spans="1:26">
      <c r="A3029" s="89" t="str">
        <f t="shared" si="282"/>
        <v/>
      </c>
      <c r="B3029" s="89" t="str">
        <f t="shared" si="283"/>
        <v/>
      </c>
      <c r="S3029" s="89" t="str">
        <f t="shared" si="284"/>
        <v/>
      </c>
      <c r="X3029" s="64">
        <f t="shared" si="285"/>
        <v>0</v>
      </c>
      <c r="Y3029" s="53">
        <f t="shared" si="286"/>
        <v>0</v>
      </c>
      <c r="Z3029" s="64">
        <f t="shared" si="287"/>
        <v>0</v>
      </c>
    </row>
    <row r="3030" spans="1:26">
      <c r="A3030" s="89" t="str">
        <f t="shared" si="282"/>
        <v/>
      </c>
      <c r="B3030" s="89" t="str">
        <f t="shared" si="283"/>
        <v/>
      </c>
      <c r="S3030" s="89" t="str">
        <f t="shared" si="284"/>
        <v/>
      </c>
      <c r="X3030" s="64">
        <f t="shared" si="285"/>
        <v>0</v>
      </c>
      <c r="Y3030" s="53">
        <f t="shared" si="286"/>
        <v>0</v>
      </c>
      <c r="Z3030" s="64">
        <f t="shared" si="287"/>
        <v>0</v>
      </c>
    </row>
    <row r="3031" spans="1:26">
      <c r="A3031" s="89" t="str">
        <f t="shared" si="282"/>
        <v/>
      </c>
      <c r="B3031" s="89" t="str">
        <f t="shared" si="283"/>
        <v/>
      </c>
      <c r="S3031" s="89" t="str">
        <f t="shared" si="284"/>
        <v/>
      </c>
      <c r="X3031" s="64">
        <f t="shared" si="285"/>
        <v>0</v>
      </c>
      <c r="Y3031" s="53">
        <f t="shared" si="286"/>
        <v>0</v>
      </c>
      <c r="Z3031" s="64">
        <f t="shared" si="287"/>
        <v>0</v>
      </c>
    </row>
    <row r="3032" spans="1:26">
      <c r="A3032" s="89" t="str">
        <f t="shared" si="282"/>
        <v/>
      </c>
      <c r="B3032" s="89" t="str">
        <f t="shared" si="283"/>
        <v/>
      </c>
      <c r="S3032" s="89" t="str">
        <f t="shared" si="284"/>
        <v/>
      </c>
      <c r="X3032" s="64">
        <f t="shared" si="285"/>
        <v>0</v>
      </c>
      <c r="Y3032" s="53">
        <f t="shared" si="286"/>
        <v>0</v>
      </c>
      <c r="Z3032" s="64">
        <f t="shared" si="287"/>
        <v>0</v>
      </c>
    </row>
    <row r="3033" spans="1:26">
      <c r="A3033" s="89" t="str">
        <f t="shared" si="282"/>
        <v/>
      </c>
      <c r="B3033" s="89" t="str">
        <f t="shared" si="283"/>
        <v/>
      </c>
      <c r="S3033" s="89" t="str">
        <f t="shared" si="284"/>
        <v/>
      </c>
      <c r="X3033" s="64">
        <f t="shared" si="285"/>
        <v>0</v>
      </c>
      <c r="Y3033" s="53">
        <f t="shared" si="286"/>
        <v>0</v>
      </c>
      <c r="Z3033" s="64">
        <f t="shared" si="287"/>
        <v>0</v>
      </c>
    </row>
    <row r="3034" spans="1:26">
      <c r="A3034" s="89" t="str">
        <f t="shared" si="282"/>
        <v/>
      </c>
      <c r="B3034" s="89" t="str">
        <f t="shared" si="283"/>
        <v/>
      </c>
      <c r="S3034" s="89" t="str">
        <f t="shared" si="284"/>
        <v/>
      </c>
      <c r="X3034" s="64">
        <f t="shared" si="285"/>
        <v>0</v>
      </c>
      <c r="Y3034" s="53">
        <f t="shared" si="286"/>
        <v>0</v>
      </c>
      <c r="Z3034" s="64">
        <f t="shared" si="287"/>
        <v>0</v>
      </c>
    </row>
    <row r="3035" spans="1:26">
      <c r="A3035" s="89" t="str">
        <f t="shared" si="282"/>
        <v/>
      </c>
      <c r="B3035" s="89" t="str">
        <f t="shared" si="283"/>
        <v/>
      </c>
      <c r="S3035" s="89" t="str">
        <f t="shared" si="284"/>
        <v/>
      </c>
      <c r="X3035" s="64">
        <f t="shared" si="285"/>
        <v>0</v>
      </c>
      <c r="Y3035" s="53">
        <f t="shared" si="286"/>
        <v>0</v>
      </c>
      <c r="Z3035" s="64">
        <f t="shared" si="287"/>
        <v>0</v>
      </c>
    </row>
    <row r="3036" spans="1:26">
      <c r="A3036" s="89" t="str">
        <f t="shared" si="282"/>
        <v/>
      </c>
      <c r="B3036" s="89" t="str">
        <f t="shared" si="283"/>
        <v/>
      </c>
      <c r="S3036" s="89" t="str">
        <f t="shared" si="284"/>
        <v/>
      </c>
      <c r="X3036" s="64">
        <f t="shared" si="285"/>
        <v>0</v>
      </c>
      <c r="Y3036" s="53">
        <f t="shared" si="286"/>
        <v>0</v>
      </c>
      <c r="Z3036" s="64">
        <f t="shared" si="287"/>
        <v>0</v>
      </c>
    </row>
    <row r="3037" spans="1:26">
      <c r="A3037" s="89" t="str">
        <f t="shared" si="282"/>
        <v/>
      </c>
      <c r="B3037" s="89" t="str">
        <f t="shared" si="283"/>
        <v/>
      </c>
      <c r="S3037" s="89" t="str">
        <f t="shared" si="284"/>
        <v/>
      </c>
      <c r="X3037" s="64">
        <f t="shared" si="285"/>
        <v>0</v>
      </c>
      <c r="Y3037" s="53">
        <f t="shared" si="286"/>
        <v>0</v>
      </c>
      <c r="Z3037" s="64">
        <f t="shared" si="287"/>
        <v>0</v>
      </c>
    </row>
    <row r="3038" spans="1:26">
      <c r="A3038" s="89" t="str">
        <f t="shared" si="282"/>
        <v/>
      </c>
      <c r="B3038" s="89" t="str">
        <f t="shared" si="283"/>
        <v/>
      </c>
      <c r="S3038" s="89" t="str">
        <f t="shared" si="284"/>
        <v/>
      </c>
      <c r="X3038" s="64">
        <f t="shared" si="285"/>
        <v>0</v>
      </c>
      <c r="Y3038" s="53">
        <f t="shared" si="286"/>
        <v>0</v>
      </c>
      <c r="Z3038" s="64">
        <f t="shared" si="287"/>
        <v>0</v>
      </c>
    </row>
    <row r="3039" spans="1:26">
      <c r="A3039" s="89" t="str">
        <f t="shared" si="282"/>
        <v/>
      </c>
      <c r="B3039" s="89" t="str">
        <f t="shared" si="283"/>
        <v/>
      </c>
      <c r="S3039" s="89" t="str">
        <f t="shared" si="284"/>
        <v/>
      </c>
      <c r="X3039" s="64">
        <f t="shared" si="285"/>
        <v>0</v>
      </c>
      <c r="Y3039" s="53">
        <f t="shared" si="286"/>
        <v>0</v>
      </c>
      <c r="Z3039" s="64">
        <f t="shared" si="287"/>
        <v>0</v>
      </c>
    </row>
    <row r="3040" spans="1:26">
      <c r="A3040" s="89" t="str">
        <f t="shared" si="282"/>
        <v/>
      </c>
      <c r="B3040" s="89" t="str">
        <f t="shared" si="283"/>
        <v/>
      </c>
      <c r="S3040" s="89" t="str">
        <f t="shared" si="284"/>
        <v/>
      </c>
      <c r="X3040" s="64">
        <f t="shared" si="285"/>
        <v>0</v>
      </c>
      <c r="Y3040" s="53">
        <f t="shared" si="286"/>
        <v>0</v>
      </c>
      <c r="Z3040" s="64">
        <f t="shared" si="287"/>
        <v>0</v>
      </c>
    </row>
    <row r="3041" spans="1:26">
      <c r="A3041" s="89" t="str">
        <f t="shared" si="282"/>
        <v/>
      </c>
      <c r="B3041" s="89" t="str">
        <f t="shared" si="283"/>
        <v/>
      </c>
      <c r="S3041" s="89" t="str">
        <f t="shared" si="284"/>
        <v/>
      </c>
      <c r="X3041" s="64">
        <f t="shared" si="285"/>
        <v>0</v>
      </c>
      <c r="Y3041" s="53">
        <f t="shared" si="286"/>
        <v>0</v>
      </c>
      <c r="Z3041" s="64">
        <f t="shared" si="287"/>
        <v>0</v>
      </c>
    </row>
    <row r="3042" spans="1:26">
      <c r="A3042" s="89" t="str">
        <f t="shared" si="282"/>
        <v/>
      </c>
      <c r="B3042" s="89" t="str">
        <f t="shared" si="283"/>
        <v/>
      </c>
      <c r="S3042" s="89" t="str">
        <f t="shared" si="284"/>
        <v/>
      </c>
      <c r="X3042" s="64">
        <f t="shared" si="285"/>
        <v>0</v>
      </c>
      <c r="Y3042" s="53">
        <f t="shared" si="286"/>
        <v>0</v>
      </c>
      <c r="Z3042" s="64">
        <f t="shared" si="287"/>
        <v>0</v>
      </c>
    </row>
    <row r="3043" spans="1:26">
      <c r="A3043" s="89" t="str">
        <f t="shared" si="282"/>
        <v/>
      </c>
      <c r="B3043" s="89" t="str">
        <f t="shared" si="283"/>
        <v/>
      </c>
      <c r="S3043" s="89" t="str">
        <f t="shared" si="284"/>
        <v/>
      </c>
      <c r="X3043" s="64">
        <f t="shared" si="285"/>
        <v>0</v>
      </c>
      <c r="Y3043" s="53">
        <f t="shared" si="286"/>
        <v>0</v>
      </c>
      <c r="Z3043" s="64">
        <f t="shared" si="287"/>
        <v>0</v>
      </c>
    </row>
    <row r="3044" spans="1:26">
      <c r="A3044" s="89" t="str">
        <f t="shared" si="282"/>
        <v/>
      </c>
      <c r="B3044" s="89" t="str">
        <f t="shared" si="283"/>
        <v/>
      </c>
      <c r="S3044" s="89" t="str">
        <f t="shared" si="284"/>
        <v/>
      </c>
      <c r="X3044" s="64">
        <f t="shared" si="285"/>
        <v>0</v>
      </c>
      <c r="Y3044" s="53">
        <f t="shared" si="286"/>
        <v>0</v>
      </c>
      <c r="Z3044" s="64">
        <f t="shared" si="287"/>
        <v>0</v>
      </c>
    </row>
    <row r="3045" spans="1:26">
      <c r="A3045" s="89" t="str">
        <f t="shared" si="282"/>
        <v/>
      </c>
      <c r="B3045" s="89" t="str">
        <f t="shared" si="283"/>
        <v/>
      </c>
      <c r="S3045" s="89" t="str">
        <f t="shared" si="284"/>
        <v/>
      </c>
      <c r="X3045" s="64">
        <f t="shared" si="285"/>
        <v>0</v>
      </c>
      <c r="Y3045" s="53">
        <f t="shared" si="286"/>
        <v>0</v>
      </c>
      <c r="Z3045" s="64">
        <f t="shared" si="287"/>
        <v>0</v>
      </c>
    </row>
    <row r="3046" spans="1:26">
      <c r="A3046" s="89" t="str">
        <f t="shared" si="282"/>
        <v/>
      </c>
      <c r="B3046" s="89" t="str">
        <f t="shared" si="283"/>
        <v/>
      </c>
      <c r="S3046" s="89" t="str">
        <f t="shared" si="284"/>
        <v/>
      </c>
      <c r="X3046" s="64">
        <f t="shared" si="285"/>
        <v>0</v>
      </c>
      <c r="Y3046" s="53">
        <f t="shared" si="286"/>
        <v>0</v>
      </c>
      <c r="Z3046" s="64">
        <f t="shared" si="287"/>
        <v>0</v>
      </c>
    </row>
    <row r="3047" spans="1:26">
      <c r="A3047" s="89" t="str">
        <f t="shared" si="282"/>
        <v/>
      </c>
      <c r="B3047" s="89" t="str">
        <f t="shared" si="283"/>
        <v/>
      </c>
      <c r="S3047" s="89" t="str">
        <f t="shared" si="284"/>
        <v/>
      </c>
      <c r="X3047" s="64">
        <f t="shared" si="285"/>
        <v>0</v>
      </c>
      <c r="Y3047" s="53">
        <f t="shared" si="286"/>
        <v>0</v>
      </c>
      <c r="Z3047" s="64">
        <f t="shared" si="287"/>
        <v>0</v>
      </c>
    </row>
    <row r="3048" spans="1:26">
      <c r="A3048" s="89" t="str">
        <f t="shared" si="282"/>
        <v/>
      </c>
      <c r="B3048" s="89" t="str">
        <f t="shared" si="283"/>
        <v/>
      </c>
      <c r="S3048" s="89" t="str">
        <f t="shared" si="284"/>
        <v/>
      </c>
      <c r="X3048" s="64">
        <f t="shared" si="285"/>
        <v>0</v>
      </c>
      <c r="Y3048" s="53">
        <f t="shared" si="286"/>
        <v>0</v>
      </c>
      <c r="Z3048" s="64">
        <f t="shared" si="287"/>
        <v>0</v>
      </c>
    </row>
    <row r="3049" spans="1:26">
      <c r="A3049" s="89" t="str">
        <f t="shared" si="282"/>
        <v/>
      </c>
      <c r="B3049" s="89" t="str">
        <f t="shared" si="283"/>
        <v/>
      </c>
      <c r="S3049" s="89" t="str">
        <f t="shared" si="284"/>
        <v/>
      </c>
      <c r="X3049" s="64">
        <f t="shared" si="285"/>
        <v>0</v>
      </c>
      <c r="Y3049" s="53">
        <f t="shared" si="286"/>
        <v>0</v>
      </c>
      <c r="Z3049" s="64">
        <f t="shared" si="287"/>
        <v>0</v>
      </c>
    </row>
    <row r="3050" spans="1:26">
      <c r="A3050" s="89" t="str">
        <f t="shared" si="282"/>
        <v/>
      </c>
      <c r="B3050" s="89" t="str">
        <f t="shared" si="283"/>
        <v/>
      </c>
      <c r="S3050" s="89" t="str">
        <f t="shared" si="284"/>
        <v/>
      </c>
      <c r="X3050" s="64">
        <f t="shared" si="285"/>
        <v>0</v>
      </c>
      <c r="Y3050" s="53">
        <f t="shared" si="286"/>
        <v>0</v>
      </c>
      <c r="Z3050" s="64">
        <f t="shared" si="287"/>
        <v>0</v>
      </c>
    </row>
    <row r="3051" spans="1:26">
      <c r="A3051" s="89" t="str">
        <f t="shared" si="282"/>
        <v/>
      </c>
      <c r="B3051" s="89" t="str">
        <f t="shared" si="283"/>
        <v/>
      </c>
      <c r="S3051" s="89" t="str">
        <f t="shared" si="284"/>
        <v/>
      </c>
      <c r="X3051" s="64">
        <f t="shared" si="285"/>
        <v>0</v>
      </c>
      <c r="Y3051" s="53">
        <f t="shared" si="286"/>
        <v>0</v>
      </c>
      <c r="Z3051" s="64">
        <f t="shared" si="287"/>
        <v>0</v>
      </c>
    </row>
    <row r="3052" spans="1:26">
      <c r="A3052" s="89" t="str">
        <f t="shared" si="282"/>
        <v/>
      </c>
      <c r="B3052" s="89" t="str">
        <f t="shared" si="283"/>
        <v/>
      </c>
      <c r="S3052" s="89" t="str">
        <f t="shared" si="284"/>
        <v/>
      </c>
      <c r="X3052" s="64">
        <f t="shared" si="285"/>
        <v>0</v>
      </c>
      <c r="Y3052" s="53">
        <f t="shared" si="286"/>
        <v>0</v>
      </c>
      <c r="Z3052" s="64">
        <f t="shared" si="287"/>
        <v>0</v>
      </c>
    </row>
    <row r="3053" spans="1:26">
      <c r="A3053" s="89" t="str">
        <f t="shared" si="282"/>
        <v/>
      </c>
      <c r="B3053" s="89" t="str">
        <f t="shared" si="283"/>
        <v/>
      </c>
      <c r="S3053" s="89" t="str">
        <f t="shared" si="284"/>
        <v/>
      </c>
      <c r="X3053" s="64">
        <f t="shared" si="285"/>
        <v>0</v>
      </c>
      <c r="Y3053" s="53">
        <f t="shared" si="286"/>
        <v>0</v>
      </c>
      <c r="Z3053" s="64">
        <f t="shared" si="287"/>
        <v>0</v>
      </c>
    </row>
    <row r="3054" spans="1:26">
      <c r="A3054" s="89" t="str">
        <f t="shared" si="282"/>
        <v/>
      </c>
      <c r="B3054" s="89" t="str">
        <f t="shared" si="283"/>
        <v/>
      </c>
      <c r="S3054" s="89" t="str">
        <f t="shared" si="284"/>
        <v/>
      </c>
      <c r="X3054" s="64">
        <f t="shared" si="285"/>
        <v>0</v>
      </c>
      <c r="Y3054" s="53">
        <f t="shared" si="286"/>
        <v>0</v>
      </c>
      <c r="Z3054" s="64">
        <f t="shared" si="287"/>
        <v>0</v>
      </c>
    </row>
    <row r="3055" spans="1:26">
      <c r="A3055" s="89" t="str">
        <f t="shared" si="282"/>
        <v/>
      </c>
      <c r="B3055" s="89" t="str">
        <f t="shared" si="283"/>
        <v/>
      </c>
      <c r="S3055" s="89" t="str">
        <f t="shared" si="284"/>
        <v/>
      </c>
      <c r="X3055" s="64">
        <f t="shared" si="285"/>
        <v>0</v>
      </c>
      <c r="Y3055" s="53">
        <f t="shared" si="286"/>
        <v>0</v>
      </c>
      <c r="Z3055" s="64">
        <f t="shared" si="287"/>
        <v>0</v>
      </c>
    </row>
    <row r="3056" spans="1:26">
      <c r="A3056" s="89" t="str">
        <f t="shared" si="282"/>
        <v/>
      </c>
      <c r="B3056" s="89" t="str">
        <f t="shared" si="283"/>
        <v/>
      </c>
      <c r="S3056" s="89" t="str">
        <f t="shared" si="284"/>
        <v/>
      </c>
      <c r="X3056" s="64">
        <f t="shared" si="285"/>
        <v>0</v>
      </c>
      <c r="Y3056" s="53">
        <f t="shared" si="286"/>
        <v>0</v>
      </c>
      <c r="Z3056" s="64">
        <f t="shared" si="287"/>
        <v>0</v>
      </c>
    </row>
    <row r="3057" spans="1:26">
      <c r="A3057" s="89" t="str">
        <f t="shared" si="282"/>
        <v/>
      </c>
      <c r="B3057" s="89" t="str">
        <f t="shared" si="283"/>
        <v/>
      </c>
      <c r="S3057" s="89" t="str">
        <f t="shared" si="284"/>
        <v/>
      </c>
      <c r="X3057" s="64">
        <f t="shared" si="285"/>
        <v>0</v>
      </c>
      <c r="Y3057" s="53">
        <f t="shared" si="286"/>
        <v>0</v>
      </c>
      <c r="Z3057" s="64">
        <f t="shared" si="287"/>
        <v>0</v>
      </c>
    </row>
    <row r="3058" spans="1:26">
      <c r="A3058" s="89" t="str">
        <f t="shared" si="282"/>
        <v/>
      </c>
      <c r="B3058" s="89" t="str">
        <f t="shared" si="283"/>
        <v/>
      </c>
      <c r="S3058" s="89" t="str">
        <f t="shared" si="284"/>
        <v/>
      </c>
      <c r="X3058" s="64">
        <f t="shared" si="285"/>
        <v>0</v>
      </c>
      <c r="Y3058" s="53">
        <f t="shared" si="286"/>
        <v>0</v>
      </c>
      <c r="Z3058" s="64">
        <f t="shared" si="287"/>
        <v>0</v>
      </c>
    </row>
    <row r="3059" spans="1:26">
      <c r="A3059" s="89" t="str">
        <f t="shared" si="282"/>
        <v/>
      </c>
      <c r="B3059" s="89" t="str">
        <f t="shared" si="283"/>
        <v/>
      </c>
      <c r="S3059" s="89" t="str">
        <f t="shared" si="284"/>
        <v/>
      </c>
      <c r="X3059" s="64">
        <f t="shared" si="285"/>
        <v>0</v>
      </c>
      <c r="Y3059" s="53">
        <f t="shared" si="286"/>
        <v>0</v>
      </c>
      <c r="Z3059" s="64">
        <f t="shared" si="287"/>
        <v>0</v>
      </c>
    </row>
    <row r="3060" spans="1:26">
      <c r="A3060" s="89" t="str">
        <f t="shared" si="282"/>
        <v/>
      </c>
      <c r="B3060" s="89" t="str">
        <f t="shared" si="283"/>
        <v/>
      </c>
      <c r="S3060" s="89" t="str">
        <f t="shared" si="284"/>
        <v/>
      </c>
      <c r="X3060" s="64">
        <f t="shared" si="285"/>
        <v>0</v>
      </c>
      <c r="Y3060" s="53">
        <f t="shared" si="286"/>
        <v>0</v>
      </c>
      <c r="Z3060" s="64">
        <f t="shared" si="287"/>
        <v>0</v>
      </c>
    </row>
    <row r="3061" spans="1:26">
      <c r="A3061" s="89" t="str">
        <f t="shared" si="282"/>
        <v/>
      </c>
      <c r="B3061" s="89" t="str">
        <f t="shared" si="283"/>
        <v/>
      </c>
      <c r="S3061" s="89" t="str">
        <f t="shared" si="284"/>
        <v/>
      </c>
      <c r="X3061" s="64">
        <f t="shared" si="285"/>
        <v>0</v>
      </c>
      <c r="Y3061" s="53">
        <f t="shared" si="286"/>
        <v>0</v>
      </c>
      <c r="Z3061" s="64">
        <f t="shared" si="287"/>
        <v>0</v>
      </c>
    </row>
    <row r="3062" spans="1:26">
      <c r="A3062" s="89" t="str">
        <f t="shared" si="282"/>
        <v/>
      </c>
      <c r="B3062" s="89" t="str">
        <f t="shared" si="283"/>
        <v/>
      </c>
      <c r="S3062" s="89" t="str">
        <f t="shared" si="284"/>
        <v/>
      </c>
      <c r="X3062" s="64">
        <f t="shared" si="285"/>
        <v>0</v>
      </c>
      <c r="Y3062" s="53">
        <f t="shared" si="286"/>
        <v>0</v>
      </c>
      <c r="Z3062" s="64">
        <f t="shared" si="287"/>
        <v>0</v>
      </c>
    </row>
    <row r="3063" spans="1:26">
      <c r="A3063" s="89" t="str">
        <f t="shared" si="282"/>
        <v/>
      </c>
      <c r="B3063" s="89" t="str">
        <f t="shared" si="283"/>
        <v/>
      </c>
      <c r="S3063" s="89" t="str">
        <f t="shared" si="284"/>
        <v/>
      </c>
      <c r="X3063" s="64">
        <f t="shared" si="285"/>
        <v>0</v>
      </c>
      <c r="Y3063" s="53">
        <f t="shared" si="286"/>
        <v>0</v>
      </c>
      <c r="Z3063" s="64">
        <f t="shared" si="287"/>
        <v>0</v>
      </c>
    </row>
    <row r="3064" spans="1:26">
      <c r="A3064" s="89" t="str">
        <f t="shared" si="282"/>
        <v/>
      </c>
      <c r="B3064" s="89" t="str">
        <f t="shared" si="283"/>
        <v/>
      </c>
      <c r="S3064" s="89" t="str">
        <f t="shared" si="284"/>
        <v/>
      </c>
      <c r="X3064" s="64">
        <f t="shared" si="285"/>
        <v>0</v>
      </c>
      <c r="Y3064" s="53">
        <f t="shared" si="286"/>
        <v>0</v>
      </c>
      <c r="Z3064" s="64">
        <f t="shared" si="287"/>
        <v>0</v>
      </c>
    </row>
    <row r="3065" spans="1:26">
      <c r="A3065" s="89" t="str">
        <f t="shared" si="282"/>
        <v/>
      </c>
      <c r="B3065" s="89" t="str">
        <f t="shared" si="283"/>
        <v/>
      </c>
      <c r="S3065" s="89" t="str">
        <f t="shared" si="284"/>
        <v/>
      </c>
      <c r="X3065" s="64">
        <f t="shared" si="285"/>
        <v>0</v>
      </c>
      <c r="Y3065" s="53">
        <f t="shared" si="286"/>
        <v>0</v>
      </c>
      <c r="Z3065" s="64">
        <f t="shared" si="287"/>
        <v>0</v>
      </c>
    </row>
    <row r="3066" spans="1:26">
      <c r="A3066" s="89" t="str">
        <f t="shared" si="282"/>
        <v/>
      </c>
      <c r="B3066" s="89" t="str">
        <f t="shared" si="283"/>
        <v/>
      </c>
      <c r="S3066" s="89" t="str">
        <f t="shared" si="284"/>
        <v/>
      </c>
      <c r="X3066" s="64">
        <f t="shared" si="285"/>
        <v>0</v>
      </c>
      <c r="Y3066" s="53">
        <f t="shared" si="286"/>
        <v>0</v>
      </c>
      <c r="Z3066" s="64">
        <f t="shared" si="287"/>
        <v>0</v>
      </c>
    </row>
    <row r="3067" spans="1:26">
      <c r="A3067" s="89" t="str">
        <f t="shared" si="282"/>
        <v/>
      </c>
      <c r="B3067" s="89" t="str">
        <f t="shared" si="283"/>
        <v/>
      </c>
      <c r="S3067" s="89" t="str">
        <f t="shared" si="284"/>
        <v/>
      </c>
      <c r="X3067" s="64">
        <f t="shared" si="285"/>
        <v>0</v>
      </c>
      <c r="Y3067" s="53">
        <f t="shared" si="286"/>
        <v>0</v>
      </c>
      <c r="Z3067" s="64">
        <f t="shared" si="287"/>
        <v>0</v>
      </c>
    </row>
    <row r="3068" spans="1:26">
      <c r="A3068" s="89" t="str">
        <f t="shared" si="282"/>
        <v/>
      </c>
      <c r="B3068" s="89" t="str">
        <f t="shared" si="283"/>
        <v/>
      </c>
      <c r="S3068" s="89" t="str">
        <f t="shared" si="284"/>
        <v/>
      </c>
      <c r="X3068" s="64">
        <f t="shared" si="285"/>
        <v>0</v>
      </c>
      <c r="Y3068" s="53">
        <f t="shared" si="286"/>
        <v>0</v>
      </c>
      <c r="Z3068" s="64">
        <f t="shared" si="287"/>
        <v>0</v>
      </c>
    </row>
    <row r="3069" spans="1:26">
      <c r="A3069" s="89" t="str">
        <f t="shared" si="282"/>
        <v/>
      </c>
      <c r="B3069" s="89" t="str">
        <f t="shared" si="283"/>
        <v/>
      </c>
      <c r="S3069" s="89" t="str">
        <f t="shared" si="284"/>
        <v/>
      </c>
      <c r="X3069" s="64">
        <f t="shared" si="285"/>
        <v>0</v>
      </c>
      <c r="Y3069" s="53">
        <f t="shared" si="286"/>
        <v>0</v>
      </c>
      <c r="Z3069" s="64">
        <f t="shared" si="287"/>
        <v>0</v>
      </c>
    </row>
    <row r="3070" spans="1:26">
      <c r="A3070" s="89" t="str">
        <f t="shared" si="282"/>
        <v/>
      </c>
      <c r="B3070" s="89" t="str">
        <f t="shared" si="283"/>
        <v/>
      </c>
      <c r="S3070" s="89" t="str">
        <f t="shared" si="284"/>
        <v/>
      </c>
      <c r="X3070" s="64">
        <f t="shared" si="285"/>
        <v>0</v>
      </c>
      <c r="Y3070" s="53">
        <f t="shared" si="286"/>
        <v>0</v>
      </c>
      <c r="Z3070" s="64">
        <f t="shared" si="287"/>
        <v>0</v>
      </c>
    </row>
    <row r="3071" spans="1:26">
      <c r="A3071" s="89" t="str">
        <f t="shared" si="282"/>
        <v/>
      </c>
      <c r="B3071" s="89" t="str">
        <f t="shared" si="283"/>
        <v/>
      </c>
      <c r="S3071" s="89" t="str">
        <f t="shared" si="284"/>
        <v/>
      </c>
      <c r="X3071" s="64">
        <f t="shared" si="285"/>
        <v>0</v>
      </c>
      <c r="Y3071" s="53">
        <f t="shared" si="286"/>
        <v>0</v>
      </c>
      <c r="Z3071" s="64">
        <f t="shared" si="287"/>
        <v>0</v>
      </c>
    </row>
    <row r="3072" spans="1:26">
      <c r="A3072" s="89" t="str">
        <f t="shared" si="282"/>
        <v/>
      </c>
      <c r="B3072" s="89" t="str">
        <f t="shared" si="283"/>
        <v/>
      </c>
      <c r="S3072" s="89" t="str">
        <f t="shared" si="284"/>
        <v/>
      </c>
      <c r="X3072" s="64">
        <f t="shared" si="285"/>
        <v>0</v>
      </c>
      <c r="Y3072" s="53">
        <f t="shared" si="286"/>
        <v>0</v>
      </c>
      <c r="Z3072" s="64">
        <f t="shared" si="287"/>
        <v>0</v>
      </c>
    </row>
    <row r="3073" spans="1:26">
      <c r="A3073" s="89" t="str">
        <f t="shared" si="282"/>
        <v/>
      </c>
      <c r="B3073" s="89" t="str">
        <f t="shared" si="283"/>
        <v/>
      </c>
      <c r="S3073" s="89" t="str">
        <f t="shared" si="284"/>
        <v/>
      </c>
      <c r="X3073" s="64">
        <f t="shared" si="285"/>
        <v>0</v>
      </c>
      <c r="Y3073" s="53">
        <f t="shared" si="286"/>
        <v>0</v>
      </c>
      <c r="Z3073" s="64">
        <f t="shared" si="287"/>
        <v>0</v>
      </c>
    </row>
    <row r="3074" spans="1:26">
      <c r="A3074" s="89" t="str">
        <f t="shared" si="282"/>
        <v/>
      </c>
      <c r="B3074" s="89" t="str">
        <f t="shared" si="283"/>
        <v/>
      </c>
      <c r="S3074" s="89" t="str">
        <f t="shared" si="284"/>
        <v/>
      </c>
      <c r="X3074" s="64">
        <f t="shared" si="285"/>
        <v>0</v>
      </c>
      <c r="Y3074" s="53">
        <f t="shared" si="286"/>
        <v>0</v>
      </c>
      <c r="Z3074" s="64">
        <f t="shared" si="287"/>
        <v>0</v>
      </c>
    </row>
    <row r="3075" spans="1:26">
      <c r="A3075" s="89" t="str">
        <f t="shared" ref="A3075:A3138" si="288">IF(G3075&amp;Q3075&lt;&gt;"",G3075&amp;Q3075,"")</f>
        <v/>
      </c>
      <c r="B3075" s="89" t="str">
        <f t="shared" ref="B3075:B3138" si="289">IF(C3075&lt;&gt;"",LEFT(C3075,9),"")</f>
        <v/>
      </c>
      <c r="S3075" s="89" t="str">
        <f t="shared" ref="S3075:S3138" si="290">IF(H3075&lt;&gt;"",H3075,"")</f>
        <v/>
      </c>
      <c r="X3075" s="64">
        <f t="shared" ref="X3075:X3138" si="291">IFERROR(VALUE(MID($C3075,1,2)),0)</f>
        <v>0</v>
      </c>
      <c r="Y3075" s="53">
        <f t="shared" ref="Y3075:Y3138" si="292">IFERROR(VALUE(MID($C3075,4,3)),0)</f>
        <v>0</v>
      </c>
      <c r="Z3075" s="64">
        <f t="shared" ref="Z3075:Z3138" si="293">VALUE(RIGHT("00"&amp;X3075,2)&amp;RIGHT("000"&amp;Y3075,3))</f>
        <v>0</v>
      </c>
    </row>
    <row r="3076" spans="1:26">
      <c r="A3076" s="89" t="str">
        <f t="shared" si="288"/>
        <v/>
      </c>
      <c r="B3076" s="89" t="str">
        <f t="shared" si="289"/>
        <v/>
      </c>
      <c r="S3076" s="89" t="str">
        <f t="shared" si="290"/>
        <v/>
      </c>
      <c r="X3076" s="64">
        <f t="shared" si="291"/>
        <v>0</v>
      </c>
      <c r="Y3076" s="53">
        <f t="shared" si="292"/>
        <v>0</v>
      </c>
      <c r="Z3076" s="64">
        <f t="shared" si="293"/>
        <v>0</v>
      </c>
    </row>
    <row r="3077" spans="1:26">
      <c r="A3077" s="89" t="str">
        <f t="shared" si="288"/>
        <v/>
      </c>
      <c r="B3077" s="89" t="str">
        <f t="shared" si="289"/>
        <v/>
      </c>
      <c r="S3077" s="89" t="str">
        <f t="shared" si="290"/>
        <v/>
      </c>
      <c r="X3077" s="64">
        <f t="shared" si="291"/>
        <v>0</v>
      </c>
      <c r="Y3077" s="53">
        <f t="shared" si="292"/>
        <v>0</v>
      </c>
      <c r="Z3077" s="64">
        <f t="shared" si="293"/>
        <v>0</v>
      </c>
    </row>
    <row r="3078" spans="1:26">
      <c r="A3078" s="89" t="str">
        <f t="shared" si="288"/>
        <v/>
      </c>
      <c r="B3078" s="89" t="str">
        <f t="shared" si="289"/>
        <v/>
      </c>
      <c r="S3078" s="89" t="str">
        <f t="shared" si="290"/>
        <v/>
      </c>
      <c r="X3078" s="64">
        <f t="shared" si="291"/>
        <v>0</v>
      </c>
      <c r="Y3078" s="53">
        <f t="shared" si="292"/>
        <v>0</v>
      </c>
      <c r="Z3078" s="64">
        <f t="shared" si="293"/>
        <v>0</v>
      </c>
    </row>
    <row r="3079" spans="1:26">
      <c r="A3079" s="89" t="str">
        <f t="shared" si="288"/>
        <v/>
      </c>
      <c r="B3079" s="89" t="str">
        <f t="shared" si="289"/>
        <v/>
      </c>
      <c r="S3079" s="89" t="str">
        <f t="shared" si="290"/>
        <v/>
      </c>
      <c r="X3079" s="64">
        <f t="shared" si="291"/>
        <v>0</v>
      </c>
      <c r="Y3079" s="53">
        <f t="shared" si="292"/>
        <v>0</v>
      </c>
      <c r="Z3079" s="64">
        <f t="shared" si="293"/>
        <v>0</v>
      </c>
    </row>
    <row r="3080" spans="1:26">
      <c r="A3080" s="89" t="str">
        <f t="shared" si="288"/>
        <v/>
      </c>
      <c r="B3080" s="89" t="str">
        <f t="shared" si="289"/>
        <v/>
      </c>
      <c r="S3080" s="89" t="str">
        <f t="shared" si="290"/>
        <v/>
      </c>
      <c r="X3080" s="64">
        <f t="shared" si="291"/>
        <v>0</v>
      </c>
      <c r="Y3080" s="53">
        <f t="shared" si="292"/>
        <v>0</v>
      </c>
      <c r="Z3080" s="64">
        <f t="shared" si="293"/>
        <v>0</v>
      </c>
    </row>
    <row r="3081" spans="1:26">
      <c r="A3081" s="89" t="str">
        <f t="shared" si="288"/>
        <v/>
      </c>
      <c r="B3081" s="89" t="str">
        <f t="shared" si="289"/>
        <v/>
      </c>
      <c r="S3081" s="89" t="str">
        <f t="shared" si="290"/>
        <v/>
      </c>
      <c r="X3081" s="64">
        <f t="shared" si="291"/>
        <v>0</v>
      </c>
      <c r="Y3081" s="53">
        <f t="shared" si="292"/>
        <v>0</v>
      </c>
      <c r="Z3081" s="64">
        <f t="shared" si="293"/>
        <v>0</v>
      </c>
    </row>
    <row r="3082" spans="1:26">
      <c r="A3082" s="89" t="str">
        <f t="shared" si="288"/>
        <v/>
      </c>
      <c r="B3082" s="89" t="str">
        <f t="shared" si="289"/>
        <v/>
      </c>
      <c r="S3082" s="89" t="str">
        <f t="shared" si="290"/>
        <v/>
      </c>
      <c r="X3082" s="64">
        <f t="shared" si="291"/>
        <v>0</v>
      </c>
      <c r="Y3082" s="53">
        <f t="shared" si="292"/>
        <v>0</v>
      </c>
      <c r="Z3082" s="64">
        <f t="shared" si="293"/>
        <v>0</v>
      </c>
    </row>
    <row r="3083" spans="1:26">
      <c r="A3083" s="89" t="str">
        <f t="shared" si="288"/>
        <v/>
      </c>
      <c r="B3083" s="89" t="str">
        <f t="shared" si="289"/>
        <v/>
      </c>
      <c r="S3083" s="89" t="str">
        <f t="shared" si="290"/>
        <v/>
      </c>
      <c r="X3083" s="64">
        <f t="shared" si="291"/>
        <v>0</v>
      </c>
      <c r="Y3083" s="53">
        <f t="shared" si="292"/>
        <v>0</v>
      </c>
      <c r="Z3083" s="64">
        <f t="shared" si="293"/>
        <v>0</v>
      </c>
    </row>
    <row r="3084" spans="1:26">
      <c r="A3084" s="89" t="str">
        <f t="shared" si="288"/>
        <v/>
      </c>
      <c r="B3084" s="89" t="str">
        <f t="shared" si="289"/>
        <v/>
      </c>
      <c r="S3084" s="89" t="str">
        <f t="shared" si="290"/>
        <v/>
      </c>
      <c r="X3084" s="64">
        <f t="shared" si="291"/>
        <v>0</v>
      </c>
      <c r="Y3084" s="53">
        <f t="shared" si="292"/>
        <v>0</v>
      </c>
      <c r="Z3084" s="64">
        <f t="shared" si="293"/>
        <v>0</v>
      </c>
    </row>
    <row r="3085" spans="1:26">
      <c r="A3085" s="89" t="str">
        <f t="shared" si="288"/>
        <v/>
      </c>
      <c r="B3085" s="89" t="str">
        <f t="shared" si="289"/>
        <v/>
      </c>
      <c r="S3085" s="89" t="str">
        <f t="shared" si="290"/>
        <v/>
      </c>
      <c r="X3085" s="64">
        <f t="shared" si="291"/>
        <v>0</v>
      </c>
      <c r="Y3085" s="53">
        <f t="shared" si="292"/>
        <v>0</v>
      </c>
      <c r="Z3085" s="64">
        <f t="shared" si="293"/>
        <v>0</v>
      </c>
    </row>
    <row r="3086" spans="1:26">
      <c r="A3086" s="89" t="str">
        <f t="shared" si="288"/>
        <v/>
      </c>
      <c r="B3086" s="89" t="str">
        <f t="shared" si="289"/>
        <v/>
      </c>
      <c r="S3086" s="89" t="str">
        <f t="shared" si="290"/>
        <v/>
      </c>
      <c r="X3086" s="64">
        <f t="shared" si="291"/>
        <v>0</v>
      </c>
      <c r="Y3086" s="53">
        <f t="shared" si="292"/>
        <v>0</v>
      </c>
      <c r="Z3086" s="64">
        <f t="shared" si="293"/>
        <v>0</v>
      </c>
    </row>
    <row r="3087" spans="1:26">
      <c r="A3087" s="89" t="str">
        <f t="shared" si="288"/>
        <v/>
      </c>
      <c r="B3087" s="89" t="str">
        <f t="shared" si="289"/>
        <v/>
      </c>
      <c r="S3087" s="89" t="str">
        <f t="shared" si="290"/>
        <v/>
      </c>
      <c r="X3087" s="64">
        <f t="shared" si="291"/>
        <v>0</v>
      </c>
      <c r="Y3087" s="53">
        <f t="shared" si="292"/>
        <v>0</v>
      </c>
      <c r="Z3087" s="64">
        <f t="shared" si="293"/>
        <v>0</v>
      </c>
    </row>
    <row r="3088" spans="1:26">
      <c r="A3088" s="89" t="str">
        <f t="shared" si="288"/>
        <v/>
      </c>
      <c r="B3088" s="89" t="str">
        <f t="shared" si="289"/>
        <v/>
      </c>
      <c r="S3088" s="89" t="str">
        <f t="shared" si="290"/>
        <v/>
      </c>
      <c r="X3088" s="64">
        <f t="shared" si="291"/>
        <v>0</v>
      </c>
      <c r="Y3088" s="53">
        <f t="shared" si="292"/>
        <v>0</v>
      </c>
      <c r="Z3088" s="64">
        <f t="shared" si="293"/>
        <v>0</v>
      </c>
    </row>
    <row r="3089" spans="1:26">
      <c r="A3089" s="89" t="str">
        <f t="shared" si="288"/>
        <v/>
      </c>
      <c r="B3089" s="89" t="str">
        <f t="shared" si="289"/>
        <v/>
      </c>
      <c r="S3089" s="89" t="str">
        <f t="shared" si="290"/>
        <v/>
      </c>
      <c r="X3089" s="64">
        <f t="shared" si="291"/>
        <v>0</v>
      </c>
      <c r="Y3089" s="53">
        <f t="shared" si="292"/>
        <v>0</v>
      </c>
      <c r="Z3089" s="64">
        <f t="shared" si="293"/>
        <v>0</v>
      </c>
    </row>
    <row r="3090" spans="1:26">
      <c r="A3090" s="89" t="str">
        <f t="shared" si="288"/>
        <v/>
      </c>
      <c r="B3090" s="89" t="str">
        <f t="shared" si="289"/>
        <v/>
      </c>
      <c r="S3090" s="89" t="str">
        <f t="shared" si="290"/>
        <v/>
      </c>
      <c r="X3090" s="64">
        <f t="shared" si="291"/>
        <v>0</v>
      </c>
      <c r="Y3090" s="53">
        <f t="shared" si="292"/>
        <v>0</v>
      </c>
      <c r="Z3090" s="64">
        <f t="shared" si="293"/>
        <v>0</v>
      </c>
    </row>
    <row r="3091" spans="1:26">
      <c r="A3091" s="89" t="str">
        <f t="shared" si="288"/>
        <v/>
      </c>
      <c r="B3091" s="89" t="str">
        <f t="shared" si="289"/>
        <v/>
      </c>
      <c r="S3091" s="89" t="str">
        <f t="shared" si="290"/>
        <v/>
      </c>
      <c r="X3091" s="64">
        <f t="shared" si="291"/>
        <v>0</v>
      </c>
      <c r="Y3091" s="53">
        <f t="shared" si="292"/>
        <v>0</v>
      </c>
      <c r="Z3091" s="64">
        <f t="shared" si="293"/>
        <v>0</v>
      </c>
    </row>
    <row r="3092" spans="1:26">
      <c r="A3092" s="89" t="str">
        <f t="shared" si="288"/>
        <v/>
      </c>
      <c r="B3092" s="89" t="str">
        <f t="shared" si="289"/>
        <v/>
      </c>
      <c r="S3092" s="89" t="str">
        <f t="shared" si="290"/>
        <v/>
      </c>
      <c r="X3092" s="64">
        <f t="shared" si="291"/>
        <v>0</v>
      </c>
      <c r="Y3092" s="53">
        <f t="shared" si="292"/>
        <v>0</v>
      </c>
      <c r="Z3092" s="64">
        <f t="shared" si="293"/>
        <v>0</v>
      </c>
    </row>
    <row r="3093" spans="1:26">
      <c r="A3093" s="89" t="str">
        <f t="shared" si="288"/>
        <v/>
      </c>
      <c r="B3093" s="89" t="str">
        <f t="shared" si="289"/>
        <v/>
      </c>
      <c r="S3093" s="89" t="str">
        <f t="shared" si="290"/>
        <v/>
      </c>
      <c r="X3093" s="64">
        <f t="shared" si="291"/>
        <v>0</v>
      </c>
      <c r="Y3093" s="53">
        <f t="shared" si="292"/>
        <v>0</v>
      </c>
      <c r="Z3093" s="64">
        <f t="shared" si="293"/>
        <v>0</v>
      </c>
    </row>
    <row r="3094" spans="1:26">
      <c r="A3094" s="89" t="str">
        <f t="shared" si="288"/>
        <v/>
      </c>
      <c r="B3094" s="89" t="str">
        <f t="shared" si="289"/>
        <v/>
      </c>
      <c r="S3094" s="89" t="str">
        <f t="shared" si="290"/>
        <v/>
      </c>
      <c r="X3094" s="64">
        <f t="shared" si="291"/>
        <v>0</v>
      </c>
      <c r="Y3094" s="53">
        <f t="shared" si="292"/>
        <v>0</v>
      </c>
      <c r="Z3094" s="64">
        <f t="shared" si="293"/>
        <v>0</v>
      </c>
    </row>
    <row r="3095" spans="1:26">
      <c r="A3095" s="89" t="str">
        <f t="shared" si="288"/>
        <v/>
      </c>
      <c r="B3095" s="89" t="str">
        <f t="shared" si="289"/>
        <v/>
      </c>
      <c r="S3095" s="89" t="str">
        <f t="shared" si="290"/>
        <v/>
      </c>
      <c r="X3095" s="64">
        <f t="shared" si="291"/>
        <v>0</v>
      </c>
      <c r="Y3095" s="53">
        <f t="shared" si="292"/>
        <v>0</v>
      </c>
      <c r="Z3095" s="64">
        <f t="shared" si="293"/>
        <v>0</v>
      </c>
    </row>
    <row r="3096" spans="1:26">
      <c r="A3096" s="89" t="str">
        <f t="shared" si="288"/>
        <v/>
      </c>
      <c r="B3096" s="89" t="str">
        <f t="shared" si="289"/>
        <v/>
      </c>
      <c r="S3096" s="89" t="str">
        <f t="shared" si="290"/>
        <v/>
      </c>
      <c r="X3096" s="64">
        <f t="shared" si="291"/>
        <v>0</v>
      </c>
      <c r="Y3096" s="53">
        <f t="shared" si="292"/>
        <v>0</v>
      </c>
      <c r="Z3096" s="64">
        <f t="shared" si="293"/>
        <v>0</v>
      </c>
    </row>
    <row r="3097" spans="1:26">
      <c r="A3097" s="89" t="str">
        <f t="shared" si="288"/>
        <v/>
      </c>
      <c r="B3097" s="89" t="str">
        <f t="shared" si="289"/>
        <v/>
      </c>
      <c r="S3097" s="89" t="str">
        <f t="shared" si="290"/>
        <v/>
      </c>
      <c r="X3097" s="64">
        <f t="shared" si="291"/>
        <v>0</v>
      </c>
      <c r="Y3097" s="53">
        <f t="shared" si="292"/>
        <v>0</v>
      </c>
      <c r="Z3097" s="64">
        <f t="shared" si="293"/>
        <v>0</v>
      </c>
    </row>
    <row r="3098" spans="1:26">
      <c r="A3098" s="89" t="str">
        <f t="shared" si="288"/>
        <v/>
      </c>
      <c r="B3098" s="89" t="str">
        <f t="shared" si="289"/>
        <v/>
      </c>
      <c r="S3098" s="89" t="str">
        <f t="shared" si="290"/>
        <v/>
      </c>
      <c r="X3098" s="64">
        <f t="shared" si="291"/>
        <v>0</v>
      </c>
      <c r="Y3098" s="53">
        <f t="shared" si="292"/>
        <v>0</v>
      </c>
      <c r="Z3098" s="64">
        <f t="shared" si="293"/>
        <v>0</v>
      </c>
    </row>
    <row r="3099" spans="1:26">
      <c r="A3099" s="89" t="str">
        <f t="shared" si="288"/>
        <v/>
      </c>
      <c r="B3099" s="89" t="str">
        <f t="shared" si="289"/>
        <v/>
      </c>
      <c r="S3099" s="89" t="str">
        <f t="shared" si="290"/>
        <v/>
      </c>
      <c r="X3099" s="64">
        <f t="shared" si="291"/>
        <v>0</v>
      </c>
      <c r="Y3099" s="53">
        <f t="shared" si="292"/>
        <v>0</v>
      </c>
      <c r="Z3099" s="64">
        <f t="shared" si="293"/>
        <v>0</v>
      </c>
    </row>
    <row r="3100" spans="1:26">
      <c r="A3100" s="89" t="str">
        <f t="shared" si="288"/>
        <v/>
      </c>
      <c r="B3100" s="89" t="str">
        <f t="shared" si="289"/>
        <v/>
      </c>
      <c r="S3100" s="89" t="str">
        <f t="shared" si="290"/>
        <v/>
      </c>
      <c r="X3100" s="64">
        <f t="shared" si="291"/>
        <v>0</v>
      </c>
      <c r="Y3100" s="53">
        <f t="shared" si="292"/>
        <v>0</v>
      </c>
      <c r="Z3100" s="64">
        <f t="shared" si="293"/>
        <v>0</v>
      </c>
    </row>
    <row r="3101" spans="1:26">
      <c r="A3101" s="89" t="str">
        <f t="shared" si="288"/>
        <v/>
      </c>
      <c r="B3101" s="89" t="str">
        <f t="shared" si="289"/>
        <v/>
      </c>
      <c r="S3101" s="89" t="str">
        <f t="shared" si="290"/>
        <v/>
      </c>
      <c r="X3101" s="64">
        <f t="shared" si="291"/>
        <v>0</v>
      </c>
      <c r="Y3101" s="53">
        <f t="shared" si="292"/>
        <v>0</v>
      </c>
      <c r="Z3101" s="64">
        <f t="shared" si="293"/>
        <v>0</v>
      </c>
    </row>
    <row r="3102" spans="1:26">
      <c r="A3102" s="89" t="str">
        <f t="shared" si="288"/>
        <v/>
      </c>
      <c r="B3102" s="89" t="str">
        <f t="shared" si="289"/>
        <v/>
      </c>
      <c r="S3102" s="89" t="str">
        <f t="shared" si="290"/>
        <v/>
      </c>
      <c r="X3102" s="64">
        <f t="shared" si="291"/>
        <v>0</v>
      </c>
      <c r="Y3102" s="53">
        <f t="shared" si="292"/>
        <v>0</v>
      </c>
      <c r="Z3102" s="64">
        <f t="shared" si="293"/>
        <v>0</v>
      </c>
    </row>
    <row r="3103" spans="1:26">
      <c r="A3103" s="89" t="str">
        <f t="shared" si="288"/>
        <v/>
      </c>
      <c r="B3103" s="89" t="str">
        <f t="shared" si="289"/>
        <v/>
      </c>
      <c r="S3103" s="89" t="str">
        <f t="shared" si="290"/>
        <v/>
      </c>
      <c r="X3103" s="64">
        <f t="shared" si="291"/>
        <v>0</v>
      </c>
      <c r="Y3103" s="53">
        <f t="shared" si="292"/>
        <v>0</v>
      </c>
      <c r="Z3103" s="64">
        <f t="shared" si="293"/>
        <v>0</v>
      </c>
    </row>
    <row r="3104" spans="1:26">
      <c r="A3104" s="89" t="str">
        <f t="shared" si="288"/>
        <v/>
      </c>
      <c r="B3104" s="89" t="str">
        <f t="shared" si="289"/>
        <v/>
      </c>
      <c r="S3104" s="89" t="str">
        <f t="shared" si="290"/>
        <v/>
      </c>
      <c r="X3104" s="64">
        <f t="shared" si="291"/>
        <v>0</v>
      </c>
      <c r="Y3104" s="53">
        <f t="shared" si="292"/>
        <v>0</v>
      </c>
      <c r="Z3104" s="64">
        <f t="shared" si="293"/>
        <v>0</v>
      </c>
    </row>
    <row r="3105" spans="1:26">
      <c r="A3105" s="89" t="str">
        <f t="shared" si="288"/>
        <v/>
      </c>
      <c r="B3105" s="89" t="str">
        <f t="shared" si="289"/>
        <v/>
      </c>
      <c r="S3105" s="89" t="str">
        <f t="shared" si="290"/>
        <v/>
      </c>
      <c r="X3105" s="64">
        <f t="shared" si="291"/>
        <v>0</v>
      </c>
      <c r="Y3105" s="53">
        <f t="shared" si="292"/>
        <v>0</v>
      </c>
      <c r="Z3105" s="64">
        <f t="shared" si="293"/>
        <v>0</v>
      </c>
    </row>
    <row r="3106" spans="1:26">
      <c r="A3106" s="89" t="str">
        <f t="shared" si="288"/>
        <v/>
      </c>
      <c r="B3106" s="89" t="str">
        <f t="shared" si="289"/>
        <v/>
      </c>
      <c r="S3106" s="89" t="str">
        <f t="shared" si="290"/>
        <v/>
      </c>
      <c r="X3106" s="64">
        <f t="shared" si="291"/>
        <v>0</v>
      </c>
      <c r="Y3106" s="53">
        <f t="shared" si="292"/>
        <v>0</v>
      </c>
      <c r="Z3106" s="64">
        <f t="shared" si="293"/>
        <v>0</v>
      </c>
    </row>
    <row r="3107" spans="1:26">
      <c r="A3107" s="89" t="str">
        <f t="shared" si="288"/>
        <v/>
      </c>
      <c r="B3107" s="89" t="str">
        <f t="shared" si="289"/>
        <v/>
      </c>
      <c r="S3107" s="89" t="str">
        <f t="shared" si="290"/>
        <v/>
      </c>
      <c r="X3107" s="64">
        <f t="shared" si="291"/>
        <v>0</v>
      </c>
      <c r="Y3107" s="53">
        <f t="shared" si="292"/>
        <v>0</v>
      </c>
      <c r="Z3107" s="64">
        <f t="shared" si="293"/>
        <v>0</v>
      </c>
    </row>
    <row r="3108" spans="1:26">
      <c r="A3108" s="89" t="str">
        <f t="shared" si="288"/>
        <v/>
      </c>
      <c r="B3108" s="89" t="str">
        <f t="shared" si="289"/>
        <v/>
      </c>
      <c r="S3108" s="89" t="str">
        <f t="shared" si="290"/>
        <v/>
      </c>
      <c r="X3108" s="64">
        <f t="shared" si="291"/>
        <v>0</v>
      </c>
      <c r="Y3108" s="53">
        <f t="shared" si="292"/>
        <v>0</v>
      </c>
      <c r="Z3108" s="64">
        <f t="shared" si="293"/>
        <v>0</v>
      </c>
    </row>
    <row r="3109" spans="1:26">
      <c r="A3109" s="89" t="str">
        <f t="shared" si="288"/>
        <v/>
      </c>
      <c r="B3109" s="89" t="str">
        <f t="shared" si="289"/>
        <v/>
      </c>
      <c r="S3109" s="89" t="str">
        <f t="shared" si="290"/>
        <v/>
      </c>
      <c r="X3109" s="64">
        <f t="shared" si="291"/>
        <v>0</v>
      </c>
      <c r="Y3109" s="53">
        <f t="shared" si="292"/>
        <v>0</v>
      </c>
      <c r="Z3109" s="64">
        <f t="shared" si="293"/>
        <v>0</v>
      </c>
    </row>
    <row r="3110" spans="1:26">
      <c r="A3110" s="89" t="str">
        <f t="shared" si="288"/>
        <v/>
      </c>
      <c r="B3110" s="89" t="str">
        <f t="shared" si="289"/>
        <v/>
      </c>
      <c r="S3110" s="89" t="str">
        <f t="shared" si="290"/>
        <v/>
      </c>
      <c r="X3110" s="64">
        <f t="shared" si="291"/>
        <v>0</v>
      </c>
      <c r="Y3110" s="53">
        <f t="shared" si="292"/>
        <v>0</v>
      </c>
      <c r="Z3110" s="64">
        <f t="shared" si="293"/>
        <v>0</v>
      </c>
    </row>
    <row r="3111" spans="1:26">
      <c r="A3111" s="89" t="str">
        <f t="shared" si="288"/>
        <v/>
      </c>
      <c r="B3111" s="89" t="str">
        <f t="shared" si="289"/>
        <v/>
      </c>
      <c r="S3111" s="89" t="str">
        <f t="shared" si="290"/>
        <v/>
      </c>
      <c r="X3111" s="64">
        <f t="shared" si="291"/>
        <v>0</v>
      </c>
      <c r="Y3111" s="53">
        <f t="shared" si="292"/>
        <v>0</v>
      </c>
      <c r="Z3111" s="64">
        <f t="shared" si="293"/>
        <v>0</v>
      </c>
    </row>
    <row r="3112" spans="1:26">
      <c r="A3112" s="89" t="str">
        <f t="shared" si="288"/>
        <v/>
      </c>
      <c r="B3112" s="89" t="str">
        <f t="shared" si="289"/>
        <v/>
      </c>
      <c r="S3112" s="89" t="str">
        <f t="shared" si="290"/>
        <v/>
      </c>
      <c r="X3112" s="64">
        <f t="shared" si="291"/>
        <v>0</v>
      </c>
      <c r="Y3112" s="53">
        <f t="shared" si="292"/>
        <v>0</v>
      </c>
      <c r="Z3112" s="64">
        <f t="shared" si="293"/>
        <v>0</v>
      </c>
    </row>
    <row r="3113" spans="1:26">
      <c r="A3113" s="89" t="str">
        <f t="shared" si="288"/>
        <v/>
      </c>
      <c r="B3113" s="89" t="str">
        <f t="shared" si="289"/>
        <v/>
      </c>
      <c r="S3113" s="89" t="str">
        <f t="shared" si="290"/>
        <v/>
      </c>
      <c r="X3113" s="64">
        <f t="shared" si="291"/>
        <v>0</v>
      </c>
      <c r="Y3113" s="53">
        <f t="shared" si="292"/>
        <v>0</v>
      </c>
      <c r="Z3113" s="64">
        <f t="shared" si="293"/>
        <v>0</v>
      </c>
    </row>
    <row r="3114" spans="1:26">
      <c r="A3114" s="89" t="str">
        <f t="shared" si="288"/>
        <v/>
      </c>
      <c r="B3114" s="89" t="str">
        <f t="shared" si="289"/>
        <v/>
      </c>
      <c r="S3114" s="89" t="str">
        <f t="shared" si="290"/>
        <v/>
      </c>
      <c r="X3114" s="64">
        <f t="shared" si="291"/>
        <v>0</v>
      </c>
      <c r="Y3114" s="53">
        <f t="shared" si="292"/>
        <v>0</v>
      </c>
      <c r="Z3114" s="64">
        <f t="shared" si="293"/>
        <v>0</v>
      </c>
    </row>
    <row r="3115" spans="1:26">
      <c r="A3115" s="89" t="str">
        <f t="shared" si="288"/>
        <v/>
      </c>
      <c r="B3115" s="89" t="str">
        <f t="shared" si="289"/>
        <v/>
      </c>
      <c r="S3115" s="89" t="str">
        <f t="shared" si="290"/>
        <v/>
      </c>
      <c r="X3115" s="64">
        <f t="shared" si="291"/>
        <v>0</v>
      </c>
      <c r="Y3115" s="53">
        <f t="shared" si="292"/>
        <v>0</v>
      </c>
      <c r="Z3115" s="64">
        <f t="shared" si="293"/>
        <v>0</v>
      </c>
    </row>
    <row r="3116" spans="1:26">
      <c r="A3116" s="89" t="str">
        <f t="shared" si="288"/>
        <v/>
      </c>
      <c r="B3116" s="89" t="str">
        <f t="shared" si="289"/>
        <v/>
      </c>
      <c r="S3116" s="89" t="str">
        <f t="shared" si="290"/>
        <v/>
      </c>
      <c r="X3116" s="64">
        <f t="shared" si="291"/>
        <v>0</v>
      </c>
      <c r="Y3116" s="53">
        <f t="shared" si="292"/>
        <v>0</v>
      </c>
      <c r="Z3116" s="64">
        <f t="shared" si="293"/>
        <v>0</v>
      </c>
    </row>
    <row r="3117" spans="1:26">
      <c r="A3117" s="89" t="str">
        <f t="shared" si="288"/>
        <v/>
      </c>
      <c r="B3117" s="89" t="str">
        <f t="shared" si="289"/>
        <v/>
      </c>
      <c r="S3117" s="89" t="str">
        <f t="shared" si="290"/>
        <v/>
      </c>
      <c r="X3117" s="64">
        <f t="shared" si="291"/>
        <v>0</v>
      </c>
      <c r="Y3117" s="53">
        <f t="shared" si="292"/>
        <v>0</v>
      </c>
      <c r="Z3117" s="64">
        <f t="shared" si="293"/>
        <v>0</v>
      </c>
    </row>
    <row r="3118" spans="1:26">
      <c r="A3118" s="89" t="str">
        <f t="shared" si="288"/>
        <v/>
      </c>
      <c r="B3118" s="89" t="str">
        <f t="shared" si="289"/>
        <v/>
      </c>
      <c r="S3118" s="89" t="str">
        <f t="shared" si="290"/>
        <v/>
      </c>
      <c r="X3118" s="64">
        <f t="shared" si="291"/>
        <v>0</v>
      </c>
      <c r="Y3118" s="53">
        <f t="shared" si="292"/>
        <v>0</v>
      </c>
      <c r="Z3118" s="64">
        <f t="shared" si="293"/>
        <v>0</v>
      </c>
    </row>
    <row r="3119" spans="1:26">
      <c r="A3119" s="89" t="str">
        <f t="shared" si="288"/>
        <v/>
      </c>
      <c r="B3119" s="89" t="str">
        <f t="shared" si="289"/>
        <v/>
      </c>
      <c r="S3119" s="89" t="str">
        <f t="shared" si="290"/>
        <v/>
      </c>
      <c r="X3119" s="64">
        <f t="shared" si="291"/>
        <v>0</v>
      </c>
      <c r="Y3119" s="53">
        <f t="shared" si="292"/>
        <v>0</v>
      </c>
      <c r="Z3119" s="64">
        <f t="shared" si="293"/>
        <v>0</v>
      </c>
    </row>
    <row r="3120" spans="1:26">
      <c r="A3120" s="89" t="str">
        <f t="shared" si="288"/>
        <v/>
      </c>
      <c r="B3120" s="89" t="str">
        <f t="shared" si="289"/>
        <v/>
      </c>
      <c r="S3120" s="89" t="str">
        <f t="shared" si="290"/>
        <v/>
      </c>
      <c r="X3120" s="64">
        <f t="shared" si="291"/>
        <v>0</v>
      </c>
      <c r="Y3120" s="53">
        <f t="shared" si="292"/>
        <v>0</v>
      </c>
      <c r="Z3120" s="64">
        <f t="shared" si="293"/>
        <v>0</v>
      </c>
    </row>
    <row r="3121" spans="1:26">
      <c r="A3121" s="89" t="str">
        <f t="shared" si="288"/>
        <v/>
      </c>
      <c r="B3121" s="89" t="str">
        <f t="shared" si="289"/>
        <v/>
      </c>
      <c r="S3121" s="89" t="str">
        <f t="shared" si="290"/>
        <v/>
      </c>
      <c r="X3121" s="64">
        <f t="shared" si="291"/>
        <v>0</v>
      </c>
      <c r="Y3121" s="53">
        <f t="shared" si="292"/>
        <v>0</v>
      </c>
      <c r="Z3121" s="64">
        <f t="shared" si="293"/>
        <v>0</v>
      </c>
    </row>
    <row r="3122" spans="1:26">
      <c r="A3122" s="89" t="str">
        <f t="shared" si="288"/>
        <v/>
      </c>
      <c r="B3122" s="89" t="str">
        <f t="shared" si="289"/>
        <v/>
      </c>
      <c r="S3122" s="89" t="str">
        <f t="shared" si="290"/>
        <v/>
      </c>
      <c r="X3122" s="64">
        <f t="shared" si="291"/>
        <v>0</v>
      </c>
      <c r="Y3122" s="53">
        <f t="shared" si="292"/>
        <v>0</v>
      </c>
      <c r="Z3122" s="64">
        <f t="shared" si="293"/>
        <v>0</v>
      </c>
    </row>
    <row r="3123" spans="1:26">
      <c r="A3123" s="89" t="str">
        <f t="shared" si="288"/>
        <v/>
      </c>
      <c r="B3123" s="89" t="str">
        <f t="shared" si="289"/>
        <v/>
      </c>
      <c r="S3123" s="89" t="str">
        <f t="shared" si="290"/>
        <v/>
      </c>
      <c r="X3123" s="64">
        <f t="shared" si="291"/>
        <v>0</v>
      </c>
      <c r="Y3123" s="53">
        <f t="shared" si="292"/>
        <v>0</v>
      </c>
      <c r="Z3123" s="64">
        <f t="shared" si="293"/>
        <v>0</v>
      </c>
    </row>
    <row r="3124" spans="1:26">
      <c r="A3124" s="89" t="str">
        <f t="shared" si="288"/>
        <v/>
      </c>
      <c r="B3124" s="89" t="str">
        <f t="shared" si="289"/>
        <v/>
      </c>
      <c r="S3124" s="89" t="str">
        <f t="shared" si="290"/>
        <v/>
      </c>
      <c r="X3124" s="64">
        <f t="shared" si="291"/>
        <v>0</v>
      </c>
      <c r="Y3124" s="53">
        <f t="shared" si="292"/>
        <v>0</v>
      </c>
      <c r="Z3124" s="64">
        <f t="shared" si="293"/>
        <v>0</v>
      </c>
    </row>
    <row r="3125" spans="1:26">
      <c r="A3125" s="89" t="str">
        <f t="shared" si="288"/>
        <v/>
      </c>
      <c r="B3125" s="89" t="str">
        <f t="shared" si="289"/>
        <v/>
      </c>
      <c r="S3125" s="89" t="str">
        <f t="shared" si="290"/>
        <v/>
      </c>
      <c r="X3125" s="64">
        <f t="shared" si="291"/>
        <v>0</v>
      </c>
      <c r="Y3125" s="53">
        <f t="shared" si="292"/>
        <v>0</v>
      </c>
      <c r="Z3125" s="64">
        <f t="shared" si="293"/>
        <v>0</v>
      </c>
    </row>
    <row r="3126" spans="1:26">
      <c r="A3126" s="89" t="str">
        <f t="shared" si="288"/>
        <v/>
      </c>
      <c r="B3126" s="89" t="str">
        <f t="shared" si="289"/>
        <v/>
      </c>
      <c r="S3126" s="89" t="str">
        <f t="shared" si="290"/>
        <v/>
      </c>
      <c r="X3126" s="64">
        <f t="shared" si="291"/>
        <v>0</v>
      </c>
      <c r="Y3126" s="53">
        <f t="shared" si="292"/>
        <v>0</v>
      </c>
      <c r="Z3126" s="64">
        <f t="shared" si="293"/>
        <v>0</v>
      </c>
    </row>
    <row r="3127" spans="1:26">
      <c r="A3127" s="89" t="str">
        <f t="shared" si="288"/>
        <v/>
      </c>
      <c r="B3127" s="89" t="str">
        <f t="shared" si="289"/>
        <v/>
      </c>
      <c r="S3127" s="89" t="str">
        <f t="shared" si="290"/>
        <v/>
      </c>
      <c r="X3127" s="64">
        <f t="shared" si="291"/>
        <v>0</v>
      </c>
      <c r="Y3127" s="53">
        <f t="shared" si="292"/>
        <v>0</v>
      </c>
      <c r="Z3127" s="64">
        <f t="shared" si="293"/>
        <v>0</v>
      </c>
    </row>
    <row r="3128" spans="1:26">
      <c r="A3128" s="89" t="str">
        <f t="shared" si="288"/>
        <v/>
      </c>
      <c r="B3128" s="89" t="str">
        <f t="shared" si="289"/>
        <v/>
      </c>
      <c r="S3128" s="89" t="str">
        <f t="shared" si="290"/>
        <v/>
      </c>
      <c r="X3128" s="64">
        <f t="shared" si="291"/>
        <v>0</v>
      </c>
      <c r="Y3128" s="53">
        <f t="shared" si="292"/>
        <v>0</v>
      </c>
      <c r="Z3128" s="64">
        <f t="shared" si="293"/>
        <v>0</v>
      </c>
    </row>
    <row r="3129" spans="1:26">
      <c r="A3129" s="89" t="str">
        <f t="shared" si="288"/>
        <v/>
      </c>
      <c r="B3129" s="89" t="str">
        <f t="shared" si="289"/>
        <v/>
      </c>
      <c r="S3129" s="89" t="str">
        <f t="shared" si="290"/>
        <v/>
      </c>
      <c r="X3129" s="64">
        <f t="shared" si="291"/>
        <v>0</v>
      </c>
      <c r="Y3129" s="53">
        <f t="shared" si="292"/>
        <v>0</v>
      </c>
      <c r="Z3129" s="64">
        <f t="shared" si="293"/>
        <v>0</v>
      </c>
    </row>
    <row r="3130" spans="1:26">
      <c r="A3130" s="89" t="str">
        <f t="shared" si="288"/>
        <v/>
      </c>
      <c r="B3130" s="89" t="str">
        <f t="shared" si="289"/>
        <v/>
      </c>
      <c r="S3130" s="89" t="str">
        <f t="shared" si="290"/>
        <v/>
      </c>
      <c r="X3130" s="64">
        <f t="shared" si="291"/>
        <v>0</v>
      </c>
      <c r="Y3130" s="53">
        <f t="shared" si="292"/>
        <v>0</v>
      </c>
      <c r="Z3130" s="64">
        <f t="shared" si="293"/>
        <v>0</v>
      </c>
    </row>
    <row r="3131" spans="1:26">
      <c r="A3131" s="89" t="str">
        <f t="shared" si="288"/>
        <v/>
      </c>
      <c r="B3131" s="89" t="str">
        <f t="shared" si="289"/>
        <v/>
      </c>
      <c r="S3131" s="89" t="str">
        <f t="shared" si="290"/>
        <v/>
      </c>
      <c r="X3131" s="64">
        <f t="shared" si="291"/>
        <v>0</v>
      </c>
      <c r="Y3131" s="53">
        <f t="shared" si="292"/>
        <v>0</v>
      </c>
      <c r="Z3131" s="64">
        <f t="shared" si="293"/>
        <v>0</v>
      </c>
    </row>
    <row r="3132" spans="1:26">
      <c r="A3132" s="89" t="str">
        <f t="shared" si="288"/>
        <v/>
      </c>
      <c r="B3132" s="89" t="str">
        <f t="shared" si="289"/>
        <v/>
      </c>
      <c r="S3132" s="89" t="str">
        <f t="shared" si="290"/>
        <v/>
      </c>
      <c r="X3132" s="64">
        <f t="shared" si="291"/>
        <v>0</v>
      </c>
      <c r="Y3132" s="53">
        <f t="shared" si="292"/>
        <v>0</v>
      </c>
      <c r="Z3132" s="64">
        <f t="shared" si="293"/>
        <v>0</v>
      </c>
    </row>
    <row r="3133" spans="1:26">
      <c r="A3133" s="89" t="str">
        <f t="shared" si="288"/>
        <v/>
      </c>
      <c r="B3133" s="89" t="str">
        <f t="shared" si="289"/>
        <v/>
      </c>
      <c r="S3133" s="89" t="str">
        <f t="shared" si="290"/>
        <v/>
      </c>
      <c r="X3133" s="64">
        <f t="shared" si="291"/>
        <v>0</v>
      </c>
      <c r="Y3133" s="53">
        <f t="shared" si="292"/>
        <v>0</v>
      </c>
      <c r="Z3133" s="64">
        <f t="shared" si="293"/>
        <v>0</v>
      </c>
    </row>
    <row r="3134" spans="1:26">
      <c r="A3134" s="89" t="str">
        <f t="shared" si="288"/>
        <v/>
      </c>
      <c r="B3134" s="89" t="str">
        <f t="shared" si="289"/>
        <v/>
      </c>
      <c r="S3134" s="89" t="str">
        <f t="shared" si="290"/>
        <v/>
      </c>
      <c r="X3134" s="64">
        <f t="shared" si="291"/>
        <v>0</v>
      </c>
      <c r="Y3134" s="53">
        <f t="shared" si="292"/>
        <v>0</v>
      </c>
      <c r="Z3134" s="64">
        <f t="shared" si="293"/>
        <v>0</v>
      </c>
    </row>
    <row r="3135" spans="1:26">
      <c r="A3135" s="89" t="str">
        <f t="shared" si="288"/>
        <v/>
      </c>
      <c r="B3135" s="89" t="str">
        <f t="shared" si="289"/>
        <v/>
      </c>
      <c r="S3135" s="89" t="str">
        <f t="shared" si="290"/>
        <v/>
      </c>
      <c r="X3135" s="64">
        <f t="shared" si="291"/>
        <v>0</v>
      </c>
      <c r="Y3135" s="53">
        <f t="shared" si="292"/>
        <v>0</v>
      </c>
      <c r="Z3135" s="64">
        <f t="shared" si="293"/>
        <v>0</v>
      </c>
    </row>
    <row r="3136" spans="1:26">
      <c r="A3136" s="89" t="str">
        <f t="shared" si="288"/>
        <v/>
      </c>
      <c r="B3136" s="89" t="str">
        <f t="shared" si="289"/>
        <v/>
      </c>
      <c r="S3136" s="89" t="str">
        <f t="shared" si="290"/>
        <v/>
      </c>
      <c r="X3136" s="64">
        <f t="shared" si="291"/>
        <v>0</v>
      </c>
      <c r="Y3136" s="53">
        <f t="shared" si="292"/>
        <v>0</v>
      </c>
      <c r="Z3136" s="64">
        <f t="shared" si="293"/>
        <v>0</v>
      </c>
    </row>
    <row r="3137" spans="1:26">
      <c r="A3137" s="89" t="str">
        <f t="shared" si="288"/>
        <v/>
      </c>
      <c r="B3137" s="89" t="str">
        <f t="shared" si="289"/>
        <v/>
      </c>
      <c r="S3137" s="89" t="str">
        <f t="shared" si="290"/>
        <v/>
      </c>
      <c r="X3137" s="64">
        <f t="shared" si="291"/>
        <v>0</v>
      </c>
      <c r="Y3137" s="53">
        <f t="shared" si="292"/>
        <v>0</v>
      </c>
      <c r="Z3137" s="64">
        <f t="shared" si="293"/>
        <v>0</v>
      </c>
    </row>
    <row r="3138" spans="1:26">
      <c r="A3138" s="89" t="str">
        <f t="shared" si="288"/>
        <v/>
      </c>
      <c r="B3138" s="89" t="str">
        <f t="shared" si="289"/>
        <v/>
      </c>
      <c r="S3138" s="89" t="str">
        <f t="shared" si="290"/>
        <v/>
      </c>
      <c r="X3138" s="64">
        <f t="shared" si="291"/>
        <v>0</v>
      </c>
      <c r="Y3138" s="53">
        <f t="shared" si="292"/>
        <v>0</v>
      </c>
      <c r="Z3138" s="64">
        <f t="shared" si="293"/>
        <v>0</v>
      </c>
    </row>
    <row r="3139" spans="1:26">
      <c r="A3139" s="89" t="str">
        <f t="shared" ref="A3139:A3202" si="294">IF(G3139&amp;Q3139&lt;&gt;"",G3139&amp;Q3139,"")</f>
        <v/>
      </c>
      <c r="B3139" s="89" t="str">
        <f t="shared" ref="B3139:B3202" si="295">IF(C3139&lt;&gt;"",LEFT(C3139,9),"")</f>
        <v/>
      </c>
      <c r="S3139" s="89" t="str">
        <f t="shared" ref="S3139:S3202" si="296">IF(H3139&lt;&gt;"",H3139,"")</f>
        <v/>
      </c>
      <c r="X3139" s="64">
        <f t="shared" ref="X3139:X3202" si="297">IFERROR(VALUE(MID($C3139,1,2)),0)</f>
        <v>0</v>
      </c>
      <c r="Y3139" s="53">
        <f t="shared" ref="Y3139:Y3202" si="298">IFERROR(VALUE(MID($C3139,4,3)),0)</f>
        <v>0</v>
      </c>
      <c r="Z3139" s="64">
        <f t="shared" ref="Z3139:Z3202" si="299">VALUE(RIGHT("00"&amp;X3139,2)&amp;RIGHT("000"&amp;Y3139,3))</f>
        <v>0</v>
      </c>
    </row>
    <row r="3140" spans="1:26">
      <c r="A3140" s="89" t="str">
        <f t="shared" si="294"/>
        <v/>
      </c>
      <c r="B3140" s="89" t="str">
        <f t="shared" si="295"/>
        <v/>
      </c>
      <c r="S3140" s="89" t="str">
        <f t="shared" si="296"/>
        <v/>
      </c>
      <c r="X3140" s="64">
        <f t="shared" si="297"/>
        <v>0</v>
      </c>
      <c r="Y3140" s="53">
        <f t="shared" si="298"/>
        <v>0</v>
      </c>
      <c r="Z3140" s="64">
        <f t="shared" si="299"/>
        <v>0</v>
      </c>
    </row>
    <row r="3141" spans="1:26">
      <c r="A3141" s="89" t="str">
        <f t="shared" si="294"/>
        <v/>
      </c>
      <c r="B3141" s="89" t="str">
        <f t="shared" si="295"/>
        <v/>
      </c>
      <c r="S3141" s="89" t="str">
        <f t="shared" si="296"/>
        <v/>
      </c>
      <c r="X3141" s="64">
        <f t="shared" si="297"/>
        <v>0</v>
      </c>
      <c r="Y3141" s="53">
        <f t="shared" si="298"/>
        <v>0</v>
      </c>
      <c r="Z3141" s="64">
        <f t="shared" si="299"/>
        <v>0</v>
      </c>
    </row>
    <row r="3142" spans="1:26">
      <c r="A3142" s="89" t="str">
        <f t="shared" si="294"/>
        <v/>
      </c>
      <c r="B3142" s="89" t="str">
        <f t="shared" si="295"/>
        <v/>
      </c>
      <c r="S3142" s="89" t="str">
        <f t="shared" si="296"/>
        <v/>
      </c>
      <c r="X3142" s="64">
        <f t="shared" si="297"/>
        <v>0</v>
      </c>
      <c r="Y3142" s="53">
        <f t="shared" si="298"/>
        <v>0</v>
      </c>
      <c r="Z3142" s="64">
        <f t="shared" si="299"/>
        <v>0</v>
      </c>
    </row>
    <row r="3143" spans="1:26">
      <c r="A3143" s="89" t="str">
        <f t="shared" si="294"/>
        <v/>
      </c>
      <c r="B3143" s="89" t="str">
        <f t="shared" si="295"/>
        <v/>
      </c>
      <c r="S3143" s="89" t="str">
        <f t="shared" si="296"/>
        <v/>
      </c>
      <c r="X3143" s="64">
        <f t="shared" si="297"/>
        <v>0</v>
      </c>
      <c r="Y3143" s="53">
        <f t="shared" si="298"/>
        <v>0</v>
      </c>
      <c r="Z3143" s="64">
        <f t="shared" si="299"/>
        <v>0</v>
      </c>
    </row>
    <row r="3144" spans="1:26">
      <c r="A3144" s="89" t="str">
        <f t="shared" si="294"/>
        <v/>
      </c>
      <c r="B3144" s="89" t="str">
        <f t="shared" si="295"/>
        <v/>
      </c>
      <c r="S3144" s="89" t="str">
        <f t="shared" si="296"/>
        <v/>
      </c>
      <c r="X3144" s="64">
        <f t="shared" si="297"/>
        <v>0</v>
      </c>
      <c r="Y3144" s="53">
        <f t="shared" si="298"/>
        <v>0</v>
      </c>
      <c r="Z3144" s="64">
        <f t="shared" si="299"/>
        <v>0</v>
      </c>
    </row>
    <row r="3145" spans="1:26">
      <c r="A3145" s="89" t="str">
        <f t="shared" si="294"/>
        <v/>
      </c>
      <c r="B3145" s="89" t="str">
        <f t="shared" si="295"/>
        <v/>
      </c>
      <c r="S3145" s="89" t="str">
        <f t="shared" si="296"/>
        <v/>
      </c>
      <c r="X3145" s="64">
        <f t="shared" si="297"/>
        <v>0</v>
      </c>
      <c r="Y3145" s="53">
        <f t="shared" si="298"/>
        <v>0</v>
      </c>
      <c r="Z3145" s="64">
        <f t="shared" si="299"/>
        <v>0</v>
      </c>
    </row>
    <row r="3146" spans="1:26">
      <c r="A3146" s="89" t="str">
        <f t="shared" si="294"/>
        <v/>
      </c>
      <c r="B3146" s="89" t="str">
        <f t="shared" si="295"/>
        <v/>
      </c>
      <c r="S3146" s="89" t="str">
        <f t="shared" si="296"/>
        <v/>
      </c>
      <c r="X3146" s="64">
        <f t="shared" si="297"/>
        <v>0</v>
      </c>
      <c r="Y3146" s="53">
        <f t="shared" si="298"/>
        <v>0</v>
      </c>
      <c r="Z3146" s="64">
        <f t="shared" si="299"/>
        <v>0</v>
      </c>
    </row>
    <row r="3147" spans="1:26">
      <c r="A3147" s="89" t="str">
        <f t="shared" si="294"/>
        <v/>
      </c>
      <c r="B3147" s="89" t="str">
        <f t="shared" si="295"/>
        <v/>
      </c>
      <c r="S3147" s="89" t="str">
        <f t="shared" si="296"/>
        <v/>
      </c>
      <c r="X3147" s="64">
        <f t="shared" si="297"/>
        <v>0</v>
      </c>
      <c r="Y3147" s="53">
        <f t="shared" si="298"/>
        <v>0</v>
      </c>
      <c r="Z3147" s="64">
        <f t="shared" si="299"/>
        <v>0</v>
      </c>
    </row>
    <row r="3148" spans="1:26">
      <c r="A3148" s="89" t="str">
        <f t="shared" si="294"/>
        <v/>
      </c>
      <c r="B3148" s="89" t="str">
        <f t="shared" si="295"/>
        <v/>
      </c>
      <c r="S3148" s="89" t="str">
        <f t="shared" si="296"/>
        <v/>
      </c>
      <c r="X3148" s="64">
        <f t="shared" si="297"/>
        <v>0</v>
      </c>
      <c r="Y3148" s="53">
        <f t="shared" si="298"/>
        <v>0</v>
      </c>
      <c r="Z3148" s="64">
        <f t="shared" si="299"/>
        <v>0</v>
      </c>
    </row>
    <row r="3149" spans="1:26">
      <c r="A3149" s="89" t="str">
        <f t="shared" si="294"/>
        <v/>
      </c>
      <c r="B3149" s="89" t="str">
        <f t="shared" si="295"/>
        <v/>
      </c>
      <c r="S3149" s="89" t="str">
        <f t="shared" si="296"/>
        <v/>
      </c>
      <c r="X3149" s="64">
        <f t="shared" si="297"/>
        <v>0</v>
      </c>
      <c r="Y3149" s="53">
        <f t="shared" si="298"/>
        <v>0</v>
      </c>
      <c r="Z3149" s="64">
        <f t="shared" si="299"/>
        <v>0</v>
      </c>
    </row>
    <row r="3150" spans="1:26">
      <c r="A3150" s="89" t="str">
        <f t="shared" si="294"/>
        <v/>
      </c>
      <c r="B3150" s="89" t="str">
        <f t="shared" si="295"/>
        <v/>
      </c>
      <c r="S3150" s="89" t="str">
        <f t="shared" si="296"/>
        <v/>
      </c>
      <c r="X3150" s="64">
        <f t="shared" si="297"/>
        <v>0</v>
      </c>
      <c r="Y3150" s="53">
        <f t="shared" si="298"/>
        <v>0</v>
      </c>
      <c r="Z3150" s="64">
        <f t="shared" si="299"/>
        <v>0</v>
      </c>
    </row>
    <row r="3151" spans="1:26">
      <c r="A3151" s="89" t="str">
        <f t="shared" si="294"/>
        <v/>
      </c>
      <c r="B3151" s="89" t="str">
        <f t="shared" si="295"/>
        <v/>
      </c>
      <c r="S3151" s="89" t="str">
        <f t="shared" si="296"/>
        <v/>
      </c>
      <c r="X3151" s="64">
        <f t="shared" si="297"/>
        <v>0</v>
      </c>
      <c r="Y3151" s="53">
        <f t="shared" si="298"/>
        <v>0</v>
      </c>
      <c r="Z3151" s="64">
        <f t="shared" si="299"/>
        <v>0</v>
      </c>
    </row>
    <row r="3152" spans="1:26">
      <c r="A3152" s="89" t="str">
        <f t="shared" si="294"/>
        <v/>
      </c>
      <c r="B3152" s="89" t="str">
        <f t="shared" si="295"/>
        <v/>
      </c>
      <c r="S3152" s="89" t="str">
        <f t="shared" si="296"/>
        <v/>
      </c>
      <c r="X3152" s="64">
        <f t="shared" si="297"/>
        <v>0</v>
      </c>
      <c r="Y3152" s="53">
        <f t="shared" si="298"/>
        <v>0</v>
      </c>
      <c r="Z3152" s="64">
        <f t="shared" si="299"/>
        <v>0</v>
      </c>
    </row>
    <row r="3153" spans="1:26">
      <c r="A3153" s="89" t="str">
        <f t="shared" si="294"/>
        <v/>
      </c>
      <c r="B3153" s="89" t="str">
        <f t="shared" si="295"/>
        <v/>
      </c>
      <c r="S3153" s="89" t="str">
        <f t="shared" si="296"/>
        <v/>
      </c>
      <c r="X3153" s="64">
        <f t="shared" si="297"/>
        <v>0</v>
      </c>
      <c r="Y3153" s="53">
        <f t="shared" si="298"/>
        <v>0</v>
      </c>
      <c r="Z3153" s="64">
        <f t="shared" si="299"/>
        <v>0</v>
      </c>
    </row>
    <row r="3154" spans="1:26">
      <c r="A3154" s="89" t="str">
        <f t="shared" si="294"/>
        <v/>
      </c>
      <c r="B3154" s="89" t="str">
        <f t="shared" si="295"/>
        <v/>
      </c>
      <c r="S3154" s="89" t="str">
        <f t="shared" si="296"/>
        <v/>
      </c>
      <c r="X3154" s="64">
        <f t="shared" si="297"/>
        <v>0</v>
      </c>
      <c r="Y3154" s="53">
        <f t="shared" si="298"/>
        <v>0</v>
      </c>
      <c r="Z3154" s="64">
        <f t="shared" si="299"/>
        <v>0</v>
      </c>
    </row>
    <row r="3155" spans="1:26">
      <c r="A3155" s="89" t="str">
        <f t="shared" si="294"/>
        <v/>
      </c>
      <c r="B3155" s="89" t="str">
        <f t="shared" si="295"/>
        <v/>
      </c>
      <c r="S3155" s="89" t="str">
        <f t="shared" si="296"/>
        <v/>
      </c>
      <c r="X3155" s="64">
        <f t="shared" si="297"/>
        <v>0</v>
      </c>
      <c r="Y3155" s="53">
        <f t="shared" si="298"/>
        <v>0</v>
      </c>
      <c r="Z3155" s="64">
        <f t="shared" si="299"/>
        <v>0</v>
      </c>
    </row>
    <row r="3156" spans="1:26">
      <c r="A3156" s="89" t="str">
        <f t="shared" si="294"/>
        <v/>
      </c>
      <c r="B3156" s="89" t="str">
        <f t="shared" si="295"/>
        <v/>
      </c>
      <c r="S3156" s="89" t="str">
        <f t="shared" si="296"/>
        <v/>
      </c>
      <c r="X3156" s="64">
        <f t="shared" si="297"/>
        <v>0</v>
      </c>
      <c r="Y3156" s="53">
        <f t="shared" si="298"/>
        <v>0</v>
      </c>
      <c r="Z3156" s="64">
        <f t="shared" si="299"/>
        <v>0</v>
      </c>
    </row>
    <row r="3157" spans="1:26">
      <c r="A3157" s="89" t="str">
        <f t="shared" si="294"/>
        <v/>
      </c>
      <c r="B3157" s="89" t="str">
        <f t="shared" si="295"/>
        <v/>
      </c>
      <c r="S3157" s="89" t="str">
        <f t="shared" si="296"/>
        <v/>
      </c>
      <c r="X3157" s="64">
        <f t="shared" si="297"/>
        <v>0</v>
      </c>
      <c r="Y3157" s="53">
        <f t="shared" si="298"/>
        <v>0</v>
      </c>
      <c r="Z3157" s="64">
        <f t="shared" si="299"/>
        <v>0</v>
      </c>
    </row>
    <row r="3158" spans="1:26">
      <c r="A3158" s="89" t="str">
        <f t="shared" si="294"/>
        <v/>
      </c>
      <c r="B3158" s="89" t="str">
        <f t="shared" si="295"/>
        <v/>
      </c>
      <c r="S3158" s="89" t="str">
        <f t="shared" si="296"/>
        <v/>
      </c>
      <c r="X3158" s="64">
        <f t="shared" si="297"/>
        <v>0</v>
      </c>
      <c r="Y3158" s="53">
        <f t="shared" si="298"/>
        <v>0</v>
      </c>
      <c r="Z3158" s="64">
        <f t="shared" si="299"/>
        <v>0</v>
      </c>
    </row>
    <row r="3159" spans="1:26">
      <c r="A3159" s="89" t="str">
        <f t="shared" si="294"/>
        <v/>
      </c>
      <c r="B3159" s="89" t="str">
        <f t="shared" si="295"/>
        <v/>
      </c>
      <c r="S3159" s="89" t="str">
        <f t="shared" si="296"/>
        <v/>
      </c>
      <c r="X3159" s="64">
        <f t="shared" si="297"/>
        <v>0</v>
      </c>
      <c r="Y3159" s="53">
        <f t="shared" si="298"/>
        <v>0</v>
      </c>
      <c r="Z3159" s="64">
        <f t="shared" si="299"/>
        <v>0</v>
      </c>
    </row>
    <row r="3160" spans="1:26">
      <c r="A3160" s="89" t="str">
        <f t="shared" si="294"/>
        <v/>
      </c>
      <c r="B3160" s="89" t="str">
        <f t="shared" si="295"/>
        <v/>
      </c>
      <c r="S3160" s="89" t="str">
        <f t="shared" si="296"/>
        <v/>
      </c>
      <c r="X3160" s="64">
        <f t="shared" si="297"/>
        <v>0</v>
      </c>
      <c r="Y3160" s="53">
        <f t="shared" si="298"/>
        <v>0</v>
      </c>
      <c r="Z3160" s="64">
        <f t="shared" si="299"/>
        <v>0</v>
      </c>
    </row>
    <row r="3161" spans="1:26">
      <c r="A3161" s="89" t="str">
        <f t="shared" si="294"/>
        <v/>
      </c>
      <c r="B3161" s="89" t="str">
        <f t="shared" si="295"/>
        <v/>
      </c>
      <c r="S3161" s="89" t="str">
        <f t="shared" si="296"/>
        <v/>
      </c>
      <c r="X3161" s="64">
        <f t="shared" si="297"/>
        <v>0</v>
      </c>
      <c r="Y3161" s="53">
        <f t="shared" si="298"/>
        <v>0</v>
      </c>
      <c r="Z3161" s="64">
        <f t="shared" si="299"/>
        <v>0</v>
      </c>
    </row>
    <row r="3162" spans="1:26">
      <c r="A3162" s="89" t="str">
        <f t="shared" si="294"/>
        <v/>
      </c>
      <c r="B3162" s="89" t="str">
        <f t="shared" si="295"/>
        <v/>
      </c>
      <c r="S3162" s="89" t="str">
        <f t="shared" si="296"/>
        <v/>
      </c>
      <c r="X3162" s="64">
        <f t="shared" si="297"/>
        <v>0</v>
      </c>
      <c r="Y3162" s="53">
        <f t="shared" si="298"/>
        <v>0</v>
      </c>
      <c r="Z3162" s="64">
        <f t="shared" si="299"/>
        <v>0</v>
      </c>
    </row>
    <row r="3163" spans="1:26">
      <c r="A3163" s="89" t="str">
        <f t="shared" si="294"/>
        <v/>
      </c>
      <c r="B3163" s="89" t="str">
        <f t="shared" si="295"/>
        <v/>
      </c>
      <c r="S3163" s="89" t="str">
        <f t="shared" si="296"/>
        <v/>
      </c>
      <c r="X3163" s="64">
        <f t="shared" si="297"/>
        <v>0</v>
      </c>
      <c r="Y3163" s="53">
        <f t="shared" si="298"/>
        <v>0</v>
      </c>
      <c r="Z3163" s="64">
        <f t="shared" si="299"/>
        <v>0</v>
      </c>
    </row>
    <row r="3164" spans="1:26">
      <c r="A3164" s="89" t="str">
        <f t="shared" si="294"/>
        <v/>
      </c>
      <c r="B3164" s="89" t="str">
        <f t="shared" si="295"/>
        <v/>
      </c>
      <c r="S3164" s="89" t="str">
        <f t="shared" si="296"/>
        <v/>
      </c>
      <c r="X3164" s="64">
        <f t="shared" si="297"/>
        <v>0</v>
      </c>
      <c r="Y3164" s="53">
        <f t="shared" si="298"/>
        <v>0</v>
      </c>
      <c r="Z3164" s="64">
        <f t="shared" si="299"/>
        <v>0</v>
      </c>
    </row>
    <row r="3165" spans="1:26">
      <c r="A3165" s="89" t="str">
        <f t="shared" si="294"/>
        <v/>
      </c>
      <c r="B3165" s="89" t="str">
        <f t="shared" si="295"/>
        <v/>
      </c>
      <c r="S3165" s="89" t="str">
        <f t="shared" si="296"/>
        <v/>
      </c>
      <c r="X3165" s="64">
        <f t="shared" si="297"/>
        <v>0</v>
      </c>
      <c r="Y3165" s="53">
        <f t="shared" si="298"/>
        <v>0</v>
      </c>
      <c r="Z3165" s="64">
        <f t="shared" si="299"/>
        <v>0</v>
      </c>
    </row>
    <row r="3166" spans="1:26">
      <c r="A3166" s="89" t="str">
        <f t="shared" si="294"/>
        <v/>
      </c>
      <c r="B3166" s="89" t="str">
        <f t="shared" si="295"/>
        <v/>
      </c>
      <c r="S3166" s="89" t="str">
        <f t="shared" si="296"/>
        <v/>
      </c>
      <c r="X3166" s="64">
        <f t="shared" si="297"/>
        <v>0</v>
      </c>
      <c r="Y3166" s="53">
        <f t="shared" si="298"/>
        <v>0</v>
      </c>
      <c r="Z3166" s="64">
        <f t="shared" si="299"/>
        <v>0</v>
      </c>
    </row>
    <row r="3167" spans="1:26">
      <c r="A3167" s="89" t="str">
        <f t="shared" si="294"/>
        <v/>
      </c>
      <c r="B3167" s="89" t="str">
        <f t="shared" si="295"/>
        <v/>
      </c>
      <c r="S3167" s="89" t="str">
        <f t="shared" si="296"/>
        <v/>
      </c>
      <c r="X3167" s="64">
        <f t="shared" si="297"/>
        <v>0</v>
      </c>
      <c r="Y3167" s="53">
        <f t="shared" si="298"/>
        <v>0</v>
      </c>
      <c r="Z3167" s="64">
        <f t="shared" si="299"/>
        <v>0</v>
      </c>
    </row>
    <row r="3168" spans="1:26">
      <c r="A3168" s="89" t="str">
        <f t="shared" si="294"/>
        <v/>
      </c>
      <c r="B3168" s="89" t="str">
        <f t="shared" si="295"/>
        <v/>
      </c>
      <c r="S3168" s="89" t="str">
        <f t="shared" si="296"/>
        <v/>
      </c>
      <c r="X3168" s="64">
        <f t="shared" si="297"/>
        <v>0</v>
      </c>
      <c r="Y3168" s="53">
        <f t="shared" si="298"/>
        <v>0</v>
      </c>
      <c r="Z3168" s="64">
        <f t="shared" si="299"/>
        <v>0</v>
      </c>
    </row>
    <row r="3169" spans="1:26">
      <c r="A3169" s="89" t="str">
        <f t="shared" si="294"/>
        <v/>
      </c>
      <c r="B3169" s="89" t="str">
        <f t="shared" si="295"/>
        <v/>
      </c>
      <c r="S3169" s="89" t="str">
        <f t="shared" si="296"/>
        <v/>
      </c>
      <c r="X3169" s="64">
        <f t="shared" si="297"/>
        <v>0</v>
      </c>
      <c r="Y3169" s="53">
        <f t="shared" si="298"/>
        <v>0</v>
      </c>
      <c r="Z3169" s="64">
        <f t="shared" si="299"/>
        <v>0</v>
      </c>
    </row>
    <row r="3170" spans="1:26">
      <c r="A3170" s="89" t="str">
        <f t="shared" si="294"/>
        <v/>
      </c>
      <c r="B3170" s="89" t="str">
        <f t="shared" si="295"/>
        <v/>
      </c>
      <c r="S3170" s="89" t="str">
        <f t="shared" si="296"/>
        <v/>
      </c>
      <c r="X3170" s="64">
        <f t="shared" si="297"/>
        <v>0</v>
      </c>
      <c r="Y3170" s="53">
        <f t="shared" si="298"/>
        <v>0</v>
      </c>
      <c r="Z3170" s="64">
        <f t="shared" si="299"/>
        <v>0</v>
      </c>
    </row>
    <row r="3171" spans="1:26">
      <c r="A3171" s="89" t="str">
        <f t="shared" si="294"/>
        <v/>
      </c>
      <c r="B3171" s="89" t="str">
        <f t="shared" si="295"/>
        <v/>
      </c>
      <c r="S3171" s="89" t="str">
        <f t="shared" si="296"/>
        <v/>
      </c>
      <c r="X3171" s="64">
        <f t="shared" si="297"/>
        <v>0</v>
      </c>
      <c r="Y3171" s="53">
        <f t="shared" si="298"/>
        <v>0</v>
      </c>
      <c r="Z3171" s="64">
        <f t="shared" si="299"/>
        <v>0</v>
      </c>
    </row>
    <row r="3172" spans="1:26">
      <c r="A3172" s="89" t="str">
        <f t="shared" si="294"/>
        <v/>
      </c>
      <c r="B3172" s="89" t="str">
        <f t="shared" si="295"/>
        <v/>
      </c>
      <c r="S3172" s="89" t="str">
        <f t="shared" si="296"/>
        <v/>
      </c>
      <c r="X3172" s="64">
        <f t="shared" si="297"/>
        <v>0</v>
      </c>
      <c r="Y3172" s="53">
        <f t="shared" si="298"/>
        <v>0</v>
      </c>
      <c r="Z3172" s="64">
        <f t="shared" si="299"/>
        <v>0</v>
      </c>
    </row>
    <row r="3173" spans="1:26">
      <c r="A3173" s="89" t="str">
        <f t="shared" si="294"/>
        <v/>
      </c>
      <c r="B3173" s="89" t="str">
        <f t="shared" si="295"/>
        <v/>
      </c>
      <c r="S3173" s="89" t="str">
        <f t="shared" si="296"/>
        <v/>
      </c>
      <c r="X3173" s="64">
        <f t="shared" si="297"/>
        <v>0</v>
      </c>
      <c r="Y3173" s="53">
        <f t="shared" si="298"/>
        <v>0</v>
      </c>
      <c r="Z3173" s="64">
        <f t="shared" si="299"/>
        <v>0</v>
      </c>
    </row>
    <row r="3174" spans="1:26">
      <c r="A3174" s="89" t="str">
        <f t="shared" si="294"/>
        <v/>
      </c>
      <c r="B3174" s="89" t="str">
        <f t="shared" si="295"/>
        <v/>
      </c>
      <c r="S3174" s="89" t="str">
        <f t="shared" si="296"/>
        <v/>
      </c>
      <c r="X3174" s="64">
        <f t="shared" si="297"/>
        <v>0</v>
      </c>
      <c r="Y3174" s="53">
        <f t="shared" si="298"/>
        <v>0</v>
      </c>
      <c r="Z3174" s="64">
        <f t="shared" si="299"/>
        <v>0</v>
      </c>
    </row>
    <row r="3175" spans="1:26">
      <c r="A3175" s="89" t="str">
        <f t="shared" si="294"/>
        <v/>
      </c>
      <c r="B3175" s="89" t="str">
        <f t="shared" si="295"/>
        <v/>
      </c>
      <c r="S3175" s="89" t="str">
        <f t="shared" si="296"/>
        <v/>
      </c>
      <c r="X3175" s="64">
        <f t="shared" si="297"/>
        <v>0</v>
      </c>
      <c r="Y3175" s="53">
        <f t="shared" si="298"/>
        <v>0</v>
      </c>
      <c r="Z3175" s="64">
        <f t="shared" si="299"/>
        <v>0</v>
      </c>
    </row>
    <row r="3176" spans="1:26">
      <c r="A3176" s="89" t="str">
        <f t="shared" si="294"/>
        <v/>
      </c>
      <c r="B3176" s="89" t="str">
        <f t="shared" si="295"/>
        <v/>
      </c>
      <c r="S3176" s="89" t="str">
        <f t="shared" si="296"/>
        <v/>
      </c>
      <c r="X3176" s="64">
        <f t="shared" si="297"/>
        <v>0</v>
      </c>
      <c r="Y3176" s="53">
        <f t="shared" si="298"/>
        <v>0</v>
      </c>
      <c r="Z3176" s="64">
        <f t="shared" si="299"/>
        <v>0</v>
      </c>
    </row>
    <row r="3177" spans="1:26">
      <c r="A3177" s="89" t="str">
        <f t="shared" si="294"/>
        <v/>
      </c>
      <c r="B3177" s="89" t="str">
        <f t="shared" si="295"/>
        <v/>
      </c>
      <c r="S3177" s="89" t="str">
        <f t="shared" si="296"/>
        <v/>
      </c>
      <c r="X3177" s="64">
        <f t="shared" si="297"/>
        <v>0</v>
      </c>
      <c r="Y3177" s="53">
        <f t="shared" si="298"/>
        <v>0</v>
      </c>
      <c r="Z3177" s="64">
        <f t="shared" si="299"/>
        <v>0</v>
      </c>
    </row>
    <row r="3178" spans="1:26">
      <c r="A3178" s="89" t="str">
        <f t="shared" si="294"/>
        <v/>
      </c>
      <c r="B3178" s="89" t="str">
        <f t="shared" si="295"/>
        <v/>
      </c>
      <c r="S3178" s="89" t="str">
        <f t="shared" si="296"/>
        <v/>
      </c>
      <c r="X3178" s="64">
        <f t="shared" si="297"/>
        <v>0</v>
      </c>
      <c r="Y3178" s="53">
        <f t="shared" si="298"/>
        <v>0</v>
      </c>
      <c r="Z3178" s="64">
        <f t="shared" si="299"/>
        <v>0</v>
      </c>
    </row>
    <row r="3179" spans="1:26">
      <c r="A3179" s="89" t="str">
        <f t="shared" si="294"/>
        <v/>
      </c>
      <c r="B3179" s="89" t="str">
        <f t="shared" si="295"/>
        <v/>
      </c>
      <c r="S3179" s="89" t="str">
        <f t="shared" si="296"/>
        <v/>
      </c>
      <c r="X3179" s="64">
        <f t="shared" si="297"/>
        <v>0</v>
      </c>
      <c r="Y3179" s="53">
        <f t="shared" si="298"/>
        <v>0</v>
      </c>
      <c r="Z3179" s="64">
        <f t="shared" si="299"/>
        <v>0</v>
      </c>
    </row>
    <row r="3180" spans="1:26">
      <c r="A3180" s="89" t="str">
        <f t="shared" si="294"/>
        <v/>
      </c>
      <c r="B3180" s="89" t="str">
        <f t="shared" si="295"/>
        <v/>
      </c>
      <c r="S3180" s="89" t="str">
        <f t="shared" si="296"/>
        <v/>
      </c>
      <c r="X3180" s="64">
        <f t="shared" si="297"/>
        <v>0</v>
      </c>
      <c r="Y3180" s="53">
        <f t="shared" si="298"/>
        <v>0</v>
      </c>
      <c r="Z3180" s="64">
        <f t="shared" si="299"/>
        <v>0</v>
      </c>
    </row>
    <row r="3181" spans="1:26">
      <c r="A3181" s="89" t="str">
        <f t="shared" si="294"/>
        <v/>
      </c>
      <c r="B3181" s="89" t="str">
        <f t="shared" si="295"/>
        <v/>
      </c>
      <c r="S3181" s="89" t="str">
        <f t="shared" si="296"/>
        <v/>
      </c>
      <c r="X3181" s="64">
        <f t="shared" si="297"/>
        <v>0</v>
      </c>
      <c r="Y3181" s="53">
        <f t="shared" si="298"/>
        <v>0</v>
      </c>
      <c r="Z3181" s="64">
        <f t="shared" si="299"/>
        <v>0</v>
      </c>
    </row>
    <row r="3182" spans="1:26">
      <c r="A3182" s="89" t="str">
        <f t="shared" si="294"/>
        <v/>
      </c>
      <c r="B3182" s="89" t="str">
        <f t="shared" si="295"/>
        <v/>
      </c>
      <c r="S3182" s="89" t="str">
        <f t="shared" si="296"/>
        <v/>
      </c>
      <c r="X3182" s="64">
        <f t="shared" si="297"/>
        <v>0</v>
      </c>
      <c r="Y3182" s="53">
        <f t="shared" si="298"/>
        <v>0</v>
      </c>
      <c r="Z3182" s="64">
        <f t="shared" si="299"/>
        <v>0</v>
      </c>
    </row>
    <row r="3183" spans="1:26">
      <c r="A3183" s="89" t="str">
        <f t="shared" si="294"/>
        <v/>
      </c>
      <c r="B3183" s="89" t="str">
        <f t="shared" si="295"/>
        <v/>
      </c>
      <c r="S3183" s="89" t="str">
        <f t="shared" si="296"/>
        <v/>
      </c>
      <c r="X3183" s="64">
        <f t="shared" si="297"/>
        <v>0</v>
      </c>
      <c r="Y3183" s="53">
        <f t="shared" si="298"/>
        <v>0</v>
      </c>
      <c r="Z3183" s="64">
        <f t="shared" si="299"/>
        <v>0</v>
      </c>
    </row>
    <row r="3184" spans="1:26">
      <c r="A3184" s="89" t="str">
        <f t="shared" si="294"/>
        <v/>
      </c>
      <c r="B3184" s="89" t="str">
        <f t="shared" si="295"/>
        <v/>
      </c>
      <c r="S3184" s="89" t="str">
        <f t="shared" si="296"/>
        <v/>
      </c>
      <c r="X3184" s="64">
        <f t="shared" si="297"/>
        <v>0</v>
      </c>
      <c r="Y3184" s="53">
        <f t="shared" si="298"/>
        <v>0</v>
      </c>
      <c r="Z3184" s="64">
        <f t="shared" si="299"/>
        <v>0</v>
      </c>
    </row>
    <row r="3185" spans="1:26">
      <c r="A3185" s="89" t="str">
        <f t="shared" si="294"/>
        <v/>
      </c>
      <c r="B3185" s="89" t="str">
        <f t="shared" si="295"/>
        <v/>
      </c>
      <c r="S3185" s="89" t="str">
        <f t="shared" si="296"/>
        <v/>
      </c>
      <c r="X3185" s="64">
        <f t="shared" si="297"/>
        <v>0</v>
      </c>
      <c r="Y3185" s="53">
        <f t="shared" si="298"/>
        <v>0</v>
      </c>
      <c r="Z3185" s="64">
        <f t="shared" si="299"/>
        <v>0</v>
      </c>
    </row>
    <row r="3186" spans="1:26">
      <c r="A3186" s="89" t="str">
        <f t="shared" si="294"/>
        <v/>
      </c>
      <c r="B3186" s="89" t="str">
        <f t="shared" si="295"/>
        <v/>
      </c>
      <c r="S3186" s="89" t="str">
        <f t="shared" si="296"/>
        <v/>
      </c>
      <c r="X3186" s="64">
        <f t="shared" si="297"/>
        <v>0</v>
      </c>
      <c r="Y3186" s="53">
        <f t="shared" si="298"/>
        <v>0</v>
      </c>
      <c r="Z3186" s="64">
        <f t="shared" si="299"/>
        <v>0</v>
      </c>
    </row>
    <row r="3187" spans="1:26">
      <c r="A3187" s="89" t="str">
        <f t="shared" si="294"/>
        <v/>
      </c>
      <c r="B3187" s="89" t="str">
        <f t="shared" si="295"/>
        <v/>
      </c>
      <c r="S3187" s="89" t="str">
        <f t="shared" si="296"/>
        <v/>
      </c>
      <c r="X3187" s="64">
        <f t="shared" si="297"/>
        <v>0</v>
      </c>
      <c r="Y3187" s="53">
        <f t="shared" si="298"/>
        <v>0</v>
      </c>
      <c r="Z3187" s="64">
        <f t="shared" si="299"/>
        <v>0</v>
      </c>
    </row>
    <row r="3188" spans="1:26">
      <c r="A3188" s="89" t="str">
        <f t="shared" si="294"/>
        <v/>
      </c>
      <c r="B3188" s="89" t="str">
        <f t="shared" si="295"/>
        <v/>
      </c>
      <c r="S3188" s="89" t="str">
        <f t="shared" si="296"/>
        <v/>
      </c>
      <c r="X3188" s="64">
        <f t="shared" si="297"/>
        <v>0</v>
      </c>
      <c r="Y3188" s="53">
        <f t="shared" si="298"/>
        <v>0</v>
      </c>
      <c r="Z3188" s="64">
        <f t="shared" si="299"/>
        <v>0</v>
      </c>
    </row>
    <row r="3189" spans="1:26">
      <c r="A3189" s="89" t="str">
        <f t="shared" si="294"/>
        <v/>
      </c>
      <c r="B3189" s="89" t="str">
        <f t="shared" si="295"/>
        <v/>
      </c>
      <c r="S3189" s="89" t="str">
        <f t="shared" si="296"/>
        <v/>
      </c>
      <c r="X3189" s="64">
        <f t="shared" si="297"/>
        <v>0</v>
      </c>
      <c r="Y3189" s="53">
        <f t="shared" si="298"/>
        <v>0</v>
      </c>
      <c r="Z3189" s="64">
        <f t="shared" si="299"/>
        <v>0</v>
      </c>
    </row>
    <row r="3190" spans="1:26">
      <c r="A3190" s="89" t="str">
        <f t="shared" si="294"/>
        <v/>
      </c>
      <c r="B3190" s="89" t="str">
        <f t="shared" si="295"/>
        <v/>
      </c>
      <c r="S3190" s="89" t="str">
        <f t="shared" si="296"/>
        <v/>
      </c>
      <c r="X3190" s="64">
        <f t="shared" si="297"/>
        <v>0</v>
      </c>
      <c r="Y3190" s="53">
        <f t="shared" si="298"/>
        <v>0</v>
      </c>
      <c r="Z3190" s="64">
        <f t="shared" si="299"/>
        <v>0</v>
      </c>
    </row>
    <row r="3191" spans="1:26">
      <c r="A3191" s="89" t="str">
        <f t="shared" si="294"/>
        <v/>
      </c>
      <c r="B3191" s="89" t="str">
        <f t="shared" si="295"/>
        <v/>
      </c>
      <c r="S3191" s="89" t="str">
        <f t="shared" si="296"/>
        <v/>
      </c>
      <c r="X3191" s="64">
        <f t="shared" si="297"/>
        <v>0</v>
      </c>
      <c r="Y3191" s="53">
        <f t="shared" si="298"/>
        <v>0</v>
      </c>
      <c r="Z3191" s="64">
        <f t="shared" si="299"/>
        <v>0</v>
      </c>
    </row>
    <row r="3192" spans="1:26">
      <c r="A3192" s="89" t="str">
        <f t="shared" si="294"/>
        <v/>
      </c>
      <c r="B3192" s="89" t="str">
        <f t="shared" si="295"/>
        <v/>
      </c>
      <c r="S3192" s="89" t="str">
        <f t="shared" si="296"/>
        <v/>
      </c>
      <c r="X3192" s="64">
        <f t="shared" si="297"/>
        <v>0</v>
      </c>
      <c r="Y3192" s="53">
        <f t="shared" si="298"/>
        <v>0</v>
      </c>
      <c r="Z3192" s="64">
        <f t="shared" si="299"/>
        <v>0</v>
      </c>
    </row>
    <row r="3193" spans="1:26">
      <c r="A3193" s="89" t="str">
        <f t="shared" si="294"/>
        <v/>
      </c>
      <c r="B3193" s="89" t="str">
        <f t="shared" si="295"/>
        <v/>
      </c>
      <c r="S3193" s="89" t="str">
        <f t="shared" si="296"/>
        <v/>
      </c>
      <c r="X3193" s="64">
        <f t="shared" si="297"/>
        <v>0</v>
      </c>
      <c r="Y3193" s="53">
        <f t="shared" si="298"/>
        <v>0</v>
      </c>
      <c r="Z3193" s="64">
        <f t="shared" si="299"/>
        <v>0</v>
      </c>
    </row>
    <row r="3194" spans="1:26">
      <c r="A3194" s="89" t="str">
        <f t="shared" si="294"/>
        <v/>
      </c>
      <c r="B3194" s="89" t="str">
        <f t="shared" si="295"/>
        <v/>
      </c>
      <c r="S3194" s="89" t="str">
        <f t="shared" si="296"/>
        <v/>
      </c>
      <c r="X3194" s="64">
        <f t="shared" si="297"/>
        <v>0</v>
      </c>
      <c r="Y3194" s="53">
        <f t="shared" si="298"/>
        <v>0</v>
      </c>
      <c r="Z3194" s="64">
        <f t="shared" si="299"/>
        <v>0</v>
      </c>
    </row>
    <row r="3195" spans="1:26">
      <c r="A3195" s="89" t="str">
        <f t="shared" si="294"/>
        <v/>
      </c>
      <c r="B3195" s="89" t="str">
        <f t="shared" si="295"/>
        <v/>
      </c>
      <c r="S3195" s="89" t="str">
        <f t="shared" si="296"/>
        <v/>
      </c>
      <c r="X3195" s="64">
        <f t="shared" si="297"/>
        <v>0</v>
      </c>
      <c r="Y3195" s="53">
        <f t="shared" si="298"/>
        <v>0</v>
      </c>
      <c r="Z3195" s="64">
        <f t="shared" si="299"/>
        <v>0</v>
      </c>
    </row>
    <row r="3196" spans="1:26">
      <c r="A3196" s="89" t="str">
        <f t="shared" si="294"/>
        <v/>
      </c>
      <c r="B3196" s="89" t="str">
        <f t="shared" si="295"/>
        <v/>
      </c>
      <c r="S3196" s="89" t="str">
        <f t="shared" si="296"/>
        <v/>
      </c>
      <c r="X3196" s="64">
        <f t="shared" si="297"/>
        <v>0</v>
      </c>
      <c r="Y3196" s="53">
        <f t="shared" si="298"/>
        <v>0</v>
      </c>
      <c r="Z3196" s="64">
        <f t="shared" si="299"/>
        <v>0</v>
      </c>
    </row>
    <row r="3197" spans="1:26">
      <c r="A3197" s="89" t="str">
        <f t="shared" si="294"/>
        <v/>
      </c>
      <c r="B3197" s="89" t="str">
        <f t="shared" si="295"/>
        <v/>
      </c>
      <c r="S3197" s="89" t="str">
        <f t="shared" si="296"/>
        <v/>
      </c>
      <c r="X3197" s="64">
        <f t="shared" si="297"/>
        <v>0</v>
      </c>
      <c r="Y3197" s="53">
        <f t="shared" si="298"/>
        <v>0</v>
      </c>
      <c r="Z3197" s="64">
        <f t="shared" si="299"/>
        <v>0</v>
      </c>
    </row>
    <row r="3198" spans="1:26">
      <c r="A3198" s="89" t="str">
        <f t="shared" si="294"/>
        <v/>
      </c>
      <c r="B3198" s="89" t="str">
        <f t="shared" si="295"/>
        <v/>
      </c>
      <c r="S3198" s="89" t="str">
        <f t="shared" si="296"/>
        <v/>
      </c>
      <c r="X3198" s="64">
        <f t="shared" si="297"/>
        <v>0</v>
      </c>
      <c r="Y3198" s="53">
        <f t="shared" si="298"/>
        <v>0</v>
      </c>
      <c r="Z3198" s="64">
        <f t="shared" si="299"/>
        <v>0</v>
      </c>
    </row>
    <row r="3199" spans="1:26">
      <c r="A3199" s="89" t="str">
        <f t="shared" si="294"/>
        <v/>
      </c>
      <c r="B3199" s="89" t="str">
        <f t="shared" si="295"/>
        <v/>
      </c>
      <c r="S3199" s="89" t="str">
        <f t="shared" si="296"/>
        <v/>
      </c>
      <c r="X3199" s="64">
        <f t="shared" si="297"/>
        <v>0</v>
      </c>
      <c r="Y3199" s="53">
        <f t="shared" si="298"/>
        <v>0</v>
      </c>
      <c r="Z3199" s="64">
        <f t="shared" si="299"/>
        <v>0</v>
      </c>
    </row>
    <row r="3200" spans="1:26">
      <c r="A3200" s="89" t="str">
        <f t="shared" si="294"/>
        <v/>
      </c>
      <c r="B3200" s="89" t="str">
        <f t="shared" si="295"/>
        <v/>
      </c>
      <c r="S3200" s="89" t="str">
        <f t="shared" si="296"/>
        <v/>
      </c>
      <c r="X3200" s="64">
        <f t="shared" si="297"/>
        <v>0</v>
      </c>
      <c r="Y3200" s="53">
        <f t="shared" si="298"/>
        <v>0</v>
      </c>
      <c r="Z3200" s="64">
        <f t="shared" si="299"/>
        <v>0</v>
      </c>
    </row>
    <row r="3201" spans="1:26">
      <c r="A3201" s="89" t="str">
        <f t="shared" si="294"/>
        <v/>
      </c>
      <c r="B3201" s="89" t="str">
        <f t="shared" si="295"/>
        <v/>
      </c>
      <c r="S3201" s="89" t="str">
        <f t="shared" si="296"/>
        <v/>
      </c>
      <c r="X3201" s="64">
        <f t="shared" si="297"/>
        <v>0</v>
      </c>
      <c r="Y3201" s="53">
        <f t="shared" si="298"/>
        <v>0</v>
      </c>
      <c r="Z3201" s="64">
        <f t="shared" si="299"/>
        <v>0</v>
      </c>
    </row>
    <row r="3202" spans="1:26">
      <c r="A3202" s="89" t="str">
        <f t="shared" si="294"/>
        <v/>
      </c>
      <c r="B3202" s="89" t="str">
        <f t="shared" si="295"/>
        <v/>
      </c>
      <c r="S3202" s="89" t="str">
        <f t="shared" si="296"/>
        <v/>
      </c>
      <c r="X3202" s="64">
        <f t="shared" si="297"/>
        <v>0</v>
      </c>
      <c r="Y3202" s="53">
        <f t="shared" si="298"/>
        <v>0</v>
      </c>
      <c r="Z3202" s="64">
        <f t="shared" si="299"/>
        <v>0</v>
      </c>
    </row>
    <row r="3203" spans="1:26">
      <c r="A3203" s="89" t="str">
        <f t="shared" ref="A3203:A3266" si="300">IF(G3203&amp;Q3203&lt;&gt;"",G3203&amp;Q3203,"")</f>
        <v/>
      </c>
      <c r="B3203" s="89" t="str">
        <f t="shared" ref="B3203:B3266" si="301">IF(C3203&lt;&gt;"",LEFT(C3203,9),"")</f>
        <v/>
      </c>
      <c r="S3203" s="89" t="str">
        <f t="shared" ref="S3203:S3266" si="302">IF(H3203&lt;&gt;"",H3203,"")</f>
        <v/>
      </c>
      <c r="X3203" s="64">
        <f t="shared" ref="X3203:X3266" si="303">IFERROR(VALUE(MID($C3203,1,2)),0)</f>
        <v>0</v>
      </c>
      <c r="Y3203" s="53">
        <f t="shared" ref="Y3203:Y3266" si="304">IFERROR(VALUE(MID($C3203,4,3)),0)</f>
        <v>0</v>
      </c>
      <c r="Z3203" s="64">
        <f t="shared" ref="Z3203:Z3266" si="305">VALUE(RIGHT("00"&amp;X3203,2)&amp;RIGHT("000"&amp;Y3203,3))</f>
        <v>0</v>
      </c>
    </row>
    <row r="3204" spans="1:26">
      <c r="A3204" s="89" t="str">
        <f t="shared" si="300"/>
        <v/>
      </c>
      <c r="B3204" s="89" t="str">
        <f t="shared" si="301"/>
        <v/>
      </c>
      <c r="S3204" s="89" t="str">
        <f t="shared" si="302"/>
        <v/>
      </c>
      <c r="X3204" s="64">
        <f t="shared" si="303"/>
        <v>0</v>
      </c>
      <c r="Y3204" s="53">
        <f t="shared" si="304"/>
        <v>0</v>
      </c>
      <c r="Z3204" s="64">
        <f t="shared" si="305"/>
        <v>0</v>
      </c>
    </row>
    <row r="3205" spans="1:26">
      <c r="A3205" s="89" t="str">
        <f t="shared" si="300"/>
        <v/>
      </c>
      <c r="B3205" s="89" t="str">
        <f t="shared" si="301"/>
        <v/>
      </c>
      <c r="S3205" s="89" t="str">
        <f t="shared" si="302"/>
        <v/>
      </c>
      <c r="X3205" s="64">
        <f t="shared" si="303"/>
        <v>0</v>
      </c>
      <c r="Y3205" s="53">
        <f t="shared" si="304"/>
        <v>0</v>
      </c>
      <c r="Z3205" s="64">
        <f t="shared" si="305"/>
        <v>0</v>
      </c>
    </row>
    <row r="3206" spans="1:26">
      <c r="A3206" s="89" t="str">
        <f t="shared" si="300"/>
        <v/>
      </c>
      <c r="B3206" s="89" t="str">
        <f t="shared" si="301"/>
        <v/>
      </c>
      <c r="S3206" s="89" t="str">
        <f t="shared" si="302"/>
        <v/>
      </c>
      <c r="X3206" s="64">
        <f t="shared" si="303"/>
        <v>0</v>
      </c>
      <c r="Y3206" s="53">
        <f t="shared" si="304"/>
        <v>0</v>
      </c>
      <c r="Z3206" s="64">
        <f t="shared" si="305"/>
        <v>0</v>
      </c>
    </row>
    <row r="3207" spans="1:26">
      <c r="A3207" s="89" t="str">
        <f t="shared" si="300"/>
        <v/>
      </c>
      <c r="B3207" s="89" t="str">
        <f t="shared" si="301"/>
        <v/>
      </c>
      <c r="S3207" s="89" t="str">
        <f t="shared" si="302"/>
        <v/>
      </c>
      <c r="X3207" s="64">
        <f t="shared" si="303"/>
        <v>0</v>
      </c>
      <c r="Y3207" s="53">
        <f t="shared" si="304"/>
        <v>0</v>
      </c>
      <c r="Z3207" s="64">
        <f t="shared" si="305"/>
        <v>0</v>
      </c>
    </row>
    <row r="3208" spans="1:26">
      <c r="A3208" s="89" t="str">
        <f t="shared" si="300"/>
        <v/>
      </c>
      <c r="B3208" s="89" t="str">
        <f t="shared" si="301"/>
        <v/>
      </c>
      <c r="S3208" s="89" t="str">
        <f t="shared" si="302"/>
        <v/>
      </c>
      <c r="X3208" s="64">
        <f t="shared" si="303"/>
        <v>0</v>
      </c>
      <c r="Y3208" s="53">
        <f t="shared" si="304"/>
        <v>0</v>
      </c>
      <c r="Z3208" s="64">
        <f t="shared" si="305"/>
        <v>0</v>
      </c>
    </row>
    <row r="3209" spans="1:26">
      <c r="A3209" s="89" t="str">
        <f t="shared" si="300"/>
        <v/>
      </c>
      <c r="B3209" s="89" t="str">
        <f t="shared" si="301"/>
        <v/>
      </c>
      <c r="S3209" s="89" t="str">
        <f t="shared" si="302"/>
        <v/>
      </c>
      <c r="X3209" s="64">
        <f t="shared" si="303"/>
        <v>0</v>
      </c>
      <c r="Y3209" s="53">
        <f t="shared" si="304"/>
        <v>0</v>
      </c>
      <c r="Z3209" s="64">
        <f t="shared" si="305"/>
        <v>0</v>
      </c>
    </row>
    <row r="3210" spans="1:26">
      <c r="A3210" s="89" t="str">
        <f t="shared" si="300"/>
        <v/>
      </c>
      <c r="B3210" s="89" t="str">
        <f t="shared" si="301"/>
        <v/>
      </c>
      <c r="S3210" s="89" t="str">
        <f t="shared" si="302"/>
        <v/>
      </c>
      <c r="X3210" s="64">
        <f t="shared" si="303"/>
        <v>0</v>
      </c>
      <c r="Y3210" s="53">
        <f t="shared" si="304"/>
        <v>0</v>
      </c>
      <c r="Z3210" s="64">
        <f t="shared" si="305"/>
        <v>0</v>
      </c>
    </row>
    <row r="3211" spans="1:26">
      <c r="A3211" s="89" t="str">
        <f t="shared" si="300"/>
        <v/>
      </c>
      <c r="B3211" s="89" t="str">
        <f t="shared" si="301"/>
        <v/>
      </c>
      <c r="S3211" s="89" t="str">
        <f t="shared" si="302"/>
        <v/>
      </c>
      <c r="X3211" s="64">
        <f t="shared" si="303"/>
        <v>0</v>
      </c>
      <c r="Y3211" s="53">
        <f t="shared" si="304"/>
        <v>0</v>
      </c>
      <c r="Z3211" s="64">
        <f t="shared" si="305"/>
        <v>0</v>
      </c>
    </row>
    <row r="3212" spans="1:26">
      <c r="A3212" s="89" t="str">
        <f t="shared" si="300"/>
        <v/>
      </c>
      <c r="B3212" s="89" t="str">
        <f t="shared" si="301"/>
        <v/>
      </c>
      <c r="S3212" s="89" t="str">
        <f t="shared" si="302"/>
        <v/>
      </c>
      <c r="X3212" s="64">
        <f t="shared" si="303"/>
        <v>0</v>
      </c>
      <c r="Y3212" s="53">
        <f t="shared" si="304"/>
        <v>0</v>
      </c>
      <c r="Z3212" s="64">
        <f t="shared" si="305"/>
        <v>0</v>
      </c>
    </row>
    <row r="3213" spans="1:26">
      <c r="A3213" s="89" t="str">
        <f t="shared" si="300"/>
        <v/>
      </c>
      <c r="B3213" s="89" t="str">
        <f t="shared" si="301"/>
        <v/>
      </c>
      <c r="S3213" s="89" t="str">
        <f t="shared" si="302"/>
        <v/>
      </c>
      <c r="X3213" s="64">
        <f t="shared" si="303"/>
        <v>0</v>
      </c>
      <c r="Y3213" s="53">
        <f t="shared" si="304"/>
        <v>0</v>
      </c>
      <c r="Z3213" s="64">
        <f t="shared" si="305"/>
        <v>0</v>
      </c>
    </row>
    <row r="3214" spans="1:26">
      <c r="A3214" s="89" t="str">
        <f t="shared" si="300"/>
        <v/>
      </c>
      <c r="B3214" s="89" t="str">
        <f t="shared" si="301"/>
        <v/>
      </c>
      <c r="S3214" s="89" t="str">
        <f t="shared" si="302"/>
        <v/>
      </c>
      <c r="X3214" s="64">
        <f t="shared" si="303"/>
        <v>0</v>
      </c>
      <c r="Y3214" s="53">
        <f t="shared" si="304"/>
        <v>0</v>
      </c>
      <c r="Z3214" s="64">
        <f t="shared" si="305"/>
        <v>0</v>
      </c>
    </row>
    <row r="3215" spans="1:26">
      <c r="A3215" s="89" t="str">
        <f t="shared" si="300"/>
        <v/>
      </c>
      <c r="B3215" s="89" t="str">
        <f t="shared" si="301"/>
        <v/>
      </c>
      <c r="S3215" s="89" t="str">
        <f t="shared" si="302"/>
        <v/>
      </c>
      <c r="X3215" s="64">
        <f t="shared" si="303"/>
        <v>0</v>
      </c>
      <c r="Y3215" s="53">
        <f t="shared" si="304"/>
        <v>0</v>
      </c>
      <c r="Z3215" s="64">
        <f t="shared" si="305"/>
        <v>0</v>
      </c>
    </row>
    <row r="3216" spans="1:26">
      <c r="A3216" s="89" t="str">
        <f t="shared" si="300"/>
        <v/>
      </c>
      <c r="B3216" s="89" t="str">
        <f t="shared" si="301"/>
        <v/>
      </c>
      <c r="S3216" s="89" t="str">
        <f t="shared" si="302"/>
        <v/>
      </c>
      <c r="X3216" s="64">
        <f t="shared" si="303"/>
        <v>0</v>
      </c>
      <c r="Y3216" s="53">
        <f t="shared" si="304"/>
        <v>0</v>
      </c>
      <c r="Z3216" s="64">
        <f t="shared" si="305"/>
        <v>0</v>
      </c>
    </row>
    <row r="3217" spans="1:26">
      <c r="A3217" s="89" t="str">
        <f t="shared" si="300"/>
        <v/>
      </c>
      <c r="B3217" s="89" t="str">
        <f t="shared" si="301"/>
        <v/>
      </c>
      <c r="S3217" s="89" t="str">
        <f t="shared" si="302"/>
        <v/>
      </c>
      <c r="X3217" s="64">
        <f t="shared" si="303"/>
        <v>0</v>
      </c>
      <c r="Y3217" s="53">
        <f t="shared" si="304"/>
        <v>0</v>
      </c>
      <c r="Z3217" s="64">
        <f t="shared" si="305"/>
        <v>0</v>
      </c>
    </row>
    <row r="3218" spans="1:26">
      <c r="A3218" s="89" t="str">
        <f t="shared" si="300"/>
        <v/>
      </c>
      <c r="B3218" s="89" t="str">
        <f t="shared" si="301"/>
        <v/>
      </c>
      <c r="S3218" s="89" t="str">
        <f t="shared" si="302"/>
        <v/>
      </c>
      <c r="X3218" s="64">
        <f t="shared" si="303"/>
        <v>0</v>
      </c>
      <c r="Y3218" s="53">
        <f t="shared" si="304"/>
        <v>0</v>
      </c>
      <c r="Z3218" s="64">
        <f t="shared" si="305"/>
        <v>0</v>
      </c>
    </row>
    <row r="3219" spans="1:26">
      <c r="A3219" s="89" t="str">
        <f t="shared" si="300"/>
        <v/>
      </c>
      <c r="B3219" s="89" t="str">
        <f t="shared" si="301"/>
        <v/>
      </c>
      <c r="S3219" s="89" t="str">
        <f t="shared" si="302"/>
        <v/>
      </c>
      <c r="X3219" s="64">
        <f t="shared" si="303"/>
        <v>0</v>
      </c>
      <c r="Y3219" s="53">
        <f t="shared" si="304"/>
        <v>0</v>
      </c>
      <c r="Z3219" s="64">
        <f t="shared" si="305"/>
        <v>0</v>
      </c>
    </row>
    <row r="3220" spans="1:26">
      <c r="A3220" s="89" t="str">
        <f t="shared" si="300"/>
        <v/>
      </c>
      <c r="B3220" s="89" t="str">
        <f t="shared" si="301"/>
        <v/>
      </c>
      <c r="S3220" s="89" t="str">
        <f t="shared" si="302"/>
        <v/>
      </c>
      <c r="X3220" s="64">
        <f t="shared" si="303"/>
        <v>0</v>
      </c>
      <c r="Y3220" s="53">
        <f t="shared" si="304"/>
        <v>0</v>
      </c>
      <c r="Z3220" s="64">
        <f t="shared" si="305"/>
        <v>0</v>
      </c>
    </row>
    <row r="3221" spans="1:26">
      <c r="A3221" s="89" t="str">
        <f t="shared" si="300"/>
        <v/>
      </c>
      <c r="B3221" s="89" t="str">
        <f t="shared" si="301"/>
        <v/>
      </c>
      <c r="S3221" s="89" t="str">
        <f t="shared" si="302"/>
        <v/>
      </c>
      <c r="X3221" s="64">
        <f t="shared" si="303"/>
        <v>0</v>
      </c>
      <c r="Y3221" s="53">
        <f t="shared" si="304"/>
        <v>0</v>
      </c>
      <c r="Z3221" s="64">
        <f t="shared" si="305"/>
        <v>0</v>
      </c>
    </row>
    <row r="3222" spans="1:26">
      <c r="A3222" s="89" t="str">
        <f t="shared" si="300"/>
        <v/>
      </c>
      <c r="B3222" s="89" t="str">
        <f t="shared" si="301"/>
        <v/>
      </c>
      <c r="S3222" s="89" t="str">
        <f t="shared" si="302"/>
        <v/>
      </c>
      <c r="X3222" s="64">
        <f t="shared" si="303"/>
        <v>0</v>
      </c>
      <c r="Y3222" s="53">
        <f t="shared" si="304"/>
        <v>0</v>
      </c>
      <c r="Z3222" s="64">
        <f t="shared" si="305"/>
        <v>0</v>
      </c>
    </row>
    <row r="3223" spans="1:26">
      <c r="A3223" s="89" t="str">
        <f t="shared" si="300"/>
        <v/>
      </c>
      <c r="B3223" s="89" t="str">
        <f t="shared" si="301"/>
        <v/>
      </c>
      <c r="S3223" s="89" t="str">
        <f t="shared" si="302"/>
        <v/>
      </c>
      <c r="X3223" s="64">
        <f t="shared" si="303"/>
        <v>0</v>
      </c>
      <c r="Y3223" s="53">
        <f t="shared" si="304"/>
        <v>0</v>
      </c>
      <c r="Z3223" s="64">
        <f t="shared" si="305"/>
        <v>0</v>
      </c>
    </row>
    <row r="3224" spans="1:26">
      <c r="A3224" s="89" t="str">
        <f t="shared" si="300"/>
        <v/>
      </c>
      <c r="B3224" s="89" t="str">
        <f t="shared" si="301"/>
        <v/>
      </c>
      <c r="S3224" s="89" t="str">
        <f t="shared" si="302"/>
        <v/>
      </c>
      <c r="X3224" s="64">
        <f t="shared" si="303"/>
        <v>0</v>
      </c>
      <c r="Y3224" s="53">
        <f t="shared" si="304"/>
        <v>0</v>
      </c>
      <c r="Z3224" s="64">
        <f t="shared" si="305"/>
        <v>0</v>
      </c>
    </row>
    <row r="3225" spans="1:26">
      <c r="A3225" s="89" t="str">
        <f t="shared" si="300"/>
        <v/>
      </c>
      <c r="B3225" s="89" t="str">
        <f t="shared" si="301"/>
        <v/>
      </c>
      <c r="S3225" s="89" t="str">
        <f t="shared" si="302"/>
        <v/>
      </c>
      <c r="X3225" s="64">
        <f t="shared" si="303"/>
        <v>0</v>
      </c>
      <c r="Y3225" s="53">
        <f t="shared" si="304"/>
        <v>0</v>
      </c>
      <c r="Z3225" s="64">
        <f t="shared" si="305"/>
        <v>0</v>
      </c>
    </row>
    <row r="3226" spans="1:26">
      <c r="A3226" s="89" t="str">
        <f t="shared" si="300"/>
        <v/>
      </c>
      <c r="B3226" s="89" t="str">
        <f t="shared" si="301"/>
        <v/>
      </c>
      <c r="S3226" s="89" t="str">
        <f t="shared" si="302"/>
        <v/>
      </c>
      <c r="X3226" s="64">
        <f t="shared" si="303"/>
        <v>0</v>
      </c>
      <c r="Y3226" s="53">
        <f t="shared" si="304"/>
        <v>0</v>
      </c>
      <c r="Z3226" s="64">
        <f t="shared" si="305"/>
        <v>0</v>
      </c>
    </row>
    <row r="3227" spans="1:26">
      <c r="A3227" s="89" t="str">
        <f t="shared" si="300"/>
        <v/>
      </c>
      <c r="B3227" s="89" t="str">
        <f t="shared" si="301"/>
        <v/>
      </c>
      <c r="S3227" s="89" t="str">
        <f t="shared" si="302"/>
        <v/>
      </c>
      <c r="X3227" s="64">
        <f t="shared" si="303"/>
        <v>0</v>
      </c>
      <c r="Y3227" s="53">
        <f t="shared" si="304"/>
        <v>0</v>
      </c>
      <c r="Z3227" s="64">
        <f t="shared" si="305"/>
        <v>0</v>
      </c>
    </row>
    <row r="3228" spans="1:26">
      <c r="A3228" s="89" t="str">
        <f t="shared" si="300"/>
        <v/>
      </c>
      <c r="B3228" s="89" t="str">
        <f t="shared" si="301"/>
        <v/>
      </c>
      <c r="S3228" s="89" t="str">
        <f t="shared" si="302"/>
        <v/>
      </c>
      <c r="X3228" s="64">
        <f t="shared" si="303"/>
        <v>0</v>
      </c>
      <c r="Y3228" s="53">
        <f t="shared" si="304"/>
        <v>0</v>
      </c>
      <c r="Z3228" s="64">
        <f t="shared" si="305"/>
        <v>0</v>
      </c>
    </row>
    <row r="3229" spans="1:26">
      <c r="A3229" s="89" t="str">
        <f t="shared" si="300"/>
        <v/>
      </c>
      <c r="B3229" s="89" t="str">
        <f t="shared" si="301"/>
        <v/>
      </c>
      <c r="S3229" s="89" t="str">
        <f t="shared" si="302"/>
        <v/>
      </c>
      <c r="X3229" s="64">
        <f t="shared" si="303"/>
        <v>0</v>
      </c>
      <c r="Y3229" s="53">
        <f t="shared" si="304"/>
        <v>0</v>
      </c>
      <c r="Z3229" s="64">
        <f t="shared" si="305"/>
        <v>0</v>
      </c>
    </row>
    <row r="3230" spans="1:26">
      <c r="A3230" s="89" t="str">
        <f t="shared" si="300"/>
        <v/>
      </c>
      <c r="B3230" s="89" t="str">
        <f t="shared" si="301"/>
        <v/>
      </c>
      <c r="S3230" s="89" t="str">
        <f t="shared" si="302"/>
        <v/>
      </c>
      <c r="X3230" s="64">
        <f t="shared" si="303"/>
        <v>0</v>
      </c>
      <c r="Y3230" s="53">
        <f t="shared" si="304"/>
        <v>0</v>
      </c>
      <c r="Z3230" s="64">
        <f t="shared" si="305"/>
        <v>0</v>
      </c>
    </row>
    <row r="3231" spans="1:26">
      <c r="A3231" s="89" t="str">
        <f t="shared" si="300"/>
        <v/>
      </c>
      <c r="B3231" s="89" t="str">
        <f t="shared" si="301"/>
        <v/>
      </c>
      <c r="S3231" s="89" t="str">
        <f t="shared" si="302"/>
        <v/>
      </c>
      <c r="X3231" s="64">
        <f t="shared" si="303"/>
        <v>0</v>
      </c>
      <c r="Y3231" s="53">
        <f t="shared" si="304"/>
        <v>0</v>
      </c>
      <c r="Z3231" s="64">
        <f t="shared" si="305"/>
        <v>0</v>
      </c>
    </row>
    <row r="3232" spans="1:26">
      <c r="A3232" s="89" t="str">
        <f t="shared" si="300"/>
        <v/>
      </c>
      <c r="B3232" s="89" t="str">
        <f t="shared" si="301"/>
        <v/>
      </c>
      <c r="S3232" s="89" t="str">
        <f t="shared" si="302"/>
        <v/>
      </c>
      <c r="X3232" s="64">
        <f t="shared" si="303"/>
        <v>0</v>
      </c>
      <c r="Y3232" s="53">
        <f t="shared" si="304"/>
        <v>0</v>
      </c>
      <c r="Z3232" s="64">
        <f t="shared" si="305"/>
        <v>0</v>
      </c>
    </row>
    <row r="3233" spans="1:26">
      <c r="A3233" s="89" t="str">
        <f t="shared" si="300"/>
        <v/>
      </c>
      <c r="B3233" s="89" t="str">
        <f t="shared" si="301"/>
        <v/>
      </c>
      <c r="S3233" s="89" t="str">
        <f t="shared" si="302"/>
        <v/>
      </c>
      <c r="X3233" s="64">
        <f t="shared" si="303"/>
        <v>0</v>
      </c>
      <c r="Y3233" s="53">
        <f t="shared" si="304"/>
        <v>0</v>
      </c>
      <c r="Z3233" s="64">
        <f t="shared" si="305"/>
        <v>0</v>
      </c>
    </row>
    <row r="3234" spans="1:26">
      <c r="A3234" s="89" t="str">
        <f t="shared" si="300"/>
        <v/>
      </c>
      <c r="B3234" s="89" t="str">
        <f t="shared" si="301"/>
        <v/>
      </c>
      <c r="S3234" s="89" t="str">
        <f t="shared" si="302"/>
        <v/>
      </c>
      <c r="X3234" s="64">
        <f t="shared" si="303"/>
        <v>0</v>
      </c>
      <c r="Y3234" s="53">
        <f t="shared" si="304"/>
        <v>0</v>
      </c>
      <c r="Z3234" s="64">
        <f t="shared" si="305"/>
        <v>0</v>
      </c>
    </row>
    <row r="3235" spans="1:26">
      <c r="A3235" s="89" t="str">
        <f t="shared" si="300"/>
        <v/>
      </c>
      <c r="B3235" s="89" t="str">
        <f t="shared" si="301"/>
        <v/>
      </c>
      <c r="S3235" s="89" t="str">
        <f t="shared" si="302"/>
        <v/>
      </c>
      <c r="X3235" s="64">
        <f t="shared" si="303"/>
        <v>0</v>
      </c>
      <c r="Y3235" s="53">
        <f t="shared" si="304"/>
        <v>0</v>
      </c>
      <c r="Z3235" s="64">
        <f t="shared" si="305"/>
        <v>0</v>
      </c>
    </row>
    <row r="3236" spans="1:26">
      <c r="A3236" s="89" t="str">
        <f t="shared" si="300"/>
        <v/>
      </c>
      <c r="B3236" s="89" t="str">
        <f t="shared" si="301"/>
        <v/>
      </c>
      <c r="S3236" s="89" t="str">
        <f t="shared" si="302"/>
        <v/>
      </c>
      <c r="X3236" s="64">
        <f t="shared" si="303"/>
        <v>0</v>
      </c>
      <c r="Y3236" s="53">
        <f t="shared" si="304"/>
        <v>0</v>
      </c>
      <c r="Z3236" s="64">
        <f t="shared" si="305"/>
        <v>0</v>
      </c>
    </row>
    <row r="3237" spans="1:26">
      <c r="A3237" s="89" t="str">
        <f t="shared" si="300"/>
        <v/>
      </c>
      <c r="B3237" s="89" t="str">
        <f t="shared" si="301"/>
        <v/>
      </c>
      <c r="S3237" s="89" t="str">
        <f t="shared" si="302"/>
        <v/>
      </c>
      <c r="X3237" s="64">
        <f t="shared" si="303"/>
        <v>0</v>
      </c>
      <c r="Y3237" s="53">
        <f t="shared" si="304"/>
        <v>0</v>
      </c>
      <c r="Z3237" s="64">
        <f t="shared" si="305"/>
        <v>0</v>
      </c>
    </row>
    <row r="3238" spans="1:26">
      <c r="A3238" s="89" t="str">
        <f t="shared" si="300"/>
        <v/>
      </c>
      <c r="B3238" s="89" t="str">
        <f t="shared" si="301"/>
        <v/>
      </c>
      <c r="S3238" s="89" t="str">
        <f t="shared" si="302"/>
        <v/>
      </c>
      <c r="X3238" s="64">
        <f t="shared" si="303"/>
        <v>0</v>
      </c>
      <c r="Y3238" s="53">
        <f t="shared" si="304"/>
        <v>0</v>
      </c>
      <c r="Z3238" s="64">
        <f t="shared" si="305"/>
        <v>0</v>
      </c>
    </row>
    <row r="3239" spans="1:26">
      <c r="A3239" s="89" t="str">
        <f t="shared" si="300"/>
        <v/>
      </c>
      <c r="B3239" s="89" t="str">
        <f t="shared" si="301"/>
        <v/>
      </c>
      <c r="S3239" s="89" t="str">
        <f t="shared" si="302"/>
        <v/>
      </c>
      <c r="X3239" s="64">
        <f t="shared" si="303"/>
        <v>0</v>
      </c>
      <c r="Y3239" s="53">
        <f t="shared" si="304"/>
        <v>0</v>
      </c>
      <c r="Z3239" s="64">
        <f t="shared" si="305"/>
        <v>0</v>
      </c>
    </row>
    <row r="3240" spans="1:26">
      <c r="A3240" s="89" t="str">
        <f t="shared" si="300"/>
        <v/>
      </c>
      <c r="B3240" s="89" t="str">
        <f t="shared" si="301"/>
        <v/>
      </c>
      <c r="S3240" s="89" t="str">
        <f t="shared" si="302"/>
        <v/>
      </c>
      <c r="X3240" s="64">
        <f t="shared" si="303"/>
        <v>0</v>
      </c>
      <c r="Y3240" s="53">
        <f t="shared" si="304"/>
        <v>0</v>
      </c>
      <c r="Z3240" s="64">
        <f t="shared" si="305"/>
        <v>0</v>
      </c>
    </row>
    <row r="3241" spans="1:26">
      <c r="A3241" s="89" t="str">
        <f t="shared" si="300"/>
        <v/>
      </c>
      <c r="B3241" s="89" t="str">
        <f t="shared" si="301"/>
        <v/>
      </c>
      <c r="S3241" s="89" t="str">
        <f t="shared" si="302"/>
        <v/>
      </c>
      <c r="X3241" s="64">
        <f t="shared" si="303"/>
        <v>0</v>
      </c>
      <c r="Y3241" s="53">
        <f t="shared" si="304"/>
        <v>0</v>
      </c>
      <c r="Z3241" s="64">
        <f t="shared" si="305"/>
        <v>0</v>
      </c>
    </row>
    <row r="3242" spans="1:26">
      <c r="A3242" s="89" t="str">
        <f t="shared" si="300"/>
        <v/>
      </c>
      <c r="B3242" s="89" t="str">
        <f t="shared" si="301"/>
        <v/>
      </c>
      <c r="S3242" s="89" t="str">
        <f t="shared" si="302"/>
        <v/>
      </c>
      <c r="X3242" s="64">
        <f t="shared" si="303"/>
        <v>0</v>
      </c>
      <c r="Y3242" s="53">
        <f t="shared" si="304"/>
        <v>0</v>
      </c>
      <c r="Z3242" s="64">
        <f t="shared" si="305"/>
        <v>0</v>
      </c>
    </row>
    <row r="3243" spans="1:26">
      <c r="A3243" s="89" t="str">
        <f t="shared" si="300"/>
        <v/>
      </c>
      <c r="B3243" s="89" t="str">
        <f t="shared" si="301"/>
        <v/>
      </c>
      <c r="S3243" s="89" t="str">
        <f t="shared" si="302"/>
        <v/>
      </c>
      <c r="X3243" s="64">
        <f t="shared" si="303"/>
        <v>0</v>
      </c>
      <c r="Y3243" s="53">
        <f t="shared" si="304"/>
        <v>0</v>
      </c>
      <c r="Z3243" s="64">
        <f t="shared" si="305"/>
        <v>0</v>
      </c>
    </row>
    <row r="3244" spans="1:26">
      <c r="A3244" s="89" t="str">
        <f t="shared" si="300"/>
        <v/>
      </c>
      <c r="B3244" s="89" t="str">
        <f t="shared" si="301"/>
        <v/>
      </c>
      <c r="S3244" s="89" t="str">
        <f t="shared" si="302"/>
        <v/>
      </c>
      <c r="X3244" s="64">
        <f t="shared" si="303"/>
        <v>0</v>
      </c>
      <c r="Y3244" s="53">
        <f t="shared" si="304"/>
        <v>0</v>
      </c>
      <c r="Z3244" s="64">
        <f t="shared" si="305"/>
        <v>0</v>
      </c>
    </row>
    <row r="3245" spans="1:26">
      <c r="A3245" s="89" t="str">
        <f t="shared" si="300"/>
        <v/>
      </c>
      <c r="B3245" s="89" t="str">
        <f t="shared" si="301"/>
        <v/>
      </c>
      <c r="S3245" s="89" t="str">
        <f t="shared" si="302"/>
        <v/>
      </c>
      <c r="X3245" s="64">
        <f t="shared" si="303"/>
        <v>0</v>
      </c>
      <c r="Y3245" s="53">
        <f t="shared" si="304"/>
        <v>0</v>
      </c>
      <c r="Z3245" s="64">
        <f t="shared" si="305"/>
        <v>0</v>
      </c>
    </row>
    <row r="3246" spans="1:26">
      <c r="A3246" s="89" t="str">
        <f t="shared" si="300"/>
        <v/>
      </c>
      <c r="B3246" s="89" t="str">
        <f t="shared" si="301"/>
        <v/>
      </c>
      <c r="S3246" s="89" t="str">
        <f t="shared" si="302"/>
        <v/>
      </c>
      <c r="X3246" s="64">
        <f t="shared" si="303"/>
        <v>0</v>
      </c>
      <c r="Y3246" s="53">
        <f t="shared" si="304"/>
        <v>0</v>
      </c>
      <c r="Z3246" s="64">
        <f t="shared" si="305"/>
        <v>0</v>
      </c>
    </row>
    <row r="3247" spans="1:26">
      <c r="A3247" s="89" t="str">
        <f t="shared" si="300"/>
        <v/>
      </c>
      <c r="B3247" s="89" t="str">
        <f t="shared" si="301"/>
        <v/>
      </c>
      <c r="S3247" s="89" t="str">
        <f t="shared" si="302"/>
        <v/>
      </c>
      <c r="X3247" s="64">
        <f t="shared" si="303"/>
        <v>0</v>
      </c>
      <c r="Y3247" s="53">
        <f t="shared" si="304"/>
        <v>0</v>
      </c>
      <c r="Z3247" s="64">
        <f t="shared" si="305"/>
        <v>0</v>
      </c>
    </row>
    <row r="3248" spans="1:26">
      <c r="A3248" s="89" t="str">
        <f t="shared" si="300"/>
        <v/>
      </c>
      <c r="B3248" s="89" t="str">
        <f t="shared" si="301"/>
        <v/>
      </c>
      <c r="S3248" s="89" t="str">
        <f t="shared" si="302"/>
        <v/>
      </c>
      <c r="X3248" s="64">
        <f t="shared" si="303"/>
        <v>0</v>
      </c>
      <c r="Y3248" s="53">
        <f t="shared" si="304"/>
        <v>0</v>
      </c>
      <c r="Z3248" s="64">
        <f t="shared" si="305"/>
        <v>0</v>
      </c>
    </row>
    <row r="3249" spans="1:26">
      <c r="A3249" s="89" t="str">
        <f t="shared" si="300"/>
        <v/>
      </c>
      <c r="B3249" s="89" t="str">
        <f t="shared" si="301"/>
        <v/>
      </c>
      <c r="S3249" s="89" t="str">
        <f t="shared" si="302"/>
        <v/>
      </c>
      <c r="X3249" s="64">
        <f t="shared" si="303"/>
        <v>0</v>
      </c>
      <c r="Y3249" s="53">
        <f t="shared" si="304"/>
        <v>0</v>
      </c>
      <c r="Z3249" s="64">
        <f t="shared" si="305"/>
        <v>0</v>
      </c>
    </row>
    <row r="3250" spans="1:26">
      <c r="A3250" s="89" t="str">
        <f t="shared" si="300"/>
        <v/>
      </c>
      <c r="B3250" s="89" t="str">
        <f t="shared" si="301"/>
        <v/>
      </c>
      <c r="S3250" s="89" t="str">
        <f t="shared" si="302"/>
        <v/>
      </c>
      <c r="X3250" s="64">
        <f t="shared" si="303"/>
        <v>0</v>
      </c>
      <c r="Y3250" s="53">
        <f t="shared" si="304"/>
        <v>0</v>
      </c>
      <c r="Z3250" s="64">
        <f t="shared" si="305"/>
        <v>0</v>
      </c>
    </row>
    <row r="3251" spans="1:26">
      <c r="A3251" s="89" t="str">
        <f t="shared" si="300"/>
        <v/>
      </c>
      <c r="B3251" s="89" t="str">
        <f t="shared" si="301"/>
        <v/>
      </c>
      <c r="S3251" s="89" t="str">
        <f t="shared" si="302"/>
        <v/>
      </c>
      <c r="X3251" s="64">
        <f t="shared" si="303"/>
        <v>0</v>
      </c>
      <c r="Y3251" s="53">
        <f t="shared" si="304"/>
        <v>0</v>
      </c>
      <c r="Z3251" s="64">
        <f t="shared" si="305"/>
        <v>0</v>
      </c>
    </row>
    <row r="3252" spans="1:26">
      <c r="A3252" s="89" t="str">
        <f t="shared" si="300"/>
        <v/>
      </c>
      <c r="B3252" s="89" t="str">
        <f t="shared" si="301"/>
        <v/>
      </c>
      <c r="S3252" s="89" t="str">
        <f t="shared" si="302"/>
        <v/>
      </c>
      <c r="X3252" s="64">
        <f t="shared" si="303"/>
        <v>0</v>
      </c>
      <c r="Y3252" s="53">
        <f t="shared" si="304"/>
        <v>0</v>
      </c>
      <c r="Z3252" s="64">
        <f t="shared" si="305"/>
        <v>0</v>
      </c>
    </row>
    <row r="3253" spans="1:26">
      <c r="A3253" s="89" t="str">
        <f t="shared" si="300"/>
        <v/>
      </c>
      <c r="B3253" s="89" t="str">
        <f t="shared" si="301"/>
        <v/>
      </c>
      <c r="S3253" s="89" t="str">
        <f t="shared" si="302"/>
        <v/>
      </c>
      <c r="X3253" s="64">
        <f t="shared" si="303"/>
        <v>0</v>
      </c>
      <c r="Y3253" s="53">
        <f t="shared" si="304"/>
        <v>0</v>
      </c>
      <c r="Z3253" s="64">
        <f t="shared" si="305"/>
        <v>0</v>
      </c>
    </row>
    <row r="3254" spans="1:26">
      <c r="A3254" s="89" t="str">
        <f t="shared" si="300"/>
        <v/>
      </c>
      <c r="B3254" s="89" t="str">
        <f t="shared" si="301"/>
        <v/>
      </c>
      <c r="S3254" s="89" t="str">
        <f t="shared" si="302"/>
        <v/>
      </c>
      <c r="X3254" s="64">
        <f t="shared" si="303"/>
        <v>0</v>
      </c>
      <c r="Y3254" s="53">
        <f t="shared" si="304"/>
        <v>0</v>
      </c>
      <c r="Z3254" s="64">
        <f t="shared" si="305"/>
        <v>0</v>
      </c>
    </row>
    <row r="3255" spans="1:26">
      <c r="A3255" s="89" t="str">
        <f t="shared" si="300"/>
        <v/>
      </c>
      <c r="B3255" s="89" t="str">
        <f t="shared" si="301"/>
        <v/>
      </c>
      <c r="S3255" s="89" t="str">
        <f t="shared" si="302"/>
        <v/>
      </c>
      <c r="X3255" s="64">
        <f t="shared" si="303"/>
        <v>0</v>
      </c>
      <c r="Y3255" s="53">
        <f t="shared" si="304"/>
        <v>0</v>
      </c>
      <c r="Z3255" s="64">
        <f t="shared" si="305"/>
        <v>0</v>
      </c>
    </row>
    <row r="3256" spans="1:26">
      <c r="A3256" s="89" t="str">
        <f t="shared" si="300"/>
        <v/>
      </c>
      <c r="B3256" s="89" t="str">
        <f t="shared" si="301"/>
        <v/>
      </c>
      <c r="S3256" s="89" t="str">
        <f t="shared" si="302"/>
        <v/>
      </c>
      <c r="X3256" s="64">
        <f t="shared" si="303"/>
        <v>0</v>
      </c>
      <c r="Y3256" s="53">
        <f t="shared" si="304"/>
        <v>0</v>
      </c>
      <c r="Z3256" s="64">
        <f t="shared" si="305"/>
        <v>0</v>
      </c>
    </row>
    <row r="3257" spans="1:26">
      <c r="A3257" s="89" t="str">
        <f t="shared" si="300"/>
        <v/>
      </c>
      <c r="B3257" s="89" t="str">
        <f t="shared" si="301"/>
        <v/>
      </c>
      <c r="S3257" s="89" t="str">
        <f t="shared" si="302"/>
        <v/>
      </c>
      <c r="X3257" s="64">
        <f t="shared" si="303"/>
        <v>0</v>
      </c>
      <c r="Y3257" s="53">
        <f t="shared" si="304"/>
        <v>0</v>
      </c>
      <c r="Z3257" s="64">
        <f t="shared" si="305"/>
        <v>0</v>
      </c>
    </row>
    <row r="3258" spans="1:26">
      <c r="A3258" s="89" t="str">
        <f t="shared" si="300"/>
        <v/>
      </c>
      <c r="B3258" s="89" t="str">
        <f t="shared" si="301"/>
        <v/>
      </c>
      <c r="S3258" s="89" t="str">
        <f t="shared" si="302"/>
        <v/>
      </c>
      <c r="X3258" s="64">
        <f t="shared" si="303"/>
        <v>0</v>
      </c>
      <c r="Y3258" s="53">
        <f t="shared" si="304"/>
        <v>0</v>
      </c>
      <c r="Z3258" s="64">
        <f t="shared" si="305"/>
        <v>0</v>
      </c>
    </row>
    <row r="3259" spans="1:26">
      <c r="A3259" s="89" t="str">
        <f t="shared" si="300"/>
        <v/>
      </c>
      <c r="B3259" s="89" t="str">
        <f t="shared" si="301"/>
        <v/>
      </c>
      <c r="S3259" s="89" t="str">
        <f t="shared" si="302"/>
        <v/>
      </c>
      <c r="X3259" s="64">
        <f t="shared" si="303"/>
        <v>0</v>
      </c>
      <c r="Y3259" s="53">
        <f t="shared" si="304"/>
        <v>0</v>
      </c>
      <c r="Z3259" s="64">
        <f t="shared" si="305"/>
        <v>0</v>
      </c>
    </row>
    <row r="3260" spans="1:26">
      <c r="A3260" s="89" t="str">
        <f t="shared" si="300"/>
        <v/>
      </c>
      <c r="B3260" s="89" t="str">
        <f t="shared" si="301"/>
        <v/>
      </c>
      <c r="S3260" s="89" t="str">
        <f t="shared" si="302"/>
        <v/>
      </c>
      <c r="X3260" s="64">
        <f t="shared" si="303"/>
        <v>0</v>
      </c>
      <c r="Y3260" s="53">
        <f t="shared" si="304"/>
        <v>0</v>
      </c>
      <c r="Z3260" s="64">
        <f t="shared" si="305"/>
        <v>0</v>
      </c>
    </row>
    <row r="3261" spans="1:26">
      <c r="A3261" s="89" t="str">
        <f t="shared" si="300"/>
        <v/>
      </c>
      <c r="B3261" s="89" t="str">
        <f t="shared" si="301"/>
        <v/>
      </c>
      <c r="S3261" s="89" t="str">
        <f t="shared" si="302"/>
        <v/>
      </c>
      <c r="X3261" s="64">
        <f t="shared" si="303"/>
        <v>0</v>
      </c>
      <c r="Y3261" s="53">
        <f t="shared" si="304"/>
        <v>0</v>
      </c>
      <c r="Z3261" s="64">
        <f t="shared" si="305"/>
        <v>0</v>
      </c>
    </row>
    <row r="3262" spans="1:26">
      <c r="A3262" s="89" t="str">
        <f t="shared" si="300"/>
        <v/>
      </c>
      <c r="B3262" s="89" t="str">
        <f t="shared" si="301"/>
        <v/>
      </c>
      <c r="S3262" s="89" t="str">
        <f t="shared" si="302"/>
        <v/>
      </c>
      <c r="X3262" s="64">
        <f t="shared" si="303"/>
        <v>0</v>
      </c>
      <c r="Y3262" s="53">
        <f t="shared" si="304"/>
        <v>0</v>
      </c>
      <c r="Z3262" s="64">
        <f t="shared" si="305"/>
        <v>0</v>
      </c>
    </row>
    <row r="3263" spans="1:26">
      <c r="A3263" s="89" t="str">
        <f t="shared" si="300"/>
        <v/>
      </c>
      <c r="B3263" s="89" t="str">
        <f t="shared" si="301"/>
        <v/>
      </c>
      <c r="S3263" s="89" t="str">
        <f t="shared" si="302"/>
        <v/>
      </c>
      <c r="X3263" s="64">
        <f t="shared" si="303"/>
        <v>0</v>
      </c>
      <c r="Y3263" s="53">
        <f t="shared" si="304"/>
        <v>0</v>
      </c>
      <c r="Z3263" s="64">
        <f t="shared" si="305"/>
        <v>0</v>
      </c>
    </row>
    <row r="3264" spans="1:26">
      <c r="A3264" s="89" t="str">
        <f t="shared" si="300"/>
        <v/>
      </c>
      <c r="B3264" s="89" t="str">
        <f t="shared" si="301"/>
        <v/>
      </c>
      <c r="S3264" s="89" t="str">
        <f t="shared" si="302"/>
        <v/>
      </c>
      <c r="X3264" s="64">
        <f t="shared" si="303"/>
        <v>0</v>
      </c>
      <c r="Y3264" s="53">
        <f t="shared" si="304"/>
        <v>0</v>
      </c>
      <c r="Z3264" s="64">
        <f t="shared" si="305"/>
        <v>0</v>
      </c>
    </row>
    <row r="3265" spans="1:26">
      <c r="A3265" s="89" t="str">
        <f t="shared" si="300"/>
        <v/>
      </c>
      <c r="B3265" s="89" t="str">
        <f t="shared" si="301"/>
        <v/>
      </c>
      <c r="S3265" s="89" t="str">
        <f t="shared" si="302"/>
        <v/>
      </c>
      <c r="X3265" s="64">
        <f t="shared" si="303"/>
        <v>0</v>
      </c>
      <c r="Y3265" s="53">
        <f t="shared" si="304"/>
        <v>0</v>
      </c>
      <c r="Z3265" s="64">
        <f t="shared" si="305"/>
        <v>0</v>
      </c>
    </row>
    <row r="3266" spans="1:26">
      <c r="A3266" s="89" t="str">
        <f t="shared" si="300"/>
        <v/>
      </c>
      <c r="B3266" s="89" t="str">
        <f t="shared" si="301"/>
        <v/>
      </c>
      <c r="S3266" s="89" t="str">
        <f t="shared" si="302"/>
        <v/>
      </c>
      <c r="X3266" s="64">
        <f t="shared" si="303"/>
        <v>0</v>
      </c>
      <c r="Y3266" s="53">
        <f t="shared" si="304"/>
        <v>0</v>
      </c>
      <c r="Z3266" s="64">
        <f t="shared" si="305"/>
        <v>0</v>
      </c>
    </row>
    <row r="3267" spans="1:26">
      <c r="A3267" s="89" t="str">
        <f t="shared" ref="A3267:A3330" si="306">IF(G3267&amp;Q3267&lt;&gt;"",G3267&amp;Q3267,"")</f>
        <v/>
      </c>
      <c r="B3267" s="89" t="str">
        <f t="shared" ref="B3267:B3330" si="307">IF(C3267&lt;&gt;"",LEFT(C3267,9),"")</f>
        <v/>
      </c>
      <c r="S3267" s="89" t="str">
        <f t="shared" ref="S3267:S3330" si="308">IF(H3267&lt;&gt;"",H3267,"")</f>
        <v/>
      </c>
      <c r="X3267" s="64">
        <f t="shared" ref="X3267:X3330" si="309">IFERROR(VALUE(MID($C3267,1,2)),0)</f>
        <v>0</v>
      </c>
      <c r="Y3267" s="53">
        <f t="shared" ref="Y3267:Y3330" si="310">IFERROR(VALUE(MID($C3267,4,3)),0)</f>
        <v>0</v>
      </c>
      <c r="Z3267" s="64">
        <f t="shared" ref="Z3267:Z3330" si="311">VALUE(RIGHT("00"&amp;X3267,2)&amp;RIGHT("000"&amp;Y3267,3))</f>
        <v>0</v>
      </c>
    </row>
    <row r="3268" spans="1:26">
      <c r="A3268" s="89" t="str">
        <f t="shared" si="306"/>
        <v/>
      </c>
      <c r="B3268" s="89" t="str">
        <f t="shared" si="307"/>
        <v/>
      </c>
      <c r="S3268" s="89" t="str">
        <f t="shared" si="308"/>
        <v/>
      </c>
      <c r="X3268" s="64">
        <f t="shared" si="309"/>
        <v>0</v>
      </c>
      <c r="Y3268" s="53">
        <f t="shared" si="310"/>
        <v>0</v>
      </c>
      <c r="Z3268" s="64">
        <f t="shared" si="311"/>
        <v>0</v>
      </c>
    </row>
    <row r="3269" spans="1:26">
      <c r="A3269" s="89" t="str">
        <f t="shared" si="306"/>
        <v/>
      </c>
      <c r="B3269" s="89" t="str">
        <f t="shared" si="307"/>
        <v/>
      </c>
      <c r="S3269" s="89" t="str">
        <f t="shared" si="308"/>
        <v/>
      </c>
      <c r="X3269" s="64">
        <f t="shared" si="309"/>
        <v>0</v>
      </c>
      <c r="Y3269" s="53">
        <f t="shared" si="310"/>
        <v>0</v>
      </c>
      <c r="Z3269" s="64">
        <f t="shared" si="311"/>
        <v>0</v>
      </c>
    </row>
    <row r="3270" spans="1:26">
      <c r="A3270" s="89" t="str">
        <f t="shared" si="306"/>
        <v/>
      </c>
      <c r="B3270" s="89" t="str">
        <f t="shared" si="307"/>
        <v/>
      </c>
      <c r="S3270" s="89" t="str">
        <f t="shared" si="308"/>
        <v/>
      </c>
      <c r="X3270" s="64">
        <f t="shared" si="309"/>
        <v>0</v>
      </c>
      <c r="Y3270" s="53">
        <f t="shared" si="310"/>
        <v>0</v>
      </c>
      <c r="Z3270" s="64">
        <f t="shared" si="311"/>
        <v>0</v>
      </c>
    </row>
    <row r="3271" spans="1:26">
      <c r="A3271" s="89" t="str">
        <f t="shared" si="306"/>
        <v/>
      </c>
      <c r="B3271" s="89" t="str">
        <f t="shared" si="307"/>
        <v/>
      </c>
      <c r="S3271" s="89" t="str">
        <f t="shared" si="308"/>
        <v/>
      </c>
      <c r="X3271" s="64">
        <f t="shared" si="309"/>
        <v>0</v>
      </c>
      <c r="Y3271" s="53">
        <f t="shared" si="310"/>
        <v>0</v>
      </c>
      <c r="Z3271" s="64">
        <f t="shared" si="311"/>
        <v>0</v>
      </c>
    </row>
    <row r="3272" spans="1:26">
      <c r="A3272" s="89" t="str">
        <f t="shared" si="306"/>
        <v/>
      </c>
      <c r="B3272" s="89" t="str">
        <f t="shared" si="307"/>
        <v/>
      </c>
      <c r="S3272" s="89" t="str">
        <f t="shared" si="308"/>
        <v/>
      </c>
      <c r="X3272" s="64">
        <f t="shared" si="309"/>
        <v>0</v>
      </c>
      <c r="Y3272" s="53">
        <f t="shared" si="310"/>
        <v>0</v>
      </c>
      <c r="Z3272" s="64">
        <f t="shared" si="311"/>
        <v>0</v>
      </c>
    </row>
    <row r="3273" spans="1:26">
      <c r="A3273" s="89" t="str">
        <f t="shared" si="306"/>
        <v/>
      </c>
      <c r="B3273" s="89" t="str">
        <f t="shared" si="307"/>
        <v/>
      </c>
      <c r="S3273" s="89" t="str">
        <f t="shared" si="308"/>
        <v/>
      </c>
      <c r="X3273" s="64">
        <f t="shared" si="309"/>
        <v>0</v>
      </c>
      <c r="Y3273" s="53">
        <f t="shared" si="310"/>
        <v>0</v>
      </c>
      <c r="Z3273" s="64">
        <f t="shared" si="311"/>
        <v>0</v>
      </c>
    </row>
    <row r="3274" spans="1:26">
      <c r="A3274" s="89" t="str">
        <f t="shared" si="306"/>
        <v/>
      </c>
      <c r="B3274" s="89" t="str">
        <f t="shared" si="307"/>
        <v/>
      </c>
      <c r="S3274" s="89" t="str">
        <f t="shared" si="308"/>
        <v/>
      </c>
      <c r="X3274" s="64">
        <f t="shared" si="309"/>
        <v>0</v>
      </c>
      <c r="Y3274" s="53">
        <f t="shared" si="310"/>
        <v>0</v>
      </c>
      <c r="Z3274" s="64">
        <f t="shared" si="311"/>
        <v>0</v>
      </c>
    </row>
    <row r="3275" spans="1:26">
      <c r="A3275" s="89" t="str">
        <f t="shared" si="306"/>
        <v/>
      </c>
      <c r="B3275" s="89" t="str">
        <f t="shared" si="307"/>
        <v/>
      </c>
      <c r="S3275" s="89" t="str">
        <f t="shared" si="308"/>
        <v/>
      </c>
      <c r="X3275" s="64">
        <f t="shared" si="309"/>
        <v>0</v>
      </c>
      <c r="Y3275" s="53">
        <f t="shared" si="310"/>
        <v>0</v>
      </c>
      <c r="Z3275" s="64">
        <f t="shared" si="311"/>
        <v>0</v>
      </c>
    </row>
    <row r="3276" spans="1:26">
      <c r="A3276" s="89" t="str">
        <f t="shared" si="306"/>
        <v/>
      </c>
      <c r="B3276" s="89" t="str">
        <f t="shared" si="307"/>
        <v/>
      </c>
      <c r="S3276" s="89" t="str">
        <f t="shared" si="308"/>
        <v/>
      </c>
      <c r="X3276" s="64">
        <f t="shared" si="309"/>
        <v>0</v>
      </c>
      <c r="Y3276" s="53">
        <f t="shared" si="310"/>
        <v>0</v>
      </c>
      <c r="Z3276" s="64">
        <f t="shared" si="311"/>
        <v>0</v>
      </c>
    </row>
    <row r="3277" spans="1:26">
      <c r="A3277" s="89" t="str">
        <f t="shared" si="306"/>
        <v/>
      </c>
      <c r="B3277" s="89" t="str">
        <f t="shared" si="307"/>
        <v/>
      </c>
      <c r="S3277" s="89" t="str">
        <f t="shared" si="308"/>
        <v/>
      </c>
      <c r="X3277" s="64">
        <f t="shared" si="309"/>
        <v>0</v>
      </c>
      <c r="Y3277" s="53">
        <f t="shared" si="310"/>
        <v>0</v>
      </c>
      <c r="Z3277" s="64">
        <f t="shared" si="311"/>
        <v>0</v>
      </c>
    </row>
    <row r="3278" spans="1:26">
      <c r="A3278" s="89" t="str">
        <f t="shared" si="306"/>
        <v/>
      </c>
      <c r="B3278" s="89" t="str">
        <f t="shared" si="307"/>
        <v/>
      </c>
      <c r="S3278" s="89" t="str">
        <f t="shared" si="308"/>
        <v/>
      </c>
      <c r="X3278" s="64">
        <f t="shared" si="309"/>
        <v>0</v>
      </c>
      <c r="Y3278" s="53">
        <f t="shared" si="310"/>
        <v>0</v>
      </c>
      <c r="Z3278" s="64">
        <f t="shared" si="311"/>
        <v>0</v>
      </c>
    </row>
    <row r="3279" spans="1:26">
      <c r="A3279" s="89" t="str">
        <f t="shared" si="306"/>
        <v/>
      </c>
      <c r="B3279" s="89" t="str">
        <f t="shared" si="307"/>
        <v/>
      </c>
      <c r="S3279" s="89" t="str">
        <f t="shared" si="308"/>
        <v/>
      </c>
      <c r="X3279" s="64">
        <f t="shared" si="309"/>
        <v>0</v>
      </c>
      <c r="Y3279" s="53">
        <f t="shared" si="310"/>
        <v>0</v>
      </c>
      <c r="Z3279" s="64">
        <f t="shared" si="311"/>
        <v>0</v>
      </c>
    </row>
    <row r="3280" spans="1:26">
      <c r="A3280" s="89" t="str">
        <f t="shared" si="306"/>
        <v/>
      </c>
      <c r="B3280" s="89" t="str">
        <f t="shared" si="307"/>
        <v/>
      </c>
      <c r="S3280" s="89" t="str">
        <f t="shared" si="308"/>
        <v/>
      </c>
      <c r="X3280" s="64">
        <f t="shared" si="309"/>
        <v>0</v>
      </c>
      <c r="Y3280" s="53">
        <f t="shared" si="310"/>
        <v>0</v>
      </c>
      <c r="Z3280" s="64">
        <f t="shared" si="311"/>
        <v>0</v>
      </c>
    </row>
    <row r="3281" spans="1:26">
      <c r="A3281" s="89" t="str">
        <f t="shared" si="306"/>
        <v/>
      </c>
      <c r="B3281" s="89" t="str">
        <f t="shared" si="307"/>
        <v/>
      </c>
      <c r="S3281" s="89" t="str">
        <f t="shared" si="308"/>
        <v/>
      </c>
      <c r="X3281" s="64">
        <f t="shared" si="309"/>
        <v>0</v>
      </c>
      <c r="Y3281" s="53">
        <f t="shared" si="310"/>
        <v>0</v>
      </c>
      <c r="Z3281" s="64">
        <f t="shared" si="311"/>
        <v>0</v>
      </c>
    </row>
    <row r="3282" spans="1:26">
      <c r="A3282" s="89" t="str">
        <f t="shared" si="306"/>
        <v/>
      </c>
      <c r="B3282" s="89" t="str">
        <f t="shared" si="307"/>
        <v/>
      </c>
      <c r="S3282" s="89" t="str">
        <f t="shared" si="308"/>
        <v/>
      </c>
      <c r="X3282" s="64">
        <f t="shared" si="309"/>
        <v>0</v>
      </c>
      <c r="Y3282" s="53">
        <f t="shared" si="310"/>
        <v>0</v>
      </c>
      <c r="Z3282" s="64">
        <f t="shared" si="311"/>
        <v>0</v>
      </c>
    </row>
    <row r="3283" spans="1:26">
      <c r="A3283" s="89" t="str">
        <f t="shared" si="306"/>
        <v/>
      </c>
      <c r="B3283" s="89" t="str">
        <f t="shared" si="307"/>
        <v/>
      </c>
      <c r="S3283" s="89" t="str">
        <f t="shared" si="308"/>
        <v/>
      </c>
      <c r="X3283" s="64">
        <f t="shared" si="309"/>
        <v>0</v>
      </c>
      <c r="Y3283" s="53">
        <f t="shared" si="310"/>
        <v>0</v>
      </c>
      <c r="Z3283" s="64">
        <f t="shared" si="311"/>
        <v>0</v>
      </c>
    </row>
    <row r="3284" spans="1:26">
      <c r="A3284" s="89" t="str">
        <f t="shared" si="306"/>
        <v/>
      </c>
      <c r="B3284" s="89" t="str">
        <f t="shared" si="307"/>
        <v/>
      </c>
      <c r="S3284" s="89" t="str">
        <f t="shared" si="308"/>
        <v/>
      </c>
      <c r="X3284" s="64">
        <f t="shared" si="309"/>
        <v>0</v>
      </c>
      <c r="Y3284" s="53">
        <f t="shared" si="310"/>
        <v>0</v>
      </c>
      <c r="Z3284" s="64">
        <f t="shared" si="311"/>
        <v>0</v>
      </c>
    </row>
    <row r="3285" spans="1:26">
      <c r="A3285" s="89" t="str">
        <f t="shared" si="306"/>
        <v/>
      </c>
      <c r="B3285" s="89" t="str">
        <f t="shared" si="307"/>
        <v/>
      </c>
      <c r="S3285" s="89" t="str">
        <f t="shared" si="308"/>
        <v/>
      </c>
      <c r="X3285" s="64">
        <f t="shared" si="309"/>
        <v>0</v>
      </c>
      <c r="Y3285" s="53">
        <f t="shared" si="310"/>
        <v>0</v>
      </c>
      <c r="Z3285" s="64">
        <f t="shared" si="311"/>
        <v>0</v>
      </c>
    </row>
    <row r="3286" spans="1:26">
      <c r="A3286" s="89" t="str">
        <f t="shared" si="306"/>
        <v/>
      </c>
      <c r="B3286" s="89" t="str">
        <f t="shared" si="307"/>
        <v/>
      </c>
      <c r="S3286" s="89" t="str">
        <f t="shared" si="308"/>
        <v/>
      </c>
      <c r="X3286" s="64">
        <f t="shared" si="309"/>
        <v>0</v>
      </c>
      <c r="Y3286" s="53">
        <f t="shared" si="310"/>
        <v>0</v>
      </c>
      <c r="Z3286" s="64">
        <f t="shared" si="311"/>
        <v>0</v>
      </c>
    </row>
    <row r="3287" spans="1:26">
      <c r="A3287" s="89" t="str">
        <f t="shared" si="306"/>
        <v/>
      </c>
      <c r="B3287" s="89" t="str">
        <f t="shared" si="307"/>
        <v/>
      </c>
      <c r="S3287" s="89" t="str">
        <f t="shared" si="308"/>
        <v/>
      </c>
      <c r="X3287" s="64">
        <f t="shared" si="309"/>
        <v>0</v>
      </c>
      <c r="Y3287" s="53">
        <f t="shared" si="310"/>
        <v>0</v>
      </c>
      <c r="Z3287" s="64">
        <f t="shared" si="311"/>
        <v>0</v>
      </c>
    </row>
    <row r="3288" spans="1:26">
      <c r="A3288" s="89" t="str">
        <f t="shared" si="306"/>
        <v/>
      </c>
      <c r="B3288" s="89" t="str">
        <f t="shared" si="307"/>
        <v/>
      </c>
      <c r="S3288" s="89" t="str">
        <f t="shared" si="308"/>
        <v/>
      </c>
      <c r="X3288" s="64">
        <f t="shared" si="309"/>
        <v>0</v>
      </c>
      <c r="Y3288" s="53">
        <f t="shared" si="310"/>
        <v>0</v>
      </c>
      <c r="Z3288" s="64">
        <f t="shared" si="311"/>
        <v>0</v>
      </c>
    </row>
    <row r="3289" spans="1:26">
      <c r="A3289" s="89" t="str">
        <f t="shared" si="306"/>
        <v/>
      </c>
      <c r="B3289" s="89" t="str">
        <f t="shared" si="307"/>
        <v/>
      </c>
      <c r="S3289" s="89" t="str">
        <f t="shared" si="308"/>
        <v/>
      </c>
      <c r="X3289" s="64">
        <f t="shared" si="309"/>
        <v>0</v>
      </c>
      <c r="Y3289" s="53">
        <f t="shared" si="310"/>
        <v>0</v>
      </c>
      <c r="Z3289" s="64">
        <f t="shared" si="311"/>
        <v>0</v>
      </c>
    </row>
    <row r="3290" spans="1:26">
      <c r="A3290" s="89" t="str">
        <f t="shared" si="306"/>
        <v/>
      </c>
      <c r="B3290" s="89" t="str">
        <f t="shared" si="307"/>
        <v/>
      </c>
      <c r="S3290" s="89" t="str">
        <f t="shared" si="308"/>
        <v/>
      </c>
      <c r="X3290" s="64">
        <f t="shared" si="309"/>
        <v>0</v>
      </c>
      <c r="Y3290" s="53">
        <f t="shared" si="310"/>
        <v>0</v>
      </c>
      <c r="Z3290" s="64">
        <f t="shared" si="311"/>
        <v>0</v>
      </c>
    </row>
    <row r="3291" spans="1:26">
      <c r="A3291" s="89" t="str">
        <f t="shared" si="306"/>
        <v/>
      </c>
      <c r="B3291" s="89" t="str">
        <f t="shared" si="307"/>
        <v/>
      </c>
      <c r="S3291" s="89" t="str">
        <f t="shared" si="308"/>
        <v/>
      </c>
      <c r="X3291" s="64">
        <f t="shared" si="309"/>
        <v>0</v>
      </c>
      <c r="Y3291" s="53">
        <f t="shared" si="310"/>
        <v>0</v>
      </c>
      <c r="Z3291" s="64">
        <f t="shared" si="311"/>
        <v>0</v>
      </c>
    </row>
    <row r="3292" spans="1:26">
      <c r="A3292" s="89" t="str">
        <f t="shared" si="306"/>
        <v/>
      </c>
      <c r="B3292" s="89" t="str">
        <f t="shared" si="307"/>
        <v/>
      </c>
      <c r="S3292" s="89" t="str">
        <f t="shared" si="308"/>
        <v/>
      </c>
      <c r="X3292" s="64">
        <f t="shared" si="309"/>
        <v>0</v>
      </c>
      <c r="Y3292" s="53">
        <f t="shared" si="310"/>
        <v>0</v>
      </c>
      <c r="Z3292" s="64">
        <f t="shared" si="311"/>
        <v>0</v>
      </c>
    </row>
    <row r="3293" spans="1:26">
      <c r="A3293" s="89" t="str">
        <f t="shared" si="306"/>
        <v/>
      </c>
      <c r="B3293" s="89" t="str">
        <f t="shared" si="307"/>
        <v/>
      </c>
      <c r="S3293" s="89" t="str">
        <f t="shared" si="308"/>
        <v/>
      </c>
      <c r="X3293" s="64">
        <f t="shared" si="309"/>
        <v>0</v>
      </c>
      <c r="Y3293" s="53">
        <f t="shared" si="310"/>
        <v>0</v>
      </c>
      <c r="Z3293" s="64">
        <f t="shared" si="311"/>
        <v>0</v>
      </c>
    </row>
    <row r="3294" spans="1:26">
      <c r="A3294" s="89" t="str">
        <f t="shared" si="306"/>
        <v/>
      </c>
      <c r="B3294" s="89" t="str">
        <f t="shared" si="307"/>
        <v/>
      </c>
      <c r="S3294" s="89" t="str">
        <f t="shared" si="308"/>
        <v/>
      </c>
      <c r="X3294" s="64">
        <f t="shared" si="309"/>
        <v>0</v>
      </c>
      <c r="Y3294" s="53">
        <f t="shared" si="310"/>
        <v>0</v>
      </c>
      <c r="Z3294" s="64">
        <f t="shared" si="311"/>
        <v>0</v>
      </c>
    </row>
    <row r="3295" spans="1:26">
      <c r="A3295" s="89" t="str">
        <f t="shared" si="306"/>
        <v/>
      </c>
      <c r="B3295" s="89" t="str">
        <f t="shared" si="307"/>
        <v/>
      </c>
      <c r="S3295" s="89" t="str">
        <f t="shared" si="308"/>
        <v/>
      </c>
      <c r="X3295" s="64">
        <f t="shared" si="309"/>
        <v>0</v>
      </c>
      <c r="Y3295" s="53">
        <f t="shared" si="310"/>
        <v>0</v>
      </c>
      <c r="Z3295" s="64">
        <f t="shared" si="311"/>
        <v>0</v>
      </c>
    </row>
    <row r="3296" spans="1:26">
      <c r="A3296" s="89" t="str">
        <f t="shared" si="306"/>
        <v/>
      </c>
      <c r="B3296" s="89" t="str">
        <f t="shared" si="307"/>
        <v/>
      </c>
      <c r="S3296" s="89" t="str">
        <f t="shared" si="308"/>
        <v/>
      </c>
      <c r="X3296" s="64">
        <f t="shared" si="309"/>
        <v>0</v>
      </c>
      <c r="Y3296" s="53">
        <f t="shared" si="310"/>
        <v>0</v>
      </c>
      <c r="Z3296" s="64">
        <f t="shared" si="311"/>
        <v>0</v>
      </c>
    </row>
    <row r="3297" spans="1:26">
      <c r="A3297" s="89" t="str">
        <f t="shared" si="306"/>
        <v/>
      </c>
      <c r="B3297" s="89" t="str">
        <f t="shared" si="307"/>
        <v/>
      </c>
      <c r="S3297" s="89" t="str">
        <f t="shared" si="308"/>
        <v/>
      </c>
      <c r="X3297" s="64">
        <f t="shared" si="309"/>
        <v>0</v>
      </c>
      <c r="Y3297" s="53">
        <f t="shared" si="310"/>
        <v>0</v>
      </c>
      <c r="Z3297" s="64">
        <f t="shared" si="311"/>
        <v>0</v>
      </c>
    </row>
    <row r="3298" spans="1:26">
      <c r="A3298" s="89" t="str">
        <f t="shared" si="306"/>
        <v/>
      </c>
      <c r="B3298" s="89" t="str">
        <f t="shared" si="307"/>
        <v/>
      </c>
      <c r="S3298" s="89" t="str">
        <f t="shared" si="308"/>
        <v/>
      </c>
      <c r="X3298" s="64">
        <f t="shared" si="309"/>
        <v>0</v>
      </c>
      <c r="Y3298" s="53">
        <f t="shared" si="310"/>
        <v>0</v>
      </c>
      <c r="Z3298" s="64">
        <f t="shared" si="311"/>
        <v>0</v>
      </c>
    </row>
    <row r="3299" spans="1:26">
      <c r="A3299" s="89" t="str">
        <f t="shared" si="306"/>
        <v/>
      </c>
      <c r="B3299" s="89" t="str">
        <f t="shared" si="307"/>
        <v/>
      </c>
      <c r="S3299" s="89" t="str">
        <f t="shared" si="308"/>
        <v/>
      </c>
      <c r="X3299" s="64">
        <f t="shared" si="309"/>
        <v>0</v>
      </c>
      <c r="Y3299" s="53">
        <f t="shared" si="310"/>
        <v>0</v>
      </c>
      <c r="Z3299" s="64">
        <f t="shared" si="311"/>
        <v>0</v>
      </c>
    </row>
    <row r="3300" spans="1:26">
      <c r="A3300" s="89" t="str">
        <f t="shared" si="306"/>
        <v/>
      </c>
      <c r="B3300" s="89" t="str">
        <f t="shared" si="307"/>
        <v/>
      </c>
      <c r="S3300" s="89" t="str">
        <f t="shared" si="308"/>
        <v/>
      </c>
      <c r="X3300" s="64">
        <f t="shared" si="309"/>
        <v>0</v>
      </c>
      <c r="Y3300" s="53">
        <f t="shared" si="310"/>
        <v>0</v>
      </c>
      <c r="Z3300" s="64">
        <f t="shared" si="311"/>
        <v>0</v>
      </c>
    </row>
    <row r="3301" spans="1:26">
      <c r="A3301" s="89" t="str">
        <f t="shared" si="306"/>
        <v/>
      </c>
      <c r="B3301" s="89" t="str">
        <f t="shared" si="307"/>
        <v/>
      </c>
      <c r="S3301" s="89" t="str">
        <f t="shared" si="308"/>
        <v/>
      </c>
      <c r="X3301" s="64">
        <f t="shared" si="309"/>
        <v>0</v>
      </c>
      <c r="Y3301" s="53">
        <f t="shared" si="310"/>
        <v>0</v>
      </c>
      <c r="Z3301" s="64">
        <f t="shared" si="311"/>
        <v>0</v>
      </c>
    </row>
    <row r="3302" spans="1:26">
      <c r="A3302" s="89" t="str">
        <f t="shared" si="306"/>
        <v/>
      </c>
      <c r="B3302" s="89" t="str">
        <f t="shared" si="307"/>
        <v/>
      </c>
      <c r="S3302" s="89" t="str">
        <f t="shared" si="308"/>
        <v/>
      </c>
      <c r="X3302" s="64">
        <f t="shared" si="309"/>
        <v>0</v>
      </c>
      <c r="Y3302" s="53">
        <f t="shared" si="310"/>
        <v>0</v>
      </c>
      <c r="Z3302" s="64">
        <f t="shared" si="311"/>
        <v>0</v>
      </c>
    </row>
    <row r="3303" spans="1:26">
      <c r="A3303" s="89" t="str">
        <f t="shared" si="306"/>
        <v/>
      </c>
      <c r="B3303" s="89" t="str">
        <f t="shared" si="307"/>
        <v/>
      </c>
      <c r="S3303" s="89" t="str">
        <f t="shared" si="308"/>
        <v/>
      </c>
      <c r="X3303" s="64">
        <f t="shared" si="309"/>
        <v>0</v>
      </c>
      <c r="Y3303" s="53">
        <f t="shared" si="310"/>
        <v>0</v>
      </c>
      <c r="Z3303" s="64">
        <f t="shared" si="311"/>
        <v>0</v>
      </c>
    </row>
    <row r="3304" spans="1:26">
      <c r="A3304" s="89" t="str">
        <f t="shared" si="306"/>
        <v/>
      </c>
      <c r="B3304" s="89" t="str">
        <f t="shared" si="307"/>
        <v/>
      </c>
      <c r="S3304" s="89" t="str">
        <f t="shared" si="308"/>
        <v/>
      </c>
      <c r="X3304" s="64">
        <f t="shared" si="309"/>
        <v>0</v>
      </c>
      <c r="Y3304" s="53">
        <f t="shared" si="310"/>
        <v>0</v>
      </c>
      <c r="Z3304" s="64">
        <f t="shared" si="311"/>
        <v>0</v>
      </c>
    </row>
    <row r="3305" spans="1:26">
      <c r="A3305" s="89" t="str">
        <f t="shared" si="306"/>
        <v/>
      </c>
      <c r="B3305" s="89" t="str">
        <f t="shared" si="307"/>
        <v/>
      </c>
      <c r="S3305" s="89" t="str">
        <f t="shared" si="308"/>
        <v/>
      </c>
      <c r="X3305" s="64">
        <f t="shared" si="309"/>
        <v>0</v>
      </c>
      <c r="Y3305" s="53">
        <f t="shared" si="310"/>
        <v>0</v>
      </c>
      <c r="Z3305" s="64">
        <f t="shared" si="311"/>
        <v>0</v>
      </c>
    </row>
    <row r="3306" spans="1:26">
      <c r="A3306" s="89" t="str">
        <f t="shared" si="306"/>
        <v/>
      </c>
      <c r="B3306" s="89" t="str">
        <f t="shared" si="307"/>
        <v/>
      </c>
      <c r="S3306" s="89" t="str">
        <f t="shared" si="308"/>
        <v/>
      </c>
      <c r="X3306" s="64">
        <f t="shared" si="309"/>
        <v>0</v>
      </c>
      <c r="Y3306" s="53">
        <f t="shared" si="310"/>
        <v>0</v>
      </c>
      <c r="Z3306" s="64">
        <f t="shared" si="311"/>
        <v>0</v>
      </c>
    </row>
    <row r="3307" spans="1:26">
      <c r="A3307" s="89" t="str">
        <f t="shared" si="306"/>
        <v/>
      </c>
      <c r="B3307" s="89" t="str">
        <f t="shared" si="307"/>
        <v/>
      </c>
      <c r="S3307" s="89" t="str">
        <f t="shared" si="308"/>
        <v/>
      </c>
      <c r="X3307" s="64">
        <f t="shared" si="309"/>
        <v>0</v>
      </c>
      <c r="Y3307" s="53">
        <f t="shared" si="310"/>
        <v>0</v>
      </c>
      <c r="Z3307" s="64">
        <f t="shared" si="311"/>
        <v>0</v>
      </c>
    </row>
    <row r="3308" spans="1:26">
      <c r="A3308" s="89" t="str">
        <f t="shared" si="306"/>
        <v/>
      </c>
      <c r="B3308" s="89" t="str">
        <f t="shared" si="307"/>
        <v/>
      </c>
      <c r="S3308" s="89" t="str">
        <f t="shared" si="308"/>
        <v/>
      </c>
      <c r="X3308" s="64">
        <f t="shared" si="309"/>
        <v>0</v>
      </c>
      <c r="Y3308" s="53">
        <f t="shared" si="310"/>
        <v>0</v>
      </c>
      <c r="Z3308" s="64">
        <f t="shared" si="311"/>
        <v>0</v>
      </c>
    </row>
    <row r="3309" spans="1:26">
      <c r="A3309" s="89" t="str">
        <f t="shared" si="306"/>
        <v/>
      </c>
      <c r="B3309" s="89" t="str">
        <f t="shared" si="307"/>
        <v/>
      </c>
      <c r="S3309" s="89" t="str">
        <f t="shared" si="308"/>
        <v/>
      </c>
      <c r="X3309" s="64">
        <f t="shared" si="309"/>
        <v>0</v>
      </c>
      <c r="Y3309" s="53">
        <f t="shared" si="310"/>
        <v>0</v>
      </c>
      <c r="Z3309" s="64">
        <f t="shared" si="311"/>
        <v>0</v>
      </c>
    </row>
    <row r="3310" spans="1:26">
      <c r="A3310" s="89" t="str">
        <f t="shared" si="306"/>
        <v/>
      </c>
      <c r="B3310" s="89" t="str">
        <f t="shared" si="307"/>
        <v/>
      </c>
      <c r="S3310" s="89" t="str">
        <f t="shared" si="308"/>
        <v/>
      </c>
      <c r="X3310" s="64">
        <f t="shared" si="309"/>
        <v>0</v>
      </c>
      <c r="Y3310" s="53">
        <f t="shared" si="310"/>
        <v>0</v>
      </c>
      <c r="Z3310" s="64">
        <f t="shared" si="311"/>
        <v>0</v>
      </c>
    </row>
    <row r="3311" spans="1:26">
      <c r="A3311" s="89" t="str">
        <f t="shared" si="306"/>
        <v/>
      </c>
      <c r="B3311" s="89" t="str">
        <f t="shared" si="307"/>
        <v/>
      </c>
      <c r="S3311" s="89" t="str">
        <f t="shared" si="308"/>
        <v/>
      </c>
      <c r="X3311" s="64">
        <f t="shared" si="309"/>
        <v>0</v>
      </c>
      <c r="Y3311" s="53">
        <f t="shared" si="310"/>
        <v>0</v>
      </c>
      <c r="Z3311" s="64">
        <f t="shared" si="311"/>
        <v>0</v>
      </c>
    </row>
    <row r="3312" spans="1:26">
      <c r="A3312" s="89" t="str">
        <f t="shared" si="306"/>
        <v/>
      </c>
      <c r="B3312" s="89" t="str">
        <f t="shared" si="307"/>
        <v/>
      </c>
      <c r="S3312" s="89" t="str">
        <f t="shared" si="308"/>
        <v/>
      </c>
      <c r="X3312" s="64">
        <f t="shared" si="309"/>
        <v>0</v>
      </c>
      <c r="Y3312" s="53">
        <f t="shared" si="310"/>
        <v>0</v>
      </c>
      <c r="Z3312" s="64">
        <f t="shared" si="311"/>
        <v>0</v>
      </c>
    </row>
    <row r="3313" spans="1:26">
      <c r="A3313" s="89" t="str">
        <f t="shared" si="306"/>
        <v/>
      </c>
      <c r="B3313" s="89" t="str">
        <f t="shared" si="307"/>
        <v/>
      </c>
      <c r="S3313" s="89" t="str">
        <f t="shared" si="308"/>
        <v/>
      </c>
      <c r="X3313" s="64">
        <f t="shared" si="309"/>
        <v>0</v>
      </c>
      <c r="Y3313" s="53">
        <f t="shared" si="310"/>
        <v>0</v>
      </c>
      <c r="Z3313" s="64">
        <f t="shared" si="311"/>
        <v>0</v>
      </c>
    </row>
    <row r="3314" spans="1:26">
      <c r="A3314" s="89" t="str">
        <f t="shared" si="306"/>
        <v/>
      </c>
      <c r="B3314" s="89" t="str">
        <f t="shared" si="307"/>
        <v/>
      </c>
      <c r="S3314" s="89" t="str">
        <f t="shared" si="308"/>
        <v/>
      </c>
      <c r="X3314" s="64">
        <f t="shared" si="309"/>
        <v>0</v>
      </c>
      <c r="Y3314" s="53">
        <f t="shared" si="310"/>
        <v>0</v>
      </c>
      <c r="Z3314" s="64">
        <f t="shared" si="311"/>
        <v>0</v>
      </c>
    </row>
    <row r="3315" spans="1:26">
      <c r="A3315" s="89" t="str">
        <f t="shared" si="306"/>
        <v/>
      </c>
      <c r="B3315" s="89" t="str">
        <f t="shared" si="307"/>
        <v/>
      </c>
      <c r="S3315" s="89" t="str">
        <f t="shared" si="308"/>
        <v/>
      </c>
      <c r="X3315" s="64">
        <f t="shared" si="309"/>
        <v>0</v>
      </c>
      <c r="Y3315" s="53">
        <f t="shared" si="310"/>
        <v>0</v>
      </c>
      <c r="Z3315" s="64">
        <f t="shared" si="311"/>
        <v>0</v>
      </c>
    </row>
    <row r="3316" spans="1:26">
      <c r="A3316" s="89" t="str">
        <f t="shared" si="306"/>
        <v/>
      </c>
      <c r="B3316" s="89" t="str">
        <f t="shared" si="307"/>
        <v/>
      </c>
      <c r="S3316" s="89" t="str">
        <f t="shared" si="308"/>
        <v/>
      </c>
      <c r="X3316" s="64">
        <f t="shared" si="309"/>
        <v>0</v>
      </c>
      <c r="Y3316" s="53">
        <f t="shared" si="310"/>
        <v>0</v>
      </c>
      <c r="Z3316" s="64">
        <f t="shared" si="311"/>
        <v>0</v>
      </c>
    </row>
    <row r="3317" spans="1:26">
      <c r="A3317" s="89" t="str">
        <f t="shared" si="306"/>
        <v/>
      </c>
      <c r="B3317" s="89" t="str">
        <f t="shared" si="307"/>
        <v/>
      </c>
      <c r="S3317" s="89" t="str">
        <f t="shared" si="308"/>
        <v/>
      </c>
      <c r="X3317" s="64">
        <f t="shared" si="309"/>
        <v>0</v>
      </c>
      <c r="Y3317" s="53">
        <f t="shared" si="310"/>
        <v>0</v>
      </c>
      <c r="Z3317" s="64">
        <f t="shared" si="311"/>
        <v>0</v>
      </c>
    </row>
    <row r="3318" spans="1:26">
      <c r="A3318" s="89" t="str">
        <f t="shared" si="306"/>
        <v/>
      </c>
      <c r="B3318" s="89" t="str">
        <f t="shared" si="307"/>
        <v/>
      </c>
      <c r="S3318" s="89" t="str">
        <f t="shared" si="308"/>
        <v/>
      </c>
      <c r="X3318" s="64">
        <f t="shared" si="309"/>
        <v>0</v>
      </c>
      <c r="Y3318" s="53">
        <f t="shared" si="310"/>
        <v>0</v>
      </c>
      <c r="Z3318" s="64">
        <f t="shared" si="311"/>
        <v>0</v>
      </c>
    </row>
    <row r="3319" spans="1:26">
      <c r="A3319" s="89" t="str">
        <f t="shared" si="306"/>
        <v/>
      </c>
      <c r="B3319" s="89" t="str">
        <f t="shared" si="307"/>
        <v/>
      </c>
      <c r="S3319" s="89" t="str">
        <f t="shared" si="308"/>
        <v/>
      </c>
      <c r="X3319" s="64">
        <f t="shared" si="309"/>
        <v>0</v>
      </c>
      <c r="Y3319" s="53">
        <f t="shared" si="310"/>
        <v>0</v>
      </c>
      <c r="Z3319" s="64">
        <f t="shared" si="311"/>
        <v>0</v>
      </c>
    </row>
    <row r="3320" spans="1:26">
      <c r="A3320" s="89" t="str">
        <f t="shared" si="306"/>
        <v/>
      </c>
      <c r="B3320" s="89" t="str">
        <f t="shared" si="307"/>
        <v/>
      </c>
      <c r="S3320" s="89" t="str">
        <f t="shared" si="308"/>
        <v/>
      </c>
      <c r="X3320" s="64">
        <f t="shared" si="309"/>
        <v>0</v>
      </c>
      <c r="Y3320" s="53">
        <f t="shared" si="310"/>
        <v>0</v>
      </c>
      <c r="Z3320" s="64">
        <f t="shared" si="311"/>
        <v>0</v>
      </c>
    </row>
    <row r="3321" spans="1:26">
      <c r="A3321" s="89" t="str">
        <f t="shared" si="306"/>
        <v/>
      </c>
      <c r="B3321" s="89" t="str">
        <f t="shared" si="307"/>
        <v/>
      </c>
      <c r="S3321" s="89" t="str">
        <f t="shared" si="308"/>
        <v/>
      </c>
      <c r="X3321" s="64">
        <f t="shared" si="309"/>
        <v>0</v>
      </c>
      <c r="Y3321" s="53">
        <f t="shared" si="310"/>
        <v>0</v>
      </c>
      <c r="Z3321" s="64">
        <f t="shared" si="311"/>
        <v>0</v>
      </c>
    </row>
    <row r="3322" spans="1:26">
      <c r="A3322" s="89" t="str">
        <f t="shared" si="306"/>
        <v/>
      </c>
      <c r="B3322" s="89" t="str">
        <f t="shared" si="307"/>
        <v/>
      </c>
      <c r="S3322" s="89" t="str">
        <f t="shared" si="308"/>
        <v/>
      </c>
      <c r="X3322" s="64">
        <f t="shared" si="309"/>
        <v>0</v>
      </c>
      <c r="Y3322" s="53">
        <f t="shared" si="310"/>
        <v>0</v>
      </c>
      <c r="Z3322" s="64">
        <f t="shared" si="311"/>
        <v>0</v>
      </c>
    </row>
    <row r="3323" spans="1:26">
      <c r="A3323" s="89" t="str">
        <f t="shared" si="306"/>
        <v/>
      </c>
      <c r="B3323" s="89" t="str">
        <f t="shared" si="307"/>
        <v/>
      </c>
      <c r="S3323" s="89" t="str">
        <f t="shared" si="308"/>
        <v/>
      </c>
      <c r="X3323" s="64">
        <f t="shared" si="309"/>
        <v>0</v>
      </c>
      <c r="Y3323" s="53">
        <f t="shared" si="310"/>
        <v>0</v>
      </c>
      <c r="Z3323" s="64">
        <f t="shared" si="311"/>
        <v>0</v>
      </c>
    </row>
    <row r="3324" spans="1:26">
      <c r="A3324" s="89" t="str">
        <f t="shared" si="306"/>
        <v/>
      </c>
      <c r="B3324" s="89" t="str">
        <f t="shared" si="307"/>
        <v/>
      </c>
      <c r="S3324" s="89" t="str">
        <f t="shared" si="308"/>
        <v/>
      </c>
      <c r="X3324" s="64">
        <f t="shared" si="309"/>
        <v>0</v>
      </c>
      <c r="Y3324" s="53">
        <f t="shared" si="310"/>
        <v>0</v>
      </c>
      <c r="Z3324" s="64">
        <f t="shared" si="311"/>
        <v>0</v>
      </c>
    </row>
    <row r="3325" spans="1:26">
      <c r="A3325" s="89" t="str">
        <f t="shared" si="306"/>
        <v/>
      </c>
      <c r="B3325" s="89" t="str">
        <f t="shared" si="307"/>
        <v/>
      </c>
      <c r="S3325" s="89" t="str">
        <f t="shared" si="308"/>
        <v/>
      </c>
      <c r="X3325" s="64">
        <f t="shared" si="309"/>
        <v>0</v>
      </c>
      <c r="Y3325" s="53">
        <f t="shared" si="310"/>
        <v>0</v>
      </c>
      <c r="Z3325" s="64">
        <f t="shared" si="311"/>
        <v>0</v>
      </c>
    </row>
    <row r="3326" spans="1:26">
      <c r="A3326" s="89" t="str">
        <f t="shared" si="306"/>
        <v/>
      </c>
      <c r="B3326" s="89" t="str">
        <f t="shared" si="307"/>
        <v/>
      </c>
      <c r="S3326" s="89" t="str">
        <f t="shared" si="308"/>
        <v/>
      </c>
      <c r="X3326" s="64">
        <f t="shared" si="309"/>
        <v>0</v>
      </c>
      <c r="Y3326" s="53">
        <f t="shared" si="310"/>
        <v>0</v>
      </c>
      <c r="Z3326" s="64">
        <f t="shared" si="311"/>
        <v>0</v>
      </c>
    </row>
    <row r="3327" spans="1:26">
      <c r="A3327" s="89" t="str">
        <f t="shared" si="306"/>
        <v/>
      </c>
      <c r="B3327" s="89" t="str">
        <f t="shared" si="307"/>
        <v/>
      </c>
      <c r="S3327" s="89" t="str">
        <f t="shared" si="308"/>
        <v/>
      </c>
      <c r="X3327" s="64">
        <f t="shared" si="309"/>
        <v>0</v>
      </c>
      <c r="Y3327" s="53">
        <f t="shared" si="310"/>
        <v>0</v>
      </c>
      <c r="Z3327" s="64">
        <f t="shared" si="311"/>
        <v>0</v>
      </c>
    </row>
    <row r="3328" spans="1:26">
      <c r="A3328" s="89" t="str">
        <f t="shared" si="306"/>
        <v/>
      </c>
      <c r="B3328" s="89" t="str">
        <f t="shared" si="307"/>
        <v/>
      </c>
      <c r="S3328" s="89" t="str">
        <f t="shared" si="308"/>
        <v/>
      </c>
      <c r="X3328" s="64">
        <f t="shared" si="309"/>
        <v>0</v>
      </c>
      <c r="Y3328" s="53">
        <f t="shared" si="310"/>
        <v>0</v>
      </c>
      <c r="Z3328" s="64">
        <f t="shared" si="311"/>
        <v>0</v>
      </c>
    </row>
    <row r="3329" spans="1:26">
      <c r="A3329" s="89" t="str">
        <f t="shared" si="306"/>
        <v/>
      </c>
      <c r="B3329" s="89" t="str">
        <f t="shared" si="307"/>
        <v/>
      </c>
      <c r="S3329" s="89" t="str">
        <f t="shared" si="308"/>
        <v/>
      </c>
      <c r="X3329" s="64">
        <f t="shared" si="309"/>
        <v>0</v>
      </c>
      <c r="Y3329" s="53">
        <f t="shared" si="310"/>
        <v>0</v>
      </c>
      <c r="Z3329" s="64">
        <f t="shared" si="311"/>
        <v>0</v>
      </c>
    </row>
    <row r="3330" spans="1:26">
      <c r="A3330" s="89" t="str">
        <f t="shared" si="306"/>
        <v/>
      </c>
      <c r="B3330" s="89" t="str">
        <f t="shared" si="307"/>
        <v/>
      </c>
      <c r="S3330" s="89" t="str">
        <f t="shared" si="308"/>
        <v/>
      </c>
      <c r="X3330" s="64">
        <f t="shared" si="309"/>
        <v>0</v>
      </c>
      <c r="Y3330" s="53">
        <f t="shared" si="310"/>
        <v>0</v>
      </c>
      <c r="Z3330" s="64">
        <f t="shared" si="311"/>
        <v>0</v>
      </c>
    </row>
    <row r="3331" spans="1:26">
      <c r="A3331" s="89" t="str">
        <f t="shared" ref="A3331:A3394" si="312">IF(G3331&amp;Q3331&lt;&gt;"",G3331&amp;Q3331,"")</f>
        <v/>
      </c>
      <c r="B3331" s="89" t="str">
        <f t="shared" ref="B3331:B3394" si="313">IF(C3331&lt;&gt;"",LEFT(C3331,9),"")</f>
        <v/>
      </c>
      <c r="S3331" s="89" t="str">
        <f t="shared" ref="S3331:S3394" si="314">IF(H3331&lt;&gt;"",H3331,"")</f>
        <v/>
      </c>
      <c r="X3331" s="64">
        <f t="shared" ref="X3331:X3394" si="315">IFERROR(VALUE(MID($C3331,1,2)),0)</f>
        <v>0</v>
      </c>
      <c r="Y3331" s="53">
        <f t="shared" ref="Y3331:Y3394" si="316">IFERROR(VALUE(MID($C3331,4,3)),0)</f>
        <v>0</v>
      </c>
      <c r="Z3331" s="64">
        <f t="shared" ref="Z3331:Z3394" si="317">VALUE(RIGHT("00"&amp;X3331,2)&amp;RIGHT("000"&amp;Y3331,3))</f>
        <v>0</v>
      </c>
    </row>
    <row r="3332" spans="1:26">
      <c r="A3332" s="89" t="str">
        <f t="shared" si="312"/>
        <v/>
      </c>
      <c r="B3332" s="89" t="str">
        <f t="shared" si="313"/>
        <v/>
      </c>
      <c r="S3332" s="89" t="str">
        <f t="shared" si="314"/>
        <v/>
      </c>
      <c r="X3332" s="64">
        <f t="shared" si="315"/>
        <v>0</v>
      </c>
      <c r="Y3332" s="53">
        <f t="shared" si="316"/>
        <v>0</v>
      </c>
      <c r="Z3332" s="64">
        <f t="shared" si="317"/>
        <v>0</v>
      </c>
    </row>
    <row r="3333" spans="1:26">
      <c r="A3333" s="89" t="str">
        <f t="shared" si="312"/>
        <v/>
      </c>
      <c r="B3333" s="89" t="str">
        <f t="shared" si="313"/>
        <v/>
      </c>
      <c r="S3333" s="89" t="str">
        <f t="shared" si="314"/>
        <v/>
      </c>
      <c r="X3333" s="64">
        <f t="shared" si="315"/>
        <v>0</v>
      </c>
      <c r="Y3333" s="53">
        <f t="shared" si="316"/>
        <v>0</v>
      </c>
      <c r="Z3333" s="64">
        <f t="shared" si="317"/>
        <v>0</v>
      </c>
    </row>
    <row r="3334" spans="1:26">
      <c r="A3334" s="89" t="str">
        <f t="shared" si="312"/>
        <v/>
      </c>
      <c r="B3334" s="89" t="str">
        <f t="shared" si="313"/>
        <v/>
      </c>
      <c r="S3334" s="89" t="str">
        <f t="shared" si="314"/>
        <v/>
      </c>
      <c r="X3334" s="64">
        <f t="shared" si="315"/>
        <v>0</v>
      </c>
      <c r="Y3334" s="53">
        <f t="shared" si="316"/>
        <v>0</v>
      </c>
      <c r="Z3334" s="64">
        <f t="shared" si="317"/>
        <v>0</v>
      </c>
    </row>
    <row r="3335" spans="1:26">
      <c r="A3335" s="89" t="str">
        <f t="shared" si="312"/>
        <v/>
      </c>
      <c r="B3335" s="89" t="str">
        <f t="shared" si="313"/>
        <v/>
      </c>
      <c r="S3335" s="89" t="str">
        <f t="shared" si="314"/>
        <v/>
      </c>
      <c r="X3335" s="64">
        <f t="shared" si="315"/>
        <v>0</v>
      </c>
      <c r="Y3335" s="53">
        <f t="shared" si="316"/>
        <v>0</v>
      </c>
      <c r="Z3335" s="64">
        <f t="shared" si="317"/>
        <v>0</v>
      </c>
    </row>
    <row r="3336" spans="1:26">
      <c r="A3336" s="89" t="str">
        <f t="shared" si="312"/>
        <v/>
      </c>
      <c r="B3336" s="89" t="str">
        <f t="shared" si="313"/>
        <v/>
      </c>
      <c r="S3336" s="89" t="str">
        <f t="shared" si="314"/>
        <v/>
      </c>
      <c r="X3336" s="64">
        <f t="shared" si="315"/>
        <v>0</v>
      </c>
      <c r="Y3336" s="53">
        <f t="shared" si="316"/>
        <v>0</v>
      </c>
      <c r="Z3336" s="64">
        <f t="shared" si="317"/>
        <v>0</v>
      </c>
    </row>
    <row r="3337" spans="1:26">
      <c r="A3337" s="89" t="str">
        <f t="shared" si="312"/>
        <v/>
      </c>
      <c r="B3337" s="89" t="str">
        <f t="shared" si="313"/>
        <v/>
      </c>
      <c r="S3337" s="89" t="str">
        <f t="shared" si="314"/>
        <v/>
      </c>
      <c r="X3337" s="64">
        <f t="shared" si="315"/>
        <v>0</v>
      </c>
      <c r="Y3337" s="53">
        <f t="shared" si="316"/>
        <v>0</v>
      </c>
      <c r="Z3337" s="64">
        <f t="shared" si="317"/>
        <v>0</v>
      </c>
    </row>
    <row r="3338" spans="1:26">
      <c r="A3338" s="89" t="str">
        <f t="shared" si="312"/>
        <v/>
      </c>
      <c r="B3338" s="89" t="str">
        <f t="shared" si="313"/>
        <v/>
      </c>
      <c r="S3338" s="89" t="str">
        <f t="shared" si="314"/>
        <v/>
      </c>
      <c r="X3338" s="64">
        <f t="shared" si="315"/>
        <v>0</v>
      </c>
      <c r="Y3338" s="53">
        <f t="shared" si="316"/>
        <v>0</v>
      </c>
      <c r="Z3338" s="64">
        <f t="shared" si="317"/>
        <v>0</v>
      </c>
    </row>
    <row r="3339" spans="1:26">
      <c r="A3339" s="89" t="str">
        <f t="shared" si="312"/>
        <v/>
      </c>
      <c r="B3339" s="89" t="str">
        <f t="shared" si="313"/>
        <v/>
      </c>
      <c r="S3339" s="89" t="str">
        <f t="shared" si="314"/>
        <v/>
      </c>
      <c r="X3339" s="64">
        <f t="shared" si="315"/>
        <v>0</v>
      </c>
      <c r="Y3339" s="53">
        <f t="shared" si="316"/>
        <v>0</v>
      </c>
      <c r="Z3339" s="64">
        <f t="shared" si="317"/>
        <v>0</v>
      </c>
    </row>
    <row r="3340" spans="1:26">
      <c r="A3340" s="89" t="str">
        <f t="shared" si="312"/>
        <v/>
      </c>
      <c r="B3340" s="89" t="str">
        <f t="shared" si="313"/>
        <v/>
      </c>
      <c r="S3340" s="89" t="str">
        <f t="shared" si="314"/>
        <v/>
      </c>
      <c r="X3340" s="64">
        <f t="shared" si="315"/>
        <v>0</v>
      </c>
      <c r="Y3340" s="53">
        <f t="shared" si="316"/>
        <v>0</v>
      </c>
      <c r="Z3340" s="64">
        <f t="shared" si="317"/>
        <v>0</v>
      </c>
    </row>
    <row r="3341" spans="1:26">
      <c r="A3341" s="89" t="str">
        <f t="shared" si="312"/>
        <v/>
      </c>
      <c r="B3341" s="89" t="str">
        <f t="shared" si="313"/>
        <v/>
      </c>
      <c r="S3341" s="89" t="str">
        <f t="shared" si="314"/>
        <v/>
      </c>
      <c r="X3341" s="64">
        <f t="shared" si="315"/>
        <v>0</v>
      </c>
      <c r="Y3341" s="53">
        <f t="shared" si="316"/>
        <v>0</v>
      </c>
      <c r="Z3341" s="64">
        <f t="shared" si="317"/>
        <v>0</v>
      </c>
    </row>
    <row r="3342" spans="1:26">
      <c r="A3342" s="89" t="str">
        <f t="shared" si="312"/>
        <v/>
      </c>
      <c r="B3342" s="89" t="str">
        <f t="shared" si="313"/>
        <v/>
      </c>
      <c r="S3342" s="89" t="str">
        <f t="shared" si="314"/>
        <v/>
      </c>
      <c r="X3342" s="64">
        <f t="shared" si="315"/>
        <v>0</v>
      </c>
      <c r="Y3342" s="53">
        <f t="shared" si="316"/>
        <v>0</v>
      </c>
      <c r="Z3342" s="64">
        <f t="shared" si="317"/>
        <v>0</v>
      </c>
    </row>
    <row r="3343" spans="1:26">
      <c r="A3343" s="89" t="str">
        <f t="shared" si="312"/>
        <v/>
      </c>
      <c r="B3343" s="89" t="str">
        <f t="shared" si="313"/>
        <v/>
      </c>
      <c r="S3343" s="89" t="str">
        <f t="shared" si="314"/>
        <v/>
      </c>
      <c r="X3343" s="64">
        <f t="shared" si="315"/>
        <v>0</v>
      </c>
      <c r="Y3343" s="53">
        <f t="shared" si="316"/>
        <v>0</v>
      </c>
      <c r="Z3343" s="64">
        <f t="shared" si="317"/>
        <v>0</v>
      </c>
    </row>
    <row r="3344" spans="1:26">
      <c r="A3344" s="89" t="str">
        <f t="shared" si="312"/>
        <v/>
      </c>
      <c r="B3344" s="89" t="str">
        <f t="shared" si="313"/>
        <v/>
      </c>
      <c r="S3344" s="89" t="str">
        <f t="shared" si="314"/>
        <v/>
      </c>
      <c r="X3344" s="64">
        <f t="shared" si="315"/>
        <v>0</v>
      </c>
      <c r="Y3344" s="53">
        <f t="shared" si="316"/>
        <v>0</v>
      </c>
      <c r="Z3344" s="64">
        <f t="shared" si="317"/>
        <v>0</v>
      </c>
    </row>
    <row r="3345" spans="1:26">
      <c r="A3345" s="89" t="str">
        <f t="shared" si="312"/>
        <v/>
      </c>
      <c r="B3345" s="89" t="str">
        <f t="shared" si="313"/>
        <v/>
      </c>
      <c r="S3345" s="89" t="str">
        <f t="shared" si="314"/>
        <v/>
      </c>
      <c r="X3345" s="64">
        <f t="shared" si="315"/>
        <v>0</v>
      </c>
      <c r="Y3345" s="53">
        <f t="shared" si="316"/>
        <v>0</v>
      </c>
      <c r="Z3345" s="64">
        <f t="shared" si="317"/>
        <v>0</v>
      </c>
    </row>
    <row r="3346" spans="1:26">
      <c r="A3346" s="89" t="str">
        <f t="shared" si="312"/>
        <v/>
      </c>
      <c r="B3346" s="89" t="str">
        <f t="shared" si="313"/>
        <v/>
      </c>
      <c r="S3346" s="89" t="str">
        <f t="shared" si="314"/>
        <v/>
      </c>
      <c r="X3346" s="64">
        <f t="shared" si="315"/>
        <v>0</v>
      </c>
      <c r="Y3346" s="53">
        <f t="shared" si="316"/>
        <v>0</v>
      </c>
      <c r="Z3346" s="64">
        <f t="shared" si="317"/>
        <v>0</v>
      </c>
    </row>
    <row r="3347" spans="1:26">
      <c r="A3347" s="89" t="str">
        <f t="shared" si="312"/>
        <v/>
      </c>
      <c r="B3347" s="89" t="str">
        <f t="shared" si="313"/>
        <v/>
      </c>
      <c r="S3347" s="89" t="str">
        <f t="shared" si="314"/>
        <v/>
      </c>
      <c r="X3347" s="64">
        <f t="shared" si="315"/>
        <v>0</v>
      </c>
      <c r="Y3347" s="53">
        <f t="shared" si="316"/>
        <v>0</v>
      </c>
      <c r="Z3347" s="64">
        <f t="shared" si="317"/>
        <v>0</v>
      </c>
    </row>
    <row r="3348" spans="1:26">
      <c r="A3348" s="89" t="str">
        <f t="shared" si="312"/>
        <v/>
      </c>
      <c r="B3348" s="89" t="str">
        <f t="shared" si="313"/>
        <v/>
      </c>
      <c r="S3348" s="89" t="str">
        <f t="shared" si="314"/>
        <v/>
      </c>
      <c r="X3348" s="64">
        <f t="shared" si="315"/>
        <v>0</v>
      </c>
      <c r="Y3348" s="53">
        <f t="shared" si="316"/>
        <v>0</v>
      </c>
      <c r="Z3348" s="64">
        <f t="shared" si="317"/>
        <v>0</v>
      </c>
    </row>
    <row r="3349" spans="1:26">
      <c r="A3349" s="89" t="str">
        <f t="shared" si="312"/>
        <v/>
      </c>
      <c r="B3349" s="89" t="str">
        <f t="shared" si="313"/>
        <v/>
      </c>
      <c r="S3349" s="89" t="str">
        <f t="shared" si="314"/>
        <v/>
      </c>
      <c r="X3349" s="64">
        <f t="shared" si="315"/>
        <v>0</v>
      </c>
      <c r="Y3349" s="53">
        <f t="shared" si="316"/>
        <v>0</v>
      </c>
      <c r="Z3349" s="64">
        <f t="shared" si="317"/>
        <v>0</v>
      </c>
    </row>
    <row r="3350" spans="1:26">
      <c r="A3350" s="89" t="str">
        <f t="shared" si="312"/>
        <v/>
      </c>
      <c r="B3350" s="89" t="str">
        <f t="shared" si="313"/>
        <v/>
      </c>
      <c r="S3350" s="89" t="str">
        <f t="shared" si="314"/>
        <v/>
      </c>
      <c r="X3350" s="64">
        <f t="shared" si="315"/>
        <v>0</v>
      </c>
      <c r="Y3350" s="53">
        <f t="shared" si="316"/>
        <v>0</v>
      </c>
      <c r="Z3350" s="64">
        <f t="shared" si="317"/>
        <v>0</v>
      </c>
    </row>
    <row r="3351" spans="1:26">
      <c r="A3351" s="89" t="str">
        <f t="shared" si="312"/>
        <v/>
      </c>
      <c r="B3351" s="89" t="str">
        <f t="shared" si="313"/>
        <v/>
      </c>
      <c r="S3351" s="89" t="str">
        <f t="shared" si="314"/>
        <v/>
      </c>
      <c r="X3351" s="64">
        <f t="shared" si="315"/>
        <v>0</v>
      </c>
      <c r="Y3351" s="53">
        <f t="shared" si="316"/>
        <v>0</v>
      </c>
      <c r="Z3351" s="64">
        <f t="shared" si="317"/>
        <v>0</v>
      </c>
    </row>
    <row r="3352" spans="1:26">
      <c r="A3352" s="89" t="str">
        <f t="shared" si="312"/>
        <v/>
      </c>
      <c r="B3352" s="89" t="str">
        <f t="shared" si="313"/>
        <v/>
      </c>
      <c r="S3352" s="89" t="str">
        <f t="shared" si="314"/>
        <v/>
      </c>
      <c r="X3352" s="64">
        <f t="shared" si="315"/>
        <v>0</v>
      </c>
      <c r="Y3352" s="53">
        <f t="shared" si="316"/>
        <v>0</v>
      </c>
      <c r="Z3352" s="64">
        <f t="shared" si="317"/>
        <v>0</v>
      </c>
    </row>
    <row r="3353" spans="1:26">
      <c r="A3353" s="89" t="str">
        <f t="shared" si="312"/>
        <v/>
      </c>
      <c r="B3353" s="89" t="str">
        <f t="shared" si="313"/>
        <v/>
      </c>
      <c r="S3353" s="89" t="str">
        <f t="shared" si="314"/>
        <v/>
      </c>
      <c r="X3353" s="64">
        <f t="shared" si="315"/>
        <v>0</v>
      </c>
      <c r="Y3353" s="53">
        <f t="shared" si="316"/>
        <v>0</v>
      </c>
      <c r="Z3353" s="64">
        <f t="shared" si="317"/>
        <v>0</v>
      </c>
    </row>
    <row r="3354" spans="1:26">
      <c r="A3354" s="89" t="str">
        <f t="shared" si="312"/>
        <v/>
      </c>
      <c r="B3354" s="89" t="str">
        <f t="shared" si="313"/>
        <v/>
      </c>
      <c r="S3354" s="89" t="str">
        <f t="shared" si="314"/>
        <v/>
      </c>
      <c r="X3354" s="64">
        <f t="shared" si="315"/>
        <v>0</v>
      </c>
      <c r="Y3354" s="53">
        <f t="shared" si="316"/>
        <v>0</v>
      </c>
      <c r="Z3354" s="64">
        <f t="shared" si="317"/>
        <v>0</v>
      </c>
    </row>
    <row r="3355" spans="1:26">
      <c r="A3355" s="89" t="str">
        <f t="shared" si="312"/>
        <v/>
      </c>
      <c r="B3355" s="89" t="str">
        <f t="shared" si="313"/>
        <v/>
      </c>
      <c r="S3355" s="89" t="str">
        <f t="shared" si="314"/>
        <v/>
      </c>
      <c r="X3355" s="64">
        <f t="shared" si="315"/>
        <v>0</v>
      </c>
      <c r="Y3355" s="53">
        <f t="shared" si="316"/>
        <v>0</v>
      </c>
      <c r="Z3355" s="64">
        <f t="shared" si="317"/>
        <v>0</v>
      </c>
    </row>
    <row r="3356" spans="1:26">
      <c r="A3356" s="89" t="str">
        <f t="shared" si="312"/>
        <v/>
      </c>
      <c r="B3356" s="89" t="str">
        <f t="shared" si="313"/>
        <v/>
      </c>
      <c r="S3356" s="89" t="str">
        <f t="shared" si="314"/>
        <v/>
      </c>
      <c r="X3356" s="64">
        <f t="shared" si="315"/>
        <v>0</v>
      </c>
      <c r="Y3356" s="53">
        <f t="shared" si="316"/>
        <v>0</v>
      </c>
      <c r="Z3356" s="64">
        <f t="shared" si="317"/>
        <v>0</v>
      </c>
    </row>
    <row r="3357" spans="1:26">
      <c r="A3357" s="89" t="str">
        <f t="shared" si="312"/>
        <v/>
      </c>
      <c r="B3357" s="89" t="str">
        <f t="shared" si="313"/>
        <v/>
      </c>
      <c r="S3357" s="89" t="str">
        <f t="shared" si="314"/>
        <v/>
      </c>
      <c r="X3357" s="64">
        <f t="shared" si="315"/>
        <v>0</v>
      </c>
      <c r="Y3357" s="53">
        <f t="shared" si="316"/>
        <v>0</v>
      </c>
      <c r="Z3357" s="64">
        <f t="shared" si="317"/>
        <v>0</v>
      </c>
    </row>
    <row r="3358" spans="1:26">
      <c r="A3358" s="89" t="str">
        <f t="shared" si="312"/>
        <v/>
      </c>
      <c r="B3358" s="89" t="str">
        <f t="shared" si="313"/>
        <v/>
      </c>
      <c r="S3358" s="89" t="str">
        <f t="shared" si="314"/>
        <v/>
      </c>
      <c r="X3358" s="64">
        <f t="shared" si="315"/>
        <v>0</v>
      </c>
      <c r="Y3358" s="53">
        <f t="shared" si="316"/>
        <v>0</v>
      </c>
      <c r="Z3358" s="64">
        <f t="shared" si="317"/>
        <v>0</v>
      </c>
    </row>
    <row r="3359" spans="1:26">
      <c r="A3359" s="89" t="str">
        <f t="shared" si="312"/>
        <v/>
      </c>
      <c r="B3359" s="89" t="str">
        <f t="shared" si="313"/>
        <v/>
      </c>
      <c r="S3359" s="89" t="str">
        <f t="shared" si="314"/>
        <v/>
      </c>
      <c r="X3359" s="64">
        <f t="shared" si="315"/>
        <v>0</v>
      </c>
      <c r="Y3359" s="53">
        <f t="shared" si="316"/>
        <v>0</v>
      </c>
      <c r="Z3359" s="64">
        <f t="shared" si="317"/>
        <v>0</v>
      </c>
    </row>
    <row r="3360" spans="1:26">
      <c r="A3360" s="89" t="str">
        <f t="shared" si="312"/>
        <v/>
      </c>
      <c r="B3360" s="89" t="str">
        <f t="shared" si="313"/>
        <v/>
      </c>
      <c r="S3360" s="89" t="str">
        <f t="shared" si="314"/>
        <v/>
      </c>
      <c r="X3360" s="64">
        <f t="shared" si="315"/>
        <v>0</v>
      </c>
      <c r="Y3360" s="53">
        <f t="shared" si="316"/>
        <v>0</v>
      </c>
      <c r="Z3360" s="64">
        <f t="shared" si="317"/>
        <v>0</v>
      </c>
    </row>
    <row r="3361" spans="1:26">
      <c r="A3361" s="89" t="str">
        <f t="shared" si="312"/>
        <v/>
      </c>
      <c r="B3361" s="89" t="str">
        <f t="shared" si="313"/>
        <v/>
      </c>
      <c r="S3361" s="89" t="str">
        <f t="shared" si="314"/>
        <v/>
      </c>
      <c r="X3361" s="64">
        <f t="shared" si="315"/>
        <v>0</v>
      </c>
      <c r="Y3361" s="53">
        <f t="shared" si="316"/>
        <v>0</v>
      </c>
      <c r="Z3361" s="64">
        <f t="shared" si="317"/>
        <v>0</v>
      </c>
    </row>
    <row r="3362" spans="1:26">
      <c r="A3362" s="89" t="str">
        <f t="shared" si="312"/>
        <v/>
      </c>
      <c r="B3362" s="89" t="str">
        <f t="shared" si="313"/>
        <v/>
      </c>
      <c r="S3362" s="89" t="str">
        <f t="shared" si="314"/>
        <v/>
      </c>
      <c r="X3362" s="64">
        <f t="shared" si="315"/>
        <v>0</v>
      </c>
      <c r="Y3362" s="53">
        <f t="shared" si="316"/>
        <v>0</v>
      </c>
      <c r="Z3362" s="64">
        <f t="shared" si="317"/>
        <v>0</v>
      </c>
    </row>
    <row r="3363" spans="1:26">
      <c r="A3363" s="89" t="str">
        <f t="shared" si="312"/>
        <v/>
      </c>
      <c r="B3363" s="89" t="str">
        <f t="shared" si="313"/>
        <v/>
      </c>
      <c r="S3363" s="89" t="str">
        <f t="shared" si="314"/>
        <v/>
      </c>
      <c r="X3363" s="64">
        <f t="shared" si="315"/>
        <v>0</v>
      </c>
      <c r="Y3363" s="53">
        <f t="shared" si="316"/>
        <v>0</v>
      </c>
      <c r="Z3363" s="64">
        <f t="shared" si="317"/>
        <v>0</v>
      </c>
    </row>
    <row r="3364" spans="1:26">
      <c r="A3364" s="89" t="str">
        <f t="shared" si="312"/>
        <v/>
      </c>
      <c r="B3364" s="89" t="str">
        <f t="shared" si="313"/>
        <v/>
      </c>
      <c r="S3364" s="89" t="str">
        <f t="shared" si="314"/>
        <v/>
      </c>
      <c r="X3364" s="64">
        <f t="shared" si="315"/>
        <v>0</v>
      </c>
      <c r="Y3364" s="53">
        <f t="shared" si="316"/>
        <v>0</v>
      </c>
      <c r="Z3364" s="64">
        <f t="shared" si="317"/>
        <v>0</v>
      </c>
    </row>
    <row r="3365" spans="1:26">
      <c r="A3365" s="89" t="str">
        <f t="shared" si="312"/>
        <v/>
      </c>
      <c r="B3365" s="89" t="str">
        <f t="shared" si="313"/>
        <v/>
      </c>
      <c r="S3365" s="89" t="str">
        <f t="shared" si="314"/>
        <v/>
      </c>
      <c r="X3365" s="64">
        <f t="shared" si="315"/>
        <v>0</v>
      </c>
      <c r="Y3365" s="53">
        <f t="shared" si="316"/>
        <v>0</v>
      </c>
      <c r="Z3365" s="64">
        <f t="shared" si="317"/>
        <v>0</v>
      </c>
    </row>
    <row r="3366" spans="1:26">
      <c r="A3366" s="89" t="str">
        <f t="shared" si="312"/>
        <v/>
      </c>
      <c r="B3366" s="89" t="str">
        <f t="shared" si="313"/>
        <v/>
      </c>
      <c r="S3366" s="89" t="str">
        <f t="shared" si="314"/>
        <v/>
      </c>
      <c r="X3366" s="64">
        <f t="shared" si="315"/>
        <v>0</v>
      </c>
      <c r="Y3366" s="53">
        <f t="shared" si="316"/>
        <v>0</v>
      </c>
      <c r="Z3366" s="64">
        <f t="shared" si="317"/>
        <v>0</v>
      </c>
    </row>
    <row r="3367" spans="1:26">
      <c r="A3367" s="89" t="str">
        <f t="shared" si="312"/>
        <v/>
      </c>
      <c r="B3367" s="89" t="str">
        <f t="shared" si="313"/>
        <v/>
      </c>
      <c r="S3367" s="89" t="str">
        <f t="shared" si="314"/>
        <v/>
      </c>
      <c r="X3367" s="64">
        <f t="shared" si="315"/>
        <v>0</v>
      </c>
      <c r="Y3367" s="53">
        <f t="shared" si="316"/>
        <v>0</v>
      </c>
      <c r="Z3367" s="64">
        <f t="shared" si="317"/>
        <v>0</v>
      </c>
    </row>
    <row r="3368" spans="1:26">
      <c r="A3368" s="89" t="str">
        <f t="shared" si="312"/>
        <v/>
      </c>
      <c r="B3368" s="89" t="str">
        <f t="shared" si="313"/>
        <v/>
      </c>
      <c r="S3368" s="89" t="str">
        <f t="shared" si="314"/>
        <v/>
      </c>
      <c r="X3368" s="64">
        <f t="shared" si="315"/>
        <v>0</v>
      </c>
      <c r="Y3368" s="53">
        <f t="shared" si="316"/>
        <v>0</v>
      </c>
      <c r="Z3368" s="64">
        <f t="shared" si="317"/>
        <v>0</v>
      </c>
    </row>
    <row r="3369" spans="1:26">
      <c r="A3369" s="89" t="str">
        <f t="shared" si="312"/>
        <v/>
      </c>
      <c r="B3369" s="89" t="str">
        <f t="shared" si="313"/>
        <v/>
      </c>
      <c r="S3369" s="89" t="str">
        <f t="shared" si="314"/>
        <v/>
      </c>
      <c r="X3369" s="64">
        <f t="shared" si="315"/>
        <v>0</v>
      </c>
      <c r="Y3369" s="53">
        <f t="shared" si="316"/>
        <v>0</v>
      </c>
      <c r="Z3369" s="64">
        <f t="shared" si="317"/>
        <v>0</v>
      </c>
    </row>
    <row r="3370" spans="1:26">
      <c r="A3370" s="89" t="str">
        <f t="shared" si="312"/>
        <v/>
      </c>
      <c r="B3370" s="89" t="str">
        <f t="shared" si="313"/>
        <v/>
      </c>
      <c r="S3370" s="89" t="str">
        <f t="shared" si="314"/>
        <v/>
      </c>
      <c r="X3370" s="64">
        <f t="shared" si="315"/>
        <v>0</v>
      </c>
      <c r="Y3370" s="53">
        <f t="shared" si="316"/>
        <v>0</v>
      </c>
      <c r="Z3370" s="64">
        <f t="shared" si="317"/>
        <v>0</v>
      </c>
    </row>
    <row r="3371" spans="1:26">
      <c r="A3371" s="89" t="str">
        <f t="shared" si="312"/>
        <v/>
      </c>
      <c r="B3371" s="89" t="str">
        <f t="shared" si="313"/>
        <v/>
      </c>
      <c r="S3371" s="89" t="str">
        <f t="shared" si="314"/>
        <v/>
      </c>
      <c r="X3371" s="64">
        <f t="shared" si="315"/>
        <v>0</v>
      </c>
      <c r="Y3371" s="53">
        <f t="shared" si="316"/>
        <v>0</v>
      </c>
      <c r="Z3371" s="64">
        <f t="shared" si="317"/>
        <v>0</v>
      </c>
    </row>
    <row r="3372" spans="1:26">
      <c r="A3372" s="89" t="str">
        <f t="shared" si="312"/>
        <v/>
      </c>
      <c r="B3372" s="89" t="str">
        <f t="shared" si="313"/>
        <v/>
      </c>
      <c r="S3372" s="89" t="str">
        <f t="shared" si="314"/>
        <v/>
      </c>
      <c r="X3372" s="64">
        <f t="shared" si="315"/>
        <v>0</v>
      </c>
      <c r="Y3372" s="53">
        <f t="shared" si="316"/>
        <v>0</v>
      </c>
      <c r="Z3372" s="64">
        <f t="shared" si="317"/>
        <v>0</v>
      </c>
    </row>
    <row r="3373" spans="1:26">
      <c r="A3373" s="89" t="str">
        <f t="shared" si="312"/>
        <v/>
      </c>
      <c r="B3373" s="89" t="str">
        <f t="shared" si="313"/>
        <v/>
      </c>
      <c r="S3373" s="89" t="str">
        <f t="shared" si="314"/>
        <v/>
      </c>
      <c r="X3373" s="64">
        <f t="shared" si="315"/>
        <v>0</v>
      </c>
      <c r="Y3373" s="53">
        <f t="shared" si="316"/>
        <v>0</v>
      </c>
      <c r="Z3373" s="64">
        <f t="shared" si="317"/>
        <v>0</v>
      </c>
    </row>
    <row r="3374" spans="1:26">
      <c r="A3374" s="89" t="str">
        <f t="shared" si="312"/>
        <v/>
      </c>
      <c r="B3374" s="89" t="str">
        <f t="shared" si="313"/>
        <v/>
      </c>
      <c r="S3374" s="89" t="str">
        <f t="shared" si="314"/>
        <v/>
      </c>
      <c r="X3374" s="64">
        <f t="shared" si="315"/>
        <v>0</v>
      </c>
      <c r="Y3374" s="53">
        <f t="shared" si="316"/>
        <v>0</v>
      </c>
      <c r="Z3374" s="64">
        <f t="shared" si="317"/>
        <v>0</v>
      </c>
    </row>
    <row r="3375" spans="1:26">
      <c r="A3375" s="89" t="str">
        <f t="shared" si="312"/>
        <v/>
      </c>
      <c r="B3375" s="89" t="str">
        <f t="shared" si="313"/>
        <v/>
      </c>
      <c r="S3375" s="89" t="str">
        <f t="shared" si="314"/>
        <v/>
      </c>
      <c r="X3375" s="64">
        <f t="shared" si="315"/>
        <v>0</v>
      </c>
      <c r="Y3375" s="53">
        <f t="shared" si="316"/>
        <v>0</v>
      </c>
      <c r="Z3375" s="64">
        <f t="shared" si="317"/>
        <v>0</v>
      </c>
    </row>
    <row r="3376" spans="1:26">
      <c r="A3376" s="89" t="str">
        <f t="shared" si="312"/>
        <v/>
      </c>
      <c r="B3376" s="89" t="str">
        <f t="shared" si="313"/>
        <v/>
      </c>
      <c r="S3376" s="89" t="str">
        <f t="shared" si="314"/>
        <v/>
      </c>
      <c r="X3376" s="64">
        <f t="shared" si="315"/>
        <v>0</v>
      </c>
      <c r="Y3376" s="53">
        <f t="shared" si="316"/>
        <v>0</v>
      </c>
      <c r="Z3376" s="64">
        <f t="shared" si="317"/>
        <v>0</v>
      </c>
    </row>
    <row r="3377" spans="1:26">
      <c r="A3377" s="89" t="str">
        <f t="shared" si="312"/>
        <v/>
      </c>
      <c r="B3377" s="89" t="str">
        <f t="shared" si="313"/>
        <v/>
      </c>
      <c r="S3377" s="89" t="str">
        <f t="shared" si="314"/>
        <v/>
      </c>
      <c r="X3377" s="64">
        <f t="shared" si="315"/>
        <v>0</v>
      </c>
      <c r="Y3377" s="53">
        <f t="shared" si="316"/>
        <v>0</v>
      </c>
      <c r="Z3377" s="64">
        <f t="shared" si="317"/>
        <v>0</v>
      </c>
    </row>
    <row r="3378" spans="1:26">
      <c r="A3378" s="89" t="str">
        <f t="shared" si="312"/>
        <v/>
      </c>
      <c r="B3378" s="89" t="str">
        <f t="shared" si="313"/>
        <v/>
      </c>
      <c r="S3378" s="89" t="str">
        <f t="shared" si="314"/>
        <v/>
      </c>
      <c r="X3378" s="64">
        <f t="shared" si="315"/>
        <v>0</v>
      </c>
      <c r="Y3378" s="53">
        <f t="shared" si="316"/>
        <v>0</v>
      </c>
      <c r="Z3378" s="64">
        <f t="shared" si="317"/>
        <v>0</v>
      </c>
    </row>
    <row r="3379" spans="1:26">
      <c r="A3379" s="89" t="str">
        <f t="shared" si="312"/>
        <v/>
      </c>
      <c r="B3379" s="89" t="str">
        <f t="shared" si="313"/>
        <v/>
      </c>
      <c r="S3379" s="89" t="str">
        <f t="shared" si="314"/>
        <v/>
      </c>
      <c r="X3379" s="64">
        <f t="shared" si="315"/>
        <v>0</v>
      </c>
      <c r="Y3379" s="53">
        <f t="shared" si="316"/>
        <v>0</v>
      </c>
      <c r="Z3379" s="64">
        <f t="shared" si="317"/>
        <v>0</v>
      </c>
    </row>
    <row r="3380" spans="1:26">
      <c r="A3380" s="89" t="str">
        <f t="shared" si="312"/>
        <v/>
      </c>
      <c r="B3380" s="89" t="str">
        <f t="shared" si="313"/>
        <v/>
      </c>
      <c r="S3380" s="89" t="str">
        <f t="shared" si="314"/>
        <v/>
      </c>
      <c r="X3380" s="64">
        <f t="shared" si="315"/>
        <v>0</v>
      </c>
      <c r="Y3380" s="53">
        <f t="shared" si="316"/>
        <v>0</v>
      </c>
      <c r="Z3380" s="64">
        <f t="shared" si="317"/>
        <v>0</v>
      </c>
    </row>
    <row r="3381" spans="1:26">
      <c r="A3381" s="89" t="str">
        <f t="shared" si="312"/>
        <v/>
      </c>
      <c r="B3381" s="89" t="str">
        <f t="shared" si="313"/>
        <v/>
      </c>
      <c r="S3381" s="89" t="str">
        <f t="shared" si="314"/>
        <v/>
      </c>
      <c r="X3381" s="64">
        <f t="shared" si="315"/>
        <v>0</v>
      </c>
      <c r="Y3381" s="53">
        <f t="shared" si="316"/>
        <v>0</v>
      </c>
      <c r="Z3381" s="64">
        <f t="shared" si="317"/>
        <v>0</v>
      </c>
    </row>
    <row r="3382" spans="1:26">
      <c r="A3382" s="89" t="str">
        <f t="shared" si="312"/>
        <v/>
      </c>
      <c r="B3382" s="89" t="str">
        <f t="shared" si="313"/>
        <v/>
      </c>
      <c r="S3382" s="89" t="str">
        <f t="shared" si="314"/>
        <v/>
      </c>
      <c r="X3382" s="64">
        <f t="shared" si="315"/>
        <v>0</v>
      </c>
      <c r="Y3382" s="53">
        <f t="shared" si="316"/>
        <v>0</v>
      </c>
      <c r="Z3382" s="64">
        <f t="shared" si="317"/>
        <v>0</v>
      </c>
    </row>
    <row r="3383" spans="1:26">
      <c r="A3383" s="89" t="str">
        <f t="shared" si="312"/>
        <v/>
      </c>
      <c r="B3383" s="89" t="str">
        <f t="shared" si="313"/>
        <v/>
      </c>
      <c r="S3383" s="89" t="str">
        <f t="shared" si="314"/>
        <v/>
      </c>
      <c r="X3383" s="64">
        <f t="shared" si="315"/>
        <v>0</v>
      </c>
      <c r="Y3383" s="53">
        <f t="shared" si="316"/>
        <v>0</v>
      </c>
      <c r="Z3383" s="64">
        <f t="shared" si="317"/>
        <v>0</v>
      </c>
    </row>
    <row r="3384" spans="1:26">
      <c r="A3384" s="89" t="str">
        <f t="shared" si="312"/>
        <v/>
      </c>
      <c r="B3384" s="89" t="str">
        <f t="shared" si="313"/>
        <v/>
      </c>
      <c r="S3384" s="89" t="str">
        <f t="shared" si="314"/>
        <v/>
      </c>
      <c r="X3384" s="64">
        <f t="shared" si="315"/>
        <v>0</v>
      </c>
      <c r="Y3384" s="53">
        <f t="shared" si="316"/>
        <v>0</v>
      </c>
      <c r="Z3384" s="64">
        <f t="shared" si="317"/>
        <v>0</v>
      </c>
    </row>
    <row r="3385" spans="1:26">
      <c r="A3385" s="89" t="str">
        <f t="shared" si="312"/>
        <v/>
      </c>
      <c r="B3385" s="89" t="str">
        <f t="shared" si="313"/>
        <v/>
      </c>
      <c r="S3385" s="89" t="str">
        <f t="shared" si="314"/>
        <v/>
      </c>
      <c r="X3385" s="64">
        <f t="shared" si="315"/>
        <v>0</v>
      </c>
      <c r="Y3385" s="53">
        <f t="shared" si="316"/>
        <v>0</v>
      </c>
      <c r="Z3385" s="64">
        <f t="shared" si="317"/>
        <v>0</v>
      </c>
    </row>
    <row r="3386" spans="1:26">
      <c r="A3386" s="89" t="str">
        <f t="shared" si="312"/>
        <v/>
      </c>
      <c r="B3386" s="89" t="str">
        <f t="shared" si="313"/>
        <v/>
      </c>
      <c r="S3386" s="89" t="str">
        <f t="shared" si="314"/>
        <v/>
      </c>
      <c r="X3386" s="64">
        <f t="shared" si="315"/>
        <v>0</v>
      </c>
      <c r="Y3386" s="53">
        <f t="shared" si="316"/>
        <v>0</v>
      </c>
      <c r="Z3386" s="64">
        <f t="shared" si="317"/>
        <v>0</v>
      </c>
    </row>
    <row r="3387" spans="1:26">
      <c r="A3387" s="89" t="str">
        <f t="shared" si="312"/>
        <v/>
      </c>
      <c r="B3387" s="89" t="str">
        <f t="shared" si="313"/>
        <v/>
      </c>
      <c r="S3387" s="89" t="str">
        <f t="shared" si="314"/>
        <v/>
      </c>
      <c r="X3387" s="64">
        <f t="shared" si="315"/>
        <v>0</v>
      </c>
      <c r="Y3387" s="53">
        <f t="shared" si="316"/>
        <v>0</v>
      </c>
      <c r="Z3387" s="64">
        <f t="shared" si="317"/>
        <v>0</v>
      </c>
    </row>
    <row r="3388" spans="1:26">
      <c r="A3388" s="89" t="str">
        <f t="shared" si="312"/>
        <v/>
      </c>
      <c r="B3388" s="89" t="str">
        <f t="shared" si="313"/>
        <v/>
      </c>
      <c r="S3388" s="89" t="str">
        <f t="shared" si="314"/>
        <v/>
      </c>
      <c r="X3388" s="64">
        <f t="shared" si="315"/>
        <v>0</v>
      </c>
      <c r="Y3388" s="53">
        <f t="shared" si="316"/>
        <v>0</v>
      </c>
      <c r="Z3388" s="64">
        <f t="shared" si="317"/>
        <v>0</v>
      </c>
    </row>
    <row r="3389" spans="1:26">
      <c r="A3389" s="89" t="str">
        <f t="shared" si="312"/>
        <v/>
      </c>
      <c r="B3389" s="89" t="str">
        <f t="shared" si="313"/>
        <v/>
      </c>
      <c r="S3389" s="89" t="str">
        <f t="shared" si="314"/>
        <v/>
      </c>
      <c r="X3389" s="64">
        <f t="shared" si="315"/>
        <v>0</v>
      </c>
      <c r="Y3389" s="53">
        <f t="shared" si="316"/>
        <v>0</v>
      </c>
      <c r="Z3389" s="64">
        <f t="shared" si="317"/>
        <v>0</v>
      </c>
    </row>
    <row r="3390" spans="1:26">
      <c r="A3390" s="89" t="str">
        <f t="shared" si="312"/>
        <v/>
      </c>
      <c r="B3390" s="89" t="str">
        <f t="shared" si="313"/>
        <v/>
      </c>
      <c r="S3390" s="89" t="str">
        <f t="shared" si="314"/>
        <v/>
      </c>
      <c r="X3390" s="64">
        <f t="shared" si="315"/>
        <v>0</v>
      </c>
      <c r="Y3390" s="53">
        <f t="shared" si="316"/>
        <v>0</v>
      </c>
      <c r="Z3390" s="64">
        <f t="shared" si="317"/>
        <v>0</v>
      </c>
    </row>
    <row r="3391" spans="1:26">
      <c r="A3391" s="89" t="str">
        <f t="shared" si="312"/>
        <v/>
      </c>
      <c r="B3391" s="89" t="str">
        <f t="shared" si="313"/>
        <v/>
      </c>
      <c r="S3391" s="89" t="str">
        <f t="shared" si="314"/>
        <v/>
      </c>
      <c r="X3391" s="64">
        <f t="shared" si="315"/>
        <v>0</v>
      </c>
      <c r="Y3391" s="53">
        <f t="shared" si="316"/>
        <v>0</v>
      </c>
      <c r="Z3391" s="64">
        <f t="shared" si="317"/>
        <v>0</v>
      </c>
    </row>
    <row r="3392" spans="1:26">
      <c r="A3392" s="89" t="str">
        <f t="shared" si="312"/>
        <v/>
      </c>
      <c r="B3392" s="89" t="str">
        <f t="shared" si="313"/>
        <v/>
      </c>
      <c r="S3392" s="89" t="str">
        <f t="shared" si="314"/>
        <v/>
      </c>
      <c r="X3392" s="64">
        <f t="shared" si="315"/>
        <v>0</v>
      </c>
      <c r="Y3392" s="53">
        <f t="shared" si="316"/>
        <v>0</v>
      </c>
      <c r="Z3392" s="64">
        <f t="shared" si="317"/>
        <v>0</v>
      </c>
    </row>
    <row r="3393" spans="1:26">
      <c r="A3393" s="89" t="str">
        <f t="shared" si="312"/>
        <v/>
      </c>
      <c r="B3393" s="89" t="str">
        <f t="shared" si="313"/>
        <v/>
      </c>
      <c r="S3393" s="89" t="str">
        <f t="shared" si="314"/>
        <v/>
      </c>
      <c r="X3393" s="64">
        <f t="shared" si="315"/>
        <v>0</v>
      </c>
      <c r="Y3393" s="53">
        <f t="shared" si="316"/>
        <v>0</v>
      </c>
      <c r="Z3393" s="64">
        <f t="shared" si="317"/>
        <v>0</v>
      </c>
    </row>
    <row r="3394" spans="1:26">
      <c r="A3394" s="89" t="str">
        <f t="shared" si="312"/>
        <v/>
      </c>
      <c r="B3394" s="89" t="str">
        <f t="shared" si="313"/>
        <v/>
      </c>
      <c r="S3394" s="89" t="str">
        <f t="shared" si="314"/>
        <v/>
      </c>
      <c r="X3394" s="64">
        <f t="shared" si="315"/>
        <v>0</v>
      </c>
      <c r="Y3394" s="53">
        <f t="shared" si="316"/>
        <v>0</v>
      </c>
      <c r="Z3394" s="64">
        <f t="shared" si="317"/>
        <v>0</v>
      </c>
    </row>
    <row r="3395" spans="1:26">
      <c r="A3395" s="89" t="str">
        <f t="shared" ref="A3395:A3458" si="318">IF(G3395&amp;Q3395&lt;&gt;"",G3395&amp;Q3395,"")</f>
        <v/>
      </c>
      <c r="B3395" s="89" t="str">
        <f t="shared" ref="B3395:B3458" si="319">IF(C3395&lt;&gt;"",LEFT(C3395,9),"")</f>
        <v/>
      </c>
      <c r="S3395" s="89" t="str">
        <f t="shared" ref="S3395:S3458" si="320">IF(H3395&lt;&gt;"",H3395,"")</f>
        <v/>
      </c>
      <c r="X3395" s="64">
        <f t="shared" ref="X3395:X3458" si="321">IFERROR(VALUE(MID($C3395,1,2)),0)</f>
        <v>0</v>
      </c>
      <c r="Y3395" s="53">
        <f t="shared" ref="Y3395:Y3458" si="322">IFERROR(VALUE(MID($C3395,4,3)),0)</f>
        <v>0</v>
      </c>
      <c r="Z3395" s="64">
        <f t="shared" ref="Z3395:Z3458" si="323">VALUE(RIGHT("00"&amp;X3395,2)&amp;RIGHT("000"&amp;Y3395,3))</f>
        <v>0</v>
      </c>
    </row>
    <row r="3396" spans="1:26">
      <c r="A3396" s="89" t="str">
        <f t="shared" si="318"/>
        <v/>
      </c>
      <c r="B3396" s="89" t="str">
        <f t="shared" si="319"/>
        <v/>
      </c>
      <c r="S3396" s="89" t="str">
        <f t="shared" si="320"/>
        <v/>
      </c>
      <c r="X3396" s="64">
        <f t="shared" si="321"/>
        <v>0</v>
      </c>
      <c r="Y3396" s="53">
        <f t="shared" si="322"/>
        <v>0</v>
      </c>
      <c r="Z3396" s="64">
        <f t="shared" si="323"/>
        <v>0</v>
      </c>
    </row>
    <row r="3397" spans="1:26">
      <c r="A3397" s="89" t="str">
        <f t="shared" si="318"/>
        <v/>
      </c>
      <c r="B3397" s="89" t="str">
        <f t="shared" si="319"/>
        <v/>
      </c>
      <c r="S3397" s="89" t="str">
        <f t="shared" si="320"/>
        <v/>
      </c>
      <c r="X3397" s="64">
        <f t="shared" si="321"/>
        <v>0</v>
      </c>
      <c r="Y3397" s="53">
        <f t="shared" si="322"/>
        <v>0</v>
      </c>
      <c r="Z3397" s="64">
        <f t="shared" si="323"/>
        <v>0</v>
      </c>
    </row>
    <row r="3398" spans="1:26">
      <c r="A3398" s="89" t="str">
        <f t="shared" si="318"/>
        <v/>
      </c>
      <c r="B3398" s="89" t="str">
        <f t="shared" si="319"/>
        <v/>
      </c>
      <c r="S3398" s="89" t="str">
        <f t="shared" si="320"/>
        <v/>
      </c>
      <c r="X3398" s="64">
        <f t="shared" si="321"/>
        <v>0</v>
      </c>
      <c r="Y3398" s="53">
        <f t="shared" si="322"/>
        <v>0</v>
      </c>
      <c r="Z3398" s="64">
        <f t="shared" si="323"/>
        <v>0</v>
      </c>
    </row>
    <row r="3399" spans="1:26">
      <c r="A3399" s="89" t="str">
        <f t="shared" si="318"/>
        <v/>
      </c>
      <c r="B3399" s="89" t="str">
        <f t="shared" si="319"/>
        <v/>
      </c>
      <c r="S3399" s="89" t="str">
        <f t="shared" si="320"/>
        <v/>
      </c>
      <c r="X3399" s="64">
        <f t="shared" si="321"/>
        <v>0</v>
      </c>
      <c r="Y3399" s="53">
        <f t="shared" si="322"/>
        <v>0</v>
      </c>
      <c r="Z3399" s="64">
        <f t="shared" si="323"/>
        <v>0</v>
      </c>
    </row>
    <row r="3400" spans="1:26">
      <c r="A3400" s="89" t="str">
        <f t="shared" si="318"/>
        <v/>
      </c>
      <c r="B3400" s="89" t="str">
        <f t="shared" si="319"/>
        <v/>
      </c>
      <c r="S3400" s="89" t="str">
        <f t="shared" si="320"/>
        <v/>
      </c>
      <c r="X3400" s="64">
        <f t="shared" si="321"/>
        <v>0</v>
      </c>
      <c r="Y3400" s="53">
        <f t="shared" si="322"/>
        <v>0</v>
      </c>
      <c r="Z3400" s="64">
        <f t="shared" si="323"/>
        <v>0</v>
      </c>
    </row>
    <row r="3401" spans="1:26">
      <c r="A3401" s="89" t="str">
        <f t="shared" si="318"/>
        <v/>
      </c>
      <c r="B3401" s="89" t="str">
        <f t="shared" si="319"/>
        <v/>
      </c>
      <c r="S3401" s="89" t="str">
        <f t="shared" si="320"/>
        <v/>
      </c>
      <c r="X3401" s="64">
        <f t="shared" si="321"/>
        <v>0</v>
      </c>
      <c r="Y3401" s="53">
        <f t="shared" si="322"/>
        <v>0</v>
      </c>
      <c r="Z3401" s="64">
        <f t="shared" si="323"/>
        <v>0</v>
      </c>
    </row>
    <row r="3402" spans="1:26">
      <c r="A3402" s="89" t="str">
        <f t="shared" si="318"/>
        <v/>
      </c>
      <c r="B3402" s="89" t="str">
        <f t="shared" si="319"/>
        <v/>
      </c>
      <c r="S3402" s="89" t="str">
        <f t="shared" si="320"/>
        <v/>
      </c>
      <c r="X3402" s="64">
        <f t="shared" si="321"/>
        <v>0</v>
      </c>
      <c r="Y3402" s="53">
        <f t="shared" si="322"/>
        <v>0</v>
      </c>
      <c r="Z3402" s="64">
        <f t="shared" si="323"/>
        <v>0</v>
      </c>
    </row>
    <row r="3403" spans="1:26">
      <c r="A3403" s="89" t="str">
        <f t="shared" si="318"/>
        <v/>
      </c>
      <c r="B3403" s="89" t="str">
        <f t="shared" si="319"/>
        <v/>
      </c>
      <c r="S3403" s="89" t="str">
        <f t="shared" si="320"/>
        <v/>
      </c>
      <c r="X3403" s="64">
        <f t="shared" si="321"/>
        <v>0</v>
      </c>
      <c r="Y3403" s="53">
        <f t="shared" si="322"/>
        <v>0</v>
      </c>
      <c r="Z3403" s="64">
        <f t="shared" si="323"/>
        <v>0</v>
      </c>
    </row>
    <row r="3404" spans="1:26">
      <c r="A3404" s="89" t="str">
        <f t="shared" si="318"/>
        <v/>
      </c>
      <c r="B3404" s="89" t="str">
        <f t="shared" si="319"/>
        <v/>
      </c>
      <c r="S3404" s="89" t="str">
        <f t="shared" si="320"/>
        <v/>
      </c>
      <c r="X3404" s="64">
        <f t="shared" si="321"/>
        <v>0</v>
      </c>
      <c r="Y3404" s="53">
        <f t="shared" si="322"/>
        <v>0</v>
      </c>
      <c r="Z3404" s="64">
        <f t="shared" si="323"/>
        <v>0</v>
      </c>
    </row>
    <row r="3405" spans="1:26">
      <c r="A3405" s="89" t="str">
        <f t="shared" si="318"/>
        <v/>
      </c>
      <c r="B3405" s="89" t="str">
        <f t="shared" si="319"/>
        <v/>
      </c>
      <c r="S3405" s="89" t="str">
        <f t="shared" si="320"/>
        <v/>
      </c>
      <c r="X3405" s="64">
        <f t="shared" si="321"/>
        <v>0</v>
      </c>
      <c r="Y3405" s="53">
        <f t="shared" si="322"/>
        <v>0</v>
      </c>
      <c r="Z3405" s="64">
        <f t="shared" si="323"/>
        <v>0</v>
      </c>
    </row>
    <row r="3406" spans="1:26">
      <c r="A3406" s="89" t="str">
        <f t="shared" si="318"/>
        <v/>
      </c>
      <c r="B3406" s="89" t="str">
        <f t="shared" si="319"/>
        <v/>
      </c>
      <c r="S3406" s="89" t="str">
        <f t="shared" si="320"/>
        <v/>
      </c>
      <c r="X3406" s="64">
        <f t="shared" si="321"/>
        <v>0</v>
      </c>
      <c r="Y3406" s="53">
        <f t="shared" si="322"/>
        <v>0</v>
      </c>
      <c r="Z3406" s="64">
        <f t="shared" si="323"/>
        <v>0</v>
      </c>
    </row>
    <row r="3407" spans="1:26">
      <c r="A3407" s="89" t="str">
        <f t="shared" si="318"/>
        <v/>
      </c>
      <c r="B3407" s="89" t="str">
        <f t="shared" si="319"/>
        <v/>
      </c>
      <c r="S3407" s="89" t="str">
        <f t="shared" si="320"/>
        <v/>
      </c>
      <c r="X3407" s="64">
        <f t="shared" si="321"/>
        <v>0</v>
      </c>
      <c r="Y3407" s="53">
        <f t="shared" si="322"/>
        <v>0</v>
      </c>
      <c r="Z3407" s="64">
        <f t="shared" si="323"/>
        <v>0</v>
      </c>
    </row>
    <row r="3408" spans="1:26">
      <c r="A3408" s="89" t="str">
        <f t="shared" si="318"/>
        <v/>
      </c>
      <c r="B3408" s="89" t="str">
        <f t="shared" si="319"/>
        <v/>
      </c>
      <c r="S3408" s="89" t="str">
        <f t="shared" si="320"/>
        <v/>
      </c>
      <c r="X3408" s="64">
        <f t="shared" si="321"/>
        <v>0</v>
      </c>
      <c r="Y3408" s="53">
        <f t="shared" si="322"/>
        <v>0</v>
      </c>
      <c r="Z3408" s="64">
        <f t="shared" si="323"/>
        <v>0</v>
      </c>
    </row>
    <row r="3409" spans="1:26">
      <c r="A3409" s="89" t="str">
        <f t="shared" si="318"/>
        <v/>
      </c>
      <c r="B3409" s="89" t="str">
        <f t="shared" si="319"/>
        <v/>
      </c>
      <c r="S3409" s="89" t="str">
        <f t="shared" si="320"/>
        <v/>
      </c>
      <c r="X3409" s="64">
        <f t="shared" si="321"/>
        <v>0</v>
      </c>
      <c r="Y3409" s="53">
        <f t="shared" si="322"/>
        <v>0</v>
      </c>
      <c r="Z3409" s="64">
        <f t="shared" si="323"/>
        <v>0</v>
      </c>
    </row>
    <row r="3410" spans="1:26">
      <c r="A3410" s="89" t="str">
        <f t="shared" si="318"/>
        <v/>
      </c>
      <c r="B3410" s="89" t="str">
        <f t="shared" si="319"/>
        <v/>
      </c>
      <c r="S3410" s="89" t="str">
        <f t="shared" si="320"/>
        <v/>
      </c>
      <c r="X3410" s="64">
        <f t="shared" si="321"/>
        <v>0</v>
      </c>
      <c r="Y3410" s="53">
        <f t="shared" si="322"/>
        <v>0</v>
      </c>
      <c r="Z3410" s="64">
        <f t="shared" si="323"/>
        <v>0</v>
      </c>
    </row>
    <row r="3411" spans="1:26">
      <c r="A3411" s="89" t="str">
        <f t="shared" si="318"/>
        <v/>
      </c>
      <c r="B3411" s="89" t="str">
        <f t="shared" si="319"/>
        <v/>
      </c>
      <c r="S3411" s="89" t="str">
        <f t="shared" si="320"/>
        <v/>
      </c>
      <c r="X3411" s="64">
        <f t="shared" si="321"/>
        <v>0</v>
      </c>
      <c r="Y3411" s="53">
        <f t="shared" si="322"/>
        <v>0</v>
      </c>
      <c r="Z3411" s="64">
        <f t="shared" si="323"/>
        <v>0</v>
      </c>
    </row>
    <row r="3412" spans="1:26">
      <c r="A3412" s="89" t="str">
        <f t="shared" si="318"/>
        <v/>
      </c>
      <c r="B3412" s="89" t="str">
        <f t="shared" si="319"/>
        <v/>
      </c>
      <c r="S3412" s="89" t="str">
        <f t="shared" si="320"/>
        <v/>
      </c>
      <c r="X3412" s="64">
        <f t="shared" si="321"/>
        <v>0</v>
      </c>
      <c r="Y3412" s="53">
        <f t="shared" si="322"/>
        <v>0</v>
      </c>
      <c r="Z3412" s="64">
        <f t="shared" si="323"/>
        <v>0</v>
      </c>
    </row>
    <row r="3413" spans="1:26">
      <c r="A3413" s="89" t="str">
        <f t="shared" si="318"/>
        <v/>
      </c>
      <c r="B3413" s="89" t="str">
        <f t="shared" si="319"/>
        <v/>
      </c>
      <c r="S3413" s="89" t="str">
        <f t="shared" si="320"/>
        <v/>
      </c>
      <c r="X3413" s="64">
        <f t="shared" si="321"/>
        <v>0</v>
      </c>
      <c r="Y3413" s="53">
        <f t="shared" si="322"/>
        <v>0</v>
      </c>
      <c r="Z3413" s="64">
        <f t="shared" si="323"/>
        <v>0</v>
      </c>
    </row>
    <row r="3414" spans="1:26">
      <c r="A3414" s="89" t="str">
        <f t="shared" si="318"/>
        <v/>
      </c>
      <c r="B3414" s="89" t="str">
        <f t="shared" si="319"/>
        <v/>
      </c>
      <c r="S3414" s="89" t="str">
        <f t="shared" si="320"/>
        <v/>
      </c>
      <c r="X3414" s="64">
        <f t="shared" si="321"/>
        <v>0</v>
      </c>
      <c r="Y3414" s="53">
        <f t="shared" si="322"/>
        <v>0</v>
      </c>
      <c r="Z3414" s="64">
        <f t="shared" si="323"/>
        <v>0</v>
      </c>
    </row>
    <row r="3415" spans="1:26">
      <c r="A3415" s="89" t="str">
        <f t="shared" si="318"/>
        <v/>
      </c>
      <c r="B3415" s="89" t="str">
        <f t="shared" si="319"/>
        <v/>
      </c>
      <c r="S3415" s="89" t="str">
        <f t="shared" si="320"/>
        <v/>
      </c>
      <c r="X3415" s="64">
        <f t="shared" si="321"/>
        <v>0</v>
      </c>
      <c r="Y3415" s="53">
        <f t="shared" si="322"/>
        <v>0</v>
      </c>
      <c r="Z3415" s="64">
        <f t="shared" si="323"/>
        <v>0</v>
      </c>
    </row>
    <row r="3416" spans="1:26">
      <c r="A3416" s="89" t="str">
        <f t="shared" si="318"/>
        <v/>
      </c>
      <c r="B3416" s="89" t="str">
        <f t="shared" si="319"/>
        <v/>
      </c>
      <c r="S3416" s="89" t="str">
        <f t="shared" si="320"/>
        <v/>
      </c>
      <c r="X3416" s="64">
        <f t="shared" si="321"/>
        <v>0</v>
      </c>
      <c r="Y3416" s="53">
        <f t="shared" si="322"/>
        <v>0</v>
      </c>
      <c r="Z3416" s="64">
        <f t="shared" si="323"/>
        <v>0</v>
      </c>
    </row>
    <row r="3417" spans="1:26">
      <c r="A3417" s="89" t="str">
        <f t="shared" si="318"/>
        <v/>
      </c>
      <c r="B3417" s="89" t="str">
        <f t="shared" si="319"/>
        <v/>
      </c>
      <c r="S3417" s="89" t="str">
        <f t="shared" si="320"/>
        <v/>
      </c>
      <c r="X3417" s="64">
        <f t="shared" si="321"/>
        <v>0</v>
      </c>
      <c r="Y3417" s="53">
        <f t="shared" si="322"/>
        <v>0</v>
      </c>
      <c r="Z3417" s="64">
        <f t="shared" si="323"/>
        <v>0</v>
      </c>
    </row>
    <row r="3418" spans="1:26">
      <c r="A3418" s="89" t="str">
        <f t="shared" si="318"/>
        <v/>
      </c>
      <c r="B3418" s="89" t="str">
        <f t="shared" si="319"/>
        <v/>
      </c>
      <c r="S3418" s="89" t="str">
        <f t="shared" si="320"/>
        <v/>
      </c>
      <c r="X3418" s="64">
        <f t="shared" si="321"/>
        <v>0</v>
      </c>
      <c r="Y3418" s="53">
        <f t="shared" si="322"/>
        <v>0</v>
      </c>
      <c r="Z3418" s="64">
        <f t="shared" si="323"/>
        <v>0</v>
      </c>
    </row>
    <row r="3419" spans="1:26">
      <c r="A3419" s="89" t="str">
        <f t="shared" si="318"/>
        <v/>
      </c>
      <c r="B3419" s="89" t="str">
        <f t="shared" si="319"/>
        <v/>
      </c>
      <c r="S3419" s="89" t="str">
        <f t="shared" si="320"/>
        <v/>
      </c>
      <c r="X3419" s="64">
        <f t="shared" si="321"/>
        <v>0</v>
      </c>
      <c r="Y3419" s="53">
        <f t="shared" si="322"/>
        <v>0</v>
      </c>
      <c r="Z3419" s="64">
        <f t="shared" si="323"/>
        <v>0</v>
      </c>
    </row>
    <row r="3420" spans="1:26">
      <c r="A3420" s="89" t="str">
        <f t="shared" si="318"/>
        <v/>
      </c>
      <c r="B3420" s="89" t="str">
        <f t="shared" si="319"/>
        <v/>
      </c>
      <c r="S3420" s="89" t="str">
        <f t="shared" si="320"/>
        <v/>
      </c>
      <c r="X3420" s="64">
        <f t="shared" si="321"/>
        <v>0</v>
      </c>
      <c r="Y3420" s="53">
        <f t="shared" si="322"/>
        <v>0</v>
      </c>
      <c r="Z3420" s="64">
        <f t="shared" si="323"/>
        <v>0</v>
      </c>
    </row>
    <row r="3421" spans="1:26">
      <c r="A3421" s="89" t="str">
        <f t="shared" si="318"/>
        <v/>
      </c>
      <c r="B3421" s="89" t="str">
        <f t="shared" si="319"/>
        <v/>
      </c>
      <c r="S3421" s="89" t="str">
        <f t="shared" si="320"/>
        <v/>
      </c>
      <c r="X3421" s="64">
        <f t="shared" si="321"/>
        <v>0</v>
      </c>
      <c r="Y3421" s="53">
        <f t="shared" si="322"/>
        <v>0</v>
      </c>
      <c r="Z3421" s="64">
        <f t="shared" si="323"/>
        <v>0</v>
      </c>
    </row>
    <row r="3422" spans="1:26">
      <c r="A3422" s="89" t="str">
        <f t="shared" si="318"/>
        <v/>
      </c>
      <c r="B3422" s="89" t="str">
        <f t="shared" si="319"/>
        <v/>
      </c>
      <c r="S3422" s="89" t="str">
        <f t="shared" si="320"/>
        <v/>
      </c>
      <c r="X3422" s="64">
        <f t="shared" si="321"/>
        <v>0</v>
      </c>
      <c r="Y3422" s="53">
        <f t="shared" si="322"/>
        <v>0</v>
      </c>
      <c r="Z3422" s="64">
        <f t="shared" si="323"/>
        <v>0</v>
      </c>
    </row>
    <row r="3423" spans="1:26">
      <c r="A3423" s="89" t="str">
        <f t="shared" si="318"/>
        <v/>
      </c>
      <c r="B3423" s="89" t="str">
        <f t="shared" si="319"/>
        <v/>
      </c>
      <c r="S3423" s="89" t="str">
        <f t="shared" si="320"/>
        <v/>
      </c>
      <c r="X3423" s="64">
        <f t="shared" si="321"/>
        <v>0</v>
      </c>
      <c r="Y3423" s="53">
        <f t="shared" si="322"/>
        <v>0</v>
      </c>
      <c r="Z3423" s="64">
        <f t="shared" si="323"/>
        <v>0</v>
      </c>
    </row>
    <row r="3424" spans="1:26">
      <c r="A3424" s="89" t="str">
        <f t="shared" si="318"/>
        <v/>
      </c>
      <c r="B3424" s="89" t="str">
        <f t="shared" si="319"/>
        <v/>
      </c>
      <c r="S3424" s="89" t="str">
        <f t="shared" si="320"/>
        <v/>
      </c>
      <c r="X3424" s="64">
        <f t="shared" si="321"/>
        <v>0</v>
      </c>
      <c r="Y3424" s="53">
        <f t="shared" si="322"/>
        <v>0</v>
      </c>
      <c r="Z3424" s="64">
        <f t="shared" si="323"/>
        <v>0</v>
      </c>
    </row>
    <row r="3425" spans="1:26">
      <c r="A3425" s="89" t="str">
        <f t="shared" si="318"/>
        <v/>
      </c>
      <c r="B3425" s="89" t="str">
        <f t="shared" si="319"/>
        <v/>
      </c>
      <c r="S3425" s="89" t="str">
        <f t="shared" si="320"/>
        <v/>
      </c>
      <c r="X3425" s="64">
        <f t="shared" si="321"/>
        <v>0</v>
      </c>
      <c r="Y3425" s="53">
        <f t="shared" si="322"/>
        <v>0</v>
      </c>
      <c r="Z3425" s="64">
        <f t="shared" si="323"/>
        <v>0</v>
      </c>
    </row>
    <row r="3426" spans="1:26">
      <c r="A3426" s="89" t="str">
        <f t="shared" si="318"/>
        <v/>
      </c>
      <c r="B3426" s="89" t="str">
        <f t="shared" si="319"/>
        <v/>
      </c>
      <c r="S3426" s="89" t="str">
        <f t="shared" si="320"/>
        <v/>
      </c>
      <c r="X3426" s="64">
        <f t="shared" si="321"/>
        <v>0</v>
      </c>
      <c r="Y3426" s="53">
        <f t="shared" si="322"/>
        <v>0</v>
      </c>
      <c r="Z3426" s="64">
        <f t="shared" si="323"/>
        <v>0</v>
      </c>
    </row>
    <row r="3427" spans="1:26">
      <c r="A3427" s="89" t="str">
        <f t="shared" si="318"/>
        <v/>
      </c>
      <c r="B3427" s="89" t="str">
        <f t="shared" si="319"/>
        <v/>
      </c>
      <c r="S3427" s="89" t="str">
        <f t="shared" si="320"/>
        <v/>
      </c>
      <c r="X3427" s="64">
        <f t="shared" si="321"/>
        <v>0</v>
      </c>
      <c r="Y3427" s="53">
        <f t="shared" si="322"/>
        <v>0</v>
      </c>
      <c r="Z3427" s="64">
        <f t="shared" si="323"/>
        <v>0</v>
      </c>
    </row>
    <row r="3428" spans="1:26">
      <c r="A3428" s="89" t="str">
        <f t="shared" si="318"/>
        <v/>
      </c>
      <c r="B3428" s="89" t="str">
        <f t="shared" si="319"/>
        <v/>
      </c>
      <c r="S3428" s="89" t="str">
        <f t="shared" si="320"/>
        <v/>
      </c>
      <c r="X3428" s="64">
        <f t="shared" si="321"/>
        <v>0</v>
      </c>
      <c r="Y3428" s="53">
        <f t="shared" si="322"/>
        <v>0</v>
      </c>
      <c r="Z3428" s="64">
        <f t="shared" si="323"/>
        <v>0</v>
      </c>
    </row>
    <row r="3429" spans="1:26">
      <c r="A3429" s="89" t="str">
        <f t="shared" si="318"/>
        <v/>
      </c>
      <c r="B3429" s="89" t="str">
        <f t="shared" si="319"/>
        <v/>
      </c>
      <c r="S3429" s="89" t="str">
        <f t="shared" si="320"/>
        <v/>
      </c>
      <c r="X3429" s="64">
        <f t="shared" si="321"/>
        <v>0</v>
      </c>
      <c r="Y3429" s="53">
        <f t="shared" si="322"/>
        <v>0</v>
      </c>
      <c r="Z3429" s="64">
        <f t="shared" si="323"/>
        <v>0</v>
      </c>
    </row>
    <row r="3430" spans="1:26">
      <c r="A3430" s="89" t="str">
        <f t="shared" si="318"/>
        <v/>
      </c>
      <c r="B3430" s="89" t="str">
        <f t="shared" si="319"/>
        <v/>
      </c>
      <c r="S3430" s="89" t="str">
        <f t="shared" si="320"/>
        <v/>
      </c>
      <c r="X3430" s="64">
        <f t="shared" si="321"/>
        <v>0</v>
      </c>
      <c r="Y3430" s="53">
        <f t="shared" si="322"/>
        <v>0</v>
      </c>
      <c r="Z3430" s="64">
        <f t="shared" si="323"/>
        <v>0</v>
      </c>
    </row>
    <row r="3431" spans="1:26">
      <c r="A3431" s="89" t="str">
        <f t="shared" si="318"/>
        <v/>
      </c>
      <c r="B3431" s="89" t="str">
        <f t="shared" si="319"/>
        <v/>
      </c>
      <c r="S3431" s="89" t="str">
        <f t="shared" si="320"/>
        <v/>
      </c>
      <c r="X3431" s="64">
        <f t="shared" si="321"/>
        <v>0</v>
      </c>
      <c r="Y3431" s="53">
        <f t="shared" si="322"/>
        <v>0</v>
      </c>
      <c r="Z3431" s="64">
        <f t="shared" si="323"/>
        <v>0</v>
      </c>
    </row>
    <row r="3432" spans="1:26">
      <c r="A3432" s="89" t="str">
        <f t="shared" si="318"/>
        <v/>
      </c>
      <c r="B3432" s="89" t="str">
        <f t="shared" si="319"/>
        <v/>
      </c>
      <c r="S3432" s="89" t="str">
        <f t="shared" si="320"/>
        <v/>
      </c>
      <c r="X3432" s="64">
        <f t="shared" si="321"/>
        <v>0</v>
      </c>
      <c r="Y3432" s="53">
        <f t="shared" si="322"/>
        <v>0</v>
      </c>
      <c r="Z3432" s="64">
        <f t="shared" si="323"/>
        <v>0</v>
      </c>
    </row>
    <row r="3433" spans="1:26">
      <c r="A3433" s="89" t="str">
        <f t="shared" si="318"/>
        <v/>
      </c>
      <c r="B3433" s="89" t="str">
        <f t="shared" si="319"/>
        <v/>
      </c>
      <c r="S3433" s="89" t="str">
        <f t="shared" si="320"/>
        <v/>
      </c>
      <c r="X3433" s="64">
        <f t="shared" si="321"/>
        <v>0</v>
      </c>
      <c r="Y3433" s="53">
        <f t="shared" si="322"/>
        <v>0</v>
      </c>
      <c r="Z3433" s="64">
        <f t="shared" si="323"/>
        <v>0</v>
      </c>
    </row>
    <row r="3434" spans="1:26">
      <c r="A3434" s="89" t="str">
        <f t="shared" si="318"/>
        <v/>
      </c>
      <c r="B3434" s="89" t="str">
        <f t="shared" si="319"/>
        <v/>
      </c>
      <c r="S3434" s="89" t="str">
        <f t="shared" si="320"/>
        <v/>
      </c>
      <c r="X3434" s="64">
        <f t="shared" si="321"/>
        <v>0</v>
      </c>
      <c r="Y3434" s="53">
        <f t="shared" si="322"/>
        <v>0</v>
      </c>
      <c r="Z3434" s="64">
        <f t="shared" si="323"/>
        <v>0</v>
      </c>
    </row>
    <row r="3435" spans="1:26">
      <c r="A3435" s="89" t="str">
        <f t="shared" si="318"/>
        <v/>
      </c>
      <c r="B3435" s="89" t="str">
        <f t="shared" si="319"/>
        <v/>
      </c>
      <c r="S3435" s="89" t="str">
        <f t="shared" si="320"/>
        <v/>
      </c>
      <c r="X3435" s="64">
        <f t="shared" si="321"/>
        <v>0</v>
      </c>
      <c r="Y3435" s="53">
        <f t="shared" si="322"/>
        <v>0</v>
      </c>
      <c r="Z3435" s="64">
        <f t="shared" si="323"/>
        <v>0</v>
      </c>
    </row>
    <row r="3436" spans="1:26">
      <c r="A3436" s="89" t="str">
        <f t="shared" si="318"/>
        <v/>
      </c>
      <c r="B3436" s="89" t="str">
        <f t="shared" si="319"/>
        <v/>
      </c>
      <c r="S3436" s="89" t="str">
        <f t="shared" si="320"/>
        <v/>
      </c>
      <c r="X3436" s="64">
        <f t="shared" si="321"/>
        <v>0</v>
      </c>
      <c r="Y3436" s="53">
        <f t="shared" si="322"/>
        <v>0</v>
      </c>
      <c r="Z3436" s="64">
        <f t="shared" si="323"/>
        <v>0</v>
      </c>
    </row>
    <row r="3437" spans="1:26">
      <c r="A3437" s="89" t="str">
        <f t="shared" si="318"/>
        <v/>
      </c>
      <c r="B3437" s="89" t="str">
        <f t="shared" si="319"/>
        <v/>
      </c>
      <c r="S3437" s="89" t="str">
        <f t="shared" si="320"/>
        <v/>
      </c>
      <c r="X3437" s="64">
        <f t="shared" si="321"/>
        <v>0</v>
      </c>
      <c r="Y3437" s="53">
        <f t="shared" si="322"/>
        <v>0</v>
      </c>
      <c r="Z3437" s="64">
        <f t="shared" si="323"/>
        <v>0</v>
      </c>
    </row>
    <row r="3438" spans="1:26">
      <c r="A3438" s="89" t="str">
        <f t="shared" si="318"/>
        <v/>
      </c>
      <c r="B3438" s="89" t="str">
        <f t="shared" si="319"/>
        <v/>
      </c>
      <c r="S3438" s="89" t="str">
        <f t="shared" si="320"/>
        <v/>
      </c>
      <c r="X3438" s="64">
        <f t="shared" si="321"/>
        <v>0</v>
      </c>
      <c r="Y3438" s="53">
        <f t="shared" si="322"/>
        <v>0</v>
      </c>
      <c r="Z3438" s="64">
        <f t="shared" si="323"/>
        <v>0</v>
      </c>
    </row>
    <row r="3439" spans="1:26">
      <c r="A3439" s="89" t="str">
        <f t="shared" si="318"/>
        <v/>
      </c>
      <c r="B3439" s="89" t="str">
        <f t="shared" si="319"/>
        <v/>
      </c>
      <c r="S3439" s="89" t="str">
        <f t="shared" si="320"/>
        <v/>
      </c>
      <c r="X3439" s="64">
        <f t="shared" si="321"/>
        <v>0</v>
      </c>
      <c r="Y3439" s="53">
        <f t="shared" si="322"/>
        <v>0</v>
      </c>
      <c r="Z3439" s="64">
        <f t="shared" si="323"/>
        <v>0</v>
      </c>
    </row>
    <row r="3440" spans="1:26">
      <c r="A3440" s="89" t="str">
        <f t="shared" si="318"/>
        <v/>
      </c>
      <c r="B3440" s="89" t="str">
        <f t="shared" si="319"/>
        <v/>
      </c>
      <c r="S3440" s="89" t="str">
        <f t="shared" si="320"/>
        <v/>
      </c>
      <c r="X3440" s="64">
        <f t="shared" si="321"/>
        <v>0</v>
      </c>
      <c r="Y3440" s="53">
        <f t="shared" si="322"/>
        <v>0</v>
      </c>
      <c r="Z3440" s="64">
        <f t="shared" si="323"/>
        <v>0</v>
      </c>
    </row>
    <row r="3441" spans="1:26">
      <c r="A3441" s="89" t="str">
        <f t="shared" si="318"/>
        <v/>
      </c>
      <c r="B3441" s="89" t="str">
        <f t="shared" si="319"/>
        <v/>
      </c>
      <c r="S3441" s="89" t="str">
        <f t="shared" si="320"/>
        <v/>
      </c>
      <c r="X3441" s="64">
        <f t="shared" si="321"/>
        <v>0</v>
      </c>
      <c r="Y3441" s="53">
        <f t="shared" si="322"/>
        <v>0</v>
      </c>
      <c r="Z3441" s="64">
        <f t="shared" si="323"/>
        <v>0</v>
      </c>
    </row>
    <row r="3442" spans="1:26">
      <c r="A3442" s="89" t="str">
        <f t="shared" si="318"/>
        <v/>
      </c>
      <c r="B3442" s="89" t="str">
        <f t="shared" si="319"/>
        <v/>
      </c>
      <c r="S3442" s="89" t="str">
        <f t="shared" si="320"/>
        <v/>
      </c>
      <c r="X3442" s="64">
        <f t="shared" si="321"/>
        <v>0</v>
      </c>
      <c r="Y3442" s="53">
        <f t="shared" si="322"/>
        <v>0</v>
      </c>
      <c r="Z3442" s="64">
        <f t="shared" si="323"/>
        <v>0</v>
      </c>
    </row>
    <row r="3443" spans="1:26">
      <c r="A3443" s="89" t="str">
        <f t="shared" si="318"/>
        <v/>
      </c>
      <c r="B3443" s="89" t="str">
        <f t="shared" si="319"/>
        <v/>
      </c>
      <c r="S3443" s="89" t="str">
        <f t="shared" si="320"/>
        <v/>
      </c>
      <c r="X3443" s="64">
        <f t="shared" si="321"/>
        <v>0</v>
      </c>
      <c r="Y3443" s="53">
        <f t="shared" si="322"/>
        <v>0</v>
      </c>
      <c r="Z3443" s="64">
        <f t="shared" si="323"/>
        <v>0</v>
      </c>
    </row>
    <row r="3444" spans="1:26">
      <c r="A3444" s="89" t="str">
        <f t="shared" si="318"/>
        <v/>
      </c>
      <c r="B3444" s="89" t="str">
        <f t="shared" si="319"/>
        <v/>
      </c>
      <c r="S3444" s="89" t="str">
        <f t="shared" si="320"/>
        <v/>
      </c>
      <c r="X3444" s="64">
        <f t="shared" si="321"/>
        <v>0</v>
      </c>
      <c r="Y3444" s="53">
        <f t="shared" si="322"/>
        <v>0</v>
      </c>
      <c r="Z3444" s="64">
        <f t="shared" si="323"/>
        <v>0</v>
      </c>
    </row>
    <row r="3445" spans="1:26">
      <c r="A3445" s="89" t="str">
        <f t="shared" si="318"/>
        <v/>
      </c>
      <c r="B3445" s="89" t="str">
        <f t="shared" si="319"/>
        <v/>
      </c>
      <c r="S3445" s="89" t="str">
        <f t="shared" si="320"/>
        <v/>
      </c>
      <c r="X3445" s="64">
        <f t="shared" si="321"/>
        <v>0</v>
      </c>
      <c r="Y3445" s="53">
        <f t="shared" si="322"/>
        <v>0</v>
      </c>
      <c r="Z3445" s="64">
        <f t="shared" si="323"/>
        <v>0</v>
      </c>
    </row>
    <row r="3446" spans="1:26">
      <c r="A3446" s="89" t="str">
        <f t="shared" si="318"/>
        <v/>
      </c>
      <c r="B3446" s="89" t="str">
        <f t="shared" si="319"/>
        <v/>
      </c>
      <c r="S3446" s="89" t="str">
        <f t="shared" si="320"/>
        <v/>
      </c>
      <c r="X3446" s="64">
        <f t="shared" si="321"/>
        <v>0</v>
      </c>
      <c r="Y3446" s="53">
        <f t="shared" si="322"/>
        <v>0</v>
      </c>
      <c r="Z3446" s="64">
        <f t="shared" si="323"/>
        <v>0</v>
      </c>
    </row>
    <row r="3447" spans="1:26">
      <c r="A3447" s="89" t="str">
        <f t="shared" si="318"/>
        <v/>
      </c>
      <c r="B3447" s="89" t="str">
        <f t="shared" si="319"/>
        <v/>
      </c>
      <c r="S3447" s="89" t="str">
        <f t="shared" si="320"/>
        <v/>
      </c>
      <c r="X3447" s="64">
        <f t="shared" si="321"/>
        <v>0</v>
      </c>
      <c r="Y3447" s="53">
        <f t="shared" si="322"/>
        <v>0</v>
      </c>
      <c r="Z3447" s="64">
        <f t="shared" si="323"/>
        <v>0</v>
      </c>
    </row>
    <row r="3448" spans="1:26">
      <c r="A3448" s="89" t="str">
        <f t="shared" si="318"/>
        <v/>
      </c>
      <c r="B3448" s="89" t="str">
        <f t="shared" si="319"/>
        <v/>
      </c>
      <c r="S3448" s="89" t="str">
        <f t="shared" si="320"/>
        <v/>
      </c>
      <c r="X3448" s="64">
        <f t="shared" si="321"/>
        <v>0</v>
      </c>
      <c r="Y3448" s="53">
        <f t="shared" si="322"/>
        <v>0</v>
      </c>
      <c r="Z3448" s="64">
        <f t="shared" si="323"/>
        <v>0</v>
      </c>
    </row>
    <row r="3449" spans="1:26">
      <c r="A3449" s="89" t="str">
        <f t="shared" si="318"/>
        <v/>
      </c>
      <c r="B3449" s="89" t="str">
        <f t="shared" si="319"/>
        <v/>
      </c>
      <c r="S3449" s="89" t="str">
        <f t="shared" si="320"/>
        <v/>
      </c>
      <c r="X3449" s="64">
        <f t="shared" si="321"/>
        <v>0</v>
      </c>
      <c r="Y3449" s="53">
        <f t="shared" si="322"/>
        <v>0</v>
      </c>
      <c r="Z3449" s="64">
        <f t="shared" si="323"/>
        <v>0</v>
      </c>
    </row>
    <row r="3450" spans="1:26">
      <c r="A3450" s="89" t="str">
        <f t="shared" si="318"/>
        <v/>
      </c>
      <c r="B3450" s="89" t="str">
        <f t="shared" si="319"/>
        <v/>
      </c>
      <c r="S3450" s="89" t="str">
        <f t="shared" si="320"/>
        <v/>
      </c>
      <c r="X3450" s="64">
        <f t="shared" si="321"/>
        <v>0</v>
      </c>
      <c r="Y3450" s="53">
        <f t="shared" si="322"/>
        <v>0</v>
      </c>
      <c r="Z3450" s="64">
        <f t="shared" si="323"/>
        <v>0</v>
      </c>
    </row>
    <row r="3451" spans="1:26">
      <c r="A3451" s="89" t="str">
        <f t="shared" si="318"/>
        <v/>
      </c>
      <c r="B3451" s="89" t="str">
        <f t="shared" si="319"/>
        <v/>
      </c>
      <c r="S3451" s="89" t="str">
        <f t="shared" si="320"/>
        <v/>
      </c>
      <c r="X3451" s="64">
        <f t="shared" si="321"/>
        <v>0</v>
      </c>
      <c r="Y3451" s="53">
        <f t="shared" si="322"/>
        <v>0</v>
      </c>
      <c r="Z3451" s="64">
        <f t="shared" si="323"/>
        <v>0</v>
      </c>
    </row>
    <row r="3452" spans="1:26">
      <c r="A3452" s="89" t="str">
        <f t="shared" si="318"/>
        <v/>
      </c>
      <c r="B3452" s="89" t="str">
        <f t="shared" si="319"/>
        <v/>
      </c>
      <c r="S3452" s="89" t="str">
        <f t="shared" si="320"/>
        <v/>
      </c>
      <c r="X3452" s="64">
        <f t="shared" si="321"/>
        <v>0</v>
      </c>
      <c r="Y3452" s="53">
        <f t="shared" si="322"/>
        <v>0</v>
      </c>
      <c r="Z3452" s="64">
        <f t="shared" si="323"/>
        <v>0</v>
      </c>
    </row>
    <row r="3453" spans="1:26">
      <c r="A3453" s="89" t="str">
        <f t="shared" si="318"/>
        <v/>
      </c>
      <c r="B3453" s="89" t="str">
        <f t="shared" si="319"/>
        <v/>
      </c>
      <c r="S3453" s="89" t="str">
        <f t="shared" si="320"/>
        <v/>
      </c>
      <c r="X3453" s="64">
        <f t="shared" si="321"/>
        <v>0</v>
      </c>
      <c r="Y3453" s="53">
        <f t="shared" si="322"/>
        <v>0</v>
      </c>
      <c r="Z3453" s="64">
        <f t="shared" si="323"/>
        <v>0</v>
      </c>
    </row>
    <row r="3454" spans="1:26">
      <c r="A3454" s="89" t="str">
        <f t="shared" si="318"/>
        <v/>
      </c>
      <c r="B3454" s="89" t="str">
        <f t="shared" si="319"/>
        <v/>
      </c>
      <c r="S3454" s="89" t="str">
        <f t="shared" si="320"/>
        <v/>
      </c>
      <c r="X3454" s="64">
        <f t="shared" si="321"/>
        <v>0</v>
      </c>
      <c r="Y3454" s="53">
        <f t="shared" si="322"/>
        <v>0</v>
      </c>
      <c r="Z3454" s="64">
        <f t="shared" si="323"/>
        <v>0</v>
      </c>
    </row>
    <row r="3455" spans="1:26">
      <c r="A3455" s="89" t="str">
        <f t="shared" si="318"/>
        <v/>
      </c>
      <c r="B3455" s="89" t="str">
        <f t="shared" si="319"/>
        <v/>
      </c>
      <c r="S3455" s="89" t="str">
        <f t="shared" si="320"/>
        <v/>
      </c>
      <c r="X3455" s="64">
        <f t="shared" si="321"/>
        <v>0</v>
      </c>
      <c r="Y3455" s="53">
        <f t="shared" si="322"/>
        <v>0</v>
      </c>
      <c r="Z3455" s="64">
        <f t="shared" si="323"/>
        <v>0</v>
      </c>
    </row>
    <row r="3456" spans="1:26">
      <c r="A3456" s="89" t="str">
        <f t="shared" si="318"/>
        <v/>
      </c>
      <c r="B3456" s="89" t="str">
        <f t="shared" si="319"/>
        <v/>
      </c>
      <c r="S3456" s="89" t="str">
        <f t="shared" si="320"/>
        <v/>
      </c>
      <c r="X3456" s="64">
        <f t="shared" si="321"/>
        <v>0</v>
      </c>
      <c r="Y3456" s="53">
        <f t="shared" si="322"/>
        <v>0</v>
      </c>
      <c r="Z3456" s="64">
        <f t="shared" si="323"/>
        <v>0</v>
      </c>
    </row>
    <row r="3457" spans="1:26">
      <c r="A3457" s="89" t="str">
        <f t="shared" si="318"/>
        <v/>
      </c>
      <c r="B3457" s="89" t="str">
        <f t="shared" si="319"/>
        <v/>
      </c>
      <c r="S3457" s="89" t="str">
        <f t="shared" si="320"/>
        <v/>
      </c>
      <c r="X3457" s="64">
        <f t="shared" si="321"/>
        <v>0</v>
      </c>
      <c r="Y3457" s="53">
        <f t="shared" si="322"/>
        <v>0</v>
      </c>
      <c r="Z3457" s="64">
        <f t="shared" si="323"/>
        <v>0</v>
      </c>
    </row>
    <row r="3458" spans="1:26">
      <c r="A3458" s="89" t="str">
        <f t="shared" si="318"/>
        <v/>
      </c>
      <c r="B3458" s="89" t="str">
        <f t="shared" si="319"/>
        <v/>
      </c>
      <c r="S3458" s="89" t="str">
        <f t="shared" si="320"/>
        <v/>
      </c>
      <c r="X3458" s="64">
        <f t="shared" si="321"/>
        <v>0</v>
      </c>
      <c r="Y3458" s="53">
        <f t="shared" si="322"/>
        <v>0</v>
      </c>
      <c r="Z3458" s="64">
        <f t="shared" si="323"/>
        <v>0</v>
      </c>
    </row>
    <row r="3459" spans="1:26">
      <c r="A3459" s="89" t="str">
        <f t="shared" ref="A3459:A3522" si="324">IF(G3459&amp;Q3459&lt;&gt;"",G3459&amp;Q3459,"")</f>
        <v/>
      </c>
      <c r="B3459" s="89" t="str">
        <f t="shared" ref="B3459:B3522" si="325">IF(C3459&lt;&gt;"",LEFT(C3459,9),"")</f>
        <v/>
      </c>
      <c r="S3459" s="89" t="str">
        <f t="shared" ref="S3459:S3522" si="326">IF(H3459&lt;&gt;"",H3459,"")</f>
        <v/>
      </c>
      <c r="X3459" s="64">
        <f t="shared" ref="X3459:X3522" si="327">IFERROR(VALUE(MID($C3459,1,2)),0)</f>
        <v>0</v>
      </c>
      <c r="Y3459" s="53">
        <f t="shared" ref="Y3459:Y3522" si="328">IFERROR(VALUE(MID($C3459,4,3)),0)</f>
        <v>0</v>
      </c>
      <c r="Z3459" s="64">
        <f t="shared" ref="Z3459:Z3522" si="329">VALUE(RIGHT("00"&amp;X3459,2)&amp;RIGHT("000"&amp;Y3459,3))</f>
        <v>0</v>
      </c>
    </row>
    <row r="3460" spans="1:26">
      <c r="A3460" s="89" t="str">
        <f t="shared" si="324"/>
        <v/>
      </c>
      <c r="B3460" s="89" t="str">
        <f t="shared" si="325"/>
        <v/>
      </c>
      <c r="S3460" s="89" t="str">
        <f t="shared" si="326"/>
        <v/>
      </c>
      <c r="X3460" s="64">
        <f t="shared" si="327"/>
        <v>0</v>
      </c>
      <c r="Y3460" s="53">
        <f t="shared" si="328"/>
        <v>0</v>
      </c>
      <c r="Z3460" s="64">
        <f t="shared" si="329"/>
        <v>0</v>
      </c>
    </row>
    <row r="3461" spans="1:26">
      <c r="A3461" s="89" t="str">
        <f t="shared" si="324"/>
        <v/>
      </c>
      <c r="B3461" s="89" t="str">
        <f t="shared" si="325"/>
        <v/>
      </c>
      <c r="S3461" s="89" t="str">
        <f t="shared" si="326"/>
        <v/>
      </c>
      <c r="X3461" s="64">
        <f t="shared" si="327"/>
        <v>0</v>
      </c>
      <c r="Y3461" s="53">
        <f t="shared" si="328"/>
        <v>0</v>
      </c>
      <c r="Z3461" s="64">
        <f t="shared" si="329"/>
        <v>0</v>
      </c>
    </row>
    <row r="3462" spans="1:26">
      <c r="A3462" s="89" t="str">
        <f t="shared" si="324"/>
        <v/>
      </c>
      <c r="B3462" s="89" t="str">
        <f t="shared" si="325"/>
        <v/>
      </c>
      <c r="S3462" s="89" t="str">
        <f t="shared" si="326"/>
        <v/>
      </c>
      <c r="X3462" s="64">
        <f t="shared" si="327"/>
        <v>0</v>
      </c>
      <c r="Y3462" s="53">
        <f t="shared" si="328"/>
        <v>0</v>
      </c>
      <c r="Z3462" s="64">
        <f t="shared" si="329"/>
        <v>0</v>
      </c>
    </row>
    <row r="3463" spans="1:26">
      <c r="A3463" s="89" t="str">
        <f t="shared" si="324"/>
        <v/>
      </c>
      <c r="B3463" s="89" t="str">
        <f t="shared" si="325"/>
        <v/>
      </c>
      <c r="S3463" s="89" t="str">
        <f t="shared" si="326"/>
        <v/>
      </c>
      <c r="X3463" s="64">
        <f t="shared" si="327"/>
        <v>0</v>
      </c>
      <c r="Y3463" s="53">
        <f t="shared" si="328"/>
        <v>0</v>
      </c>
      <c r="Z3463" s="64">
        <f t="shared" si="329"/>
        <v>0</v>
      </c>
    </row>
    <row r="3464" spans="1:26">
      <c r="A3464" s="89" t="str">
        <f t="shared" si="324"/>
        <v/>
      </c>
      <c r="B3464" s="89" t="str">
        <f t="shared" si="325"/>
        <v/>
      </c>
      <c r="S3464" s="89" t="str">
        <f t="shared" si="326"/>
        <v/>
      </c>
      <c r="X3464" s="64">
        <f t="shared" si="327"/>
        <v>0</v>
      </c>
      <c r="Y3464" s="53">
        <f t="shared" si="328"/>
        <v>0</v>
      </c>
      <c r="Z3464" s="64">
        <f t="shared" si="329"/>
        <v>0</v>
      </c>
    </row>
    <row r="3465" spans="1:26">
      <c r="A3465" s="89" t="str">
        <f t="shared" si="324"/>
        <v/>
      </c>
      <c r="B3465" s="89" t="str">
        <f t="shared" si="325"/>
        <v/>
      </c>
      <c r="S3465" s="89" t="str">
        <f t="shared" si="326"/>
        <v/>
      </c>
      <c r="X3465" s="64">
        <f t="shared" si="327"/>
        <v>0</v>
      </c>
      <c r="Y3465" s="53">
        <f t="shared" si="328"/>
        <v>0</v>
      </c>
      <c r="Z3465" s="64">
        <f t="shared" si="329"/>
        <v>0</v>
      </c>
    </row>
    <row r="3466" spans="1:26">
      <c r="A3466" s="89" t="str">
        <f t="shared" si="324"/>
        <v/>
      </c>
      <c r="B3466" s="89" t="str">
        <f t="shared" si="325"/>
        <v/>
      </c>
      <c r="S3466" s="89" t="str">
        <f t="shared" si="326"/>
        <v/>
      </c>
      <c r="X3466" s="64">
        <f t="shared" si="327"/>
        <v>0</v>
      </c>
      <c r="Y3466" s="53">
        <f t="shared" si="328"/>
        <v>0</v>
      </c>
      <c r="Z3466" s="64">
        <f t="shared" si="329"/>
        <v>0</v>
      </c>
    </row>
    <row r="3467" spans="1:26">
      <c r="A3467" s="89" t="str">
        <f t="shared" si="324"/>
        <v/>
      </c>
      <c r="B3467" s="89" t="str">
        <f t="shared" si="325"/>
        <v/>
      </c>
      <c r="S3467" s="89" t="str">
        <f t="shared" si="326"/>
        <v/>
      </c>
      <c r="X3467" s="64">
        <f t="shared" si="327"/>
        <v>0</v>
      </c>
      <c r="Y3467" s="53">
        <f t="shared" si="328"/>
        <v>0</v>
      </c>
      <c r="Z3467" s="64">
        <f t="shared" si="329"/>
        <v>0</v>
      </c>
    </row>
    <row r="3468" spans="1:26">
      <c r="A3468" s="89" t="str">
        <f t="shared" si="324"/>
        <v/>
      </c>
      <c r="B3468" s="89" t="str">
        <f t="shared" si="325"/>
        <v/>
      </c>
      <c r="S3468" s="89" t="str">
        <f t="shared" si="326"/>
        <v/>
      </c>
      <c r="X3468" s="64">
        <f t="shared" si="327"/>
        <v>0</v>
      </c>
      <c r="Y3468" s="53">
        <f t="shared" si="328"/>
        <v>0</v>
      </c>
      <c r="Z3468" s="64">
        <f t="shared" si="329"/>
        <v>0</v>
      </c>
    </row>
    <row r="3469" spans="1:26">
      <c r="A3469" s="89" t="str">
        <f t="shared" si="324"/>
        <v/>
      </c>
      <c r="B3469" s="89" t="str">
        <f t="shared" si="325"/>
        <v/>
      </c>
      <c r="S3469" s="89" t="str">
        <f t="shared" si="326"/>
        <v/>
      </c>
      <c r="X3469" s="64">
        <f t="shared" si="327"/>
        <v>0</v>
      </c>
      <c r="Y3469" s="53">
        <f t="shared" si="328"/>
        <v>0</v>
      </c>
      <c r="Z3469" s="64">
        <f t="shared" si="329"/>
        <v>0</v>
      </c>
    </row>
    <row r="3470" spans="1:26">
      <c r="A3470" s="89" t="str">
        <f t="shared" si="324"/>
        <v/>
      </c>
      <c r="B3470" s="89" t="str">
        <f t="shared" si="325"/>
        <v/>
      </c>
      <c r="S3470" s="89" t="str">
        <f t="shared" si="326"/>
        <v/>
      </c>
      <c r="X3470" s="64">
        <f t="shared" si="327"/>
        <v>0</v>
      </c>
      <c r="Y3470" s="53">
        <f t="shared" si="328"/>
        <v>0</v>
      </c>
      <c r="Z3470" s="64">
        <f t="shared" si="329"/>
        <v>0</v>
      </c>
    </row>
    <row r="3471" spans="1:26">
      <c r="A3471" s="89" t="str">
        <f t="shared" si="324"/>
        <v/>
      </c>
      <c r="B3471" s="89" t="str">
        <f t="shared" si="325"/>
        <v/>
      </c>
      <c r="S3471" s="89" t="str">
        <f t="shared" si="326"/>
        <v/>
      </c>
      <c r="X3471" s="64">
        <f t="shared" si="327"/>
        <v>0</v>
      </c>
      <c r="Y3471" s="53">
        <f t="shared" si="328"/>
        <v>0</v>
      </c>
      <c r="Z3471" s="64">
        <f t="shared" si="329"/>
        <v>0</v>
      </c>
    </row>
    <row r="3472" spans="1:26">
      <c r="A3472" s="89" t="str">
        <f t="shared" si="324"/>
        <v/>
      </c>
      <c r="B3472" s="89" t="str">
        <f t="shared" si="325"/>
        <v/>
      </c>
      <c r="S3472" s="89" t="str">
        <f t="shared" si="326"/>
        <v/>
      </c>
      <c r="X3472" s="64">
        <f t="shared" si="327"/>
        <v>0</v>
      </c>
      <c r="Y3472" s="53">
        <f t="shared" si="328"/>
        <v>0</v>
      </c>
      <c r="Z3472" s="64">
        <f t="shared" si="329"/>
        <v>0</v>
      </c>
    </row>
    <row r="3473" spans="1:26">
      <c r="A3473" s="89" t="str">
        <f t="shared" si="324"/>
        <v/>
      </c>
      <c r="B3473" s="89" t="str">
        <f t="shared" si="325"/>
        <v/>
      </c>
      <c r="S3473" s="89" t="str">
        <f t="shared" si="326"/>
        <v/>
      </c>
      <c r="X3473" s="64">
        <f t="shared" si="327"/>
        <v>0</v>
      </c>
      <c r="Y3473" s="53">
        <f t="shared" si="328"/>
        <v>0</v>
      </c>
      <c r="Z3473" s="64">
        <f t="shared" si="329"/>
        <v>0</v>
      </c>
    </row>
    <row r="3474" spans="1:26">
      <c r="A3474" s="89" t="str">
        <f t="shared" si="324"/>
        <v/>
      </c>
      <c r="B3474" s="89" t="str">
        <f t="shared" si="325"/>
        <v/>
      </c>
      <c r="S3474" s="89" t="str">
        <f t="shared" si="326"/>
        <v/>
      </c>
      <c r="X3474" s="64">
        <f t="shared" si="327"/>
        <v>0</v>
      </c>
      <c r="Y3474" s="53">
        <f t="shared" si="328"/>
        <v>0</v>
      </c>
      <c r="Z3474" s="64">
        <f t="shared" si="329"/>
        <v>0</v>
      </c>
    </row>
    <row r="3475" spans="1:26">
      <c r="A3475" s="89" t="str">
        <f t="shared" si="324"/>
        <v/>
      </c>
      <c r="B3475" s="89" t="str">
        <f t="shared" si="325"/>
        <v/>
      </c>
      <c r="S3475" s="89" t="str">
        <f t="shared" si="326"/>
        <v/>
      </c>
      <c r="X3475" s="64">
        <f t="shared" si="327"/>
        <v>0</v>
      </c>
      <c r="Y3475" s="53">
        <f t="shared" si="328"/>
        <v>0</v>
      </c>
      <c r="Z3475" s="64">
        <f t="shared" si="329"/>
        <v>0</v>
      </c>
    </row>
    <row r="3476" spans="1:26">
      <c r="A3476" s="89" t="str">
        <f t="shared" si="324"/>
        <v/>
      </c>
      <c r="B3476" s="89" t="str">
        <f t="shared" si="325"/>
        <v/>
      </c>
      <c r="S3476" s="89" t="str">
        <f t="shared" si="326"/>
        <v/>
      </c>
      <c r="X3476" s="64">
        <f t="shared" si="327"/>
        <v>0</v>
      </c>
      <c r="Y3476" s="53">
        <f t="shared" si="328"/>
        <v>0</v>
      </c>
      <c r="Z3476" s="64">
        <f t="shared" si="329"/>
        <v>0</v>
      </c>
    </row>
    <row r="3477" spans="1:26">
      <c r="A3477" s="89" t="str">
        <f t="shared" si="324"/>
        <v/>
      </c>
      <c r="B3477" s="89" t="str">
        <f t="shared" si="325"/>
        <v/>
      </c>
      <c r="S3477" s="89" t="str">
        <f t="shared" si="326"/>
        <v/>
      </c>
      <c r="X3477" s="64">
        <f t="shared" si="327"/>
        <v>0</v>
      </c>
      <c r="Y3477" s="53">
        <f t="shared" si="328"/>
        <v>0</v>
      </c>
      <c r="Z3477" s="64">
        <f t="shared" si="329"/>
        <v>0</v>
      </c>
    </row>
    <row r="3478" spans="1:26">
      <c r="A3478" s="89" t="str">
        <f t="shared" si="324"/>
        <v/>
      </c>
      <c r="B3478" s="89" t="str">
        <f t="shared" si="325"/>
        <v/>
      </c>
      <c r="S3478" s="89" t="str">
        <f t="shared" si="326"/>
        <v/>
      </c>
      <c r="X3478" s="64">
        <f t="shared" si="327"/>
        <v>0</v>
      </c>
      <c r="Y3478" s="53">
        <f t="shared" si="328"/>
        <v>0</v>
      </c>
      <c r="Z3478" s="64">
        <f t="shared" si="329"/>
        <v>0</v>
      </c>
    </row>
    <row r="3479" spans="1:26">
      <c r="A3479" s="89" t="str">
        <f t="shared" si="324"/>
        <v/>
      </c>
      <c r="B3479" s="89" t="str">
        <f t="shared" si="325"/>
        <v/>
      </c>
      <c r="S3479" s="89" t="str">
        <f t="shared" si="326"/>
        <v/>
      </c>
      <c r="X3479" s="64">
        <f t="shared" si="327"/>
        <v>0</v>
      </c>
      <c r="Y3479" s="53">
        <f t="shared" si="328"/>
        <v>0</v>
      </c>
      <c r="Z3479" s="64">
        <f t="shared" si="329"/>
        <v>0</v>
      </c>
    </row>
    <row r="3480" spans="1:26">
      <c r="A3480" s="89" t="str">
        <f t="shared" si="324"/>
        <v/>
      </c>
      <c r="B3480" s="89" t="str">
        <f t="shared" si="325"/>
        <v/>
      </c>
      <c r="S3480" s="89" t="str">
        <f t="shared" si="326"/>
        <v/>
      </c>
      <c r="X3480" s="64">
        <f t="shared" si="327"/>
        <v>0</v>
      </c>
      <c r="Y3480" s="53">
        <f t="shared" si="328"/>
        <v>0</v>
      </c>
      <c r="Z3480" s="64">
        <f t="shared" si="329"/>
        <v>0</v>
      </c>
    </row>
    <row r="3481" spans="1:26">
      <c r="A3481" s="89" t="str">
        <f t="shared" si="324"/>
        <v/>
      </c>
      <c r="B3481" s="89" t="str">
        <f t="shared" si="325"/>
        <v/>
      </c>
      <c r="S3481" s="89" t="str">
        <f t="shared" si="326"/>
        <v/>
      </c>
      <c r="X3481" s="64">
        <f t="shared" si="327"/>
        <v>0</v>
      </c>
      <c r="Y3481" s="53">
        <f t="shared" si="328"/>
        <v>0</v>
      </c>
      <c r="Z3481" s="64">
        <f t="shared" si="329"/>
        <v>0</v>
      </c>
    </row>
    <row r="3482" spans="1:26">
      <c r="A3482" s="89" t="str">
        <f t="shared" si="324"/>
        <v/>
      </c>
      <c r="B3482" s="89" t="str">
        <f t="shared" si="325"/>
        <v/>
      </c>
      <c r="S3482" s="89" t="str">
        <f t="shared" si="326"/>
        <v/>
      </c>
      <c r="X3482" s="64">
        <f t="shared" si="327"/>
        <v>0</v>
      </c>
      <c r="Y3482" s="53">
        <f t="shared" si="328"/>
        <v>0</v>
      </c>
      <c r="Z3482" s="64">
        <f t="shared" si="329"/>
        <v>0</v>
      </c>
    </row>
    <row r="3483" spans="1:26">
      <c r="A3483" s="89" t="str">
        <f t="shared" si="324"/>
        <v/>
      </c>
      <c r="B3483" s="89" t="str">
        <f t="shared" si="325"/>
        <v/>
      </c>
      <c r="S3483" s="89" t="str">
        <f t="shared" si="326"/>
        <v/>
      </c>
      <c r="X3483" s="64">
        <f t="shared" si="327"/>
        <v>0</v>
      </c>
      <c r="Y3483" s="53">
        <f t="shared" si="328"/>
        <v>0</v>
      </c>
      <c r="Z3483" s="64">
        <f t="shared" si="329"/>
        <v>0</v>
      </c>
    </row>
    <row r="3484" spans="1:26">
      <c r="A3484" s="89" t="str">
        <f t="shared" si="324"/>
        <v/>
      </c>
      <c r="B3484" s="89" t="str">
        <f t="shared" si="325"/>
        <v/>
      </c>
      <c r="S3484" s="89" t="str">
        <f t="shared" si="326"/>
        <v/>
      </c>
      <c r="X3484" s="64">
        <f t="shared" si="327"/>
        <v>0</v>
      </c>
      <c r="Y3484" s="53">
        <f t="shared" si="328"/>
        <v>0</v>
      </c>
      <c r="Z3484" s="64">
        <f t="shared" si="329"/>
        <v>0</v>
      </c>
    </row>
    <row r="3485" spans="1:26">
      <c r="A3485" s="89" t="str">
        <f t="shared" si="324"/>
        <v/>
      </c>
      <c r="B3485" s="89" t="str">
        <f t="shared" si="325"/>
        <v/>
      </c>
      <c r="S3485" s="89" t="str">
        <f t="shared" si="326"/>
        <v/>
      </c>
      <c r="X3485" s="64">
        <f t="shared" si="327"/>
        <v>0</v>
      </c>
      <c r="Y3485" s="53">
        <f t="shared" si="328"/>
        <v>0</v>
      </c>
      <c r="Z3485" s="64">
        <f t="shared" si="329"/>
        <v>0</v>
      </c>
    </row>
    <row r="3486" spans="1:26">
      <c r="A3486" s="89" t="str">
        <f t="shared" si="324"/>
        <v/>
      </c>
      <c r="B3486" s="89" t="str">
        <f t="shared" si="325"/>
        <v/>
      </c>
      <c r="S3486" s="89" t="str">
        <f t="shared" si="326"/>
        <v/>
      </c>
      <c r="X3486" s="64">
        <f t="shared" si="327"/>
        <v>0</v>
      </c>
      <c r="Y3486" s="53">
        <f t="shared" si="328"/>
        <v>0</v>
      </c>
      <c r="Z3486" s="64">
        <f t="shared" si="329"/>
        <v>0</v>
      </c>
    </row>
    <row r="3487" spans="1:26">
      <c r="A3487" s="89" t="str">
        <f t="shared" si="324"/>
        <v/>
      </c>
      <c r="B3487" s="89" t="str">
        <f t="shared" si="325"/>
        <v/>
      </c>
      <c r="S3487" s="89" t="str">
        <f t="shared" si="326"/>
        <v/>
      </c>
      <c r="X3487" s="64">
        <f t="shared" si="327"/>
        <v>0</v>
      </c>
      <c r="Y3487" s="53">
        <f t="shared" si="328"/>
        <v>0</v>
      </c>
      <c r="Z3487" s="64">
        <f t="shared" si="329"/>
        <v>0</v>
      </c>
    </row>
    <row r="3488" spans="1:26">
      <c r="A3488" s="89" t="str">
        <f t="shared" si="324"/>
        <v/>
      </c>
      <c r="B3488" s="89" t="str">
        <f t="shared" si="325"/>
        <v/>
      </c>
      <c r="S3488" s="89" t="str">
        <f t="shared" si="326"/>
        <v/>
      </c>
      <c r="X3488" s="64">
        <f t="shared" si="327"/>
        <v>0</v>
      </c>
      <c r="Y3488" s="53">
        <f t="shared" si="328"/>
        <v>0</v>
      </c>
      <c r="Z3488" s="64">
        <f t="shared" si="329"/>
        <v>0</v>
      </c>
    </row>
    <row r="3489" spans="1:26">
      <c r="A3489" s="89" t="str">
        <f t="shared" si="324"/>
        <v/>
      </c>
      <c r="B3489" s="89" t="str">
        <f t="shared" si="325"/>
        <v/>
      </c>
      <c r="S3489" s="89" t="str">
        <f t="shared" si="326"/>
        <v/>
      </c>
      <c r="X3489" s="64">
        <f t="shared" si="327"/>
        <v>0</v>
      </c>
      <c r="Y3489" s="53">
        <f t="shared" si="328"/>
        <v>0</v>
      </c>
      <c r="Z3489" s="64">
        <f t="shared" si="329"/>
        <v>0</v>
      </c>
    </row>
    <row r="3490" spans="1:26">
      <c r="A3490" s="89" t="str">
        <f t="shared" si="324"/>
        <v/>
      </c>
      <c r="B3490" s="89" t="str">
        <f t="shared" si="325"/>
        <v/>
      </c>
      <c r="S3490" s="89" t="str">
        <f t="shared" si="326"/>
        <v/>
      </c>
      <c r="X3490" s="64">
        <f t="shared" si="327"/>
        <v>0</v>
      </c>
      <c r="Y3490" s="53">
        <f t="shared" si="328"/>
        <v>0</v>
      </c>
      <c r="Z3490" s="64">
        <f t="shared" si="329"/>
        <v>0</v>
      </c>
    </row>
    <row r="3491" spans="1:26">
      <c r="A3491" s="89" t="str">
        <f t="shared" si="324"/>
        <v/>
      </c>
      <c r="B3491" s="89" t="str">
        <f t="shared" si="325"/>
        <v/>
      </c>
      <c r="S3491" s="89" t="str">
        <f t="shared" si="326"/>
        <v/>
      </c>
      <c r="X3491" s="64">
        <f t="shared" si="327"/>
        <v>0</v>
      </c>
      <c r="Y3491" s="53">
        <f t="shared" si="328"/>
        <v>0</v>
      </c>
      <c r="Z3491" s="64">
        <f t="shared" si="329"/>
        <v>0</v>
      </c>
    </row>
    <row r="3492" spans="1:26">
      <c r="A3492" s="89" t="str">
        <f t="shared" si="324"/>
        <v/>
      </c>
      <c r="B3492" s="89" t="str">
        <f t="shared" si="325"/>
        <v/>
      </c>
      <c r="S3492" s="89" t="str">
        <f t="shared" si="326"/>
        <v/>
      </c>
      <c r="X3492" s="64">
        <f t="shared" si="327"/>
        <v>0</v>
      </c>
      <c r="Y3492" s="53">
        <f t="shared" si="328"/>
        <v>0</v>
      </c>
      <c r="Z3492" s="64">
        <f t="shared" si="329"/>
        <v>0</v>
      </c>
    </row>
    <row r="3493" spans="1:26">
      <c r="A3493" s="89" t="str">
        <f t="shared" si="324"/>
        <v/>
      </c>
      <c r="B3493" s="89" t="str">
        <f t="shared" si="325"/>
        <v/>
      </c>
      <c r="S3493" s="89" t="str">
        <f t="shared" si="326"/>
        <v/>
      </c>
      <c r="X3493" s="64">
        <f t="shared" si="327"/>
        <v>0</v>
      </c>
      <c r="Y3493" s="53">
        <f t="shared" si="328"/>
        <v>0</v>
      </c>
      <c r="Z3493" s="64">
        <f t="shared" si="329"/>
        <v>0</v>
      </c>
    </row>
    <row r="3494" spans="1:26">
      <c r="A3494" s="89" t="str">
        <f t="shared" si="324"/>
        <v/>
      </c>
      <c r="B3494" s="89" t="str">
        <f t="shared" si="325"/>
        <v/>
      </c>
      <c r="S3494" s="89" t="str">
        <f t="shared" si="326"/>
        <v/>
      </c>
      <c r="X3494" s="64">
        <f t="shared" si="327"/>
        <v>0</v>
      </c>
      <c r="Y3494" s="53">
        <f t="shared" si="328"/>
        <v>0</v>
      </c>
      <c r="Z3494" s="64">
        <f t="shared" si="329"/>
        <v>0</v>
      </c>
    </row>
    <row r="3495" spans="1:26">
      <c r="A3495" s="89" t="str">
        <f t="shared" si="324"/>
        <v/>
      </c>
      <c r="B3495" s="89" t="str">
        <f t="shared" si="325"/>
        <v/>
      </c>
      <c r="S3495" s="89" t="str">
        <f t="shared" si="326"/>
        <v/>
      </c>
      <c r="X3495" s="64">
        <f t="shared" si="327"/>
        <v>0</v>
      </c>
      <c r="Y3495" s="53">
        <f t="shared" si="328"/>
        <v>0</v>
      </c>
      <c r="Z3495" s="64">
        <f t="shared" si="329"/>
        <v>0</v>
      </c>
    </row>
    <row r="3496" spans="1:26">
      <c r="A3496" s="89" t="str">
        <f t="shared" si="324"/>
        <v/>
      </c>
      <c r="B3496" s="89" t="str">
        <f t="shared" si="325"/>
        <v/>
      </c>
      <c r="S3496" s="89" t="str">
        <f t="shared" si="326"/>
        <v/>
      </c>
      <c r="X3496" s="64">
        <f t="shared" si="327"/>
        <v>0</v>
      </c>
      <c r="Y3496" s="53">
        <f t="shared" si="328"/>
        <v>0</v>
      </c>
      <c r="Z3496" s="64">
        <f t="shared" si="329"/>
        <v>0</v>
      </c>
    </row>
    <row r="3497" spans="1:26">
      <c r="A3497" s="89" t="str">
        <f t="shared" si="324"/>
        <v/>
      </c>
      <c r="B3497" s="89" t="str">
        <f t="shared" si="325"/>
        <v/>
      </c>
      <c r="S3497" s="89" t="str">
        <f t="shared" si="326"/>
        <v/>
      </c>
      <c r="X3497" s="64">
        <f t="shared" si="327"/>
        <v>0</v>
      </c>
      <c r="Y3497" s="53">
        <f t="shared" si="328"/>
        <v>0</v>
      </c>
      <c r="Z3497" s="64">
        <f t="shared" si="329"/>
        <v>0</v>
      </c>
    </row>
    <row r="3498" spans="1:26">
      <c r="A3498" s="89" t="str">
        <f t="shared" si="324"/>
        <v/>
      </c>
      <c r="B3498" s="89" t="str">
        <f t="shared" si="325"/>
        <v/>
      </c>
      <c r="S3498" s="89" t="str">
        <f t="shared" si="326"/>
        <v/>
      </c>
      <c r="X3498" s="64">
        <f t="shared" si="327"/>
        <v>0</v>
      </c>
      <c r="Y3498" s="53">
        <f t="shared" si="328"/>
        <v>0</v>
      </c>
      <c r="Z3498" s="64">
        <f t="shared" si="329"/>
        <v>0</v>
      </c>
    </row>
    <row r="3499" spans="1:26">
      <c r="A3499" s="89" t="str">
        <f t="shared" si="324"/>
        <v/>
      </c>
      <c r="B3499" s="89" t="str">
        <f t="shared" si="325"/>
        <v/>
      </c>
      <c r="S3499" s="89" t="str">
        <f t="shared" si="326"/>
        <v/>
      </c>
      <c r="X3499" s="64">
        <f t="shared" si="327"/>
        <v>0</v>
      </c>
      <c r="Y3499" s="53">
        <f t="shared" si="328"/>
        <v>0</v>
      </c>
      <c r="Z3499" s="64">
        <f t="shared" si="329"/>
        <v>0</v>
      </c>
    </row>
    <row r="3500" spans="1:26">
      <c r="A3500" s="89" t="str">
        <f t="shared" si="324"/>
        <v/>
      </c>
      <c r="B3500" s="89" t="str">
        <f t="shared" si="325"/>
        <v/>
      </c>
      <c r="S3500" s="89" t="str">
        <f t="shared" si="326"/>
        <v/>
      </c>
      <c r="X3500" s="64">
        <f t="shared" si="327"/>
        <v>0</v>
      </c>
      <c r="Y3500" s="53">
        <f t="shared" si="328"/>
        <v>0</v>
      </c>
      <c r="Z3500" s="64">
        <f t="shared" si="329"/>
        <v>0</v>
      </c>
    </row>
    <row r="3501" spans="1:26">
      <c r="A3501" s="89" t="str">
        <f t="shared" si="324"/>
        <v/>
      </c>
      <c r="B3501" s="89" t="str">
        <f t="shared" si="325"/>
        <v/>
      </c>
      <c r="S3501" s="89" t="str">
        <f t="shared" si="326"/>
        <v/>
      </c>
      <c r="X3501" s="64">
        <f t="shared" si="327"/>
        <v>0</v>
      </c>
      <c r="Y3501" s="53">
        <f t="shared" si="328"/>
        <v>0</v>
      </c>
      <c r="Z3501" s="64">
        <f t="shared" si="329"/>
        <v>0</v>
      </c>
    </row>
    <row r="3502" spans="1:26">
      <c r="A3502" s="89" t="str">
        <f t="shared" si="324"/>
        <v/>
      </c>
      <c r="B3502" s="89" t="str">
        <f t="shared" si="325"/>
        <v/>
      </c>
      <c r="S3502" s="89" t="str">
        <f t="shared" si="326"/>
        <v/>
      </c>
      <c r="X3502" s="64">
        <f t="shared" si="327"/>
        <v>0</v>
      </c>
      <c r="Y3502" s="53">
        <f t="shared" si="328"/>
        <v>0</v>
      </c>
      <c r="Z3502" s="64">
        <f t="shared" si="329"/>
        <v>0</v>
      </c>
    </row>
    <row r="3503" spans="1:26">
      <c r="A3503" s="89" t="str">
        <f t="shared" si="324"/>
        <v/>
      </c>
      <c r="B3503" s="89" t="str">
        <f t="shared" si="325"/>
        <v/>
      </c>
      <c r="S3503" s="89" t="str">
        <f t="shared" si="326"/>
        <v/>
      </c>
      <c r="X3503" s="64">
        <f t="shared" si="327"/>
        <v>0</v>
      </c>
      <c r="Y3503" s="53">
        <f t="shared" si="328"/>
        <v>0</v>
      </c>
      <c r="Z3503" s="64">
        <f t="shared" si="329"/>
        <v>0</v>
      </c>
    </row>
    <row r="3504" spans="1:26">
      <c r="A3504" s="89" t="str">
        <f t="shared" si="324"/>
        <v/>
      </c>
      <c r="B3504" s="89" t="str">
        <f t="shared" si="325"/>
        <v/>
      </c>
      <c r="S3504" s="89" t="str">
        <f t="shared" si="326"/>
        <v/>
      </c>
      <c r="X3504" s="64">
        <f t="shared" si="327"/>
        <v>0</v>
      </c>
      <c r="Y3504" s="53">
        <f t="shared" si="328"/>
        <v>0</v>
      </c>
      <c r="Z3504" s="64">
        <f t="shared" si="329"/>
        <v>0</v>
      </c>
    </row>
    <row r="3505" spans="1:26">
      <c r="A3505" s="89" t="str">
        <f t="shared" si="324"/>
        <v/>
      </c>
      <c r="B3505" s="89" t="str">
        <f t="shared" si="325"/>
        <v/>
      </c>
      <c r="S3505" s="89" t="str">
        <f t="shared" si="326"/>
        <v/>
      </c>
      <c r="X3505" s="64">
        <f t="shared" si="327"/>
        <v>0</v>
      </c>
      <c r="Y3505" s="53">
        <f t="shared" si="328"/>
        <v>0</v>
      </c>
      <c r="Z3505" s="64">
        <f t="shared" si="329"/>
        <v>0</v>
      </c>
    </row>
    <row r="3506" spans="1:26">
      <c r="A3506" s="89" t="str">
        <f t="shared" si="324"/>
        <v/>
      </c>
      <c r="B3506" s="89" t="str">
        <f t="shared" si="325"/>
        <v/>
      </c>
      <c r="S3506" s="89" t="str">
        <f t="shared" si="326"/>
        <v/>
      </c>
      <c r="X3506" s="64">
        <f t="shared" si="327"/>
        <v>0</v>
      </c>
      <c r="Y3506" s="53">
        <f t="shared" si="328"/>
        <v>0</v>
      </c>
      <c r="Z3506" s="64">
        <f t="shared" si="329"/>
        <v>0</v>
      </c>
    </row>
    <row r="3507" spans="1:26">
      <c r="A3507" s="89" t="str">
        <f t="shared" si="324"/>
        <v/>
      </c>
      <c r="B3507" s="89" t="str">
        <f t="shared" si="325"/>
        <v/>
      </c>
      <c r="S3507" s="89" t="str">
        <f t="shared" si="326"/>
        <v/>
      </c>
      <c r="X3507" s="64">
        <f t="shared" si="327"/>
        <v>0</v>
      </c>
      <c r="Y3507" s="53">
        <f t="shared" si="328"/>
        <v>0</v>
      </c>
      <c r="Z3507" s="64">
        <f t="shared" si="329"/>
        <v>0</v>
      </c>
    </row>
    <row r="3508" spans="1:26">
      <c r="A3508" s="89" t="str">
        <f t="shared" si="324"/>
        <v/>
      </c>
      <c r="B3508" s="89" t="str">
        <f t="shared" si="325"/>
        <v/>
      </c>
      <c r="S3508" s="89" t="str">
        <f t="shared" si="326"/>
        <v/>
      </c>
      <c r="X3508" s="64">
        <f t="shared" si="327"/>
        <v>0</v>
      </c>
      <c r="Y3508" s="53">
        <f t="shared" si="328"/>
        <v>0</v>
      </c>
      <c r="Z3508" s="64">
        <f t="shared" si="329"/>
        <v>0</v>
      </c>
    </row>
    <row r="3509" spans="1:26">
      <c r="A3509" s="89" t="str">
        <f t="shared" si="324"/>
        <v/>
      </c>
      <c r="B3509" s="89" t="str">
        <f t="shared" si="325"/>
        <v/>
      </c>
      <c r="S3509" s="89" t="str">
        <f t="shared" si="326"/>
        <v/>
      </c>
      <c r="X3509" s="64">
        <f t="shared" si="327"/>
        <v>0</v>
      </c>
      <c r="Y3509" s="53">
        <f t="shared" si="328"/>
        <v>0</v>
      </c>
      <c r="Z3509" s="64">
        <f t="shared" si="329"/>
        <v>0</v>
      </c>
    </row>
    <row r="3510" spans="1:26">
      <c r="A3510" s="89" t="str">
        <f t="shared" si="324"/>
        <v/>
      </c>
      <c r="B3510" s="89" t="str">
        <f t="shared" si="325"/>
        <v/>
      </c>
      <c r="S3510" s="89" t="str">
        <f t="shared" si="326"/>
        <v/>
      </c>
      <c r="X3510" s="64">
        <f t="shared" si="327"/>
        <v>0</v>
      </c>
      <c r="Y3510" s="53">
        <f t="shared" si="328"/>
        <v>0</v>
      </c>
      <c r="Z3510" s="64">
        <f t="shared" si="329"/>
        <v>0</v>
      </c>
    </row>
    <row r="3511" spans="1:26">
      <c r="A3511" s="89" t="str">
        <f t="shared" si="324"/>
        <v/>
      </c>
      <c r="B3511" s="89" t="str">
        <f t="shared" si="325"/>
        <v/>
      </c>
      <c r="S3511" s="89" t="str">
        <f t="shared" si="326"/>
        <v/>
      </c>
      <c r="X3511" s="64">
        <f t="shared" si="327"/>
        <v>0</v>
      </c>
      <c r="Y3511" s="53">
        <f t="shared" si="328"/>
        <v>0</v>
      </c>
      <c r="Z3511" s="64">
        <f t="shared" si="329"/>
        <v>0</v>
      </c>
    </row>
    <row r="3512" spans="1:26">
      <c r="A3512" s="89" t="str">
        <f t="shared" si="324"/>
        <v/>
      </c>
      <c r="B3512" s="89" t="str">
        <f t="shared" si="325"/>
        <v/>
      </c>
      <c r="S3512" s="89" t="str">
        <f t="shared" si="326"/>
        <v/>
      </c>
      <c r="X3512" s="64">
        <f t="shared" si="327"/>
        <v>0</v>
      </c>
      <c r="Y3512" s="53">
        <f t="shared" si="328"/>
        <v>0</v>
      </c>
      <c r="Z3512" s="64">
        <f t="shared" si="329"/>
        <v>0</v>
      </c>
    </row>
    <row r="3513" spans="1:26">
      <c r="A3513" s="89" t="str">
        <f t="shared" si="324"/>
        <v/>
      </c>
      <c r="B3513" s="89" t="str">
        <f t="shared" si="325"/>
        <v/>
      </c>
      <c r="S3513" s="89" t="str">
        <f t="shared" si="326"/>
        <v/>
      </c>
      <c r="X3513" s="64">
        <f t="shared" si="327"/>
        <v>0</v>
      </c>
      <c r="Y3513" s="53">
        <f t="shared" si="328"/>
        <v>0</v>
      </c>
      <c r="Z3513" s="64">
        <f t="shared" si="329"/>
        <v>0</v>
      </c>
    </row>
    <row r="3514" spans="1:26">
      <c r="A3514" s="89" t="str">
        <f t="shared" si="324"/>
        <v/>
      </c>
      <c r="B3514" s="89" t="str">
        <f t="shared" si="325"/>
        <v/>
      </c>
      <c r="S3514" s="89" t="str">
        <f t="shared" si="326"/>
        <v/>
      </c>
      <c r="X3514" s="64">
        <f t="shared" si="327"/>
        <v>0</v>
      </c>
      <c r="Y3514" s="53">
        <f t="shared" si="328"/>
        <v>0</v>
      </c>
      <c r="Z3514" s="64">
        <f t="shared" si="329"/>
        <v>0</v>
      </c>
    </row>
    <row r="3515" spans="1:26">
      <c r="A3515" s="89" t="str">
        <f t="shared" si="324"/>
        <v/>
      </c>
      <c r="B3515" s="89" t="str">
        <f t="shared" si="325"/>
        <v/>
      </c>
      <c r="S3515" s="89" t="str">
        <f t="shared" si="326"/>
        <v/>
      </c>
      <c r="X3515" s="64">
        <f t="shared" si="327"/>
        <v>0</v>
      </c>
      <c r="Y3515" s="53">
        <f t="shared" si="328"/>
        <v>0</v>
      </c>
      <c r="Z3515" s="64">
        <f t="shared" si="329"/>
        <v>0</v>
      </c>
    </row>
    <row r="3516" spans="1:26">
      <c r="A3516" s="89" t="str">
        <f t="shared" si="324"/>
        <v/>
      </c>
      <c r="B3516" s="89" t="str">
        <f t="shared" si="325"/>
        <v/>
      </c>
      <c r="S3516" s="89" t="str">
        <f t="shared" si="326"/>
        <v/>
      </c>
      <c r="X3516" s="64">
        <f t="shared" si="327"/>
        <v>0</v>
      </c>
      <c r="Y3516" s="53">
        <f t="shared" si="328"/>
        <v>0</v>
      </c>
      <c r="Z3516" s="64">
        <f t="shared" si="329"/>
        <v>0</v>
      </c>
    </row>
    <row r="3517" spans="1:26">
      <c r="A3517" s="89" t="str">
        <f t="shared" si="324"/>
        <v/>
      </c>
      <c r="B3517" s="89" t="str">
        <f t="shared" si="325"/>
        <v/>
      </c>
      <c r="S3517" s="89" t="str">
        <f t="shared" si="326"/>
        <v/>
      </c>
      <c r="X3517" s="64">
        <f t="shared" si="327"/>
        <v>0</v>
      </c>
      <c r="Y3517" s="53">
        <f t="shared" si="328"/>
        <v>0</v>
      </c>
      <c r="Z3517" s="64">
        <f t="shared" si="329"/>
        <v>0</v>
      </c>
    </row>
    <row r="3518" spans="1:26">
      <c r="A3518" s="89" t="str">
        <f t="shared" si="324"/>
        <v/>
      </c>
      <c r="B3518" s="89" t="str">
        <f t="shared" si="325"/>
        <v/>
      </c>
      <c r="S3518" s="89" t="str">
        <f t="shared" si="326"/>
        <v/>
      </c>
      <c r="X3518" s="64">
        <f t="shared" si="327"/>
        <v>0</v>
      </c>
      <c r="Y3518" s="53">
        <f t="shared" si="328"/>
        <v>0</v>
      </c>
      <c r="Z3518" s="64">
        <f t="shared" si="329"/>
        <v>0</v>
      </c>
    </row>
    <row r="3519" spans="1:26">
      <c r="A3519" s="89" t="str">
        <f t="shared" si="324"/>
        <v/>
      </c>
      <c r="B3519" s="89" t="str">
        <f t="shared" si="325"/>
        <v/>
      </c>
      <c r="S3519" s="89" t="str">
        <f t="shared" si="326"/>
        <v/>
      </c>
      <c r="X3519" s="64">
        <f t="shared" si="327"/>
        <v>0</v>
      </c>
      <c r="Y3519" s="53">
        <f t="shared" si="328"/>
        <v>0</v>
      </c>
      <c r="Z3519" s="64">
        <f t="shared" si="329"/>
        <v>0</v>
      </c>
    </row>
    <row r="3520" spans="1:26">
      <c r="A3520" s="89" t="str">
        <f t="shared" si="324"/>
        <v/>
      </c>
      <c r="B3520" s="89" t="str">
        <f t="shared" si="325"/>
        <v/>
      </c>
      <c r="S3520" s="89" t="str">
        <f t="shared" si="326"/>
        <v/>
      </c>
      <c r="X3520" s="64">
        <f t="shared" si="327"/>
        <v>0</v>
      </c>
      <c r="Y3520" s="53">
        <f t="shared" si="328"/>
        <v>0</v>
      </c>
      <c r="Z3520" s="64">
        <f t="shared" si="329"/>
        <v>0</v>
      </c>
    </row>
    <row r="3521" spans="1:26">
      <c r="A3521" s="89" t="str">
        <f t="shared" si="324"/>
        <v/>
      </c>
      <c r="B3521" s="89" t="str">
        <f t="shared" si="325"/>
        <v/>
      </c>
      <c r="S3521" s="89" t="str">
        <f t="shared" si="326"/>
        <v/>
      </c>
      <c r="X3521" s="64">
        <f t="shared" si="327"/>
        <v>0</v>
      </c>
      <c r="Y3521" s="53">
        <f t="shared" si="328"/>
        <v>0</v>
      </c>
      <c r="Z3521" s="64">
        <f t="shared" si="329"/>
        <v>0</v>
      </c>
    </row>
    <row r="3522" spans="1:26">
      <c r="A3522" s="89" t="str">
        <f t="shared" si="324"/>
        <v/>
      </c>
      <c r="B3522" s="89" t="str">
        <f t="shared" si="325"/>
        <v/>
      </c>
      <c r="S3522" s="89" t="str">
        <f t="shared" si="326"/>
        <v/>
      </c>
      <c r="X3522" s="64">
        <f t="shared" si="327"/>
        <v>0</v>
      </c>
      <c r="Y3522" s="53">
        <f t="shared" si="328"/>
        <v>0</v>
      </c>
      <c r="Z3522" s="64">
        <f t="shared" si="329"/>
        <v>0</v>
      </c>
    </row>
    <row r="3523" spans="1:26">
      <c r="A3523" s="89" t="str">
        <f t="shared" ref="A3523:A3586" si="330">IF(G3523&amp;Q3523&lt;&gt;"",G3523&amp;Q3523,"")</f>
        <v/>
      </c>
      <c r="B3523" s="89" t="str">
        <f t="shared" ref="B3523:B3586" si="331">IF(C3523&lt;&gt;"",LEFT(C3523,9),"")</f>
        <v/>
      </c>
      <c r="S3523" s="89" t="str">
        <f t="shared" ref="S3523:S3586" si="332">IF(H3523&lt;&gt;"",H3523,"")</f>
        <v/>
      </c>
      <c r="X3523" s="64">
        <f t="shared" ref="X3523:X3586" si="333">IFERROR(VALUE(MID($C3523,1,2)),0)</f>
        <v>0</v>
      </c>
      <c r="Y3523" s="53">
        <f t="shared" ref="Y3523:Y3586" si="334">IFERROR(VALUE(MID($C3523,4,3)),0)</f>
        <v>0</v>
      </c>
      <c r="Z3523" s="64">
        <f t="shared" ref="Z3523:Z3586" si="335">VALUE(RIGHT("00"&amp;X3523,2)&amp;RIGHT("000"&amp;Y3523,3))</f>
        <v>0</v>
      </c>
    </row>
    <row r="3524" spans="1:26">
      <c r="A3524" s="89" t="str">
        <f t="shared" si="330"/>
        <v/>
      </c>
      <c r="B3524" s="89" t="str">
        <f t="shared" si="331"/>
        <v/>
      </c>
      <c r="S3524" s="89" t="str">
        <f t="shared" si="332"/>
        <v/>
      </c>
      <c r="X3524" s="64">
        <f t="shared" si="333"/>
        <v>0</v>
      </c>
      <c r="Y3524" s="53">
        <f t="shared" si="334"/>
        <v>0</v>
      </c>
      <c r="Z3524" s="64">
        <f t="shared" si="335"/>
        <v>0</v>
      </c>
    </row>
    <row r="3525" spans="1:26">
      <c r="A3525" s="89" t="str">
        <f t="shared" si="330"/>
        <v/>
      </c>
      <c r="B3525" s="89" t="str">
        <f t="shared" si="331"/>
        <v/>
      </c>
      <c r="S3525" s="89" t="str">
        <f t="shared" si="332"/>
        <v/>
      </c>
      <c r="X3525" s="64">
        <f t="shared" si="333"/>
        <v>0</v>
      </c>
      <c r="Y3525" s="53">
        <f t="shared" si="334"/>
        <v>0</v>
      </c>
      <c r="Z3525" s="64">
        <f t="shared" si="335"/>
        <v>0</v>
      </c>
    </row>
    <row r="3526" spans="1:26">
      <c r="A3526" s="89" t="str">
        <f t="shared" si="330"/>
        <v/>
      </c>
      <c r="B3526" s="89" t="str">
        <f t="shared" si="331"/>
        <v/>
      </c>
      <c r="S3526" s="89" t="str">
        <f t="shared" si="332"/>
        <v/>
      </c>
      <c r="X3526" s="64">
        <f t="shared" si="333"/>
        <v>0</v>
      </c>
      <c r="Y3526" s="53">
        <f t="shared" si="334"/>
        <v>0</v>
      </c>
      <c r="Z3526" s="64">
        <f t="shared" si="335"/>
        <v>0</v>
      </c>
    </row>
    <row r="3527" spans="1:26">
      <c r="A3527" s="89" t="str">
        <f t="shared" si="330"/>
        <v/>
      </c>
      <c r="B3527" s="89" t="str">
        <f t="shared" si="331"/>
        <v/>
      </c>
      <c r="S3527" s="89" t="str">
        <f t="shared" si="332"/>
        <v/>
      </c>
      <c r="X3527" s="64">
        <f t="shared" si="333"/>
        <v>0</v>
      </c>
      <c r="Y3527" s="53">
        <f t="shared" si="334"/>
        <v>0</v>
      </c>
      <c r="Z3527" s="64">
        <f t="shared" si="335"/>
        <v>0</v>
      </c>
    </row>
    <row r="3528" spans="1:26">
      <c r="A3528" s="89" t="str">
        <f t="shared" si="330"/>
        <v/>
      </c>
      <c r="B3528" s="89" t="str">
        <f t="shared" si="331"/>
        <v/>
      </c>
      <c r="S3528" s="89" t="str">
        <f t="shared" si="332"/>
        <v/>
      </c>
      <c r="X3528" s="64">
        <f t="shared" si="333"/>
        <v>0</v>
      </c>
      <c r="Y3528" s="53">
        <f t="shared" si="334"/>
        <v>0</v>
      </c>
      <c r="Z3528" s="64">
        <f t="shared" si="335"/>
        <v>0</v>
      </c>
    </row>
    <row r="3529" spans="1:26">
      <c r="A3529" s="89" t="str">
        <f t="shared" si="330"/>
        <v/>
      </c>
      <c r="B3529" s="89" t="str">
        <f t="shared" si="331"/>
        <v/>
      </c>
      <c r="S3529" s="89" t="str">
        <f t="shared" si="332"/>
        <v/>
      </c>
      <c r="X3529" s="64">
        <f t="shared" si="333"/>
        <v>0</v>
      </c>
      <c r="Y3529" s="53">
        <f t="shared" si="334"/>
        <v>0</v>
      </c>
      <c r="Z3529" s="64">
        <f t="shared" si="335"/>
        <v>0</v>
      </c>
    </row>
    <row r="3530" spans="1:26">
      <c r="A3530" s="89" t="str">
        <f t="shared" si="330"/>
        <v/>
      </c>
      <c r="B3530" s="89" t="str">
        <f t="shared" si="331"/>
        <v/>
      </c>
      <c r="S3530" s="89" t="str">
        <f t="shared" si="332"/>
        <v/>
      </c>
      <c r="X3530" s="64">
        <f t="shared" si="333"/>
        <v>0</v>
      </c>
      <c r="Y3530" s="53">
        <f t="shared" si="334"/>
        <v>0</v>
      </c>
      <c r="Z3530" s="64">
        <f t="shared" si="335"/>
        <v>0</v>
      </c>
    </row>
    <row r="3531" spans="1:26">
      <c r="A3531" s="89" t="str">
        <f t="shared" si="330"/>
        <v/>
      </c>
      <c r="B3531" s="89" t="str">
        <f t="shared" si="331"/>
        <v/>
      </c>
      <c r="S3531" s="89" t="str">
        <f t="shared" si="332"/>
        <v/>
      </c>
      <c r="X3531" s="64">
        <f t="shared" si="333"/>
        <v>0</v>
      </c>
      <c r="Y3531" s="53">
        <f t="shared" si="334"/>
        <v>0</v>
      </c>
      <c r="Z3531" s="64">
        <f t="shared" si="335"/>
        <v>0</v>
      </c>
    </row>
    <row r="3532" spans="1:26">
      <c r="A3532" s="89" t="str">
        <f t="shared" si="330"/>
        <v/>
      </c>
      <c r="B3532" s="89" t="str">
        <f t="shared" si="331"/>
        <v/>
      </c>
      <c r="S3532" s="89" t="str">
        <f t="shared" si="332"/>
        <v/>
      </c>
      <c r="X3532" s="64">
        <f t="shared" si="333"/>
        <v>0</v>
      </c>
      <c r="Y3532" s="53">
        <f t="shared" si="334"/>
        <v>0</v>
      </c>
      <c r="Z3532" s="64">
        <f t="shared" si="335"/>
        <v>0</v>
      </c>
    </row>
    <row r="3533" spans="1:26">
      <c r="A3533" s="89" t="str">
        <f t="shared" si="330"/>
        <v/>
      </c>
      <c r="B3533" s="89" t="str">
        <f t="shared" si="331"/>
        <v/>
      </c>
      <c r="S3533" s="89" t="str">
        <f t="shared" si="332"/>
        <v/>
      </c>
      <c r="X3533" s="64">
        <f t="shared" si="333"/>
        <v>0</v>
      </c>
      <c r="Y3533" s="53">
        <f t="shared" si="334"/>
        <v>0</v>
      </c>
      <c r="Z3533" s="64">
        <f t="shared" si="335"/>
        <v>0</v>
      </c>
    </row>
    <row r="3534" spans="1:26">
      <c r="A3534" s="89" t="str">
        <f t="shared" si="330"/>
        <v/>
      </c>
      <c r="B3534" s="89" t="str">
        <f t="shared" si="331"/>
        <v/>
      </c>
      <c r="S3534" s="89" t="str">
        <f t="shared" si="332"/>
        <v/>
      </c>
      <c r="X3534" s="64">
        <f t="shared" si="333"/>
        <v>0</v>
      </c>
      <c r="Y3534" s="53">
        <f t="shared" si="334"/>
        <v>0</v>
      </c>
      <c r="Z3534" s="64">
        <f t="shared" si="335"/>
        <v>0</v>
      </c>
    </row>
    <row r="3535" spans="1:26">
      <c r="A3535" s="89" t="str">
        <f t="shared" si="330"/>
        <v/>
      </c>
      <c r="B3535" s="89" t="str">
        <f t="shared" si="331"/>
        <v/>
      </c>
      <c r="S3535" s="89" t="str">
        <f t="shared" si="332"/>
        <v/>
      </c>
      <c r="X3535" s="64">
        <f t="shared" si="333"/>
        <v>0</v>
      </c>
      <c r="Y3535" s="53">
        <f t="shared" si="334"/>
        <v>0</v>
      </c>
      <c r="Z3535" s="64">
        <f t="shared" si="335"/>
        <v>0</v>
      </c>
    </row>
    <row r="3536" spans="1:26">
      <c r="A3536" s="89" t="str">
        <f t="shared" si="330"/>
        <v/>
      </c>
      <c r="B3536" s="89" t="str">
        <f t="shared" si="331"/>
        <v/>
      </c>
      <c r="S3536" s="89" t="str">
        <f t="shared" si="332"/>
        <v/>
      </c>
      <c r="X3536" s="64">
        <f t="shared" si="333"/>
        <v>0</v>
      </c>
      <c r="Y3536" s="53">
        <f t="shared" si="334"/>
        <v>0</v>
      </c>
      <c r="Z3536" s="64">
        <f t="shared" si="335"/>
        <v>0</v>
      </c>
    </row>
    <row r="3537" spans="1:26">
      <c r="A3537" s="89" t="str">
        <f t="shared" si="330"/>
        <v/>
      </c>
      <c r="B3537" s="89" t="str">
        <f t="shared" si="331"/>
        <v/>
      </c>
      <c r="S3537" s="89" t="str">
        <f t="shared" si="332"/>
        <v/>
      </c>
      <c r="X3537" s="64">
        <f t="shared" si="333"/>
        <v>0</v>
      </c>
      <c r="Y3537" s="53">
        <f t="shared" si="334"/>
        <v>0</v>
      </c>
      <c r="Z3537" s="64">
        <f t="shared" si="335"/>
        <v>0</v>
      </c>
    </row>
    <row r="3538" spans="1:26">
      <c r="A3538" s="89" t="str">
        <f t="shared" si="330"/>
        <v/>
      </c>
      <c r="B3538" s="89" t="str">
        <f t="shared" si="331"/>
        <v/>
      </c>
      <c r="S3538" s="89" t="str">
        <f t="shared" si="332"/>
        <v/>
      </c>
      <c r="X3538" s="64">
        <f t="shared" si="333"/>
        <v>0</v>
      </c>
      <c r="Y3538" s="53">
        <f t="shared" si="334"/>
        <v>0</v>
      </c>
      <c r="Z3538" s="64">
        <f t="shared" si="335"/>
        <v>0</v>
      </c>
    </row>
    <row r="3539" spans="1:26">
      <c r="A3539" s="89" t="str">
        <f t="shared" si="330"/>
        <v/>
      </c>
      <c r="B3539" s="89" t="str">
        <f t="shared" si="331"/>
        <v/>
      </c>
      <c r="S3539" s="89" t="str">
        <f t="shared" si="332"/>
        <v/>
      </c>
      <c r="X3539" s="64">
        <f t="shared" si="333"/>
        <v>0</v>
      </c>
      <c r="Y3539" s="53">
        <f t="shared" si="334"/>
        <v>0</v>
      </c>
      <c r="Z3539" s="64">
        <f t="shared" si="335"/>
        <v>0</v>
      </c>
    </row>
    <row r="3540" spans="1:26">
      <c r="A3540" s="89" t="str">
        <f t="shared" si="330"/>
        <v/>
      </c>
      <c r="B3540" s="89" t="str">
        <f t="shared" si="331"/>
        <v/>
      </c>
      <c r="S3540" s="89" t="str">
        <f t="shared" si="332"/>
        <v/>
      </c>
      <c r="X3540" s="64">
        <f t="shared" si="333"/>
        <v>0</v>
      </c>
      <c r="Y3540" s="53">
        <f t="shared" si="334"/>
        <v>0</v>
      </c>
      <c r="Z3540" s="64">
        <f t="shared" si="335"/>
        <v>0</v>
      </c>
    </row>
    <row r="3541" spans="1:26">
      <c r="A3541" s="89" t="str">
        <f t="shared" si="330"/>
        <v/>
      </c>
      <c r="B3541" s="89" t="str">
        <f t="shared" si="331"/>
        <v/>
      </c>
      <c r="S3541" s="89" t="str">
        <f t="shared" si="332"/>
        <v/>
      </c>
      <c r="X3541" s="64">
        <f t="shared" si="333"/>
        <v>0</v>
      </c>
      <c r="Y3541" s="53">
        <f t="shared" si="334"/>
        <v>0</v>
      </c>
      <c r="Z3541" s="64">
        <f t="shared" si="335"/>
        <v>0</v>
      </c>
    </row>
    <row r="3542" spans="1:26">
      <c r="A3542" s="89" t="str">
        <f t="shared" si="330"/>
        <v/>
      </c>
      <c r="B3542" s="89" t="str">
        <f t="shared" si="331"/>
        <v/>
      </c>
      <c r="S3542" s="89" t="str">
        <f t="shared" si="332"/>
        <v/>
      </c>
      <c r="X3542" s="64">
        <f t="shared" si="333"/>
        <v>0</v>
      </c>
      <c r="Y3542" s="53">
        <f t="shared" si="334"/>
        <v>0</v>
      </c>
      <c r="Z3542" s="64">
        <f t="shared" si="335"/>
        <v>0</v>
      </c>
    </row>
    <row r="3543" spans="1:26">
      <c r="A3543" s="89" t="str">
        <f t="shared" si="330"/>
        <v/>
      </c>
      <c r="B3543" s="89" t="str">
        <f t="shared" si="331"/>
        <v/>
      </c>
      <c r="S3543" s="89" t="str">
        <f t="shared" si="332"/>
        <v/>
      </c>
      <c r="X3543" s="64">
        <f t="shared" si="333"/>
        <v>0</v>
      </c>
      <c r="Y3543" s="53">
        <f t="shared" si="334"/>
        <v>0</v>
      </c>
      <c r="Z3543" s="64">
        <f t="shared" si="335"/>
        <v>0</v>
      </c>
    </row>
    <row r="3544" spans="1:26">
      <c r="A3544" s="89" t="str">
        <f t="shared" si="330"/>
        <v/>
      </c>
      <c r="B3544" s="89" t="str">
        <f t="shared" si="331"/>
        <v/>
      </c>
      <c r="S3544" s="89" t="str">
        <f t="shared" si="332"/>
        <v/>
      </c>
      <c r="X3544" s="64">
        <f t="shared" si="333"/>
        <v>0</v>
      </c>
      <c r="Y3544" s="53">
        <f t="shared" si="334"/>
        <v>0</v>
      </c>
      <c r="Z3544" s="64">
        <f t="shared" si="335"/>
        <v>0</v>
      </c>
    </row>
    <row r="3545" spans="1:26">
      <c r="A3545" s="89" t="str">
        <f t="shared" si="330"/>
        <v/>
      </c>
      <c r="B3545" s="89" t="str">
        <f t="shared" si="331"/>
        <v/>
      </c>
      <c r="S3545" s="89" t="str">
        <f t="shared" si="332"/>
        <v/>
      </c>
      <c r="X3545" s="64">
        <f t="shared" si="333"/>
        <v>0</v>
      </c>
      <c r="Y3545" s="53">
        <f t="shared" si="334"/>
        <v>0</v>
      </c>
      <c r="Z3545" s="64">
        <f t="shared" si="335"/>
        <v>0</v>
      </c>
    </row>
    <row r="3546" spans="1:26">
      <c r="A3546" s="89" t="str">
        <f t="shared" si="330"/>
        <v/>
      </c>
      <c r="B3546" s="89" t="str">
        <f t="shared" si="331"/>
        <v/>
      </c>
      <c r="S3546" s="89" t="str">
        <f t="shared" si="332"/>
        <v/>
      </c>
      <c r="X3546" s="64">
        <f t="shared" si="333"/>
        <v>0</v>
      </c>
      <c r="Y3546" s="53">
        <f t="shared" si="334"/>
        <v>0</v>
      </c>
      <c r="Z3546" s="64">
        <f t="shared" si="335"/>
        <v>0</v>
      </c>
    </row>
    <row r="3547" spans="1:26">
      <c r="A3547" s="89" t="str">
        <f t="shared" si="330"/>
        <v/>
      </c>
      <c r="B3547" s="89" t="str">
        <f t="shared" si="331"/>
        <v/>
      </c>
      <c r="S3547" s="89" t="str">
        <f t="shared" si="332"/>
        <v/>
      </c>
      <c r="X3547" s="64">
        <f t="shared" si="333"/>
        <v>0</v>
      </c>
      <c r="Y3547" s="53">
        <f t="shared" si="334"/>
        <v>0</v>
      </c>
      <c r="Z3547" s="64">
        <f t="shared" si="335"/>
        <v>0</v>
      </c>
    </row>
    <row r="3548" spans="1:26">
      <c r="A3548" s="89" t="str">
        <f t="shared" si="330"/>
        <v/>
      </c>
      <c r="B3548" s="89" t="str">
        <f t="shared" si="331"/>
        <v/>
      </c>
      <c r="S3548" s="89" t="str">
        <f t="shared" si="332"/>
        <v/>
      </c>
      <c r="X3548" s="64">
        <f t="shared" si="333"/>
        <v>0</v>
      </c>
      <c r="Y3548" s="53">
        <f t="shared" si="334"/>
        <v>0</v>
      </c>
      <c r="Z3548" s="64">
        <f t="shared" si="335"/>
        <v>0</v>
      </c>
    </row>
    <row r="3549" spans="1:26">
      <c r="A3549" s="89" t="str">
        <f t="shared" si="330"/>
        <v/>
      </c>
      <c r="B3549" s="89" t="str">
        <f t="shared" si="331"/>
        <v/>
      </c>
      <c r="S3549" s="89" t="str">
        <f t="shared" si="332"/>
        <v/>
      </c>
      <c r="X3549" s="64">
        <f t="shared" si="333"/>
        <v>0</v>
      </c>
      <c r="Y3549" s="53">
        <f t="shared" si="334"/>
        <v>0</v>
      </c>
      <c r="Z3549" s="64">
        <f t="shared" si="335"/>
        <v>0</v>
      </c>
    </row>
    <row r="3550" spans="1:26">
      <c r="A3550" s="89" t="str">
        <f t="shared" si="330"/>
        <v/>
      </c>
      <c r="B3550" s="89" t="str">
        <f t="shared" si="331"/>
        <v/>
      </c>
      <c r="S3550" s="89" t="str">
        <f t="shared" si="332"/>
        <v/>
      </c>
      <c r="X3550" s="64">
        <f t="shared" si="333"/>
        <v>0</v>
      </c>
      <c r="Y3550" s="53">
        <f t="shared" si="334"/>
        <v>0</v>
      </c>
      <c r="Z3550" s="64">
        <f t="shared" si="335"/>
        <v>0</v>
      </c>
    </row>
    <row r="3551" spans="1:26">
      <c r="A3551" s="89" t="str">
        <f t="shared" si="330"/>
        <v/>
      </c>
      <c r="B3551" s="89" t="str">
        <f t="shared" si="331"/>
        <v/>
      </c>
      <c r="S3551" s="89" t="str">
        <f t="shared" si="332"/>
        <v/>
      </c>
      <c r="X3551" s="64">
        <f t="shared" si="333"/>
        <v>0</v>
      </c>
      <c r="Y3551" s="53">
        <f t="shared" si="334"/>
        <v>0</v>
      </c>
      <c r="Z3551" s="64">
        <f t="shared" si="335"/>
        <v>0</v>
      </c>
    </row>
    <row r="3552" spans="1:26">
      <c r="A3552" s="89" t="str">
        <f t="shared" si="330"/>
        <v/>
      </c>
      <c r="B3552" s="89" t="str">
        <f t="shared" si="331"/>
        <v/>
      </c>
      <c r="S3552" s="89" t="str">
        <f t="shared" si="332"/>
        <v/>
      </c>
      <c r="X3552" s="64">
        <f t="shared" si="333"/>
        <v>0</v>
      </c>
      <c r="Y3552" s="53">
        <f t="shared" si="334"/>
        <v>0</v>
      </c>
      <c r="Z3552" s="64">
        <f t="shared" si="335"/>
        <v>0</v>
      </c>
    </row>
    <row r="3553" spans="1:26">
      <c r="A3553" s="89" t="str">
        <f t="shared" si="330"/>
        <v/>
      </c>
      <c r="B3553" s="89" t="str">
        <f t="shared" si="331"/>
        <v/>
      </c>
      <c r="S3553" s="89" t="str">
        <f t="shared" si="332"/>
        <v/>
      </c>
      <c r="X3553" s="64">
        <f t="shared" si="333"/>
        <v>0</v>
      </c>
      <c r="Y3553" s="53">
        <f t="shared" si="334"/>
        <v>0</v>
      </c>
      <c r="Z3553" s="64">
        <f t="shared" si="335"/>
        <v>0</v>
      </c>
    </row>
    <row r="3554" spans="1:26">
      <c r="A3554" s="89" t="str">
        <f t="shared" si="330"/>
        <v/>
      </c>
      <c r="B3554" s="89" t="str">
        <f t="shared" si="331"/>
        <v/>
      </c>
      <c r="S3554" s="89" t="str">
        <f t="shared" si="332"/>
        <v/>
      </c>
      <c r="X3554" s="64">
        <f t="shared" si="333"/>
        <v>0</v>
      </c>
      <c r="Y3554" s="53">
        <f t="shared" si="334"/>
        <v>0</v>
      </c>
      <c r="Z3554" s="64">
        <f t="shared" si="335"/>
        <v>0</v>
      </c>
    </row>
    <row r="3555" spans="1:26">
      <c r="A3555" s="89" t="str">
        <f t="shared" si="330"/>
        <v/>
      </c>
      <c r="B3555" s="89" t="str">
        <f t="shared" si="331"/>
        <v/>
      </c>
      <c r="S3555" s="89" t="str">
        <f t="shared" si="332"/>
        <v/>
      </c>
      <c r="X3555" s="64">
        <f t="shared" si="333"/>
        <v>0</v>
      </c>
      <c r="Y3555" s="53">
        <f t="shared" si="334"/>
        <v>0</v>
      </c>
      <c r="Z3555" s="64">
        <f t="shared" si="335"/>
        <v>0</v>
      </c>
    </row>
    <row r="3556" spans="1:26">
      <c r="A3556" s="89" t="str">
        <f t="shared" si="330"/>
        <v/>
      </c>
      <c r="B3556" s="89" t="str">
        <f t="shared" si="331"/>
        <v/>
      </c>
      <c r="S3556" s="89" t="str">
        <f t="shared" si="332"/>
        <v/>
      </c>
      <c r="X3556" s="64">
        <f t="shared" si="333"/>
        <v>0</v>
      </c>
      <c r="Y3556" s="53">
        <f t="shared" si="334"/>
        <v>0</v>
      </c>
      <c r="Z3556" s="64">
        <f t="shared" si="335"/>
        <v>0</v>
      </c>
    </row>
    <row r="3557" spans="1:26">
      <c r="A3557" s="89" t="str">
        <f t="shared" si="330"/>
        <v/>
      </c>
      <c r="B3557" s="89" t="str">
        <f t="shared" si="331"/>
        <v/>
      </c>
      <c r="S3557" s="89" t="str">
        <f t="shared" si="332"/>
        <v/>
      </c>
      <c r="X3557" s="64">
        <f t="shared" si="333"/>
        <v>0</v>
      </c>
      <c r="Y3557" s="53">
        <f t="shared" si="334"/>
        <v>0</v>
      </c>
      <c r="Z3557" s="64">
        <f t="shared" si="335"/>
        <v>0</v>
      </c>
    </row>
    <row r="3558" spans="1:26">
      <c r="A3558" s="89" t="str">
        <f t="shared" si="330"/>
        <v/>
      </c>
      <c r="B3558" s="89" t="str">
        <f t="shared" si="331"/>
        <v/>
      </c>
      <c r="S3558" s="89" t="str">
        <f t="shared" si="332"/>
        <v/>
      </c>
      <c r="X3558" s="64">
        <f t="shared" si="333"/>
        <v>0</v>
      </c>
      <c r="Y3558" s="53">
        <f t="shared" si="334"/>
        <v>0</v>
      </c>
      <c r="Z3558" s="64">
        <f t="shared" si="335"/>
        <v>0</v>
      </c>
    </row>
    <row r="3559" spans="1:26">
      <c r="A3559" s="89" t="str">
        <f t="shared" si="330"/>
        <v/>
      </c>
      <c r="B3559" s="89" t="str">
        <f t="shared" si="331"/>
        <v/>
      </c>
      <c r="S3559" s="89" t="str">
        <f t="shared" si="332"/>
        <v/>
      </c>
      <c r="X3559" s="64">
        <f t="shared" si="333"/>
        <v>0</v>
      </c>
      <c r="Y3559" s="53">
        <f t="shared" si="334"/>
        <v>0</v>
      </c>
      <c r="Z3559" s="64">
        <f t="shared" si="335"/>
        <v>0</v>
      </c>
    </row>
    <row r="3560" spans="1:26">
      <c r="A3560" s="89" t="str">
        <f t="shared" si="330"/>
        <v/>
      </c>
      <c r="B3560" s="89" t="str">
        <f t="shared" si="331"/>
        <v/>
      </c>
      <c r="S3560" s="89" t="str">
        <f t="shared" si="332"/>
        <v/>
      </c>
      <c r="X3560" s="64">
        <f t="shared" si="333"/>
        <v>0</v>
      </c>
      <c r="Y3560" s="53">
        <f t="shared" si="334"/>
        <v>0</v>
      </c>
      <c r="Z3560" s="64">
        <f t="shared" si="335"/>
        <v>0</v>
      </c>
    </row>
    <row r="3561" spans="1:26">
      <c r="A3561" s="89" t="str">
        <f t="shared" si="330"/>
        <v/>
      </c>
      <c r="B3561" s="89" t="str">
        <f t="shared" si="331"/>
        <v/>
      </c>
      <c r="S3561" s="89" t="str">
        <f t="shared" si="332"/>
        <v/>
      </c>
      <c r="X3561" s="64">
        <f t="shared" si="333"/>
        <v>0</v>
      </c>
      <c r="Y3561" s="53">
        <f t="shared" si="334"/>
        <v>0</v>
      </c>
      <c r="Z3561" s="64">
        <f t="shared" si="335"/>
        <v>0</v>
      </c>
    </row>
    <row r="3562" spans="1:26">
      <c r="A3562" s="89" t="str">
        <f t="shared" si="330"/>
        <v/>
      </c>
      <c r="B3562" s="89" t="str">
        <f t="shared" si="331"/>
        <v/>
      </c>
      <c r="S3562" s="89" t="str">
        <f t="shared" si="332"/>
        <v/>
      </c>
      <c r="X3562" s="64">
        <f t="shared" si="333"/>
        <v>0</v>
      </c>
      <c r="Y3562" s="53">
        <f t="shared" si="334"/>
        <v>0</v>
      </c>
      <c r="Z3562" s="64">
        <f t="shared" si="335"/>
        <v>0</v>
      </c>
    </row>
    <row r="3563" spans="1:26">
      <c r="A3563" s="89" t="str">
        <f t="shared" si="330"/>
        <v/>
      </c>
      <c r="B3563" s="89" t="str">
        <f t="shared" si="331"/>
        <v/>
      </c>
      <c r="S3563" s="89" t="str">
        <f t="shared" si="332"/>
        <v/>
      </c>
      <c r="X3563" s="64">
        <f t="shared" si="333"/>
        <v>0</v>
      </c>
      <c r="Y3563" s="53">
        <f t="shared" si="334"/>
        <v>0</v>
      </c>
      <c r="Z3563" s="64">
        <f t="shared" si="335"/>
        <v>0</v>
      </c>
    </row>
    <row r="3564" spans="1:26">
      <c r="A3564" s="89" t="str">
        <f t="shared" si="330"/>
        <v/>
      </c>
      <c r="B3564" s="89" t="str">
        <f t="shared" si="331"/>
        <v/>
      </c>
      <c r="S3564" s="89" t="str">
        <f t="shared" si="332"/>
        <v/>
      </c>
      <c r="X3564" s="64">
        <f t="shared" si="333"/>
        <v>0</v>
      </c>
      <c r="Y3564" s="53">
        <f t="shared" si="334"/>
        <v>0</v>
      </c>
      <c r="Z3564" s="64">
        <f t="shared" si="335"/>
        <v>0</v>
      </c>
    </row>
    <row r="3565" spans="1:26">
      <c r="A3565" s="89" t="str">
        <f t="shared" si="330"/>
        <v/>
      </c>
      <c r="B3565" s="89" t="str">
        <f t="shared" si="331"/>
        <v/>
      </c>
      <c r="S3565" s="89" t="str">
        <f t="shared" si="332"/>
        <v/>
      </c>
      <c r="X3565" s="64">
        <f t="shared" si="333"/>
        <v>0</v>
      </c>
      <c r="Y3565" s="53">
        <f t="shared" si="334"/>
        <v>0</v>
      </c>
      <c r="Z3565" s="64">
        <f t="shared" si="335"/>
        <v>0</v>
      </c>
    </row>
    <row r="3566" spans="1:26">
      <c r="A3566" s="89" t="str">
        <f t="shared" si="330"/>
        <v/>
      </c>
      <c r="B3566" s="89" t="str">
        <f t="shared" si="331"/>
        <v/>
      </c>
      <c r="S3566" s="89" t="str">
        <f t="shared" si="332"/>
        <v/>
      </c>
      <c r="X3566" s="64">
        <f t="shared" si="333"/>
        <v>0</v>
      </c>
      <c r="Y3566" s="53">
        <f t="shared" si="334"/>
        <v>0</v>
      </c>
      <c r="Z3566" s="64">
        <f t="shared" si="335"/>
        <v>0</v>
      </c>
    </row>
    <row r="3567" spans="1:26">
      <c r="A3567" s="89" t="str">
        <f t="shared" si="330"/>
        <v/>
      </c>
      <c r="B3567" s="89" t="str">
        <f t="shared" si="331"/>
        <v/>
      </c>
      <c r="S3567" s="89" t="str">
        <f t="shared" si="332"/>
        <v/>
      </c>
      <c r="X3567" s="64">
        <f t="shared" si="333"/>
        <v>0</v>
      </c>
      <c r="Y3567" s="53">
        <f t="shared" si="334"/>
        <v>0</v>
      </c>
      <c r="Z3567" s="64">
        <f t="shared" si="335"/>
        <v>0</v>
      </c>
    </row>
    <row r="3568" spans="1:26">
      <c r="A3568" s="89" t="str">
        <f t="shared" si="330"/>
        <v/>
      </c>
      <c r="B3568" s="89" t="str">
        <f t="shared" si="331"/>
        <v/>
      </c>
      <c r="S3568" s="89" t="str">
        <f t="shared" si="332"/>
        <v/>
      </c>
      <c r="X3568" s="64">
        <f t="shared" si="333"/>
        <v>0</v>
      </c>
      <c r="Y3568" s="53">
        <f t="shared" si="334"/>
        <v>0</v>
      </c>
      <c r="Z3568" s="64">
        <f t="shared" si="335"/>
        <v>0</v>
      </c>
    </row>
    <row r="3569" spans="1:26">
      <c r="A3569" s="89" t="str">
        <f t="shared" si="330"/>
        <v/>
      </c>
      <c r="B3569" s="89" t="str">
        <f t="shared" si="331"/>
        <v/>
      </c>
      <c r="S3569" s="89" t="str">
        <f t="shared" si="332"/>
        <v/>
      </c>
      <c r="X3569" s="64">
        <f t="shared" si="333"/>
        <v>0</v>
      </c>
      <c r="Y3569" s="53">
        <f t="shared" si="334"/>
        <v>0</v>
      </c>
      <c r="Z3569" s="64">
        <f t="shared" si="335"/>
        <v>0</v>
      </c>
    </row>
    <row r="3570" spans="1:26">
      <c r="A3570" s="89" t="str">
        <f t="shared" si="330"/>
        <v/>
      </c>
      <c r="B3570" s="89" t="str">
        <f t="shared" si="331"/>
        <v/>
      </c>
      <c r="S3570" s="89" t="str">
        <f t="shared" si="332"/>
        <v/>
      </c>
      <c r="X3570" s="64">
        <f t="shared" si="333"/>
        <v>0</v>
      </c>
      <c r="Y3570" s="53">
        <f t="shared" si="334"/>
        <v>0</v>
      </c>
      <c r="Z3570" s="64">
        <f t="shared" si="335"/>
        <v>0</v>
      </c>
    </row>
    <row r="3571" spans="1:26">
      <c r="A3571" s="89" t="str">
        <f t="shared" si="330"/>
        <v/>
      </c>
      <c r="B3571" s="89" t="str">
        <f t="shared" si="331"/>
        <v/>
      </c>
      <c r="S3571" s="89" t="str">
        <f t="shared" si="332"/>
        <v/>
      </c>
      <c r="X3571" s="64">
        <f t="shared" si="333"/>
        <v>0</v>
      </c>
      <c r="Y3571" s="53">
        <f t="shared" si="334"/>
        <v>0</v>
      </c>
      <c r="Z3571" s="64">
        <f t="shared" si="335"/>
        <v>0</v>
      </c>
    </row>
    <row r="3572" spans="1:26">
      <c r="A3572" s="89" t="str">
        <f t="shared" si="330"/>
        <v/>
      </c>
      <c r="B3572" s="89" t="str">
        <f t="shared" si="331"/>
        <v/>
      </c>
      <c r="S3572" s="89" t="str">
        <f t="shared" si="332"/>
        <v/>
      </c>
      <c r="X3572" s="64">
        <f t="shared" si="333"/>
        <v>0</v>
      </c>
      <c r="Y3572" s="53">
        <f t="shared" si="334"/>
        <v>0</v>
      </c>
      <c r="Z3572" s="64">
        <f t="shared" si="335"/>
        <v>0</v>
      </c>
    </row>
    <row r="3573" spans="1:26">
      <c r="A3573" s="89" t="str">
        <f t="shared" si="330"/>
        <v/>
      </c>
      <c r="B3573" s="89" t="str">
        <f t="shared" si="331"/>
        <v/>
      </c>
      <c r="S3573" s="89" t="str">
        <f t="shared" si="332"/>
        <v/>
      </c>
      <c r="X3573" s="64">
        <f t="shared" si="333"/>
        <v>0</v>
      </c>
      <c r="Y3573" s="53">
        <f t="shared" si="334"/>
        <v>0</v>
      </c>
      <c r="Z3573" s="64">
        <f t="shared" si="335"/>
        <v>0</v>
      </c>
    </row>
    <row r="3574" spans="1:26">
      <c r="A3574" s="89" t="str">
        <f t="shared" si="330"/>
        <v/>
      </c>
      <c r="B3574" s="89" t="str">
        <f t="shared" si="331"/>
        <v/>
      </c>
      <c r="S3574" s="89" t="str">
        <f t="shared" si="332"/>
        <v/>
      </c>
      <c r="X3574" s="64">
        <f t="shared" si="333"/>
        <v>0</v>
      </c>
      <c r="Y3574" s="53">
        <f t="shared" si="334"/>
        <v>0</v>
      </c>
      <c r="Z3574" s="64">
        <f t="shared" si="335"/>
        <v>0</v>
      </c>
    </row>
    <row r="3575" spans="1:26">
      <c r="A3575" s="89" t="str">
        <f t="shared" si="330"/>
        <v/>
      </c>
      <c r="B3575" s="89" t="str">
        <f t="shared" si="331"/>
        <v/>
      </c>
      <c r="S3575" s="89" t="str">
        <f t="shared" si="332"/>
        <v/>
      </c>
      <c r="X3575" s="64">
        <f t="shared" si="333"/>
        <v>0</v>
      </c>
      <c r="Y3575" s="53">
        <f t="shared" si="334"/>
        <v>0</v>
      </c>
      <c r="Z3575" s="64">
        <f t="shared" si="335"/>
        <v>0</v>
      </c>
    </row>
    <row r="3576" spans="1:26">
      <c r="A3576" s="89" t="str">
        <f t="shared" si="330"/>
        <v/>
      </c>
      <c r="B3576" s="89" t="str">
        <f t="shared" si="331"/>
        <v/>
      </c>
      <c r="S3576" s="89" t="str">
        <f t="shared" si="332"/>
        <v/>
      </c>
      <c r="X3576" s="64">
        <f t="shared" si="333"/>
        <v>0</v>
      </c>
      <c r="Y3576" s="53">
        <f t="shared" si="334"/>
        <v>0</v>
      </c>
      <c r="Z3576" s="64">
        <f t="shared" si="335"/>
        <v>0</v>
      </c>
    </row>
    <row r="3577" spans="1:26">
      <c r="A3577" s="89" t="str">
        <f t="shared" si="330"/>
        <v/>
      </c>
      <c r="B3577" s="89" t="str">
        <f t="shared" si="331"/>
        <v/>
      </c>
      <c r="S3577" s="89" t="str">
        <f t="shared" si="332"/>
        <v/>
      </c>
      <c r="X3577" s="64">
        <f t="shared" si="333"/>
        <v>0</v>
      </c>
      <c r="Y3577" s="53">
        <f t="shared" si="334"/>
        <v>0</v>
      </c>
      <c r="Z3577" s="64">
        <f t="shared" si="335"/>
        <v>0</v>
      </c>
    </row>
    <row r="3578" spans="1:26">
      <c r="A3578" s="89" t="str">
        <f t="shared" si="330"/>
        <v/>
      </c>
      <c r="B3578" s="89" t="str">
        <f t="shared" si="331"/>
        <v/>
      </c>
      <c r="S3578" s="89" t="str">
        <f t="shared" si="332"/>
        <v/>
      </c>
      <c r="X3578" s="64">
        <f t="shared" si="333"/>
        <v>0</v>
      </c>
      <c r="Y3578" s="53">
        <f t="shared" si="334"/>
        <v>0</v>
      </c>
      <c r="Z3578" s="64">
        <f t="shared" si="335"/>
        <v>0</v>
      </c>
    </row>
    <row r="3579" spans="1:26">
      <c r="A3579" s="89" t="str">
        <f t="shared" si="330"/>
        <v/>
      </c>
      <c r="B3579" s="89" t="str">
        <f t="shared" si="331"/>
        <v/>
      </c>
      <c r="S3579" s="89" t="str">
        <f t="shared" si="332"/>
        <v/>
      </c>
      <c r="X3579" s="64">
        <f t="shared" si="333"/>
        <v>0</v>
      </c>
      <c r="Y3579" s="53">
        <f t="shared" si="334"/>
        <v>0</v>
      </c>
      <c r="Z3579" s="64">
        <f t="shared" si="335"/>
        <v>0</v>
      </c>
    </row>
    <row r="3580" spans="1:26">
      <c r="A3580" s="89" t="str">
        <f t="shared" si="330"/>
        <v/>
      </c>
      <c r="B3580" s="89" t="str">
        <f t="shared" si="331"/>
        <v/>
      </c>
      <c r="S3580" s="89" t="str">
        <f t="shared" si="332"/>
        <v/>
      </c>
      <c r="X3580" s="64">
        <f t="shared" si="333"/>
        <v>0</v>
      </c>
      <c r="Y3580" s="53">
        <f t="shared" si="334"/>
        <v>0</v>
      </c>
      <c r="Z3580" s="64">
        <f t="shared" si="335"/>
        <v>0</v>
      </c>
    </row>
    <row r="3581" spans="1:26">
      <c r="A3581" s="89" t="str">
        <f t="shared" si="330"/>
        <v/>
      </c>
      <c r="B3581" s="89" t="str">
        <f t="shared" si="331"/>
        <v/>
      </c>
      <c r="S3581" s="89" t="str">
        <f t="shared" si="332"/>
        <v/>
      </c>
      <c r="X3581" s="64">
        <f t="shared" si="333"/>
        <v>0</v>
      </c>
      <c r="Y3581" s="53">
        <f t="shared" si="334"/>
        <v>0</v>
      </c>
      <c r="Z3581" s="64">
        <f t="shared" si="335"/>
        <v>0</v>
      </c>
    </row>
    <row r="3582" spans="1:26">
      <c r="A3582" s="89" t="str">
        <f t="shared" si="330"/>
        <v/>
      </c>
      <c r="B3582" s="89" t="str">
        <f t="shared" si="331"/>
        <v/>
      </c>
      <c r="S3582" s="89" t="str">
        <f t="shared" si="332"/>
        <v/>
      </c>
      <c r="X3582" s="64">
        <f t="shared" si="333"/>
        <v>0</v>
      </c>
      <c r="Y3582" s="53">
        <f t="shared" si="334"/>
        <v>0</v>
      </c>
      <c r="Z3582" s="64">
        <f t="shared" si="335"/>
        <v>0</v>
      </c>
    </row>
    <row r="3583" spans="1:26">
      <c r="A3583" s="89" t="str">
        <f t="shared" si="330"/>
        <v/>
      </c>
      <c r="B3583" s="89" t="str">
        <f t="shared" si="331"/>
        <v/>
      </c>
      <c r="S3583" s="89" t="str">
        <f t="shared" si="332"/>
        <v/>
      </c>
      <c r="X3583" s="64">
        <f t="shared" si="333"/>
        <v>0</v>
      </c>
      <c r="Y3583" s="53">
        <f t="shared" si="334"/>
        <v>0</v>
      </c>
      <c r="Z3583" s="64">
        <f t="shared" si="335"/>
        <v>0</v>
      </c>
    </row>
    <row r="3584" spans="1:26">
      <c r="A3584" s="89" t="str">
        <f t="shared" si="330"/>
        <v/>
      </c>
      <c r="B3584" s="89" t="str">
        <f t="shared" si="331"/>
        <v/>
      </c>
      <c r="S3584" s="89" t="str">
        <f t="shared" si="332"/>
        <v/>
      </c>
      <c r="X3584" s="64">
        <f t="shared" si="333"/>
        <v>0</v>
      </c>
      <c r="Y3584" s="53">
        <f t="shared" si="334"/>
        <v>0</v>
      </c>
      <c r="Z3584" s="64">
        <f t="shared" si="335"/>
        <v>0</v>
      </c>
    </row>
    <row r="3585" spans="1:26">
      <c r="A3585" s="89" t="str">
        <f t="shared" si="330"/>
        <v/>
      </c>
      <c r="B3585" s="89" t="str">
        <f t="shared" si="331"/>
        <v/>
      </c>
      <c r="S3585" s="89" t="str">
        <f t="shared" si="332"/>
        <v/>
      </c>
      <c r="X3585" s="64">
        <f t="shared" si="333"/>
        <v>0</v>
      </c>
      <c r="Y3585" s="53">
        <f t="shared" si="334"/>
        <v>0</v>
      </c>
      <c r="Z3585" s="64">
        <f t="shared" si="335"/>
        <v>0</v>
      </c>
    </row>
    <row r="3586" spans="1:26">
      <c r="A3586" s="89" t="str">
        <f t="shared" si="330"/>
        <v/>
      </c>
      <c r="B3586" s="89" t="str">
        <f t="shared" si="331"/>
        <v/>
      </c>
      <c r="S3586" s="89" t="str">
        <f t="shared" si="332"/>
        <v/>
      </c>
      <c r="X3586" s="64">
        <f t="shared" si="333"/>
        <v>0</v>
      </c>
      <c r="Y3586" s="53">
        <f t="shared" si="334"/>
        <v>0</v>
      </c>
      <c r="Z3586" s="64">
        <f t="shared" si="335"/>
        <v>0</v>
      </c>
    </row>
    <row r="3587" spans="1:26">
      <c r="A3587" s="89" t="str">
        <f t="shared" ref="A3587:A3650" si="336">IF(G3587&amp;Q3587&lt;&gt;"",G3587&amp;Q3587,"")</f>
        <v/>
      </c>
      <c r="B3587" s="89" t="str">
        <f t="shared" ref="B3587:B3650" si="337">IF(C3587&lt;&gt;"",LEFT(C3587,9),"")</f>
        <v/>
      </c>
      <c r="S3587" s="89" t="str">
        <f t="shared" ref="S3587:S3650" si="338">IF(H3587&lt;&gt;"",H3587,"")</f>
        <v/>
      </c>
      <c r="X3587" s="64">
        <f t="shared" ref="X3587:X3650" si="339">IFERROR(VALUE(MID($C3587,1,2)),0)</f>
        <v>0</v>
      </c>
      <c r="Y3587" s="53">
        <f t="shared" ref="Y3587:Y3650" si="340">IFERROR(VALUE(MID($C3587,4,3)),0)</f>
        <v>0</v>
      </c>
      <c r="Z3587" s="64">
        <f t="shared" ref="Z3587:Z3650" si="341">VALUE(RIGHT("00"&amp;X3587,2)&amp;RIGHT("000"&amp;Y3587,3))</f>
        <v>0</v>
      </c>
    </row>
    <row r="3588" spans="1:26">
      <c r="A3588" s="89" t="str">
        <f t="shared" si="336"/>
        <v/>
      </c>
      <c r="B3588" s="89" t="str">
        <f t="shared" si="337"/>
        <v/>
      </c>
      <c r="S3588" s="89" t="str">
        <f t="shared" si="338"/>
        <v/>
      </c>
      <c r="X3588" s="64">
        <f t="shared" si="339"/>
        <v>0</v>
      </c>
      <c r="Y3588" s="53">
        <f t="shared" si="340"/>
        <v>0</v>
      </c>
      <c r="Z3588" s="64">
        <f t="shared" si="341"/>
        <v>0</v>
      </c>
    </row>
    <row r="3589" spans="1:26">
      <c r="A3589" s="89" t="str">
        <f t="shared" si="336"/>
        <v/>
      </c>
      <c r="B3589" s="89" t="str">
        <f t="shared" si="337"/>
        <v/>
      </c>
      <c r="S3589" s="89" t="str">
        <f t="shared" si="338"/>
        <v/>
      </c>
      <c r="X3589" s="64">
        <f t="shared" si="339"/>
        <v>0</v>
      </c>
      <c r="Y3589" s="53">
        <f t="shared" si="340"/>
        <v>0</v>
      </c>
      <c r="Z3589" s="64">
        <f t="shared" si="341"/>
        <v>0</v>
      </c>
    </row>
    <row r="3590" spans="1:26">
      <c r="A3590" s="89" t="str">
        <f t="shared" si="336"/>
        <v/>
      </c>
      <c r="B3590" s="89" t="str">
        <f t="shared" si="337"/>
        <v/>
      </c>
      <c r="S3590" s="89" t="str">
        <f t="shared" si="338"/>
        <v/>
      </c>
      <c r="X3590" s="64">
        <f t="shared" si="339"/>
        <v>0</v>
      </c>
      <c r="Y3590" s="53">
        <f t="shared" si="340"/>
        <v>0</v>
      </c>
      <c r="Z3590" s="64">
        <f t="shared" si="341"/>
        <v>0</v>
      </c>
    </row>
    <row r="3591" spans="1:26">
      <c r="A3591" s="89" t="str">
        <f t="shared" si="336"/>
        <v/>
      </c>
      <c r="B3591" s="89" t="str">
        <f t="shared" si="337"/>
        <v/>
      </c>
      <c r="S3591" s="89" t="str">
        <f t="shared" si="338"/>
        <v/>
      </c>
      <c r="X3591" s="64">
        <f t="shared" si="339"/>
        <v>0</v>
      </c>
      <c r="Y3591" s="53">
        <f t="shared" si="340"/>
        <v>0</v>
      </c>
      <c r="Z3591" s="64">
        <f t="shared" si="341"/>
        <v>0</v>
      </c>
    </row>
    <row r="3592" spans="1:26">
      <c r="A3592" s="89" t="str">
        <f t="shared" si="336"/>
        <v/>
      </c>
      <c r="B3592" s="89" t="str">
        <f t="shared" si="337"/>
        <v/>
      </c>
      <c r="S3592" s="89" t="str">
        <f t="shared" si="338"/>
        <v/>
      </c>
      <c r="X3592" s="64">
        <f t="shared" si="339"/>
        <v>0</v>
      </c>
      <c r="Y3592" s="53">
        <f t="shared" si="340"/>
        <v>0</v>
      </c>
      <c r="Z3592" s="64">
        <f t="shared" si="341"/>
        <v>0</v>
      </c>
    </row>
    <row r="3593" spans="1:26">
      <c r="A3593" s="89" t="str">
        <f t="shared" si="336"/>
        <v/>
      </c>
      <c r="B3593" s="89" t="str">
        <f t="shared" si="337"/>
        <v/>
      </c>
      <c r="S3593" s="89" t="str">
        <f t="shared" si="338"/>
        <v/>
      </c>
      <c r="X3593" s="64">
        <f t="shared" si="339"/>
        <v>0</v>
      </c>
      <c r="Y3593" s="53">
        <f t="shared" si="340"/>
        <v>0</v>
      </c>
      <c r="Z3593" s="64">
        <f t="shared" si="341"/>
        <v>0</v>
      </c>
    </row>
    <row r="3594" spans="1:26">
      <c r="A3594" s="89" t="str">
        <f t="shared" si="336"/>
        <v/>
      </c>
      <c r="B3594" s="89" t="str">
        <f t="shared" si="337"/>
        <v/>
      </c>
      <c r="S3594" s="89" t="str">
        <f t="shared" si="338"/>
        <v/>
      </c>
      <c r="X3594" s="64">
        <f t="shared" si="339"/>
        <v>0</v>
      </c>
      <c r="Y3594" s="53">
        <f t="shared" si="340"/>
        <v>0</v>
      </c>
      <c r="Z3594" s="64">
        <f t="shared" si="341"/>
        <v>0</v>
      </c>
    </row>
    <row r="3595" spans="1:26">
      <c r="A3595" s="89" t="str">
        <f t="shared" si="336"/>
        <v/>
      </c>
      <c r="B3595" s="89" t="str">
        <f t="shared" si="337"/>
        <v/>
      </c>
      <c r="S3595" s="89" t="str">
        <f t="shared" si="338"/>
        <v/>
      </c>
      <c r="X3595" s="64">
        <f t="shared" si="339"/>
        <v>0</v>
      </c>
      <c r="Y3595" s="53">
        <f t="shared" si="340"/>
        <v>0</v>
      </c>
      <c r="Z3595" s="64">
        <f t="shared" si="341"/>
        <v>0</v>
      </c>
    </row>
    <row r="3596" spans="1:26">
      <c r="A3596" s="89" t="str">
        <f t="shared" si="336"/>
        <v/>
      </c>
      <c r="B3596" s="89" t="str">
        <f t="shared" si="337"/>
        <v/>
      </c>
      <c r="S3596" s="89" t="str">
        <f t="shared" si="338"/>
        <v/>
      </c>
      <c r="X3596" s="64">
        <f t="shared" si="339"/>
        <v>0</v>
      </c>
      <c r="Y3596" s="53">
        <f t="shared" si="340"/>
        <v>0</v>
      </c>
      <c r="Z3596" s="64">
        <f t="shared" si="341"/>
        <v>0</v>
      </c>
    </row>
    <row r="3597" spans="1:26">
      <c r="A3597" s="89" t="str">
        <f t="shared" si="336"/>
        <v/>
      </c>
      <c r="B3597" s="89" t="str">
        <f t="shared" si="337"/>
        <v/>
      </c>
      <c r="S3597" s="89" t="str">
        <f t="shared" si="338"/>
        <v/>
      </c>
      <c r="X3597" s="64">
        <f t="shared" si="339"/>
        <v>0</v>
      </c>
      <c r="Y3597" s="53">
        <f t="shared" si="340"/>
        <v>0</v>
      </c>
      <c r="Z3597" s="64">
        <f t="shared" si="341"/>
        <v>0</v>
      </c>
    </row>
    <row r="3598" spans="1:26">
      <c r="A3598" s="89" t="str">
        <f t="shared" si="336"/>
        <v/>
      </c>
      <c r="B3598" s="89" t="str">
        <f t="shared" si="337"/>
        <v/>
      </c>
      <c r="S3598" s="89" t="str">
        <f t="shared" si="338"/>
        <v/>
      </c>
      <c r="X3598" s="64">
        <f t="shared" si="339"/>
        <v>0</v>
      </c>
      <c r="Y3598" s="53">
        <f t="shared" si="340"/>
        <v>0</v>
      </c>
      <c r="Z3598" s="64">
        <f t="shared" si="341"/>
        <v>0</v>
      </c>
    </row>
    <row r="3599" spans="1:26">
      <c r="A3599" s="89" t="str">
        <f t="shared" si="336"/>
        <v/>
      </c>
      <c r="B3599" s="89" t="str">
        <f t="shared" si="337"/>
        <v/>
      </c>
      <c r="S3599" s="89" t="str">
        <f t="shared" si="338"/>
        <v/>
      </c>
      <c r="X3599" s="64">
        <f t="shared" si="339"/>
        <v>0</v>
      </c>
      <c r="Y3599" s="53">
        <f t="shared" si="340"/>
        <v>0</v>
      </c>
      <c r="Z3599" s="64">
        <f t="shared" si="341"/>
        <v>0</v>
      </c>
    </row>
    <row r="3600" spans="1:26">
      <c r="A3600" s="89" t="str">
        <f t="shared" si="336"/>
        <v/>
      </c>
      <c r="B3600" s="89" t="str">
        <f t="shared" si="337"/>
        <v/>
      </c>
      <c r="S3600" s="89" t="str">
        <f t="shared" si="338"/>
        <v/>
      </c>
      <c r="X3600" s="64">
        <f t="shared" si="339"/>
        <v>0</v>
      </c>
      <c r="Y3600" s="53">
        <f t="shared" si="340"/>
        <v>0</v>
      </c>
      <c r="Z3600" s="64">
        <f t="shared" si="341"/>
        <v>0</v>
      </c>
    </row>
    <row r="3601" spans="1:26">
      <c r="A3601" s="89" t="str">
        <f t="shared" si="336"/>
        <v/>
      </c>
      <c r="B3601" s="89" t="str">
        <f t="shared" si="337"/>
        <v/>
      </c>
      <c r="S3601" s="89" t="str">
        <f t="shared" si="338"/>
        <v/>
      </c>
      <c r="X3601" s="64">
        <f t="shared" si="339"/>
        <v>0</v>
      </c>
      <c r="Y3601" s="53">
        <f t="shared" si="340"/>
        <v>0</v>
      </c>
      <c r="Z3601" s="64">
        <f t="shared" si="341"/>
        <v>0</v>
      </c>
    </row>
    <row r="3602" spans="1:26">
      <c r="A3602" s="89" t="str">
        <f t="shared" si="336"/>
        <v/>
      </c>
      <c r="B3602" s="89" t="str">
        <f t="shared" si="337"/>
        <v/>
      </c>
      <c r="S3602" s="89" t="str">
        <f t="shared" si="338"/>
        <v/>
      </c>
      <c r="X3602" s="64">
        <f t="shared" si="339"/>
        <v>0</v>
      </c>
      <c r="Y3602" s="53">
        <f t="shared" si="340"/>
        <v>0</v>
      </c>
      <c r="Z3602" s="64">
        <f t="shared" si="341"/>
        <v>0</v>
      </c>
    </row>
    <row r="3603" spans="1:26">
      <c r="A3603" s="89" t="str">
        <f t="shared" si="336"/>
        <v/>
      </c>
      <c r="B3603" s="89" t="str">
        <f t="shared" si="337"/>
        <v/>
      </c>
      <c r="S3603" s="89" t="str">
        <f t="shared" si="338"/>
        <v/>
      </c>
      <c r="X3603" s="64">
        <f t="shared" si="339"/>
        <v>0</v>
      </c>
      <c r="Y3603" s="53">
        <f t="shared" si="340"/>
        <v>0</v>
      </c>
      <c r="Z3603" s="64">
        <f t="shared" si="341"/>
        <v>0</v>
      </c>
    </row>
    <row r="3604" spans="1:26">
      <c r="A3604" s="89" t="str">
        <f t="shared" si="336"/>
        <v/>
      </c>
      <c r="B3604" s="89" t="str">
        <f t="shared" si="337"/>
        <v/>
      </c>
      <c r="S3604" s="89" t="str">
        <f t="shared" si="338"/>
        <v/>
      </c>
      <c r="X3604" s="64">
        <f t="shared" si="339"/>
        <v>0</v>
      </c>
      <c r="Y3604" s="53">
        <f t="shared" si="340"/>
        <v>0</v>
      </c>
      <c r="Z3604" s="64">
        <f t="shared" si="341"/>
        <v>0</v>
      </c>
    </row>
    <row r="3605" spans="1:26">
      <c r="A3605" s="89" t="str">
        <f t="shared" si="336"/>
        <v/>
      </c>
      <c r="B3605" s="89" t="str">
        <f t="shared" si="337"/>
        <v/>
      </c>
      <c r="S3605" s="89" t="str">
        <f t="shared" si="338"/>
        <v/>
      </c>
      <c r="X3605" s="64">
        <f t="shared" si="339"/>
        <v>0</v>
      </c>
      <c r="Y3605" s="53">
        <f t="shared" si="340"/>
        <v>0</v>
      </c>
      <c r="Z3605" s="64">
        <f t="shared" si="341"/>
        <v>0</v>
      </c>
    </row>
    <row r="3606" spans="1:26">
      <c r="A3606" s="89" t="str">
        <f t="shared" si="336"/>
        <v/>
      </c>
      <c r="B3606" s="89" t="str">
        <f t="shared" si="337"/>
        <v/>
      </c>
      <c r="S3606" s="89" t="str">
        <f t="shared" si="338"/>
        <v/>
      </c>
      <c r="X3606" s="64">
        <f t="shared" si="339"/>
        <v>0</v>
      </c>
      <c r="Y3606" s="53">
        <f t="shared" si="340"/>
        <v>0</v>
      </c>
      <c r="Z3606" s="64">
        <f t="shared" si="341"/>
        <v>0</v>
      </c>
    </row>
    <row r="3607" spans="1:26">
      <c r="A3607" s="89" t="str">
        <f t="shared" si="336"/>
        <v/>
      </c>
      <c r="B3607" s="89" t="str">
        <f t="shared" si="337"/>
        <v/>
      </c>
      <c r="S3607" s="89" t="str">
        <f t="shared" si="338"/>
        <v/>
      </c>
      <c r="X3607" s="64">
        <f t="shared" si="339"/>
        <v>0</v>
      </c>
      <c r="Y3607" s="53">
        <f t="shared" si="340"/>
        <v>0</v>
      </c>
      <c r="Z3607" s="64">
        <f t="shared" si="341"/>
        <v>0</v>
      </c>
    </row>
    <row r="3608" spans="1:26">
      <c r="A3608" s="89" t="str">
        <f t="shared" si="336"/>
        <v/>
      </c>
      <c r="B3608" s="89" t="str">
        <f t="shared" si="337"/>
        <v/>
      </c>
      <c r="S3608" s="89" t="str">
        <f t="shared" si="338"/>
        <v/>
      </c>
      <c r="X3608" s="64">
        <f t="shared" si="339"/>
        <v>0</v>
      </c>
      <c r="Y3608" s="53">
        <f t="shared" si="340"/>
        <v>0</v>
      </c>
      <c r="Z3608" s="64">
        <f t="shared" si="341"/>
        <v>0</v>
      </c>
    </row>
    <row r="3609" spans="1:26">
      <c r="A3609" s="89" t="str">
        <f t="shared" si="336"/>
        <v/>
      </c>
      <c r="B3609" s="89" t="str">
        <f t="shared" si="337"/>
        <v/>
      </c>
      <c r="S3609" s="89" t="str">
        <f t="shared" si="338"/>
        <v/>
      </c>
      <c r="X3609" s="64">
        <f t="shared" si="339"/>
        <v>0</v>
      </c>
      <c r="Y3609" s="53">
        <f t="shared" si="340"/>
        <v>0</v>
      </c>
      <c r="Z3609" s="64">
        <f t="shared" si="341"/>
        <v>0</v>
      </c>
    </row>
    <row r="3610" spans="1:26">
      <c r="A3610" s="89" t="str">
        <f t="shared" si="336"/>
        <v/>
      </c>
      <c r="B3610" s="89" t="str">
        <f t="shared" si="337"/>
        <v/>
      </c>
      <c r="S3610" s="89" t="str">
        <f t="shared" si="338"/>
        <v/>
      </c>
      <c r="X3610" s="64">
        <f t="shared" si="339"/>
        <v>0</v>
      </c>
      <c r="Y3610" s="53">
        <f t="shared" si="340"/>
        <v>0</v>
      </c>
      <c r="Z3610" s="64">
        <f t="shared" si="341"/>
        <v>0</v>
      </c>
    </row>
    <row r="3611" spans="1:26">
      <c r="A3611" s="89" t="str">
        <f t="shared" si="336"/>
        <v/>
      </c>
      <c r="B3611" s="89" t="str">
        <f t="shared" si="337"/>
        <v/>
      </c>
      <c r="S3611" s="89" t="str">
        <f t="shared" si="338"/>
        <v/>
      </c>
      <c r="X3611" s="64">
        <f t="shared" si="339"/>
        <v>0</v>
      </c>
      <c r="Y3611" s="53">
        <f t="shared" si="340"/>
        <v>0</v>
      </c>
      <c r="Z3611" s="64">
        <f t="shared" si="341"/>
        <v>0</v>
      </c>
    </row>
    <row r="3612" spans="1:26">
      <c r="A3612" s="89" t="str">
        <f t="shared" si="336"/>
        <v/>
      </c>
      <c r="B3612" s="89" t="str">
        <f t="shared" si="337"/>
        <v/>
      </c>
      <c r="S3612" s="89" t="str">
        <f t="shared" si="338"/>
        <v/>
      </c>
      <c r="X3612" s="64">
        <f t="shared" si="339"/>
        <v>0</v>
      </c>
      <c r="Y3612" s="53">
        <f t="shared" si="340"/>
        <v>0</v>
      </c>
      <c r="Z3612" s="64">
        <f t="shared" si="341"/>
        <v>0</v>
      </c>
    </row>
    <row r="3613" spans="1:26">
      <c r="A3613" s="89" t="str">
        <f t="shared" si="336"/>
        <v/>
      </c>
      <c r="B3613" s="89" t="str">
        <f t="shared" si="337"/>
        <v/>
      </c>
      <c r="S3613" s="89" t="str">
        <f t="shared" si="338"/>
        <v/>
      </c>
      <c r="X3613" s="64">
        <f t="shared" si="339"/>
        <v>0</v>
      </c>
      <c r="Y3613" s="53">
        <f t="shared" si="340"/>
        <v>0</v>
      </c>
      <c r="Z3613" s="64">
        <f t="shared" si="341"/>
        <v>0</v>
      </c>
    </row>
    <row r="3614" spans="1:26">
      <c r="A3614" s="89" t="str">
        <f t="shared" si="336"/>
        <v/>
      </c>
      <c r="B3614" s="89" t="str">
        <f t="shared" si="337"/>
        <v/>
      </c>
      <c r="S3614" s="89" t="str">
        <f t="shared" si="338"/>
        <v/>
      </c>
      <c r="X3614" s="64">
        <f t="shared" si="339"/>
        <v>0</v>
      </c>
      <c r="Y3614" s="53">
        <f t="shared" si="340"/>
        <v>0</v>
      </c>
      <c r="Z3614" s="64">
        <f t="shared" si="341"/>
        <v>0</v>
      </c>
    </row>
    <row r="3615" spans="1:26">
      <c r="A3615" s="89" t="str">
        <f t="shared" si="336"/>
        <v/>
      </c>
      <c r="B3615" s="89" t="str">
        <f t="shared" si="337"/>
        <v/>
      </c>
      <c r="S3615" s="89" t="str">
        <f t="shared" si="338"/>
        <v/>
      </c>
      <c r="X3615" s="64">
        <f t="shared" si="339"/>
        <v>0</v>
      </c>
      <c r="Y3615" s="53">
        <f t="shared" si="340"/>
        <v>0</v>
      </c>
      <c r="Z3615" s="64">
        <f t="shared" si="341"/>
        <v>0</v>
      </c>
    </row>
    <row r="3616" spans="1:26">
      <c r="A3616" s="89" t="str">
        <f t="shared" si="336"/>
        <v/>
      </c>
      <c r="B3616" s="89" t="str">
        <f t="shared" si="337"/>
        <v/>
      </c>
      <c r="S3616" s="89" t="str">
        <f t="shared" si="338"/>
        <v/>
      </c>
      <c r="X3616" s="64">
        <f t="shared" si="339"/>
        <v>0</v>
      </c>
      <c r="Y3616" s="53">
        <f t="shared" si="340"/>
        <v>0</v>
      </c>
      <c r="Z3616" s="64">
        <f t="shared" si="341"/>
        <v>0</v>
      </c>
    </row>
    <row r="3617" spans="1:26">
      <c r="A3617" s="89" t="str">
        <f t="shared" si="336"/>
        <v/>
      </c>
      <c r="B3617" s="89" t="str">
        <f t="shared" si="337"/>
        <v/>
      </c>
      <c r="S3617" s="89" t="str">
        <f t="shared" si="338"/>
        <v/>
      </c>
      <c r="X3617" s="64">
        <f t="shared" si="339"/>
        <v>0</v>
      </c>
      <c r="Y3617" s="53">
        <f t="shared" si="340"/>
        <v>0</v>
      </c>
      <c r="Z3617" s="64">
        <f t="shared" si="341"/>
        <v>0</v>
      </c>
    </row>
    <row r="3618" spans="1:26">
      <c r="A3618" s="89" t="str">
        <f t="shared" si="336"/>
        <v/>
      </c>
      <c r="B3618" s="89" t="str">
        <f t="shared" si="337"/>
        <v/>
      </c>
      <c r="S3618" s="89" t="str">
        <f t="shared" si="338"/>
        <v/>
      </c>
      <c r="X3618" s="64">
        <f t="shared" si="339"/>
        <v>0</v>
      </c>
      <c r="Y3618" s="53">
        <f t="shared" si="340"/>
        <v>0</v>
      </c>
      <c r="Z3618" s="64">
        <f t="shared" si="341"/>
        <v>0</v>
      </c>
    </row>
    <row r="3619" spans="1:26">
      <c r="A3619" s="89" t="str">
        <f t="shared" si="336"/>
        <v/>
      </c>
      <c r="B3619" s="89" t="str">
        <f t="shared" si="337"/>
        <v/>
      </c>
      <c r="S3619" s="89" t="str">
        <f t="shared" si="338"/>
        <v/>
      </c>
      <c r="X3619" s="64">
        <f t="shared" si="339"/>
        <v>0</v>
      </c>
      <c r="Y3619" s="53">
        <f t="shared" si="340"/>
        <v>0</v>
      </c>
      <c r="Z3619" s="64">
        <f t="shared" si="341"/>
        <v>0</v>
      </c>
    </row>
    <row r="3620" spans="1:26">
      <c r="A3620" s="89" t="str">
        <f t="shared" si="336"/>
        <v/>
      </c>
      <c r="B3620" s="89" t="str">
        <f t="shared" si="337"/>
        <v/>
      </c>
      <c r="S3620" s="89" t="str">
        <f t="shared" si="338"/>
        <v/>
      </c>
      <c r="X3620" s="64">
        <f t="shared" si="339"/>
        <v>0</v>
      </c>
      <c r="Y3620" s="53">
        <f t="shared" si="340"/>
        <v>0</v>
      </c>
      <c r="Z3620" s="64">
        <f t="shared" si="341"/>
        <v>0</v>
      </c>
    </row>
    <row r="3621" spans="1:26">
      <c r="A3621" s="89" t="str">
        <f t="shared" si="336"/>
        <v/>
      </c>
      <c r="B3621" s="89" t="str">
        <f t="shared" si="337"/>
        <v/>
      </c>
      <c r="S3621" s="89" t="str">
        <f t="shared" si="338"/>
        <v/>
      </c>
      <c r="X3621" s="64">
        <f t="shared" si="339"/>
        <v>0</v>
      </c>
      <c r="Y3621" s="53">
        <f t="shared" si="340"/>
        <v>0</v>
      </c>
      <c r="Z3621" s="64">
        <f t="shared" si="341"/>
        <v>0</v>
      </c>
    </row>
    <row r="3622" spans="1:26">
      <c r="A3622" s="89" t="str">
        <f t="shared" si="336"/>
        <v/>
      </c>
      <c r="B3622" s="89" t="str">
        <f t="shared" si="337"/>
        <v/>
      </c>
      <c r="S3622" s="89" t="str">
        <f t="shared" si="338"/>
        <v/>
      </c>
      <c r="X3622" s="64">
        <f t="shared" si="339"/>
        <v>0</v>
      </c>
      <c r="Y3622" s="53">
        <f t="shared" si="340"/>
        <v>0</v>
      </c>
      <c r="Z3622" s="64">
        <f t="shared" si="341"/>
        <v>0</v>
      </c>
    </row>
    <row r="3623" spans="1:26">
      <c r="A3623" s="89" t="str">
        <f t="shared" si="336"/>
        <v/>
      </c>
      <c r="B3623" s="89" t="str">
        <f t="shared" si="337"/>
        <v/>
      </c>
      <c r="S3623" s="89" t="str">
        <f t="shared" si="338"/>
        <v/>
      </c>
      <c r="X3623" s="64">
        <f t="shared" si="339"/>
        <v>0</v>
      </c>
      <c r="Y3623" s="53">
        <f t="shared" si="340"/>
        <v>0</v>
      </c>
      <c r="Z3623" s="64">
        <f t="shared" si="341"/>
        <v>0</v>
      </c>
    </row>
    <row r="3624" spans="1:26">
      <c r="A3624" s="89" t="str">
        <f t="shared" si="336"/>
        <v/>
      </c>
      <c r="B3624" s="89" t="str">
        <f t="shared" si="337"/>
        <v/>
      </c>
      <c r="S3624" s="89" t="str">
        <f t="shared" si="338"/>
        <v/>
      </c>
      <c r="X3624" s="64">
        <f t="shared" si="339"/>
        <v>0</v>
      </c>
      <c r="Y3624" s="53">
        <f t="shared" si="340"/>
        <v>0</v>
      </c>
      <c r="Z3624" s="64">
        <f t="shared" si="341"/>
        <v>0</v>
      </c>
    </row>
    <row r="3625" spans="1:26">
      <c r="A3625" s="89" t="str">
        <f t="shared" si="336"/>
        <v/>
      </c>
      <c r="B3625" s="89" t="str">
        <f t="shared" si="337"/>
        <v/>
      </c>
      <c r="S3625" s="89" t="str">
        <f t="shared" si="338"/>
        <v/>
      </c>
      <c r="X3625" s="64">
        <f t="shared" si="339"/>
        <v>0</v>
      </c>
      <c r="Y3625" s="53">
        <f t="shared" si="340"/>
        <v>0</v>
      </c>
      <c r="Z3625" s="64">
        <f t="shared" si="341"/>
        <v>0</v>
      </c>
    </row>
    <row r="3626" spans="1:26">
      <c r="A3626" s="89" t="str">
        <f t="shared" si="336"/>
        <v/>
      </c>
      <c r="B3626" s="89" t="str">
        <f t="shared" si="337"/>
        <v/>
      </c>
      <c r="S3626" s="89" t="str">
        <f t="shared" si="338"/>
        <v/>
      </c>
      <c r="X3626" s="64">
        <f t="shared" si="339"/>
        <v>0</v>
      </c>
      <c r="Y3626" s="53">
        <f t="shared" si="340"/>
        <v>0</v>
      </c>
      <c r="Z3626" s="64">
        <f t="shared" si="341"/>
        <v>0</v>
      </c>
    </row>
    <row r="3627" spans="1:26">
      <c r="A3627" s="89" t="str">
        <f t="shared" si="336"/>
        <v/>
      </c>
      <c r="B3627" s="89" t="str">
        <f t="shared" si="337"/>
        <v/>
      </c>
      <c r="S3627" s="89" t="str">
        <f t="shared" si="338"/>
        <v/>
      </c>
      <c r="X3627" s="64">
        <f t="shared" si="339"/>
        <v>0</v>
      </c>
      <c r="Y3627" s="53">
        <f t="shared" si="340"/>
        <v>0</v>
      </c>
      <c r="Z3627" s="64">
        <f t="shared" si="341"/>
        <v>0</v>
      </c>
    </row>
    <row r="3628" spans="1:26">
      <c r="A3628" s="89" t="str">
        <f t="shared" si="336"/>
        <v/>
      </c>
      <c r="B3628" s="89" t="str">
        <f t="shared" si="337"/>
        <v/>
      </c>
      <c r="S3628" s="89" t="str">
        <f t="shared" si="338"/>
        <v/>
      </c>
      <c r="X3628" s="64">
        <f t="shared" si="339"/>
        <v>0</v>
      </c>
      <c r="Y3628" s="53">
        <f t="shared" si="340"/>
        <v>0</v>
      </c>
      <c r="Z3628" s="64">
        <f t="shared" si="341"/>
        <v>0</v>
      </c>
    </row>
    <row r="3629" spans="1:26">
      <c r="A3629" s="89" t="str">
        <f t="shared" si="336"/>
        <v/>
      </c>
      <c r="B3629" s="89" t="str">
        <f t="shared" si="337"/>
        <v/>
      </c>
      <c r="S3629" s="89" t="str">
        <f t="shared" si="338"/>
        <v/>
      </c>
      <c r="X3629" s="64">
        <f t="shared" si="339"/>
        <v>0</v>
      </c>
      <c r="Y3629" s="53">
        <f t="shared" si="340"/>
        <v>0</v>
      </c>
      <c r="Z3629" s="64">
        <f t="shared" si="341"/>
        <v>0</v>
      </c>
    </row>
    <row r="3630" spans="1:26">
      <c r="A3630" s="89" t="str">
        <f t="shared" si="336"/>
        <v/>
      </c>
      <c r="B3630" s="89" t="str">
        <f t="shared" si="337"/>
        <v/>
      </c>
      <c r="S3630" s="89" t="str">
        <f t="shared" si="338"/>
        <v/>
      </c>
      <c r="X3630" s="64">
        <f t="shared" si="339"/>
        <v>0</v>
      </c>
      <c r="Y3630" s="53">
        <f t="shared" si="340"/>
        <v>0</v>
      </c>
      <c r="Z3630" s="64">
        <f t="shared" si="341"/>
        <v>0</v>
      </c>
    </row>
    <row r="3631" spans="1:26">
      <c r="A3631" s="89" t="str">
        <f t="shared" si="336"/>
        <v/>
      </c>
      <c r="B3631" s="89" t="str">
        <f t="shared" si="337"/>
        <v/>
      </c>
      <c r="S3631" s="89" t="str">
        <f t="shared" si="338"/>
        <v/>
      </c>
      <c r="X3631" s="64">
        <f t="shared" si="339"/>
        <v>0</v>
      </c>
      <c r="Y3631" s="53">
        <f t="shared" si="340"/>
        <v>0</v>
      </c>
      <c r="Z3631" s="64">
        <f t="shared" si="341"/>
        <v>0</v>
      </c>
    </row>
    <row r="3632" spans="1:26">
      <c r="A3632" s="89" t="str">
        <f t="shared" si="336"/>
        <v/>
      </c>
      <c r="B3632" s="89" t="str">
        <f t="shared" si="337"/>
        <v/>
      </c>
      <c r="S3632" s="89" t="str">
        <f t="shared" si="338"/>
        <v/>
      </c>
      <c r="X3632" s="64">
        <f t="shared" si="339"/>
        <v>0</v>
      </c>
      <c r="Y3632" s="53">
        <f t="shared" si="340"/>
        <v>0</v>
      </c>
      <c r="Z3632" s="64">
        <f t="shared" si="341"/>
        <v>0</v>
      </c>
    </row>
    <row r="3633" spans="1:26">
      <c r="A3633" s="89" t="str">
        <f t="shared" si="336"/>
        <v/>
      </c>
      <c r="B3633" s="89" t="str">
        <f t="shared" si="337"/>
        <v/>
      </c>
      <c r="S3633" s="89" t="str">
        <f t="shared" si="338"/>
        <v/>
      </c>
      <c r="X3633" s="64">
        <f t="shared" si="339"/>
        <v>0</v>
      </c>
      <c r="Y3633" s="53">
        <f t="shared" si="340"/>
        <v>0</v>
      </c>
      <c r="Z3633" s="64">
        <f t="shared" si="341"/>
        <v>0</v>
      </c>
    </row>
    <row r="3634" spans="1:26">
      <c r="A3634" s="89" t="str">
        <f t="shared" si="336"/>
        <v/>
      </c>
      <c r="B3634" s="89" t="str">
        <f t="shared" si="337"/>
        <v/>
      </c>
      <c r="S3634" s="89" t="str">
        <f t="shared" si="338"/>
        <v/>
      </c>
      <c r="X3634" s="64">
        <f t="shared" si="339"/>
        <v>0</v>
      </c>
      <c r="Y3634" s="53">
        <f t="shared" si="340"/>
        <v>0</v>
      </c>
      <c r="Z3634" s="64">
        <f t="shared" si="341"/>
        <v>0</v>
      </c>
    </row>
    <row r="3635" spans="1:26">
      <c r="A3635" s="89" t="str">
        <f t="shared" si="336"/>
        <v/>
      </c>
      <c r="B3635" s="89" t="str">
        <f t="shared" si="337"/>
        <v/>
      </c>
      <c r="S3635" s="89" t="str">
        <f t="shared" si="338"/>
        <v/>
      </c>
      <c r="X3635" s="64">
        <f t="shared" si="339"/>
        <v>0</v>
      </c>
      <c r="Y3635" s="53">
        <f t="shared" si="340"/>
        <v>0</v>
      </c>
      <c r="Z3635" s="64">
        <f t="shared" si="341"/>
        <v>0</v>
      </c>
    </row>
    <row r="3636" spans="1:26">
      <c r="A3636" s="89" t="str">
        <f t="shared" si="336"/>
        <v/>
      </c>
      <c r="B3636" s="89" t="str">
        <f t="shared" si="337"/>
        <v/>
      </c>
      <c r="S3636" s="89" t="str">
        <f t="shared" si="338"/>
        <v/>
      </c>
      <c r="X3636" s="64">
        <f t="shared" si="339"/>
        <v>0</v>
      </c>
      <c r="Y3636" s="53">
        <f t="shared" si="340"/>
        <v>0</v>
      </c>
      <c r="Z3636" s="64">
        <f t="shared" si="341"/>
        <v>0</v>
      </c>
    </row>
    <row r="3637" spans="1:26">
      <c r="A3637" s="89" t="str">
        <f t="shared" si="336"/>
        <v/>
      </c>
      <c r="B3637" s="89" t="str">
        <f t="shared" si="337"/>
        <v/>
      </c>
      <c r="S3637" s="89" t="str">
        <f t="shared" si="338"/>
        <v/>
      </c>
      <c r="X3637" s="64">
        <f t="shared" si="339"/>
        <v>0</v>
      </c>
      <c r="Y3637" s="53">
        <f t="shared" si="340"/>
        <v>0</v>
      </c>
      <c r="Z3637" s="64">
        <f t="shared" si="341"/>
        <v>0</v>
      </c>
    </row>
    <row r="3638" spans="1:26">
      <c r="A3638" s="89" t="str">
        <f t="shared" si="336"/>
        <v/>
      </c>
      <c r="B3638" s="89" t="str">
        <f t="shared" si="337"/>
        <v/>
      </c>
      <c r="S3638" s="89" t="str">
        <f t="shared" si="338"/>
        <v/>
      </c>
      <c r="X3638" s="64">
        <f t="shared" si="339"/>
        <v>0</v>
      </c>
      <c r="Y3638" s="53">
        <f t="shared" si="340"/>
        <v>0</v>
      </c>
      <c r="Z3638" s="64">
        <f t="shared" si="341"/>
        <v>0</v>
      </c>
    </row>
    <row r="3639" spans="1:26">
      <c r="A3639" s="89" t="str">
        <f t="shared" si="336"/>
        <v/>
      </c>
      <c r="B3639" s="89" t="str">
        <f t="shared" si="337"/>
        <v/>
      </c>
      <c r="S3639" s="89" t="str">
        <f t="shared" si="338"/>
        <v/>
      </c>
      <c r="X3639" s="64">
        <f t="shared" si="339"/>
        <v>0</v>
      </c>
      <c r="Y3639" s="53">
        <f t="shared" si="340"/>
        <v>0</v>
      </c>
      <c r="Z3639" s="64">
        <f t="shared" si="341"/>
        <v>0</v>
      </c>
    </row>
    <row r="3640" spans="1:26">
      <c r="A3640" s="89" t="str">
        <f t="shared" si="336"/>
        <v/>
      </c>
      <c r="B3640" s="89" t="str">
        <f t="shared" si="337"/>
        <v/>
      </c>
      <c r="S3640" s="89" t="str">
        <f t="shared" si="338"/>
        <v/>
      </c>
      <c r="X3640" s="64">
        <f t="shared" si="339"/>
        <v>0</v>
      </c>
      <c r="Y3640" s="53">
        <f t="shared" si="340"/>
        <v>0</v>
      </c>
      <c r="Z3640" s="64">
        <f t="shared" si="341"/>
        <v>0</v>
      </c>
    </row>
    <row r="3641" spans="1:26">
      <c r="A3641" s="89" t="str">
        <f t="shared" si="336"/>
        <v/>
      </c>
      <c r="B3641" s="89" t="str">
        <f t="shared" si="337"/>
        <v/>
      </c>
      <c r="S3641" s="89" t="str">
        <f t="shared" si="338"/>
        <v/>
      </c>
      <c r="X3641" s="64">
        <f t="shared" si="339"/>
        <v>0</v>
      </c>
      <c r="Y3641" s="53">
        <f t="shared" si="340"/>
        <v>0</v>
      </c>
      <c r="Z3641" s="64">
        <f t="shared" si="341"/>
        <v>0</v>
      </c>
    </row>
    <row r="3642" spans="1:26">
      <c r="A3642" s="89" t="str">
        <f t="shared" si="336"/>
        <v/>
      </c>
      <c r="B3642" s="89" t="str">
        <f t="shared" si="337"/>
        <v/>
      </c>
      <c r="S3642" s="89" t="str">
        <f t="shared" si="338"/>
        <v/>
      </c>
      <c r="X3642" s="64">
        <f t="shared" si="339"/>
        <v>0</v>
      </c>
      <c r="Y3642" s="53">
        <f t="shared" si="340"/>
        <v>0</v>
      </c>
      <c r="Z3642" s="64">
        <f t="shared" si="341"/>
        <v>0</v>
      </c>
    </row>
    <row r="3643" spans="1:26">
      <c r="A3643" s="89" t="str">
        <f t="shared" si="336"/>
        <v/>
      </c>
      <c r="B3643" s="89" t="str">
        <f t="shared" si="337"/>
        <v/>
      </c>
      <c r="S3643" s="89" t="str">
        <f t="shared" si="338"/>
        <v/>
      </c>
      <c r="X3643" s="64">
        <f t="shared" si="339"/>
        <v>0</v>
      </c>
      <c r="Y3643" s="53">
        <f t="shared" si="340"/>
        <v>0</v>
      </c>
      <c r="Z3643" s="64">
        <f t="shared" si="341"/>
        <v>0</v>
      </c>
    </row>
    <row r="3644" spans="1:26">
      <c r="A3644" s="89" t="str">
        <f t="shared" si="336"/>
        <v/>
      </c>
      <c r="B3644" s="89" t="str">
        <f t="shared" si="337"/>
        <v/>
      </c>
      <c r="S3644" s="89" t="str">
        <f t="shared" si="338"/>
        <v/>
      </c>
      <c r="X3644" s="64">
        <f t="shared" si="339"/>
        <v>0</v>
      </c>
      <c r="Y3644" s="53">
        <f t="shared" si="340"/>
        <v>0</v>
      </c>
      <c r="Z3644" s="64">
        <f t="shared" si="341"/>
        <v>0</v>
      </c>
    </row>
    <row r="3645" spans="1:26">
      <c r="A3645" s="89" t="str">
        <f t="shared" si="336"/>
        <v/>
      </c>
      <c r="B3645" s="89" t="str">
        <f t="shared" si="337"/>
        <v/>
      </c>
      <c r="S3645" s="89" t="str">
        <f t="shared" si="338"/>
        <v/>
      </c>
      <c r="X3645" s="64">
        <f t="shared" si="339"/>
        <v>0</v>
      </c>
      <c r="Y3645" s="53">
        <f t="shared" si="340"/>
        <v>0</v>
      </c>
      <c r="Z3645" s="64">
        <f t="shared" si="341"/>
        <v>0</v>
      </c>
    </row>
    <row r="3646" spans="1:26">
      <c r="A3646" s="89" t="str">
        <f t="shared" si="336"/>
        <v/>
      </c>
      <c r="B3646" s="89" t="str">
        <f t="shared" si="337"/>
        <v/>
      </c>
      <c r="S3646" s="89" t="str">
        <f t="shared" si="338"/>
        <v/>
      </c>
      <c r="X3646" s="64">
        <f t="shared" si="339"/>
        <v>0</v>
      </c>
      <c r="Y3646" s="53">
        <f t="shared" si="340"/>
        <v>0</v>
      </c>
      <c r="Z3646" s="64">
        <f t="shared" si="341"/>
        <v>0</v>
      </c>
    </row>
    <row r="3647" spans="1:26">
      <c r="A3647" s="89" t="str">
        <f t="shared" si="336"/>
        <v/>
      </c>
      <c r="B3647" s="89" t="str">
        <f t="shared" si="337"/>
        <v/>
      </c>
      <c r="S3647" s="89" t="str">
        <f t="shared" si="338"/>
        <v/>
      </c>
      <c r="X3647" s="64">
        <f t="shared" si="339"/>
        <v>0</v>
      </c>
      <c r="Y3647" s="53">
        <f t="shared" si="340"/>
        <v>0</v>
      </c>
      <c r="Z3647" s="64">
        <f t="shared" si="341"/>
        <v>0</v>
      </c>
    </row>
    <row r="3648" spans="1:26">
      <c r="A3648" s="89" t="str">
        <f t="shared" si="336"/>
        <v/>
      </c>
      <c r="B3648" s="89" t="str">
        <f t="shared" si="337"/>
        <v/>
      </c>
      <c r="S3648" s="89" t="str">
        <f t="shared" si="338"/>
        <v/>
      </c>
      <c r="X3648" s="64">
        <f t="shared" si="339"/>
        <v>0</v>
      </c>
      <c r="Y3648" s="53">
        <f t="shared" si="340"/>
        <v>0</v>
      </c>
      <c r="Z3648" s="64">
        <f t="shared" si="341"/>
        <v>0</v>
      </c>
    </row>
    <row r="3649" spans="1:26">
      <c r="A3649" s="89" t="str">
        <f t="shared" si="336"/>
        <v/>
      </c>
      <c r="B3649" s="89" t="str">
        <f t="shared" si="337"/>
        <v/>
      </c>
      <c r="S3649" s="89" t="str">
        <f t="shared" si="338"/>
        <v/>
      </c>
      <c r="X3649" s="64">
        <f t="shared" si="339"/>
        <v>0</v>
      </c>
      <c r="Y3649" s="53">
        <f t="shared" si="340"/>
        <v>0</v>
      </c>
      <c r="Z3649" s="64">
        <f t="shared" si="341"/>
        <v>0</v>
      </c>
    </row>
    <row r="3650" spans="1:26">
      <c r="A3650" s="89" t="str">
        <f t="shared" si="336"/>
        <v/>
      </c>
      <c r="B3650" s="89" t="str">
        <f t="shared" si="337"/>
        <v/>
      </c>
      <c r="S3650" s="89" t="str">
        <f t="shared" si="338"/>
        <v/>
      </c>
      <c r="X3650" s="64">
        <f t="shared" si="339"/>
        <v>0</v>
      </c>
      <c r="Y3650" s="53">
        <f t="shared" si="340"/>
        <v>0</v>
      </c>
      <c r="Z3650" s="64">
        <f t="shared" si="341"/>
        <v>0</v>
      </c>
    </row>
    <row r="3651" spans="1:26">
      <c r="A3651" s="89" t="str">
        <f t="shared" ref="A3651:A3714" si="342">IF(G3651&amp;Q3651&lt;&gt;"",G3651&amp;Q3651,"")</f>
        <v/>
      </c>
      <c r="B3651" s="89" t="str">
        <f t="shared" ref="B3651:B3714" si="343">IF(C3651&lt;&gt;"",LEFT(C3651,9),"")</f>
        <v/>
      </c>
      <c r="S3651" s="89" t="str">
        <f t="shared" ref="S3651:S3714" si="344">IF(H3651&lt;&gt;"",H3651,"")</f>
        <v/>
      </c>
      <c r="X3651" s="64">
        <f t="shared" ref="X3651:X3714" si="345">IFERROR(VALUE(MID($C3651,1,2)),0)</f>
        <v>0</v>
      </c>
      <c r="Y3651" s="53">
        <f t="shared" ref="Y3651:Y3714" si="346">IFERROR(VALUE(MID($C3651,4,3)),0)</f>
        <v>0</v>
      </c>
      <c r="Z3651" s="64">
        <f t="shared" ref="Z3651:Z3714" si="347">VALUE(RIGHT("00"&amp;X3651,2)&amp;RIGHT("000"&amp;Y3651,3))</f>
        <v>0</v>
      </c>
    </row>
    <row r="3652" spans="1:26">
      <c r="A3652" s="89" t="str">
        <f t="shared" si="342"/>
        <v/>
      </c>
      <c r="B3652" s="89" t="str">
        <f t="shared" si="343"/>
        <v/>
      </c>
      <c r="S3652" s="89" t="str">
        <f t="shared" si="344"/>
        <v/>
      </c>
      <c r="X3652" s="64">
        <f t="shared" si="345"/>
        <v>0</v>
      </c>
      <c r="Y3652" s="53">
        <f t="shared" si="346"/>
        <v>0</v>
      </c>
      <c r="Z3652" s="64">
        <f t="shared" si="347"/>
        <v>0</v>
      </c>
    </row>
    <row r="3653" spans="1:26">
      <c r="A3653" s="89" t="str">
        <f t="shared" si="342"/>
        <v/>
      </c>
      <c r="B3653" s="89" t="str">
        <f t="shared" si="343"/>
        <v/>
      </c>
      <c r="S3653" s="89" t="str">
        <f t="shared" si="344"/>
        <v/>
      </c>
      <c r="X3653" s="64">
        <f t="shared" si="345"/>
        <v>0</v>
      </c>
      <c r="Y3653" s="53">
        <f t="shared" si="346"/>
        <v>0</v>
      </c>
      <c r="Z3653" s="64">
        <f t="shared" si="347"/>
        <v>0</v>
      </c>
    </row>
    <row r="3654" spans="1:26">
      <c r="A3654" s="89" t="str">
        <f t="shared" si="342"/>
        <v/>
      </c>
      <c r="B3654" s="89" t="str">
        <f t="shared" si="343"/>
        <v/>
      </c>
      <c r="S3654" s="89" t="str">
        <f t="shared" si="344"/>
        <v/>
      </c>
      <c r="X3654" s="64">
        <f t="shared" si="345"/>
        <v>0</v>
      </c>
      <c r="Y3654" s="53">
        <f t="shared" si="346"/>
        <v>0</v>
      </c>
      <c r="Z3654" s="64">
        <f t="shared" si="347"/>
        <v>0</v>
      </c>
    </row>
    <row r="3655" spans="1:26">
      <c r="A3655" s="89" t="str">
        <f t="shared" si="342"/>
        <v/>
      </c>
      <c r="B3655" s="89" t="str">
        <f t="shared" si="343"/>
        <v/>
      </c>
      <c r="S3655" s="89" t="str">
        <f t="shared" si="344"/>
        <v/>
      </c>
      <c r="X3655" s="64">
        <f t="shared" si="345"/>
        <v>0</v>
      </c>
      <c r="Y3655" s="53">
        <f t="shared" si="346"/>
        <v>0</v>
      </c>
      <c r="Z3655" s="64">
        <f t="shared" si="347"/>
        <v>0</v>
      </c>
    </row>
    <row r="3656" spans="1:26">
      <c r="A3656" s="89" t="str">
        <f t="shared" si="342"/>
        <v/>
      </c>
      <c r="B3656" s="89" t="str">
        <f t="shared" si="343"/>
        <v/>
      </c>
      <c r="S3656" s="89" t="str">
        <f t="shared" si="344"/>
        <v/>
      </c>
      <c r="X3656" s="64">
        <f t="shared" si="345"/>
        <v>0</v>
      </c>
      <c r="Y3656" s="53">
        <f t="shared" si="346"/>
        <v>0</v>
      </c>
      <c r="Z3656" s="64">
        <f t="shared" si="347"/>
        <v>0</v>
      </c>
    </row>
    <row r="3657" spans="1:26">
      <c r="A3657" s="89" t="str">
        <f t="shared" si="342"/>
        <v/>
      </c>
      <c r="B3657" s="89" t="str">
        <f t="shared" si="343"/>
        <v/>
      </c>
      <c r="S3657" s="89" t="str">
        <f t="shared" si="344"/>
        <v/>
      </c>
      <c r="X3657" s="64">
        <f t="shared" si="345"/>
        <v>0</v>
      </c>
      <c r="Y3657" s="53">
        <f t="shared" si="346"/>
        <v>0</v>
      </c>
      <c r="Z3657" s="64">
        <f t="shared" si="347"/>
        <v>0</v>
      </c>
    </row>
    <row r="3658" spans="1:26">
      <c r="A3658" s="89" t="str">
        <f t="shared" si="342"/>
        <v/>
      </c>
      <c r="B3658" s="89" t="str">
        <f t="shared" si="343"/>
        <v/>
      </c>
      <c r="S3658" s="89" t="str">
        <f t="shared" si="344"/>
        <v/>
      </c>
      <c r="X3658" s="64">
        <f t="shared" si="345"/>
        <v>0</v>
      </c>
      <c r="Y3658" s="53">
        <f t="shared" si="346"/>
        <v>0</v>
      </c>
      <c r="Z3658" s="64">
        <f t="shared" si="347"/>
        <v>0</v>
      </c>
    </row>
    <row r="3659" spans="1:26">
      <c r="A3659" s="89" t="str">
        <f t="shared" si="342"/>
        <v/>
      </c>
      <c r="B3659" s="89" t="str">
        <f t="shared" si="343"/>
        <v/>
      </c>
      <c r="S3659" s="89" t="str">
        <f t="shared" si="344"/>
        <v/>
      </c>
      <c r="X3659" s="64">
        <f t="shared" si="345"/>
        <v>0</v>
      </c>
      <c r="Y3659" s="53">
        <f t="shared" si="346"/>
        <v>0</v>
      </c>
      <c r="Z3659" s="64">
        <f t="shared" si="347"/>
        <v>0</v>
      </c>
    </row>
    <row r="3660" spans="1:26">
      <c r="A3660" s="89" t="str">
        <f t="shared" si="342"/>
        <v/>
      </c>
      <c r="B3660" s="89" t="str">
        <f t="shared" si="343"/>
        <v/>
      </c>
      <c r="S3660" s="89" t="str">
        <f t="shared" si="344"/>
        <v/>
      </c>
      <c r="X3660" s="64">
        <f t="shared" si="345"/>
        <v>0</v>
      </c>
      <c r="Y3660" s="53">
        <f t="shared" si="346"/>
        <v>0</v>
      </c>
      <c r="Z3660" s="64">
        <f t="shared" si="347"/>
        <v>0</v>
      </c>
    </row>
    <row r="3661" spans="1:26">
      <c r="A3661" s="89" t="str">
        <f t="shared" si="342"/>
        <v/>
      </c>
      <c r="B3661" s="89" t="str">
        <f t="shared" si="343"/>
        <v/>
      </c>
      <c r="S3661" s="89" t="str">
        <f t="shared" si="344"/>
        <v/>
      </c>
      <c r="X3661" s="64">
        <f t="shared" si="345"/>
        <v>0</v>
      </c>
      <c r="Y3661" s="53">
        <f t="shared" si="346"/>
        <v>0</v>
      </c>
      <c r="Z3661" s="64">
        <f t="shared" si="347"/>
        <v>0</v>
      </c>
    </row>
    <row r="3662" spans="1:26">
      <c r="A3662" s="89" t="str">
        <f t="shared" si="342"/>
        <v/>
      </c>
      <c r="B3662" s="89" t="str">
        <f t="shared" si="343"/>
        <v/>
      </c>
      <c r="S3662" s="89" t="str">
        <f t="shared" si="344"/>
        <v/>
      </c>
      <c r="X3662" s="64">
        <f t="shared" si="345"/>
        <v>0</v>
      </c>
      <c r="Y3662" s="53">
        <f t="shared" si="346"/>
        <v>0</v>
      </c>
      <c r="Z3662" s="64">
        <f t="shared" si="347"/>
        <v>0</v>
      </c>
    </row>
    <row r="3663" spans="1:26">
      <c r="A3663" s="89" t="str">
        <f t="shared" si="342"/>
        <v/>
      </c>
      <c r="B3663" s="89" t="str">
        <f t="shared" si="343"/>
        <v/>
      </c>
      <c r="S3663" s="89" t="str">
        <f t="shared" si="344"/>
        <v/>
      </c>
      <c r="X3663" s="64">
        <f t="shared" si="345"/>
        <v>0</v>
      </c>
      <c r="Y3663" s="53">
        <f t="shared" si="346"/>
        <v>0</v>
      </c>
      <c r="Z3663" s="64">
        <f t="shared" si="347"/>
        <v>0</v>
      </c>
    </row>
    <row r="3664" spans="1:26">
      <c r="A3664" s="89" t="str">
        <f t="shared" si="342"/>
        <v/>
      </c>
      <c r="B3664" s="89" t="str">
        <f t="shared" si="343"/>
        <v/>
      </c>
      <c r="S3664" s="89" t="str">
        <f t="shared" si="344"/>
        <v/>
      </c>
      <c r="X3664" s="64">
        <f t="shared" si="345"/>
        <v>0</v>
      </c>
      <c r="Y3664" s="53">
        <f t="shared" si="346"/>
        <v>0</v>
      </c>
      <c r="Z3664" s="64">
        <f t="shared" si="347"/>
        <v>0</v>
      </c>
    </row>
    <row r="3665" spans="1:26">
      <c r="A3665" s="89" t="str">
        <f t="shared" si="342"/>
        <v/>
      </c>
      <c r="B3665" s="89" t="str">
        <f t="shared" si="343"/>
        <v/>
      </c>
      <c r="S3665" s="89" t="str">
        <f t="shared" si="344"/>
        <v/>
      </c>
      <c r="X3665" s="64">
        <f t="shared" si="345"/>
        <v>0</v>
      </c>
      <c r="Y3665" s="53">
        <f t="shared" si="346"/>
        <v>0</v>
      </c>
      <c r="Z3665" s="64">
        <f t="shared" si="347"/>
        <v>0</v>
      </c>
    </row>
    <row r="3666" spans="1:26">
      <c r="A3666" s="89" t="str">
        <f t="shared" si="342"/>
        <v/>
      </c>
      <c r="B3666" s="89" t="str">
        <f t="shared" si="343"/>
        <v/>
      </c>
      <c r="S3666" s="89" t="str">
        <f t="shared" si="344"/>
        <v/>
      </c>
      <c r="X3666" s="64">
        <f t="shared" si="345"/>
        <v>0</v>
      </c>
      <c r="Y3666" s="53">
        <f t="shared" si="346"/>
        <v>0</v>
      </c>
      <c r="Z3666" s="64">
        <f t="shared" si="347"/>
        <v>0</v>
      </c>
    </row>
    <row r="3667" spans="1:26">
      <c r="A3667" s="89" t="str">
        <f t="shared" si="342"/>
        <v/>
      </c>
      <c r="B3667" s="89" t="str">
        <f t="shared" si="343"/>
        <v/>
      </c>
      <c r="S3667" s="89" t="str">
        <f t="shared" si="344"/>
        <v/>
      </c>
      <c r="X3667" s="64">
        <f t="shared" si="345"/>
        <v>0</v>
      </c>
      <c r="Y3667" s="53">
        <f t="shared" si="346"/>
        <v>0</v>
      </c>
      <c r="Z3667" s="64">
        <f t="shared" si="347"/>
        <v>0</v>
      </c>
    </row>
    <row r="3668" spans="1:26">
      <c r="A3668" s="89" t="str">
        <f t="shared" si="342"/>
        <v/>
      </c>
      <c r="B3668" s="89" t="str">
        <f t="shared" si="343"/>
        <v/>
      </c>
      <c r="S3668" s="89" t="str">
        <f t="shared" si="344"/>
        <v/>
      </c>
      <c r="X3668" s="64">
        <f t="shared" si="345"/>
        <v>0</v>
      </c>
      <c r="Y3668" s="53">
        <f t="shared" si="346"/>
        <v>0</v>
      </c>
      <c r="Z3668" s="64">
        <f t="shared" si="347"/>
        <v>0</v>
      </c>
    </row>
    <row r="3669" spans="1:26">
      <c r="A3669" s="89" t="str">
        <f t="shared" si="342"/>
        <v/>
      </c>
      <c r="B3669" s="89" t="str">
        <f t="shared" si="343"/>
        <v/>
      </c>
      <c r="S3669" s="89" t="str">
        <f t="shared" si="344"/>
        <v/>
      </c>
      <c r="X3669" s="64">
        <f t="shared" si="345"/>
        <v>0</v>
      </c>
      <c r="Y3669" s="53">
        <f t="shared" si="346"/>
        <v>0</v>
      </c>
      <c r="Z3669" s="64">
        <f t="shared" si="347"/>
        <v>0</v>
      </c>
    </row>
    <row r="3670" spans="1:26">
      <c r="A3670" s="89" t="str">
        <f t="shared" si="342"/>
        <v/>
      </c>
      <c r="B3670" s="89" t="str">
        <f t="shared" si="343"/>
        <v/>
      </c>
      <c r="S3670" s="89" t="str">
        <f t="shared" si="344"/>
        <v/>
      </c>
      <c r="X3670" s="64">
        <f t="shared" si="345"/>
        <v>0</v>
      </c>
      <c r="Y3670" s="53">
        <f t="shared" si="346"/>
        <v>0</v>
      </c>
      <c r="Z3670" s="64">
        <f t="shared" si="347"/>
        <v>0</v>
      </c>
    </row>
    <row r="3671" spans="1:26">
      <c r="A3671" s="89" t="str">
        <f t="shared" si="342"/>
        <v/>
      </c>
      <c r="B3671" s="89" t="str">
        <f t="shared" si="343"/>
        <v/>
      </c>
      <c r="S3671" s="89" t="str">
        <f t="shared" si="344"/>
        <v/>
      </c>
      <c r="X3671" s="64">
        <f t="shared" si="345"/>
        <v>0</v>
      </c>
      <c r="Y3671" s="53">
        <f t="shared" si="346"/>
        <v>0</v>
      </c>
      <c r="Z3671" s="64">
        <f t="shared" si="347"/>
        <v>0</v>
      </c>
    </row>
    <row r="3672" spans="1:26">
      <c r="A3672" s="89" t="str">
        <f t="shared" si="342"/>
        <v/>
      </c>
      <c r="B3672" s="89" t="str">
        <f t="shared" si="343"/>
        <v/>
      </c>
      <c r="S3672" s="89" t="str">
        <f t="shared" si="344"/>
        <v/>
      </c>
      <c r="X3672" s="64">
        <f t="shared" si="345"/>
        <v>0</v>
      </c>
      <c r="Y3672" s="53">
        <f t="shared" si="346"/>
        <v>0</v>
      </c>
      <c r="Z3672" s="64">
        <f t="shared" si="347"/>
        <v>0</v>
      </c>
    </row>
    <row r="3673" spans="1:26">
      <c r="A3673" s="89" t="str">
        <f t="shared" si="342"/>
        <v/>
      </c>
      <c r="B3673" s="89" t="str">
        <f t="shared" si="343"/>
        <v/>
      </c>
      <c r="S3673" s="89" t="str">
        <f t="shared" si="344"/>
        <v/>
      </c>
      <c r="X3673" s="64">
        <f t="shared" si="345"/>
        <v>0</v>
      </c>
      <c r="Y3673" s="53">
        <f t="shared" si="346"/>
        <v>0</v>
      </c>
      <c r="Z3673" s="64">
        <f t="shared" si="347"/>
        <v>0</v>
      </c>
    </row>
    <row r="3674" spans="1:26">
      <c r="A3674" s="89" t="str">
        <f t="shared" si="342"/>
        <v/>
      </c>
      <c r="B3674" s="89" t="str">
        <f t="shared" si="343"/>
        <v/>
      </c>
      <c r="S3674" s="89" t="str">
        <f t="shared" si="344"/>
        <v/>
      </c>
      <c r="X3674" s="64">
        <f t="shared" si="345"/>
        <v>0</v>
      </c>
      <c r="Y3674" s="53">
        <f t="shared" si="346"/>
        <v>0</v>
      </c>
      <c r="Z3674" s="64">
        <f t="shared" si="347"/>
        <v>0</v>
      </c>
    </row>
    <row r="3675" spans="1:26">
      <c r="A3675" s="89" t="str">
        <f t="shared" si="342"/>
        <v/>
      </c>
      <c r="B3675" s="89" t="str">
        <f t="shared" si="343"/>
        <v/>
      </c>
      <c r="S3675" s="89" t="str">
        <f t="shared" si="344"/>
        <v/>
      </c>
      <c r="X3675" s="64">
        <f t="shared" si="345"/>
        <v>0</v>
      </c>
      <c r="Y3675" s="53">
        <f t="shared" si="346"/>
        <v>0</v>
      </c>
      <c r="Z3675" s="64">
        <f t="shared" si="347"/>
        <v>0</v>
      </c>
    </row>
    <row r="3676" spans="1:26">
      <c r="A3676" s="89" t="str">
        <f t="shared" si="342"/>
        <v/>
      </c>
      <c r="B3676" s="89" t="str">
        <f t="shared" si="343"/>
        <v/>
      </c>
      <c r="S3676" s="89" t="str">
        <f t="shared" si="344"/>
        <v/>
      </c>
      <c r="X3676" s="64">
        <f t="shared" si="345"/>
        <v>0</v>
      </c>
      <c r="Y3676" s="53">
        <f t="shared" si="346"/>
        <v>0</v>
      </c>
      <c r="Z3676" s="64">
        <f t="shared" si="347"/>
        <v>0</v>
      </c>
    </row>
    <row r="3677" spans="1:26">
      <c r="A3677" s="89" t="str">
        <f t="shared" si="342"/>
        <v/>
      </c>
      <c r="B3677" s="89" t="str">
        <f t="shared" si="343"/>
        <v/>
      </c>
      <c r="S3677" s="89" t="str">
        <f t="shared" si="344"/>
        <v/>
      </c>
      <c r="X3677" s="64">
        <f t="shared" si="345"/>
        <v>0</v>
      </c>
      <c r="Y3677" s="53">
        <f t="shared" si="346"/>
        <v>0</v>
      </c>
      <c r="Z3677" s="64">
        <f t="shared" si="347"/>
        <v>0</v>
      </c>
    </row>
    <row r="3678" spans="1:26">
      <c r="A3678" s="89" t="str">
        <f t="shared" si="342"/>
        <v/>
      </c>
      <c r="B3678" s="89" t="str">
        <f t="shared" si="343"/>
        <v/>
      </c>
      <c r="S3678" s="89" t="str">
        <f t="shared" si="344"/>
        <v/>
      </c>
      <c r="X3678" s="64">
        <f t="shared" si="345"/>
        <v>0</v>
      </c>
      <c r="Y3678" s="53">
        <f t="shared" si="346"/>
        <v>0</v>
      </c>
      <c r="Z3678" s="64">
        <f t="shared" si="347"/>
        <v>0</v>
      </c>
    </row>
    <row r="3679" spans="1:26">
      <c r="A3679" s="89" t="str">
        <f t="shared" si="342"/>
        <v/>
      </c>
      <c r="B3679" s="89" t="str">
        <f t="shared" si="343"/>
        <v/>
      </c>
      <c r="S3679" s="89" t="str">
        <f t="shared" si="344"/>
        <v/>
      </c>
      <c r="X3679" s="64">
        <f t="shared" si="345"/>
        <v>0</v>
      </c>
      <c r="Y3679" s="53">
        <f t="shared" si="346"/>
        <v>0</v>
      </c>
      <c r="Z3679" s="64">
        <f t="shared" si="347"/>
        <v>0</v>
      </c>
    </row>
    <row r="3680" spans="1:26">
      <c r="A3680" s="89" t="str">
        <f t="shared" si="342"/>
        <v/>
      </c>
      <c r="B3680" s="89" t="str">
        <f t="shared" si="343"/>
        <v/>
      </c>
      <c r="S3680" s="89" t="str">
        <f t="shared" si="344"/>
        <v/>
      </c>
      <c r="X3680" s="64">
        <f t="shared" si="345"/>
        <v>0</v>
      </c>
      <c r="Y3680" s="53">
        <f t="shared" si="346"/>
        <v>0</v>
      </c>
      <c r="Z3680" s="64">
        <f t="shared" si="347"/>
        <v>0</v>
      </c>
    </row>
    <row r="3681" spans="1:26">
      <c r="A3681" s="89" t="str">
        <f t="shared" si="342"/>
        <v/>
      </c>
      <c r="B3681" s="89" t="str">
        <f t="shared" si="343"/>
        <v/>
      </c>
      <c r="S3681" s="89" t="str">
        <f t="shared" si="344"/>
        <v/>
      </c>
      <c r="X3681" s="64">
        <f t="shared" si="345"/>
        <v>0</v>
      </c>
      <c r="Y3681" s="53">
        <f t="shared" si="346"/>
        <v>0</v>
      </c>
      <c r="Z3681" s="64">
        <f t="shared" si="347"/>
        <v>0</v>
      </c>
    </row>
    <row r="3682" spans="1:26">
      <c r="A3682" s="89" t="str">
        <f t="shared" si="342"/>
        <v/>
      </c>
      <c r="B3682" s="89" t="str">
        <f t="shared" si="343"/>
        <v/>
      </c>
      <c r="S3682" s="89" t="str">
        <f t="shared" si="344"/>
        <v/>
      </c>
      <c r="X3682" s="64">
        <f t="shared" si="345"/>
        <v>0</v>
      </c>
      <c r="Y3682" s="53">
        <f t="shared" si="346"/>
        <v>0</v>
      </c>
      <c r="Z3682" s="64">
        <f t="shared" si="347"/>
        <v>0</v>
      </c>
    </row>
    <row r="3683" spans="1:26">
      <c r="A3683" s="89" t="str">
        <f t="shared" si="342"/>
        <v/>
      </c>
      <c r="B3683" s="89" t="str">
        <f t="shared" si="343"/>
        <v/>
      </c>
      <c r="S3683" s="89" t="str">
        <f t="shared" si="344"/>
        <v/>
      </c>
      <c r="X3683" s="64">
        <f t="shared" si="345"/>
        <v>0</v>
      </c>
      <c r="Y3683" s="53">
        <f t="shared" si="346"/>
        <v>0</v>
      </c>
      <c r="Z3683" s="64">
        <f t="shared" si="347"/>
        <v>0</v>
      </c>
    </row>
    <row r="3684" spans="1:26">
      <c r="A3684" s="89" t="str">
        <f t="shared" si="342"/>
        <v/>
      </c>
      <c r="B3684" s="89" t="str">
        <f t="shared" si="343"/>
        <v/>
      </c>
      <c r="S3684" s="89" t="str">
        <f t="shared" si="344"/>
        <v/>
      </c>
      <c r="X3684" s="64">
        <f t="shared" si="345"/>
        <v>0</v>
      </c>
      <c r="Y3684" s="53">
        <f t="shared" si="346"/>
        <v>0</v>
      </c>
      <c r="Z3684" s="64">
        <f t="shared" si="347"/>
        <v>0</v>
      </c>
    </row>
    <row r="3685" spans="1:26">
      <c r="A3685" s="89" t="str">
        <f t="shared" si="342"/>
        <v/>
      </c>
      <c r="B3685" s="89" t="str">
        <f t="shared" si="343"/>
        <v/>
      </c>
      <c r="S3685" s="89" t="str">
        <f t="shared" si="344"/>
        <v/>
      </c>
      <c r="X3685" s="64">
        <f t="shared" si="345"/>
        <v>0</v>
      </c>
      <c r="Y3685" s="53">
        <f t="shared" si="346"/>
        <v>0</v>
      </c>
      <c r="Z3685" s="64">
        <f t="shared" si="347"/>
        <v>0</v>
      </c>
    </row>
    <row r="3686" spans="1:26">
      <c r="A3686" s="89" t="str">
        <f t="shared" si="342"/>
        <v/>
      </c>
      <c r="B3686" s="89" t="str">
        <f t="shared" si="343"/>
        <v/>
      </c>
      <c r="S3686" s="89" t="str">
        <f t="shared" si="344"/>
        <v/>
      </c>
      <c r="X3686" s="64">
        <f t="shared" si="345"/>
        <v>0</v>
      </c>
      <c r="Y3686" s="53">
        <f t="shared" si="346"/>
        <v>0</v>
      </c>
      <c r="Z3686" s="64">
        <f t="shared" si="347"/>
        <v>0</v>
      </c>
    </row>
    <row r="3687" spans="1:26">
      <c r="A3687" s="89" t="str">
        <f t="shared" si="342"/>
        <v/>
      </c>
      <c r="B3687" s="89" t="str">
        <f t="shared" si="343"/>
        <v/>
      </c>
      <c r="S3687" s="89" t="str">
        <f t="shared" si="344"/>
        <v/>
      </c>
      <c r="X3687" s="64">
        <f t="shared" si="345"/>
        <v>0</v>
      </c>
      <c r="Y3687" s="53">
        <f t="shared" si="346"/>
        <v>0</v>
      </c>
      <c r="Z3687" s="64">
        <f t="shared" si="347"/>
        <v>0</v>
      </c>
    </row>
    <row r="3688" spans="1:26">
      <c r="A3688" s="89" t="str">
        <f t="shared" si="342"/>
        <v/>
      </c>
      <c r="B3688" s="89" t="str">
        <f t="shared" si="343"/>
        <v/>
      </c>
      <c r="S3688" s="89" t="str">
        <f t="shared" si="344"/>
        <v/>
      </c>
      <c r="X3688" s="64">
        <f t="shared" si="345"/>
        <v>0</v>
      </c>
      <c r="Y3688" s="53">
        <f t="shared" si="346"/>
        <v>0</v>
      </c>
      <c r="Z3688" s="64">
        <f t="shared" si="347"/>
        <v>0</v>
      </c>
    </row>
    <row r="3689" spans="1:26">
      <c r="A3689" s="89" t="str">
        <f t="shared" si="342"/>
        <v/>
      </c>
      <c r="B3689" s="89" t="str">
        <f t="shared" si="343"/>
        <v/>
      </c>
      <c r="S3689" s="89" t="str">
        <f t="shared" si="344"/>
        <v/>
      </c>
      <c r="X3689" s="64">
        <f t="shared" si="345"/>
        <v>0</v>
      </c>
      <c r="Y3689" s="53">
        <f t="shared" si="346"/>
        <v>0</v>
      </c>
      <c r="Z3689" s="64">
        <f t="shared" si="347"/>
        <v>0</v>
      </c>
    </row>
    <row r="3690" spans="1:26">
      <c r="A3690" s="89" t="str">
        <f t="shared" si="342"/>
        <v/>
      </c>
      <c r="B3690" s="89" t="str">
        <f t="shared" si="343"/>
        <v/>
      </c>
      <c r="S3690" s="89" t="str">
        <f t="shared" si="344"/>
        <v/>
      </c>
      <c r="X3690" s="64">
        <f t="shared" si="345"/>
        <v>0</v>
      </c>
      <c r="Y3690" s="53">
        <f t="shared" si="346"/>
        <v>0</v>
      </c>
      <c r="Z3690" s="64">
        <f t="shared" si="347"/>
        <v>0</v>
      </c>
    </row>
    <row r="3691" spans="1:26">
      <c r="A3691" s="89" t="str">
        <f t="shared" si="342"/>
        <v/>
      </c>
      <c r="B3691" s="89" t="str">
        <f t="shared" si="343"/>
        <v/>
      </c>
      <c r="S3691" s="89" t="str">
        <f t="shared" si="344"/>
        <v/>
      </c>
      <c r="X3691" s="64">
        <f t="shared" si="345"/>
        <v>0</v>
      </c>
      <c r="Y3691" s="53">
        <f t="shared" si="346"/>
        <v>0</v>
      </c>
      <c r="Z3691" s="64">
        <f t="shared" si="347"/>
        <v>0</v>
      </c>
    </row>
    <row r="3692" spans="1:26">
      <c r="A3692" s="89" t="str">
        <f t="shared" si="342"/>
        <v/>
      </c>
      <c r="B3692" s="89" t="str">
        <f t="shared" si="343"/>
        <v/>
      </c>
      <c r="S3692" s="89" t="str">
        <f t="shared" si="344"/>
        <v/>
      </c>
      <c r="X3692" s="64">
        <f t="shared" si="345"/>
        <v>0</v>
      </c>
      <c r="Y3692" s="53">
        <f t="shared" si="346"/>
        <v>0</v>
      </c>
      <c r="Z3692" s="64">
        <f t="shared" si="347"/>
        <v>0</v>
      </c>
    </row>
    <row r="3693" spans="1:26">
      <c r="A3693" s="89" t="str">
        <f t="shared" si="342"/>
        <v/>
      </c>
      <c r="B3693" s="89" t="str">
        <f t="shared" si="343"/>
        <v/>
      </c>
      <c r="S3693" s="89" t="str">
        <f t="shared" si="344"/>
        <v/>
      </c>
      <c r="X3693" s="64">
        <f t="shared" si="345"/>
        <v>0</v>
      </c>
      <c r="Y3693" s="53">
        <f t="shared" si="346"/>
        <v>0</v>
      </c>
      <c r="Z3693" s="64">
        <f t="shared" si="347"/>
        <v>0</v>
      </c>
    </row>
    <row r="3694" spans="1:26">
      <c r="A3694" s="89" t="str">
        <f t="shared" si="342"/>
        <v/>
      </c>
      <c r="B3694" s="89" t="str">
        <f t="shared" si="343"/>
        <v/>
      </c>
      <c r="S3694" s="89" t="str">
        <f t="shared" si="344"/>
        <v/>
      </c>
      <c r="X3694" s="64">
        <f t="shared" si="345"/>
        <v>0</v>
      </c>
      <c r="Y3694" s="53">
        <f t="shared" si="346"/>
        <v>0</v>
      </c>
      <c r="Z3694" s="64">
        <f t="shared" si="347"/>
        <v>0</v>
      </c>
    </row>
    <row r="3695" spans="1:26">
      <c r="A3695" s="89" t="str">
        <f t="shared" si="342"/>
        <v/>
      </c>
      <c r="B3695" s="89" t="str">
        <f t="shared" si="343"/>
        <v/>
      </c>
      <c r="S3695" s="89" t="str">
        <f t="shared" si="344"/>
        <v/>
      </c>
      <c r="X3695" s="64">
        <f t="shared" si="345"/>
        <v>0</v>
      </c>
      <c r="Y3695" s="53">
        <f t="shared" si="346"/>
        <v>0</v>
      </c>
      <c r="Z3695" s="64">
        <f t="shared" si="347"/>
        <v>0</v>
      </c>
    </row>
    <row r="3696" spans="1:26">
      <c r="A3696" s="89" t="str">
        <f t="shared" si="342"/>
        <v/>
      </c>
      <c r="B3696" s="89" t="str">
        <f t="shared" si="343"/>
        <v/>
      </c>
      <c r="S3696" s="89" t="str">
        <f t="shared" si="344"/>
        <v/>
      </c>
      <c r="X3696" s="64">
        <f t="shared" si="345"/>
        <v>0</v>
      </c>
      <c r="Y3696" s="53">
        <f t="shared" si="346"/>
        <v>0</v>
      </c>
      <c r="Z3696" s="64">
        <f t="shared" si="347"/>
        <v>0</v>
      </c>
    </row>
    <row r="3697" spans="1:26">
      <c r="A3697" s="89" t="str">
        <f t="shared" si="342"/>
        <v/>
      </c>
      <c r="B3697" s="89" t="str">
        <f t="shared" si="343"/>
        <v/>
      </c>
      <c r="S3697" s="89" t="str">
        <f t="shared" si="344"/>
        <v/>
      </c>
      <c r="X3697" s="64">
        <f t="shared" si="345"/>
        <v>0</v>
      </c>
      <c r="Y3697" s="53">
        <f t="shared" si="346"/>
        <v>0</v>
      </c>
      <c r="Z3697" s="64">
        <f t="shared" si="347"/>
        <v>0</v>
      </c>
    </row>
    <row r="3698" spans="1:26">
      <c r="A3698" s="89" t="str">
        <f t="shared" si="342"/>
        <v/>
      </c>
      <c r="B3698" s="89" t="str">
        <f t="shared" si="343"/>
        <v/>
      </c>
      <c r="S3698" s="89" t="str">
        <f t="shared" si="344"/>
        <v/>
      </c>
      <c r="X3698" s="64">
        <f t="shared" si="345"/>
        <v>0</v>
      </c>
      <c r="Y3698" s="53">
        <f t="shared" si="346"/>
        <v>0</v>
      </c>
      <c r="Z3698" s="64">
        <f t="shared" si="347"/>
        <v>0</v>
      </c>
    </row>
    <row r="3699" spans="1:26">
      <c r="A3699" s="89" t="str">
        <f t="shared" si="342"/>
        <v/>
      </c>
      <c r="B3699" s="89" t="str">
        <f t="shared" si="343"/>
        <v/>
      </c>
      <c r="S3699" s="89" t="str">
        <f t="shared" si="344"/>
        <v/>
      </c>
      <c r="X3699" s="64">
        <f t="shared" si="345"/>
        <v>0</v>
      </c>
      <c r="Y3699" s="53">
        <f t="shared" si="346"/>
        <v>0</v>
      </c>
      <c r="Z3699" s="64">
        <f t="shared" si="347"/>
        <v>0</v>
      </c>
    </row>
    <row r="3700" spans="1:26">
      <c r="A3700" s="89" t="str">
        <f t="shared" si="342"/>
        <v/>
      </c>
      <c r="B3700" s="89" t="str">
        <f t="shared" si="343"/>
        <v/>
      </c>
      <c r="S3700" s="89" t="str">
        <f t="shared" si="344"/>
        <v/>
      </c>
      <c r="X3700" s="64">
        <f t="shared" si="345"/>
        <v>0</v>
      </c>
      <c r="Y3700" s="53">
        <f t="shared" si="346"/>
        <v>0</v>
      </c>
      <c r="Z3700" s="64">
        <f t="shared" si="347"/>
        <v>0</v>
      </c>
    </row>
    <row r="3701" spans="1:26">
      <c r="A3701" s="89" t="str">
        <f t="shared" si="342"/>
        <v/>
      </c>
      <c r="B3701" s="89" t="str">
        <f t="shared" si="343"/>
        <v/>
      </c>
      <c r="S3701" s="89" t="str">
        <f t="shared" si="344"/>
        <v/>
      </c>
      <c r="X3701" s="64">
        <f t="shared" si="345"/>
        <v>0</v>
      </c>
      <c r="Y3701" s="53">
        <f t="shared" si="346"/>
        <v>0</v>
      </c>
      <c r="Z3701" s="64">
        <f t="shared" si="347"/>
        <v>0</v>
      </c>
    </row>
    <row r="3702" spans="1:26">
      <c r="A3702" s="89" t="str">
        <f t="shared" si="342"/>
        <v/>
      </c>
      <c r="B3702" s="89" t="str">
        <f t="shared" si="343"/>
        <v/>
      </c>
      <c r="S3702" s="89" t="str">
        <f t="shared" si="344"/>
        <v/>
      </c>
      <c r="X3702" s="64">
        <f t="shared" si="345"/>
        <v>0</v>
      </c>
      <c r="Y3702" s="53">
        <f t="shared" si="346"/>
        <v>0</v>
      </c>
      <c r="Z3702" s="64">
        <f t="shared" si="347"/>
        <v>0</v>
      </c>
    </row>
    <row r="3703" spans="1:26">
      <c r="A3703" s="89" t="str">
        <f t="shared" si="342"/>
        <v/>
      </c>
      <c r="B3703" s="89" t="str">
        <f t="shared" si="343"/>
        <v/>
      </c>
      <c r="S3703" s="89" t="str">
        <f t="shared" si="344"/>
        <v/>
      </c>
      <c r="X3703" s="64">
        <f t="shared" si="345"/>
        <v>0</v>
      </c>
      <c r="Y3703" s="53">
        <f t="shared" si="346"/>
        <v>0</v>
      </c>
      <c r="Z3703" s="64">
        <f t="shared" si="347"/>
        <v>0</v>
      </c>
    </row>
    <row r="3704" spans="1:26">
      <c r="A3704" s="89" t="str">
        <f t="shared" si="342"/>
        <v/>
      </c>
      <c r="B3704" s="89" t="str">
        <f t="shared" si="343"/>
        <v/>
      </c>
      <c r="S3704" s="89" t="str">
        <f t="shared" si="344"/>
        <v/>
      </c>
      <c r="X3704" s="64">
        <f t="shared" si="345"/>
        <v>0</v>
      </c>
      <c r="Y3704" s="53">
        <f t="shared" si="346"/>
        <v>0</v>
      </c>
      <c r="Z3704" s="64">
        <f t="shared" si="347"/>
        <v>0</v>
      </c>
    </row>
    <row r="3705" spans="1:26">
      <c r="A3705" s="89" t="str">
        <f t="shared" si="342"/>
        <v/>
      </c>
      <c r="B3705" s="89" t="str">
        <f t="shared" si="343"/>
        <v/>
      </c>
      <c r="S3705" s="89" t="str">
        <f t="shared" si="344"/>
        <v/>
      </c>
      <c r="X3705" s="64">
        <f t="shared" si="345"/>
        <v>0</v>
      </c>
      <c r="Y3705" s="53">
        <f t="shared" si="346"/>
        <v>0</v>
      </c>
      <c r="Z3705" s="64">
        <f t="shared" si="347"/>
        <v>0</v>
      </c>
    </row>
    <row r="3706" spans="1:26">
      <c r="A3706" s="89" t="str">
        <f t="shared" si="342"/>
        <v/>
      </c>
      <c r="B3706" s="89" t="str">
        <f t="shared" si="343"/>
        <v/>
      </c>
      <c r="S3706" s="89" t="str">
        <f t="shared" si="344"/>
        <v/>
      </c>
      <c r="X3706" s="64">
        <f t="shared" si="345"/>
        <v>0</v>
      </c>
      <c r="Y3706" s="53">
        <f t="shared" si="346"/>
        <v>0</v>
      </c>
      <c r="Z3706" s="64">
        <f t="shared" si="347"/>
        <v>0</v>
      </c>
    </row>
    <row r="3707" spans="1:26">
      <c r="A3707" s="89" t="str">
        <f t="shared" si="342"/>
        <v/>
      </c>
      <c r="B3707" s="89" t="str">
        <f t="shared" si="343"/>
        <v/>
      </c>
      <c r="S3707" s="89" t="str">
        <f t="shared" si="344"/>
        <v/>
      </c>
      <c r="X3707" s="64">
        <f t="shared" si="345"/>
        <v>0</v>
      </c>
      <c r="Y3707" s="53">
        <f t="shared" si="346"/>
        <v>0</v>
      </c>
      <c r="Z3707" s="64">
        <f t="shared" si="347"/>
        <v>0</v>
      </c>
    </row>
    <row r="3708" spans="1:26">
      <c r="A3708" s="89" t="str">
        <f t="shared" si="342"/>
        <v/>
      </c>
      <c r="B3708" s="89" t="str">
        <f t="shared" si="343"/>
        <v/>
      </c>
      <c r="S3708" s="89" t="str">
        <f t="shared" si="344"/>
        <v/>
      </c>
      <c r="X3708" s="64">
        <f t="shared" si="345"/>
        <v>0</v>
      </c>
      <c r="Y3708" s="53">
        <f t="shared" si="346"/>
        <v>0</v>
      </c>
      <c r="Z3708" s="64">
        <f t="shared" si="347"/>
        <v>0</v>
      </c>
    </row>
    <row r="3709" spans="1:26">
      <c r="A3709" s="89" t="str">
        <f t="shared" si="342"/>
        <v/>
      </c>
      <c r="B3709" s="89" t="str">
        <f t="shared" si="343"/>
        <v/>
      </c>
      <c r="S3709" s="89" t="str">
        <f t="shared" si="344"/>
        <v/>
      </c>
      <c r="X3709" s="64">
        <f t="shared" si="345"/>
        <v>0</v>
      </c>
      <c r="Y3709" s="53">
        <f t="shared" si="346"/>
        <v>0</v>
      </c>
      <c r="Z3709" s="64">
        <f t="shared" si="347"/>
        <v>0</v>
      </c>
    </row>
    <row r="3710" spans="1:26">
      <c r="A3710" s="89" t="str">
        <f t="shared" si="342"/>
        <v/>
      </c>
      <c r="B3710" s="89" t="str">
        <f t="shared" si="343"/>
        <v/>
      </c>
      <c r="S3710" s="89" t="str">
        <f t="shared" si="344"/>
        <v/>
      </c>
      <c r="X3710" s="64">
        <f t="shared" si="345"/>
        <v>0</v>
      </c>
      <c r="Y3710" s="53">
        <f t="shared" si="346"/>
        <v>0</v>
      </c>
      <c r="Z3710" s="64">
        <f t="shared" si="347"/>
        <v>0</v>
      </c>
    </row>
    <row r="3711" spans="1:26">
      <c r="A3711" s="89" t="str">
        <f t="shared" si="342"/>
        <v/>
      </c>
      <c r="B3711" s="89" t="str">
        <f t="shared" si="343"/>
        <v/>
      </c>
      <c r="S3711" s="89" t="str">
        <f t="shared" si="344"/>
        <v/>
      </c>
      <c r="X3711" s="64">
        <f t="shared" si="345"/>
        <v>0</v>
      </c>
      <c r="Y3711" s="53">
        <f t="shared" si="346"/>
        <v>0</v>
      </c>
      <c r="Z3711" s="64">
        <f t="shared" si="347"/>
        <v>0</v>
      </c>
    </row>
    <row r="3712" spans="1:26">
      <c r="A3712" s="89" t="str">
        <f t="shared" si="342"/>
        <v/>
      </c>
      <c r="B3712" s="89" t="str">
        <f t="shared" si="343"/>
        <v/>
      </c>
      <c r="S3712" s="89" t="str">
        <f t="shared" si="344"/>
        <v/>
      </c>
      <c r="X3712" s="64">
        <f t="shared" si="345"/>
        <v>0</v>
      </c>
      <c r="Y3712" s="53">
        <f t="shared" si="346"/>
        <v>0</v>
      </c>
      <c r="Z3712" s="64">
        <f t="shared" si="347"/>
        <v>0</v>
      </c>
    </row>
    <row r="3713" spans="1:26">
      <c r="A3713" s="89" t="str">
        <f t="shared" si="342"/>
        <v/>
      </c>
      <c r="B3713" s="89" t="str">
        <f t="shared" si="343"/>
        <v/>
      </c>
      <c r="S3713" s="89" t="str">
        <f t="shared" si="344"/>
        <v/>
      </c>
      <c r="X3713" s="64">
        <f t="shared" si="345"/>
        <v>0</v>
      </c>
      <c r="Y3713" s="53">
        <f t="shared" si="346"/>
        <v>0</v>
      </c>
      <c r="Z3713" s="64">
        <f t="shared" si="347"/>
        <v>0</v>
      </c>
    </row>
    <row r="3714" spans="1:26">
      <c r="A3714" s="89" t="str">
        <f t="shared" si="342"/>
        <v/>
      </c>
      <c r="B3714" s="89" t="str">
        <f t="shared" si="343"/>
        <v/>
      </c>
      <c r="S3714" s="89" t="str">
        <f t="shared" si="344"/>
        <v/>
      </c>
      <c r="X3714" s="64">
        <f t="shared" si="345"/>
        <v>0</v>
      </c>
      <c r="Y3714" s="53">
        <f t="shared" si="346"/>
        <v>0</v>
      </c>
      <c r="Z3714" s="64">
        <f t="shared" si="347"/>
        <v>0</v>
      </c>
    </row>
    <row r="3715" spans="1:26">
      <c r="A3715" s="89" t="str">
        <f t="shared" ref="A3715:A3778" si="348">IF(G3715&amp;Q3715&lt;&gt;"",G3715&amp;Q3715,"")</f>
        <v/>
      </c>
      <c r="B3715" s="89" t="str">
        <f t="shared" ref="B3715:B3778" si="349">IF(C3715&lt;&gt;"",LEFT(C3715,9),"")</f>
        <v/>
      </c>
      <c r="S3715" s="89" t="str">
        <f t="shared" ref="S3715:S3778" si="350">IF(H3715&lt;&gt;"",H3715,"")</f>
        <v/>
      </c>
      <c r="X3715" s="64">
        <f t="shared" ref="X3715:X3778" si="351">IFERROR(VALUE(MID($C3715,1,2)),0)</f>
        <v>0</v>
      </c>
      <c r="Y3715" s="53">
        <f t="shared" ref="Y3715:Y3778" si="352">IFERROR(VALUE(MID($C3715,4,3)),0)</f>
        <v>0</v>
      </c>
      <c r="Z3715" s="64">
        <f t="shared" ref="Z3715:Z3778" si="353">VALUE(RIGHT("00"&amp;X3715,2)&amp;RIGHT("000"&amp;Y3715,3))</f>
        <v>0</v>
      </c>
    </row>
    <row r="3716" spans="1:26">
      <c r="A3716" s="89" t="str">
        <f t="shared" si="348"/>
        <v/>
      </c>
      <c r="B3716" s="89" t="str">
        <f t="shared" si="349"/>
        <v/>
      </c>
      <c r="S3716" s="89" t="str">
        <f t="shared" si="350"/>
        <v/>
      </c>
      <c r="X3716" s="64">
        <f t="shared" si="351"/>
        <v>0</v>
      </c>
      <c r="Y3716" s="53">
        <f t="shared" si="352"/>
        <v>0</v>
      </c>
      <c r="Z3716" s="64">
        <f t="shared" si="353"/>
        <v>0</v>
      </c>
    </row>
    <row r="3717" spans="1:26">
      <c r="A3717" s="89" t="str">
        <f t="shared" si="348"/>
        <v/>
      </c>
      <c r="B3717" s="89" t="str">
        <f t="shared" si="349"/>
        <v/>
      </c>
      <c r="S3717" s="89" t="str">
        <f t="shared" si="350"/>
        <v/>
      </c>
      <c r="X3717" s="64">
        <f t="shared" si="351"/>
        <v>0</v>
      </c>
      <c r="Y3717" s="53">
        <f t="shared" si="352"/>
        <v>0</v>
      </c>
      <c r="Z3717" s="64">
        <f t="shared" si="353"/>
        <v>0</v>
      </c>
    </row>
    <row r="3718" spans="1:26">
      <c r="A3718" s="89" t="str">
        <f t="shared" si="348"/>
        <v/>
      </c>
      <c r="B3718" s="89" t="str">
        <f t="shared" si="349"/>
        <v/>
      </c>
      <c r="S3718" s="89" t="str">
        <f t="shared" si="350"/>
        <v/>
      </c>
      <c r="X3718" s="64">
        <f t="shared" si="351"/>
        <v>0</v>
      </c>
      <c r="Y3718" s="53">
        <f t="shared" si="352"/>
        <v>0</v>
      </c>
      <c r="Z3718" s="64">
        <f t="shared" si="353"/>
        <v>0</v>
      </c>
    </row>
    <row r="3719" spans="1:26">
      <c r="A3719" s="89" t="str">
        <f t="shared" si="348"/>
        <v/>
      </c>
      <c r="B3719" s="89" t="str">
        <f t="shared" si="349"/>
        <v/>
      </c>
      <c r="S3719" s="89" t="str">
        <f t="shared" si="350"/>
        <v/>
      </c>
      <c r="X3719" s="64">
        <f t="shared" si="351"/>
        <v>0</v>
      </c>
      <c r="Y3719" s="53">
        <f t="shared" si="352"/>
        <v>0</v>
      </c>
      <c r="Z3719" s="64">
        <f t="shared" si="353"/>
        <v>0</v>
      </c>
    </row>
    <row r="3720" spans="1:26">
      <c r="A3720" s="89" t="str">
        <f t="shared" si="348"/>
        <v/>
      </c>
      <c r="B3720" s="89" t="str">
        <f t="shared" si="349"/>
        <v/>
      </c>
      <c r="S3720" s="89" t="str">
        <f t="shared" si="350"/>
        <v/>
      </c>
      <c r="X3720" s="64">
        <f t="shared" si="351"/>
        <v>0</v>
      </c>
      <c r="Y3720" s="53">
        <f t="shared" si="352"/>
        <v>0</v>
      </c>
      <c r="Z3720" s="64">
        <f t="shared" si="353"/>
        <v>0</v>
      </c>
    </row>
    <row r="3721" spans="1:26">
      <c r="A3721" s="89" t="str">
        <f t="shared" si="348"/>
        <v/>
      </c>
      <c r="B3721" s="89" t="str">
        <f t="shared" si="349"/>
        <v/>
      </c>
      <c r="S3721" s="89" t="str">
        <f t="shared" si="350"/>
        <v/>
      </c>
      <c r="X3721" s="64">
        <f t="shared" si="351"/>
        <v>0</v>
      </c>
      <c r="Y3721" s="53">
        <f t="shared" si="352"/>
        <v>0</v>
      </c>
      <c r="Z3721" s="64">
        <f t="shared" si="353"/>
        <v>0</v>
      </c>
    </row>
    <row r="3722" spans="1:26">
      <c r="A3722" s="89" t="str">
        <f t="shared" si="348"/>
        <v/>
      </c>
      <c r="B3722" s="89" t="str">
        <f t="shared" si="349"/>
        <v/>
      </c>
      <c r="S3722" s="89" t="str">
        <f t="shared" si="350"/>
        <v/>
      </c>
      <c r="X3722" s="64">
        <f t="shared" si="351"/>
        <v>0</v>
      </c>
      <c r="Y3722" s="53">
        <f t="shared" si="352"/>
        <v>0</v>
      </c>
      <c r="Z3722" s="64">
        <f t="shared" si="353"/>
        <v>0</v>
      </c>
    </row>
    <row r="3723" spans="1:26">
      <c r="A3723" s="89" t="str">
        <f t="shared" si="348"/>
        <v/>
      </c>
      <c r="B3723" s="89" t="str">
        <f t="shared" si="349"/>
        <v/>
      </c>
      <c r="S3723" s="89" t="str">
        <f t="shared" si="350"/>
        <v/>
      </c>
      <c r="X3723" s="64">
        <f t="shared" si="351"/>
        <v>0</v>
      </c>
      <c r="Y3723" s="53">
        <f t="shared" si="352"/>
        <v>0</v>
      </c>
      <c r="Z3723" s="64">
        <f t="shared" si="353"/>
        <v>0</v>
      </c>
    </row>
    <row r="3724" spans="1:26">
      <c r="A3724" s="89" t="str">
        <f t="shared" si="348"/>
        <v/>
      </c>
      <c r="B3724" s="89" t="str">
        <f t="shared" si="349"/>
        <v/>
      </c>
      <c r="S3724" s="89" t="str">
        <f t="shared" si="350"/>
        <v/>
      </c>
      <c r="X3724" s="64">
        <f t="shared" si="351"/>
        <v>0</v>
      </c>
      <c r="Y3724" s="53">
        <f t="shared" si="352"/>
        <v>0</v>
      </c>
      <c r="Z3724" s="64">
        <f t="shared" si="353"/>
        <v>0</v>
      </c>
    </row>
    <row r="3725" spans="1:26">
      <c r="A3725" s="89" t="str">
        <f t="shared" si="348"/>
        <v/>
      </c>
      <c r="B3725" s="89" t="str">
        <f t="shared" si="349"/>
        <v/>
      </c>
      <c r="S3725" s="89" t="str">
        <f t="shared" si="350"/>
        <v/>
      </c>
      <c r="X3725" s="64">
        <f t="shared" si="351"/>
        <v>0</v>
      </c>
      <c r="Y3725" s="53">
        <f t="shared" si="352"/>
        <v>0</v>
      </c>
      <c r="Z3725" s="64">
        <f t="shared" si="353"/>
        <v>0</v>
      </c>
    </row>
    <row r="3726" spans="1:26">
      <c r="A3726" s="89" t="str">
        <f t="shared" si="348"/>
        <v/>
      </c>
      <c r="B3726" s="89" t="str">
        <f t="shared" si="349"/>
        <v/>
      </c>
      <c r="S3726" s="89" t="str">
        <f t="shared" si="350"/>
        <v/>
      </c>
      <c r="X3726" s="64">
        <f t="shared" si="351"/>
        <v>0</v>
      </c>
      <c r="Y3726" s="53">
        <f t="shared" si="352"/>
        <v>0</v>
      </c>
      <c r="Z3726" s="64">
        <f t="shared" si="353"/>
        <v>0</v>
      </c>
    </row>
    <row r="3727" spans="1:26">
      <c r="A3727" s="89" t="str">
        <f t="shared" si="348"/>
        <v/>
      </c>
      <c r="B3727" s="89" t="str">
        <f t="shared" si="349"/>
        <v/>
      </c>
      <c r="S3727" s="89" t="str">
        <f t="shared" si="350"/>
        <v/>
      </c>
      <c r="X3727" s="64">
        <f t="shared" si="351"/>
        <v>0</v>
      </c>
      <c r="Y3727" s="53">
        <f t="shared" si="352"/>
        <v>0</v>
      </c>
      <c r="Z3727" s="64">
        <f t="shared" si="353"/>
        <v>0</v>
      </c>
    </row>
    <row r="3728" spans="1:26">
      <c r="A3728" s="89" t="str">
        <f t="shared" si="348"/>
        <v/>
      </c>
      <c r="B3728" s="89" t="str">
        <f t="shared" si="349"/>
        <v/>
      </c>
      <c r="S3728" s="89" t="str">
        <f t="shared" si="350"/>
        <v/>
      </c>
      <c r="X3728" s="64">
        <f t="shared" si="351"/>
        <v>0</v>
      </c>
      <c r="Y3728" s="53">
        <f t="shared" si="352"/>
        <v>0</v>
      </c>
      <c r="Z3728" s="64">
        <f t="shared" si="353"/>
        <v>0</v>
      </c>
    </row>
    <row r="3729" spans="1:26">
      <c r="A3729" s="89" t="str">
        <f t="shared" si="348"/>
        <v/>
      </c>
      <c r="B3729" s="89" t="str">
        <f t="shared" si="349"/>
        <v/>
      </c>
      <c r="S3729" s="89" t="str">
        <f t="shared" si="350"/>
        <v/>
      </c>
      <c r="X3729" s="64">
        <f t="shared" si="351"/>
        <v>0</v>
      </c>
      <c r="Y3729" s="53">
        <f t="shared" si="352"/>
        <v>0</v>
      </c>
      <c r="Z3729" s="64">
        <f t="shared" si="353"/>
        <v>0</v>
      </c>
    </row>
    <row r="3730" spans="1:26">
      <c r="A3730" s="89" t="str">
        <f t="shared" si="348"/>
        <v/>
      </c>
      <c r="B3730" s="89" t="str">
        <f t="shared" si="349"/>
        <v/>
      </c>
      <c r="S3730" s="89" t="str">
        <f t="shared" si="350"/>
        <v/>
      </c>
      <c r="X3730" s="64">
        <f t="shared" si="351"/>
        <v>0</v>
      </c>
      <c r="Y3730" s="53">
        <f t="shared" si="352"/>
        <v>0</v>
      </c>
      <c r="Z3730" s="64">
        <f t="shared" si="353"/>
        <v>0</v>
      </c>
    </row>
    <row r="3731" spans="1:26">
      <c r="A3731" s="89" t="str">
        <f t="shared" si="348"/>
        <v/>
      </c>
      <c r="B3731" s="89" t="str">
        <f t="shared" si="349"/>
        <v/>
      </c>
      <c r="S3731" s="89" t="str">
        <f t="shared" si="350"/>
        <v/>
      </c>
      <c r="X3731" s="64">
        <f t="shared" si="351"/>
        <v>0</v>
      </c>
      <c r="Y3731" s="53">
        <f t="shared" si="352"/>
        <v>0</v>
      </c>
      <c r="Z3731" s="64">
        <f t="shared" si="353"/>
        <v>0</v>
      </c>
    </row>
    <row r="3732" spans="1:26">
      <c r="A3732" s="89" t="str">
        <f t="shared" si="348"/>
        <v/>
      </c>
      <c r="B3732" s="89" t="str">
        <f t="shared" si="349"/>
        <v/>
      </c>
      <c r="S3732" s="89" t="str">
        <f t="shared" si="350"/>
        <v/>
      </c>
      <c r="X3732" s="64">
        <f t="shared" si="351"/>
        <v>0</v>
      </c>
      <c r="Y3732" s="53">
        <f t="shared" si="352"/>
        <v>0</v>
      </c>
      <c r="Z3732" s="64">
        <f t="shared" si="353"/>
        <v>0</v>
      </c>
    </row>
    <row r="3733" spans="1:26">
      <c r="A3733" s="89" t="str">
        <f t="shared" si="348"/>
        <v/>
      </c>
      <c r="B3733" s="89" t="str">
        <f t="shared" si="349"/>
        <v/>
      </c>
      <c r="S3733" s="89" t="str">
        <f t="shared" si="350"/>
        <v/>
      </c>
      <c r="X3733" s="64">
        <f t="shared" si="351"/>
        <v>0</v>
      </c>
      <c r="Y3733" s="53">
        <f t="shared" si="352"/>
        <v>0</v>
      </c>
      <c r="Z3733" s="64">
        <f t="shared" si="353"/>
        <v>0</v>
      </c>
    </row>
    <row r="3734" spans="1:26">
      <c r="A3734" s="89" t="str">
        <f t="shared" si="348"/>
        <v/>
      </c>
      <c r="B3734" s="89" t="str">
        <f t="shared" si="349"/>
        <v/>
      </c>
      <c r="S3734" s="89" t="str">
        <f t="shared" si="350"/>
        <v/>
      </c>
      <c r="X3734" s="64">
        <f t="shared" si="351"/>
        <v>0</v>
      </c>
      <c r="Y3734" s="53">
        <f t="shared" si="352"/>
        <v>0</v>
      </c>
      <c r="Z3734" s="64">
        <f t="shared" si="353"/>
        <v>0</v>
      </c>
    </row>
    <row r="3735" spans="1:26">
      <c r="A3735" s="89" t="str">
        <f t="shared" si="348"/>
        <v/>
      </c>
      <c r="B3735" s="89" t="str">
        <f t="shared" si="349"/>
        <v/>
      </c>
      <c r="S3735" s="89" t="str">
        <f t="shared" si="350"/>
        <v/>
      </c>
      <c r="X3735" s="64">
        <f t="shared" si="351"/>
        <v>0</v>
      </c>
      <c r="Y3735" s="53">
        <f t="shared" si="352"/>
        <v>0</v>
      </c>
      <c r="Z3735" s="64">
        <f t="shared" si="353"/>
        <v>0</v>
      </c>
    </row>
    <row r="3736" spans="1:26">
      <c r="A3736" s="89" t="str">
        <f t="shared" si="348"/>
        <v/>
      </c>
      <c r="B3736" s="89" t="str">
        <f t="shared" si="349"/>
        <v/>
      </c>
      <c r="S3736" s="89" t="str">
        <f t="shared" si="350"/>
        <v/>
      </c>
      <c r="X3736" s="64">
        <f t="shared" si="351"/>
        <v>0</v>
      </c>
      <c r="Y3736" s="53">
        <f t="shared" si="352"/>
        <v>0</v>
      </c>
      <c r="Z3736" s="64">
        <f t="shared" si="353"/>
        <v>0</v>
      </c>
    </row>
    <row r="3737" spans="1:26">
      <c r="A3737" s="89" t="str">
        <f t="shared" si="348"/>
        <v/>
      </c>
      <c r="B3737" s="89" t="str">
        <f t="shared" si="349"/>
        <v/>
      </c>
      <c r="S3737" s="89" t="str">
        <f t="shared" si="350"/>
        <v/>
      </c>
      <c r="X3737" s="64">
        <f t="shared" si="351"/>
        <v>0</v>
      </c>
      <c r="Y3737" s="53">
        <f t="shared" si="352"/>
        <v>0</v>
      </c>
      <c r="Z3737" s="64">
        <f t="shared" si="353"/>
        <v>0</v>
      </c>
    </row>
    <row r="3738" spans="1:26">
      <c r="A3738" s="89" t="str">
        <f t="shared" si="348"/>
        <v/>
      </c>
      <c r="B3738" s="89" t="str">
        <f t="shared" si="349"/>
        <v/>
      </c>
      <c r="S3738" s="89" t="str">
        <f t="shared" si="350"/>
        <v/>
      </c>
      <c r="X3738" s="64">
        <f t="shared" si="351"/>
        <v>0</v>
      </c>
      <c r="Y3738" s="53">
        <f t="shared" si="352"/>
        <v>0</v>
      </c>
      <c r="Z3738" s="64">
        <f t="shared" si="353"/>
        <v>0</v>
      </c>
    </row>
    <row r="3739" spans="1:26">
      <c r="A3739" s="89" t="str">
        <f t="shared" si="348"/>
        <v/>
      </c>
      <c r="B3739" s="89" t="str">
        <f t="shared" si="349"/>
        <v/>
      </c>
      <c r="S3739" s="89" t="str">
        <f t="shared" si="350"/>
        <v/>
      </c>
      <c r="X3739" s="64">
        <f t="shared" si="351"/>
        <v>0</v>
      </c>
      <c r="Y3739" s="53">
        <f t="shared" si="352"/>
        <v>0</v>
      </c>
      <c r="Z3739" s="64">
        <f t="shared" si="353"/>
        <v>0</v>
      </c>
    </row>
    <row r="3740" spans="1:26">
      <c r="A3740" s="89" t="str">
        <f t="shared" si="348"/>
        <v/>
      </c>
      <c r="B3740" s="89" t="str">
        <f t="shared" si="349"/>
        <v/>
      </c>
      <c r="S3740" s="89" t="str">
        <f t="shared" si="350"/>
        <v/>
      </c>
      <c r="X3740" s="64">
        <f t="shared" si="351"/>
        <v>0</v>
      </c>
      <c r="Y3740" s="53">
        <f t="shared" si="352"/>
        <v>0</v>
      </c>
      <c r="Z3740" s="64">
        <f t="shared" si="353"/>
        <v>0</v>
      </c>
    </row>
    <row r="3741" spans="1:26">
      <c r="A3741" s="89" t="str">
        <f t="shared" si="348"/>
        <v/>
      </c>
      <c r="B3741" s="89" t="str">
        <f t="shared" si="349"/>
        <v/>
      </c>
      <c r="S3741" s="89" t="str">
        <f t="shared" si="350"/>
        <v/>
      </c>
      <c r="X3741" s="64">
        <f t="shared" si="351"/>
        <v>0</v>
      </c>
      <c r="Y3741" s="53">
        <f t="shared" si="352"/>
        <v>0</v>
      </c>
      <c r="Z3741" s="64">
        <f t="shared" si="353"/>
        <v>0</v>
      </c>
    </row>
    <row r="3742" spans="1:26">
      <c r="A3742" s="89" t="str">
        <f t="shared" si="348"/>
        <v/>
      </c>
      <c r="B3742" s="89" t="str">
        <f t="shared" si="349"/>
        <v/>
      </c>
      <c r="S3742" s="89" t="str">
        <f t="shared" si="350"/>
        <v/>
      </c>
      <c r="X3742" s="64">
        <f t="shared" si="351"/>
        <v>0</v>
      </c>
      <c r="Y3742" s="53">
        <f t="shared" si="352"/>
        <v>0</v>
      </c>
      <c r="Z3742" s="64">
        <f t="shared" si="353"/>
        <v>0</v>
      </c>
    </row>
    <row r="3743" spans="1:26">
      <c r="A3743" s="89" t="str">
        <f t="shared" si="348"/>
        <v/>
      </c>
      <c r="B3743" s="89" t="str">
        <f t="shared" si="349"/>
        <v/>
      </c>
      <c r="S3743" s="89" t="str">
        <f t="shared" si="350"/>
        <v/>
      </c>
      <c r="X3743" s="64">
        <f t="shared" si="351"/>
        <v>0</v>
      </c>
      <c r="Y3743" s="53">
        <f t="shared" si="352"/>
        <v>0</v>
      </c>
      <c r="Z3743" s="64">
        <f t="shared" si="353"/>
        <v>0</v>
      </c>
    </row>
    <row r="3744" spans="1:26">
      <c r="A3744" s="89" t="str">
        <f t="shared" si="348"/>
        <v/>
      </c>
      <c r="B3744" s="89" t="str">
        <f t="shared" si="349"/>
        <v/>
      </c>
      <c r="S3744" s="89" t="str">
        <f t="shared" si="350"/>
        <v/>
      </c>
      <c r="X3744" s="64">
        <f t="shared" si="351"/>
        <v>0</v>
      </c>
      <c r="Y3744" s="53">
        <f t="shared" si="352"/>
        <v>0</v>
      </c>
      <c r="Z3744" s="64">
        <f t="shared" si="353"/>
        <v>0</v>
      </c>
    </row>
    <row r="3745" spans="1:26">
      <c r="A3745" s="89" t="str">
        <f t="shared" si="348"/>
        <v/>
      </c>
      <c r="B3745" s="89" t="str">
        <f t="shared" si="349"/>
        <v/>
      </c>
      <c r="S3745" s="89" t="str">
        <f t="shared" si="350"/>
        <v/>
      </c>
      <c r="X3745" s="64">
        <f t="shared" si="351"/>
        <v>0</v>
      </c>
      <c r="Y3745" s="53">
        <f t="shared" si="352"/>
        <v>0</v>
      </c>
      <c r="Z3745" s="64">
        <f t="shared" si="353"/>
        <v>0</v>
      </c>
    </row>
    <row r="3746" spans="1:26">
      <c r="A3746" s="89" t="str">
        <f t="shared" si="348"/>
        <v/>
      </c>
      <c r="B3746" s="89" t="str">
        <f t="shared" si="349"/>
        <v/>
      </c>
      <c r="S3746" s="89" t="str">
        <f t="shared" si="350"/>
        <v/>
      </c>
      <c r="X3746" s="64">
        <f t="shared" si="351"/>
        <v>0</v>
      </c>
      <c r="Y3746" s="53">
        <f t="shared" si="352"/>
        <v>0</v>
      </c>
      <c r="Z3746" s="64">
        <f t="shared" si="353"/>
        <v>0</v>
      </c>
    </row>
    <row r="3747" spans="1:26">
      <c r="A3747" s="89" t="str">
        <f t="shared" si="348"/>
        <v/>
      </c>
      <c r="B3747" s="89" t="str">
        <f t="shared" si="349"/>
        <v/>
      </c>
      <c r="S3747" s="89" t="str">
        <f t="shared" si="350"/>
        <v/>
      </c>
      <c r="X3747" s="64">
        <f t="shared" si="351"/>
        <v>0</v>
      </c>
      <c r="Y3747" s="53">
        <f t="shared" si="352"/>
        <v>0</v>
      </c>
      <c r="Z3747" s="64">
        <f t="shared" si="353"/>
        <v>0</v>
      </c>
    </row>
    <row r="3748" spans="1:26">
      <c r="A3748" s="89" t="str">
        <f t="shared" si="348"/>
        <v/>
      </c>
      <c r="B3748" s="89" t="str">
        <f t="shared" si="349"/>
        <v/>
      </c>
      <c r="S3748" s="89" t="str">
        <f t="shared" si="350"/>
        <v/>
      </c>
      <c r="X3748" s="64">
        <f t="shared" si="351"/>
        <v>0</v>
      </c>
      <c r="Y3748" s="53">
        <f t="shared" si="352"/>
        <v>0</v>
      </c>
      <c r="Z3748" s="64">
        <f t="shared" si="353"/>
        <v>0</v>
      </c>
    </row>
    <row r="3749" spans="1:26">
      <c r="A3749" s="89" t="str">
        <f t="shared" si="348"/>
        <v/>
      </c>
      <c r="B3749" s="89" t="str">
        <f t="shared" si="349"/>
        <v/>
      </c>
      <c r="S3749" s="89" t="str">
        <f t="shared" si="350"/>
        <v/>
      </c>
      <c r="X3749" s="64">
        <f t="shared" si="351"/>
        <v>0</v>
      </c>
      <c r="Y3749" s="53">
        <f t="shared" si="352"/>
        <v>0</v>
      </c>
      <c r="Z3749" s="64">
        <f t="shared" si="353"/>
        <v>0</v>
      </c>
    </row>
    <row r="3750" spans="1:26">
      <c r="A3750" s="89" t="str">
        <f t="shared" si="348"/>
        <v/>
      </c>
      <c r="B3750" s="89" t="str">
        <f t="shared" si="349"/>
        <v/>
      </c>
      <c r="S3750" s="89" t="str">
        <f t="shared" si="350"/>
        <v/>
      </c>
      <c r="X3750" s="64">
        <f t="shared" si="351"/>
        <v>0</v>
      </c>
      <c r="Y3750" s="53">
        <f t="shared" si="352"/>
        <v>0</v>
      </c>
      <c r="Z3750" s="64">
        <f t="shared" si="353"/>
        <v>0</v>
      </c>
    </row>
    <row r="3751" spans="1:26">
      <c r="A3751" s="89" t="str">
        <f t="shared" si="348"/>
        <v/>
      </c>
      <c r="B3751" s="89" t="str">
        <f t="shared" si="349"/>
        <v/>
      </c>
      <c r="S3751" s="89" t="str">
        <f t="shared" si="350"/>
        <v/>
      </c>
      <c r="X3751" s="64">
        <f t="shared" si="351"/>
        <v>0</v>
      </c>
      <c r="Y3751" s="53">
        <f t="shared" si="352"/>
        <v>0</v>
      </c>
      <c r="Z3751" s="64">
        <f t="shared" si="353"/>
        <v>0</v>
      </c>
    </row>
    <row r="3752" spans="1:26">
      <c r="A3752" s="89" t="str">
        <f t="shared" si="348"/>
        <v/>
      </c>
      <c r="B3752" s="89" t="str">
        <f t="shared" si="349"/>
        <v/>
      </c>
      <c r="S3752" s="89" t="str">
        <f t="shared" si="350"/>
        <v/>
      </c>
      <c r="X3752" s="64">
        <f t="shared" si="351"/>
        <v>0</v>
      </c>
      <c r="Y3752" s="53">
        <f t="shared" si="352"/>
        <v>0</v>
      </c>
      <c r="Z3752" s="64">
        <f t="shared" si="353"/>
        <v>0</v>
      </c>
    </row>
    <row r="3753" spans="1:26">
      <c r="A3753" s="89" t="str">
        <f t="shared" si="348"/>
        <v/>
      </c>
      <c r="B3753" s="89" t="str">
        <f t="shared" si="349"/>
        <v/>
      </c>
      <c r="S3753" s="89" t="str">
        <f t="shared" si="350"/>
        <v/>
      </c>
      <c r="X3753" s="64">
        <f t="shared" si="351"/>
        <v>0</v>
      </c>
      <c r="Y3753" s="53">
        <f t="shared" si="352"/>
        <v>0</v>
      </c>
      <c r="Z3753" s="64">
        <f t="shared" si="353"/>
        <v>0</v>
      </c>
    </row>
    <row r="3754" spans="1:26">
      <c r="A3754" s="89" t="str">
        <f t="shared" si="348"/>
        <v/>
      </c>
      <c r="B3754" s="89" t="str">
        <f t="shared" si="349"/>
        <v/>
      </c>
      <c r="S3754" s="89" t="str">
        <f t="shared" si="350"/>
        <v/>
      </c>
      <c r="X3754" s="64">
        <f t="shared" si="351"/>
        <v>0</v>
      </c>
      <c r="Y3754" s="53">
        <f t="shared" si="352"/>
        <v>0</v>
      </c>
      <c r="Z3754" s="64">
        <f t="shared" si="353"/>
        <v>0</v>
      </c>
    </row>
    <row r="3755" spans="1:26">
      <c r="A3755" s="89" t="str">
        <f t="shared" si="348"/>
        <v/>
      </c>
      <c r="B3755" s="89" t="str">
        <f t="shared" si="349"/>
        <v/>
      </c>
      <c r="S3755" s="89" t="str">
        <f t="shared" si="350"/>
        <v/>
      </c>
      <c r="X3755" s="64">
        <f t="shared" si="351"/>
        <v>0</v>
      </c>
      <c r="Y3755" s="53">
        <f t="shared" si="352"/>
        <v>0</v>
      </c>
      <c r="Z3755" s="64">
        <f t="shared" si="353"/>
        <v>0</v>
      </c>
    </row>
    <row r="3756" spans="1:26">
      <c r="A3756" s="89" t="str">
        <f t="shared" si="348"/>
        <v/>
      </c>
      <c r="B3756" s="89" t="str">
        <f t="shared" si="349"/>
        <v/>
      </c>
      <c r="S3756" s="89" t="str">
        <f t="shared" si="350"/>
        <v/>
      </c>
      <c r="X3756" s="64">
        <f t="shared" si="351"/>
        <v>0</v>
      </c>
      <c r="Y3756" s="53">
        <f t="shared" si="352"/>
        <v>0</v>
      </c>
      <c r="Z3756" s="64">
        <f t="shared" si="353"/>
        <v>0</v>
      </c>
    </row>
    <row r="3757" spans="1:26">
      <c r="A3757" s="89" t="str">
        <f t="shared" si="348"/>
        <v/>
      </c>
      <c r="B3757" s="89" t="str">
        <f t="shared" si="349"/>
        <v/>
      </c>
      <c r="S3757" s="89" t="str">
        <f t="shared" si="350"/>
        <v/>
      </c>
      <c r="X3757" s="64">
        <f t="shared" si="351"/>
        <v>0</v>
      </c>
      <c r="Y3757" s="53">
        <f t="shared" si="352"/>
        <v>0</v>
      </c>
      <c r="Z3757" s="64">
        <f t="shared" si="353"/>
        <v>0</v>
      </c>
    </row>
    <row r="3758" spans="1:26">
      <c r="A3758" s="89" t="str">
        <f t="shared" si="348"/>
        <v/>
      </c>
      <c r="B3758" s="89" t="str">
        <f t="shared" si="349"/>
        <v/>
      </c>
      <c r="S3758" s="89" t="str">
        <f t="shared" si="350"/>
        <v/>
      </c>
      <c r="X3758" s="64">
        <f t="shared" si="351"/>
        <v>0</v>
      </c>
      <c r="Y3758" s="53">
        <f t="shared" si="352"/>
        <v>0</v>
      </c>
      <c r="Z3758" s="64">
        <f t="shared" si="353"/>
        <v>0</v>
      </c>
    </row>
    <row r="3759" spans="1:26">
      <c r="A3759" s="89" t="str">
        <f t="shared" si="348"/>
        <v/>
      </c>
      <c r="B3759" s="89" t="str">
        <f t="shared" si="349"/>
        <v/>
      </c>
      <c r="S3759" s="89" t="str">
        <f t="shared" si="350"/>
        <v/>
      </c>
      <c r="X3759" s="64">
        <f t="shared" si="351"/>
        <v>0</v>
      </c>
      <c r="Y3759" s="53">
        <f t="shared" si="352"/>
        <v>0</v>
      </c>
      <c r="Z3759" s="64">
        <f t="shared" si="353"/>
        <v>0</v>
      </c>
    </row>
    <row r="3760" spans="1:26">
      <c r="A3760" s="89" t="str">
        <f t="shared" si="348"/>
        <v/>
      </c>
      <c r="B3760" s="89" t="str">
        <f t="shared" si="349"/>
        <v/>
      </c>
      <c r="S3760" s="89" t="str">
        <f t="shared" si="350"/>
        <v/>
      </c>
      <c r="X3760" s="64">
        <f t="shared" si="351"/>
        <v>0</v>
      </c>
      <c r="Y3760" s="53">
        <f t="shared" si="352"/>
        <v>0</v>
      </c>
      <c r="Z3760" s="64">
        <f t="shared" si="353"/>
        <v>0</v>
      </c>
    </row>
    <row r="3761" spans="1:26">
      <c r="A3761" s="89" t="str">
        <f t="shared" si="348"/>
        <v/>
      </c>
      <c r="B3761" s="89" t="str">
        <f t="shared" si="349"/>
        <v/>
      </c>
      <c r="S3761" s="89" t="str">
        <f t="shared" si="350"/>
        <v/>
      </c>
      <c r="X3761" s="64">
        <f t="shared" si="351"/>
        <v>0</v>
      </c>
      <c r="Y3761" s="53">
        <f t="shared" si="352"/>
        <v>0</v>
      </c>
      <c r="Z3761" s="64">
        <f t="shared" si="353"/>
        <v>0</v>
      </c>
    </row>
    <row r="3762" spans="1:26">
      <c r="A3762" s="89" t="str">
        <f t="shared" si="348"/>
        <v/>
      </c>
      <c r="B3762" s="89" t="str">
        <f t="shared" si="349"/>
        <v/>
      </c>
      <c r="S3762" s="89" t="str">
        <f t="shared" si="350"/>
        <v/>
      </c>
      <c r="X3762" s="64">
        <f t="shared" si="351"/>
        <v>0</v>
      </c>
      <c r="Y3762" s="53">
        <f t="shared" si="352"/>
        <v>0</v>
      </c>
      <c r="Z3762" s="64">
        <f t="shared" si="353"/>
        <v>0</v>
      </c>
    </row>
    <row r="3763" spans="1:26">
      <c r="A3763" s="89" t="str">
        <f t="shared" si="348"/>
        <v/>
      </c>
      <c r="B3763" s="89" t="str">
        <f t="shared" si="349"/>
        <v/>
      </c>
      <c r="S3763" s="89" t="str">
        <f t="shared" si="350"/>
        <v/>
      </c>
      <c r="X3763" s="64">
        <f t="shared" si="351"/>
        <v>0</v>
      </c>
      <c r="Y3763" s="53">
        <f t="shared" si="352"/>
        <v>0</v>
      </c>
      <c r="Z3763" s="64">
        <f t="shared" si="353"/>
        <v>0</v>
      </c>
    </row>
    <row r="3764" spans="1:26">
      <c r="A3764" s="89" t="str">
        <f t="shared" si="348"/>
        <v/>
      </c>
      <c r="B3764" s="89" t="str">
        <f t="shared" si="349"/>
        <v/>
      </c>
      <c r="S3764" s="89" t="str">
        <f t="shared" si="350"/>
        <v/>
      </c>
      <c r="X3764" s="64">
        <f t="shared" si="351"/>
        <v>0</v>
      </c>
      <c r="Y3764" s="53">
        <f t="shared" si="352"/>
        <v>0</v>
      </c>
      <c r="Z3764" s="64">
        <f t="shared" si="353"/>
        <v>0</v>
      </c>
    </row>
    <row r="3765" spans="1:26">
      <c r="A3765" s="89" t="str">
        <f t="shared" si="348"/>
        <v/>
      </c>
      <c r="B3765" s="89" t="str">
        <f t="shared" si="349"/>
        <v/>
      </c>
      <c r="S3765" s="89" t="str">
        <f t="shared" si="350"/>
        <v/>
      </c>
      <c r="X3765" s="64">
        <f t="shared" si="351"/>
        <v>0</v>
      </c>
      <c r="Y3765" s="53">
        <f t="shared" si="352"/>
        <v>0</v>
      </c>
      <c r="Z3765" s="64">
        <f t="shared" si="353"/>
        <v>0</v>
      </c>
    </row>
    <row r="3766" spans="1:26">
      <c r="A3766" s="89" t="str">
        <f t="shared" si="348"/>
        <v/>
      </c>
      <c r="B3766" s="89" t="str">
        <f t="shared" si="349"/>
        <v/>
      </c>
      <c r="S3766" s="89" t="str">
        <f t="shared" si="350"/>
        <v/>
      </c>
      <c r="X3766" s="64">
        <f t="shared" si="351"/>
        <v>0</v>
      </c>
      <c r="Y3766" s="53">
        <f t="shared" si="352"/>
        <v>0</v>
      </c>
      <c r="Z3766" s="64">
        <f t="shared" si="353"/>
        <v>0</v>
      </c>
    </row>
    <row r="3767" spans="1:26">
      <c r="A3767" s="89" t="str">
        <f t="shared" si="348"/>
        <v/>
      </c>
      <c r="B3767" s="89" t="str">
        <f t="shared" si="349"/>
        <v/>
      </c>
      <c r="S3767" s="89" t="str">
        <f t="shared" si="350"/>
        <v/>
      </c>
      <c r="X3767" s="64">
        <f t="shared" si="351"/>
        <v>0</v>
      </c>
      <c r="Y3767" s="53">
        <f t="shared" si="352"/>
        <v>0</v>
      </c>
      <c r="Z3767" s="64">
        <f t="shared" si="353"/>
        <v>0</v>
      </c>
    </row>
    <row r="3768" spans="1:26">
      <c r="A3768" s="89" t="str">
        <f t="shared" si="348"/>
        <v/>
      </c>
      <c r="B3768" s="89" t="str">
        <f t="shared" si="349"/>
        <v/>
      </c>
      <c r="S3768" s="89" t="str">
        <f t="shared" si="350"/>
        <v/>
      </c>
      <c r="X3768" s="64">
        <f t="shared" si="351"/>
        <v>0</v>
      </c>
      <c r="Y3768" s="53">
        <f t="shared" si="352"/>
        <v>0</v>
      </c>
      <c r="Z3768" s="64">
        <f t="shared" si="353"/>
        <v>0</v>
      </c>
    </row>
    <row r="3769" spans="1:26">
      <c r="A3769" s="89" t="str">
        <f t="shared" si="348"/>
        <v/>
      </c>
      <c r="B3769" s="89" t="str">
        <f t="shared" si="349"/>
        <v/>
      </c>
      <c r="S3769" s="89" t="str">
        <f t="shared" si="350"/>
        <v/>
      </c>
      <c r="X3769" s="64">
        <f t="shared" si="351"/>
        <v>0</v>
      </c>
      <c r="Y3769" s="53">
        <f t="shared" si="352"/>
        <v>0</v>
      </c>
      <c r="Z3769" s="64">
        <f t="shared" si="353"/>
        <v>0</v>
      </c>
    </row>
    <row r="3770" spans="1:26">
      <c r="A3770" s="89" t="str">
        <f t="shared" si="348"/>
        <v/>
      </c>
      <c r="B3770" s="89" t="str">
        <f t="shared" si="349"/>
        <v/>
      </c>
      <c r="S3770" s="89" t="str">
        <f t="shared" si="350"/>
        <v/>
      </c>
      <c r="X3770" s="64">
        <f t="shared" si="351"/>
        <v>0</v>
      </c>
      <c r="Y3770" s="53">
        <f t="shared" si="352"/>
        <v>0</v>
      </c>
      <c r="Z3770" s="64">
        <f t="shared" si="353"/>
        <v>0</v>
      </c>
    </row>
    <row r="3771" spans="1:26">
      <c r="A3771" s="89" t="str">
        <f t="shared" si="348"/>
        <v/>
      </c>
      <c r="B3771" s="89" t="str">
        <f t="shared" si="349"/>
        <v/>
      </c>
      <c r="S3771" s="89" t="str">
        <f t="shared" si="350"/>
        <v/>
      </c>
      <c r="X3771" s="64">
        <f t="shared" si="351"/>
        <v>0</v>
      </c>
      <c r="Y3771" s="53">
        <f t="shared" si="352"/>
        <v>0</v>
      </c>
      <c r="Z3771" s="64">
        <f t="shared" si="353"/>
        <v>0</v>
      </c>
    </row>
    <row r="3772" spans="1:26">
      <c r="A3772" s="89" t="str">
        <f t="shared" si="348"/>
        <v/>
      </c>
      <c r="B3772" s="89" t="str">
        <f t="shared" si="349"/>
        <v/>
      </c>
      <c r="S3772" s="89" t="str">
        <f t="shared" si="350"/>
        <v/>
      </c>
      <c r="X3772" s="64">
        <f t="shared" si="351"/>
        <v>0</v>
      </c>
      <c r="Y3772" s="53">
        <f t="shared" si="352"/>
        <v>0</v>
      </c>
      <c r="Z3772" s="64">
        <f t="shared" si="353"/>
        <v>0</v>
      </c>
    </row>
    <row r="3773" spans="1:26">
      <c r="A3773" s="89" t="str">
        <f t="shared" si="348"/>
        <v/>
      </c>
      <c r="B3773" s="89" t="str">
        <f t="shared" si="349"/>
        <v/>
      </c>
      <c r="S3773" s="89" t="str">
        <f t="shared" si="350"/>
        <v/>
      </c>
      <c r="X3773" s="64">
        <f t="shared" si="351"/>
        <v>0</v>
      </c>
      <c r="Y3773" s="53">
        <f t="shared" si="352"/>
        <v>0</v>
      </c>
      <c r="Z3773" s="64">
        <f t="shared" si="353"/>
        <v>0</v>
      </c>
    </row>
    <row r="3774" spans="1:26">
      <c r="A3774" s="89" t="str">
        <f t="shared" si="348"/>
        <v/>
      </c>
      <c r="B3774" s="89" t="str">
        <f t="shared" si="349"/>
        <v/>
      </c>
      <c r="S3774" s="89" t="str">
        <f t="shared" si="350"/>
        <v/>
      </c>
      <c r="X3774" s="64">
        <f t="shared" si="351"/>
        <v>0</v>
      </c>
      <c r="Y3774" s="53">
        <f t="shared" si="352"/>
        <v>0</v>
      </c>
      <c r="Z3774" s="64">
        <f t="shared" si="353"/>
        <v>0</v>
      </c>
    </row>
    <row r="3775" spans="1:26">
      <c r="A3775" s="89" t="str">
        <f t="shared" si="348"/>
        <v/>
      </c>
      <c r="B3775" s="89" t="str">
        <f t="shared" si="349"/>
        <v/>
      </c>
      <c r="S3775" s="89" t="str">
        <f t="shared" si="350"/>
        <v/>
      </c>
      <c r="X3775" s="64">
        <f t="shared" si="351"/>
        <v>0</v>
      </c>
      <c r="Y3775" s="53">
        <f t="shared" si="352"/>
        <v>0</v>
      </c>
      <c r="Z3775" s="64">
        <f t="shared" si="353"/>
        <v>0</v>
      </c>
    </row>
    <row r="3776" spans="1:26">
      <c r="A3776" s="89" t="str">
        <f t="shared" si="348"/>
        <v/>
      </c>
      <c r="B3776" s="89" t="str">
        <f t="shared" si="349"/>
        <v/>
      </c>
      <c r="S3776" s="89" t="str">
        <f t="shared" si="350"/>
        <v/>
      </c>
      <c r="X3776" s="64">
        <f t="shared" si="351"/>
        <v>0</v>
      </c>
      <c r="Y3776" s="53">
        <f t="shared" si="352"/>
        <v>0</v>
      </c>
      <c r="Z3776" s="64">
        <f t="shared" si="353"/>
        <v>0</v>
      </c>
    </row>
    <row r="3777" spans="1:26">
      <c r="A3777" s="89" t="str">
        <f t="shared" si="348"/>
        <v/>
      </c>
      <c r="B3777" s="89" t="str">
        <f t="shared" si="349"/>
        <v/>
      </c>
      <c r="S3777" s="89" t="str">
        <f t="shared" si="350"/>
        <v/>
      </c>
      <c r="X3777" s="64">
        <f t="shared" si="351"/>
        <v>0</v>
      </c>
      <c r="Y3777" s="53">
        <f t="shared" si="352"/>
        <v>0</v>
      </c>
      <c r="Z3777" s="64">
        <f t="shared" si="353"/>
        <v>0</v>
      </c>
    </row>
    <row r="3778" spans="1:26">
      <c r="A3778" s="89" t="str">
        <f t="shared" si="348"/>
        <v/>
      </c>
      <c r="B3778" s="89" t="str">
        <f t="shared" si="349"/>
        <v/>
      </c>
      <c r="S3778" s="89" t="str">
        <f t="shared" si="350"/>
        <v/>
      </c>
      <c r="X3778" s="64">
        <f t="shared" si="351"/>
        <v>0</v>
      </c>
      <c r="Y3778" s="53">
        <f t="shared" si="352"/>
        <v>0</v>
      </c>
      <c r="Z3778" s="64">
        <f t="shared" si="353"/>
        <v>0</v>
      </c>
    </row>
    <row r="3779" spans="1:26">
      <c r="A3779" s="89" t="str">
        <f t="shared" ref="A3779:A3842" si="354">IF(G3779&amp;Q3779&lt;&gt;"",G3779&amp;Q3779,"")</f>
        <v/>
      </c>
      <c r="B3779" s="89" t="str">
        <f t="shared" ref="B3779:B3842" si="355">IF(C3779&lt;&gt;"",LEFT(C3779,9),"")</f>
        <v/>
      </c>
      <c r="S3779" s="89" t="str">
        <f t="shared" ref="S3779:S3842" si="356">IF(H3779&lt;&gt;"",H3779,"")</f>
        <v/>
      </c>
      <c r="X3779" s="64">
        <f t="shared" ref="X3779:X3842" si="357">IFERROR(VALUE(MID($C3779,1,2)),0)</f>
        <v>0</v>
      </c>
      <c r="Y3779" s="53">
        <f t="shared" ref="Y3779:Y3842" si="358">IFERROR(VALUE(MID($C3779,4,3)),0)</f>
        <v>0</v>
      </c>
      <c r="Z3779" s="64">
        <f t="shared" ref="Z3779:Z3842" si="359">VALUE(RIGHT("00"&amp;X3779,2)&amp;RIGHT("000"&amp;Y3779,3))</f>
        <v>0</v>
      </c>
    </row>
    <row r="3780" spans="1:26">
      <c r="A3780" s="89" t="str">
        <f t="shared" si="354"/>
        <v/>
      </c>
      <c r="B3780" s="89" t="str">
        <f t="shared" si="355"/>
        <v/>
      </c>
      <c r="S3780" s="89" t="str">
        <f t="shared" si="356"/>
        <v/>
      </c>
      <c r="X3780" s="64">
        <f t="shared" si="357"/>
        <v>0</v>
      </c>
      <c r="Y3780" s="53">
        <f t="shared" si="358"/>
        <v>0</v>
      </c>
      <c r="Z3780" s="64">
        <f t="shared" si="359"/>
        <v>0</v>
      </c>
    </row>
    <row r="3781" spans="1:26">
      <c r="A3781" s="89" t="str">
        <f t="shared" si="354"/>
        <v/>
      </c>
      <c r="B3781" s="89" t="str">
        <f t="shared" si="355"/>
        <v/>
      </c>
      <c r="S3781" s="89" t="str">
        <f t="shared" si="356"/>
        <v/>
      </c>
      <c r="X3781" s="64">
        <f t="shared" si="357"/>
        <v>0</v>
      </c>
      <c r="Y3781" s="53">
        <f t="shared" si="358"/>
        <v>0</v>
      </c>
      <c r="Z3781" s="64">
        <f t="shared" si="359"/>
        <v>0</v>
      </c>
    </row>
    <row r="3782" spans="1:26">
      <c r="A3782" s="89" t="str">
        <f t="shared" si="354"/>
        <v/>
      </c>
      <c r="B3782" s="89" t="str">
        <f t="shared" si="355"/>
        <v/>
      </c>
      <c r="S3782" s="89" t="str">
        <f t="shared" si="356"/>
        <v/>
      </c>
      <c r="X3782" s="64">
        <f t="shared" si="357"/>
        <v>0</v>
      </c>
      <c r="Y3782" s="53">
        <f t="shared" si="358"/>
        <v>0</v>
      </c>
      <c r="Z3782" s="64">
        <f t="shared" si="359"/>
        <v>0</v>
      </c>
    </row>
    <row r="3783" spans="1:26">
      <c r="A3783" s="89" t="str">
        <f t="shared" si="354"/>
        <v/>
      </c>
      <c r="B3783" s="89" t="str">
        <f t="shared" si="355"/>
        <v/>
      </c>
      <c r="S3783" s="89" t="str">
        <f t="shared" si="356"/>
        <v/>
      </c>
      <c r="X3783" s="64">
        <f t="shared" si="357"/>
        <v>0</v>
      </c>
      <c r="Y3783" s="53">
        <f t="shared" si="358"/>
        <v>0</v>
      </c>
      <c r="Z3783" s="64">
        <f t="shared" si="359"/>
        <v>0</v>
      </c>
    </row>
    <row r="3784" spans="1:26">
      <c r="A3784" s="89" t="str">
        <f t="shared" si="354"/>
        <v/>
      </c>
      <c r="B3784" s="89" t="str">
        <f t="shared" si="355"/>
        <v/>
      </c>
      <c r="S3784" s="89" t="str">
        <f t="shared" si="356"/>
        <v/>
      </c>
      <c r="X3784" s="64">
        <f t="shared" si="357"/>
        <v>0</v>
      </c>
      <c r="Y3784" s="53">
        <f t="shared" si="358"/>
        <v>0</v>
      </c>
      <c r="Z3784" s="64">
        <f t="shared" si="359"/>
        <v>0</v>
      </c>
    </row>
    <row r="3785" spans="1:26">
      <c r="A3785" s="89" t="str">
        <f t="shared" si="354"/>
        <v/>
      </c>
      <c r="B3785" s="89" t="str">
        <f t="shared" si="355"/>
        <v/>
      </c>
      <c r="S3785" s="89" t="str">
        <f t="shared" si="356"/>
        <v/>
      </c>
      <c r="X3785" s="64">
        <f t="shared" si="357"/>
        <v>0</v>
      </c>
      <c r="Y3785" s="53">
        <f t="shared" si="358"/>
        <v>0</v>
      </c>
      <c r="Z3785" s="64">
        <f t="shared" si="359"/>
        <v>0</v>
      </c>
    </row>
    <row r="3786" spans="1:26">
      <c r="A3786" s="89" t="str">
        <f t="shared" si="354"/>
        <v/>
      </c>
      <c r="B3786" s="89" t="str">
        <f t="shared" si="355"/>
        <v/>
      </c>
      <c r="S3786" s="89" t="str">
        <f t="shared" si="356"/>
        <v/>
      </c>
      <c r="X3786" s="64">
        <f t="shared" si="357"/>
        <v>0</v>
      </c>
      <c r="Y3786" s="53">
        <f t="shared" si="358"/>
        <v>0</v>
      </c>
      <c r="Z3786" s="64">
        <f t="shared" si="359"/>
        <v>0</v>
      </c>
    </row>
    <row r="3787" spans="1:26">
      <c r="A3787" s="89" t="str">
        <f t="shared" si="354"/>
        <v/>
      </c>
      <c r="B3787" s="89" t="str">
        <f t="shared" si="355"/>
        <v/>
      </c>
      <c r="S3787" s="89" t="str">
        <f t="shared" si="356"/>
        <v/>
      </c>
      <c r="X3787" s="64">
        <f t="shared" si="357"/>
        <v>0</v>
      </c>
      <c r="Y3787" s="53">
        <f t="shared" si="358"/>
        <v>0</v>
      </c>
      <c r="Z3787" s="64">
        <f t="shared" si="359"/>
        <v>0</v>
      </c>
    </row>
    <row r="3788" spans="1:26">
      <c r="A3788" s="89" t="str">
        <f t="shared" si="354"/>
        <v/>
      </c>
      <c r="B3788" s="89" t="str">
        <f t="shared" si="355"/>
        <v/>
      </c>
      <c r="S3788" s="89" t="str">
        <f t="shared" si="356"/>
        <v/>
      </c>
      <c r="X3788" s="64">
        <f t="shared" si="357"/>
        <v>0</v>
      </c>
      <c r="Y3788" s="53">
        <f t="shared" si="358"/>
        <v>0</v>
      </c>
      <c r="Z3788" s="64">
        <f t="shared" si="359"/>
        <v>0</v>
      </c>
    </row>
    <row r="3789" spans="1:26">
      <c r="A3789" s="89" t="str">
        <f t="shared" si="354"/>
        <v/>
      </c>
      <c r="B3789" s="89" t="str">
        <f t="shared" si="355"/>
        <v/>
      </c>
      <c r="S3789" s="89" t="str">
        <f t="shared" si="356"/>
        <v/>
      </c>
      <c r="X3789" s="64">
        <f t="shared" si="357"/>
        <v>0</v>
      </c>
      <c r="Y3789" s="53">
        <f t="shared" si="358"/>
        <v>0</v>
      </c>
      <c r="Z3789" s="64">
        <f t="shared" si="359"/>
        <v>0</v>
      </c>
    </row>
    <row r="3790" spans="1:26">
      <c r="A3790" s="89" t="str">
        <f t="shared" si="354"/>
        <v/>
      </c>
      <c r="B3790" s="89" t="str">
        <f t="shared" si="355"/>
        <v/>
      </c>
      <c r="S3790" s="89" t="str">
        <f t="shared" si="356"/>
        <v/>
      </c>
      <c r="X3790" s="64">
        <f t="shared" si="357"/>
        <v>0</v>
      </c>
      <c r="Y3790" s="53">
        <f t="shared" si="358"/>
        <v>0</v>
      </c>
      <c r="Z3790" s="64">
        <f t="shared" si="359"/>
        <v>0</v>
      </c>
    </row>
    <row r="3791" spans="1:26">
      <c r="A3791" s="89" t="str">
        <f t="shared" si="354"/>
        <v/>
      </c>
      <c r="B3791" s="89" t="str">
        <f t="shared" si="355"/>
        <v/>
      </c>
      <c r="S3791" s="89" t="str">
        <f t="shared" si="356"/>
        <v/>
      </c>
      <c r="X3791" s="64">
        <f t="shared" si="357"/>
        <v>0</v>
      </c>
      <c r="Y3791" s="53">
        <f t="shared" si="358"/>
        <v>0</v>
      </c>
      <c r="Z3791" s="64">
        <f t="shared" si="359"/>
        <v>0</v>
      </c>
    </row>
    <row r="3792" spans="1:26">
      <c r="A3792" s="89" t="str">
        <f t="shared" si="354"/>
        <v/>
      </c>
      <c r="B3792" s="89" t="str">
        <f t="shared" si="355"/>
        <v/>
      </c>
      <c r="S3792" s="89" t="str">
        <f t="shared" si="356"/>
        <v/>
      </c>
      <c r="X3792" s="64">
        <f t="shared" si="357"/>
        <v>0</v>
      </c>
      <c r="Y3792" s="53">
        <f t="shared" si="358"/>
        <v>0</v>
      </c>
      <c r="Z3792" s="64">
        <f t="shared" si="359"/>
        <v>0</v>
      </c>
    </row>
    <row r="3793" spans="1:26">
      <c r="A3793" s="89" t="str">
        <f t="shared" si="354"/>
        <v/>
      </c>
      <c r="B3793" s="89" t="str">
        <f t="shared" si="355"/>
        <v/>
      </c>
      <c r="S3793" s="89" t="str">
        <f t="shared" si="356"/>
        <v/>
      </c>
      <c r="X3793" s="64">
        <f t="shared" si="357"/>
        <v>0</v>
      </c>
      <c r="Y3793" s="53">
        <f t="shared" si="358"/>
        <v>0</v>
      </c>
      <c r="Z3793" s="64">
        <f t="shared" si="359"/>
        <v>0</v>
      </c>
    </row>
    <row r="3794" spans="1:26">
      <c r="A3794" s="89" t="str">
        <f t="shared" si="354"/>
        <v/>
      </c>
      <c r="B3794" s="89" t="str">
        <f t="shared" si="355"/>
        <v/>
      </c>
      <c r="S3794" s="89" t="str">
        <f t="shared" si="356"/>
        <v/>
      </c>
      <c r="X3794" s="64">
        <f t="shared" si="357"/>
        <v>0</v>
      </c>
      <c r="Y3794" s="53">
        <f t="shared" si="358"/>
        <v>0</v>
      </c>
      <c r="Z3794" s="64">
        <f t="shared" si="359"/>
        <v>0</v>
      </c>
    </row>
    <row r="3795" spans="1:26">
      <c r="A3795" s="89" t="str">
        <f t="shared" si="354"/>
        <v/>
      </c>
      <c r="B3795" s="89" t="str">
        <f t="shared" si="355"/>
        <v/>
      </c>
      <c r="S3795" s="89" t="str">
        <f t="shared" si="356"/>
        <v/>
      </c>
      <c r="X3795" s="64">
        <f t="shared" si="357"/>
        <v>0</v>
      </c>
      <c r="Y3795" s="53">
        <f t="shared" si="358"/>
        <v>0</v>
      </c>
      <c r="Z3795" s="64">
        <f t="shared" si="359"/>
        <v>0</v>
      </c>
    </row>
    <row r="3796" spans="1:26">
      <c r="A3796" s="89" t="str">
        <f t="shared" si="354"/>
        <v/>
      </c>
      <c r="B3796" s="89" t="str">
        <f t="shared" si="355"/>
        <v/>
      </c>
      <c r="S3796" s="89" t="str">
        <f t="shared" si="356"/>
        <v/>
      </c>
      <c r="X3796" s="64">
        <f t="shared" si="357"/>
        <v>0</v>
      </c>
      <c r="Y3796" s="53">
        <f t="shared" si="358"/>
        <v>0</v>
      </c>
      <c r="Z3796" s="64">
        <f t="shared" si="359"/>
        <v>0</v>
      </c>
    </row>
    <row r="3797" spans="1:26">
      <c r="A3797" s="89" t="str">
        <f t="shared" si="354"/>
        <v/>
      </c>
      <c r="B3797" s="89" t="str">
        <f t="shared" si="355"/>
        <v/>
      </c>
      <c r="S3797" s="89" t="str">
        <f t="shared" si="356"/>
        <v/>
      </c>
      <c r="X3797" s="64">
        <f t="shared" si="357"/>
        <v>0</v>
      </c>
      <c r="Y3797" s="53">
        <f t="shared" si="358"/>
        <v>0</v>
      </c>
      <c r="Z3797" s="64">
        <f t="shared" si="359"/>
        <v>0</v>
      </c>
    </row>
    <row r="3798" spans="1:26">
      <c r="A3798" s="89" t="str">
        <f t="shared" si="354"/>
        <v/>
      </c>
      <c r="B3798" s="89" t="str">
        <f t="shared" si="355"/>
        <v/>
      </c>
      <c r="S3798" s="89" t="str">
        <f t="shared" si="356"/>
        <v/>
      </c>
      <c r="X3798" s="64">
        <f t="shared" si="357"/>
        <v>0</v>
      </c>
      <c r="Y3798" s="53">
        <f t="shared" si="358"/>
        <v>0</v>
      </c>
      <c r="Z3798" s="64">
        <f t="shared" si="359"/>
        <v>0</v>
      </c>
    </row>
    <row r="3799" spans="1:26">
      <c r="A3799" s="89" t="str">
        <f t="shared" si="354"/>
        <v/>
      </c>
      <c r="B3799" s="89" t="str">
        <f t="shared" si="355"/>
        <v/>
      </c>
      <c r="S3799" s="89" t="str">
        <f t="shared" si="356"/>
        <v/>
      </c>
      <c r="X3799" s="64">
        <f t="shared" si="357"/>
        <v>0</v>
      </c>
      <c r="Y3799" s="53">
        <f t="shared" si="358"/>
        <v>0</v>
      </c>
      <c r="Z3799" s="64">
        <f t="shared" si="359"/>
        <v>0</v>
      </c>
    </row>
    <row r="3800" spans="1:26">
      <c r="A3800" s="89" t="str">
        <f t="shared" si="354"/>
        <v/>
      </c>
      <c r="B3800" s="89" t="str">
        <f t="shared" si="355"/>
        <v/>
      </c>
      <c r="S3800" s="89" t="str">
        <f t="shared" si="356"/>
        <v/>
      </c>
      <c r="X3800" s="64">
        <f t="shared" si="357"/>
        <v>0</v>
      </c>
      <c r="Y3800" s="53">
        <f t="shared" si="358"/>
        <v>0</v>
      </c>
      <c r="Z3800" s="64">
        <f t="shared" si="359"/>
        <v>0</v>
      </c>
    </row>
    <row r="3801" spans="1:26">
      <c r="A3801" s="89" t="str">
        <f t="shared" si="354"/>
        <v/>
      </c>
      <c r="B3801" s="89" t="str">
        <f t="shared" si="355"/>
        <v/>
      </c>
      <c r="S3801" s="89" t="str">
        <f t="shared" si="356"/>
        <v/>
      </c>
      <c r="X3801" s="64">
        <f t="shared" si="357"/>
        <v>0</v>
      </c>
      <c r="Y3801" s="53">
        <f t="shared" si="358"/>
        <v>0</v>
      </c>
      <c r="Z3801" s="64">
        <f t="shared" si="359"/>
        <v>0</v>
      </c>
    </row>
    <row r="3802" spans="1:26">
      <c r="A3802" s="89" t="str">
        <f t="shared" si="354"/>
        <v/>
      </c>
      <c r="B3802" s="89" t="str">
        <f t="shared" si="355"/>
        <v/>
      </c>
      <c r="S3802" s="89" t="str">
        <f t="shared" si="356"/>
        <v/>
      </c>
      <c r="X3802" s="64">
        <f t="shared" si="357"/>
        <v>0</v>
      </c>
      <c r="Y3802" s="53">
        <f t="shared" si="358"/>
        <v>0</v>
      </c>
      <c r="Z3802" s="64">
        <f t="shared" si="359"/>
        <v>0</v>
      </c>
    </row>
    <row r="3803" spans="1:26">
      <c r="A3803" s="89" t="str">
        <f t="shared" si="354"/>
        <v/>
      </c>
      <c r="B3803" s="89" t="str">
        <f t="shared" si="355"/>
        <v/>
      </c>
      <c r="S3803" s="89" t="str">
        <f t="shared" si="356"/>
        <v/>
      </c>
      <c r="X3803" s="64">
        <f t="shared" si="357"/>
        <v>0</v>
      </c>
      <c r="Y3803" s="53">
        <f t="shared" si="358"/>
        <v>0</v>
      </c>
      <c r="Z3803" s="64">
        <f t="shared" si="359"/>
        <v>0</v>
      </c>
    </row>
    <row r="3804" spans="1:26">
      <c r="A3804" s="89" t="str">
        <f t="shared" si="354"/>
        <v/>
      </c>
      <c r="B3804" s="89" t="str">
        <f t="shared" si="355"/>
        <v/>
      </c>
      <c r="S3804" s="89" t="str">
        <f t="shared" si="356"/>
        <v/>
      </c>
      <c r="X3804" s="64">
        <f t="shared" si="357"/>
        <v>0</v>
      </c>
      <c r="Y3804" s="53">
        <f t="shared" si="358"/>
        <v>0</v>
      </c>
      <c r="Z3804" s="64">
        <f t="shared" si="359"/>
        <v>0</v>
      </c>
    </row>
    <row r="3805" spans="1:26">
      <c r="A3805" s="89" t="str">
        <f t="shared" si="354"/>
        <v/>
      </c>
      <c r="B3805" s="89" t="str">
        <f t="shared" si="355"/>
        <v/>
      </c>
      <c r="S3805" s="89" t="str">
        <f t="shared" si="356"/>
        <v/>
      </c>
      <c r="X3805" s="64">
        <f t="shared" si="357"/>
        <v>0</v>
      </c>
      <c r="Y3805" s="53">
        <f t="shared" si="358"/>
        <v>0</v>
      </c>
      <c r="Z3805" s="64">
        <f t="shared" si="359"/>
        <v>0</v>
      </c>
    </row>
    <row r="3806" spans="1:26">
      <c r="A3806" s="89" t="str">
        <f t="shared" si="354"/>
        <v/>
      </c>
      <c r="B3806" s="89" t="str">
        <f t="shared" si="355"/>
        <v/>
      </c>
      <c r="S3806" s="89" t="str">
        <f t="shared" si="356"/>
        <v/>
      </c>
      <c r="X3806" s="64">
        <f t="shared" si="357"/>
        <v>0</v>
      </c>
      <c r="Y3806" s="53">
        <f t="shared" si="358"/>
        <v>0</v>
      </c>
      <c r="Z3806" s="64">
        <f t="shared" si="359"/>
        <v>0</v>
      </c>
    </row>
    <row r="3807" spans="1:26">
      <c r="A3807" s="89" t="str">
        <f t="shared" si="354"/>
        <v/>
      </c>
      <c r="B3807" s="89" t="str">
        <f t="shared" si="355"/>
        <v/>
      </c>
      <c r="S3807" s="89" t="str">
        <f t="shared" si="356"/>
        <v/>
      </c>
      <c r="X3807" s="64">
        <f t="shared" si="357"/>
        <v>0</v>
      </c>
      <c r="Y3807" s="53">
        <f t="shared" si="358"/>
        <v>0</v>
      </c>
      <c r="Z3807" s="64">
        <f t="shared" si="359"/>
        <v>0</v>
      </c>
    </row>
    <row r="3808" spans="1:26">
      <c r="A3808" s="89" t="str">
        <f t="shared" si="354"/>
        <v/>
      </c>
      <c r="B3808" s="89" t="str">
        <f t="shared" si="355"/>
        <v/>
      </c>
      <c r="S3808" s="89" t="str">
        <f t="shared" si="356"/>
        <v/>
      </c>
      <c r="X3808" s="64">
        <f t="shared" si="357"/>
        <v>0</v>
      </c>
      <c r="Y3808" s="53">
        <f t="shared" si="358"/>
        <v>0</v>
      </c>
      <c r="Z3808" s="64">
        <f t="shared" si="359"/>
        <v>0</v>
      </c>
    </row>
    <row r="3809" spans="1:26">
      <c r="A3809" s="89" t="str">
        <f t="shared" si="354"/>
        <v/>
      </c>
      <c r="B3809" s="89" t="str">
        <f t="shared" si="355"/>
        <v/>
      </c>
      <c r="S3809" s="89" t="str">
        <f t="shared" si="356"/>
        <v/>
      </c>
      <c r="X3809" s="64">
        <f t="shared" si="357"/>
        <v>0</v>
      </c>
      <c r="Y3809" s="53">
        <f t="shared" si="358"/>
        <v>0</v>
      </c>
      <c r="Z3809" s="64">
        <f t="shared" si="359"/>
        <v>0</v>
      </c>
    </row>
    <row r="3810" spans="1:26">
      <c r="A3810" s="89" t="str">
        <f t="shared" si="354"/>
        <v/>
      </c>
      <c r="B3810" s="89" t="str">
        <f t="shared" si="355"/>
        <v/>
      </c>
      <c r="S3810" s="89" t="str">
        <f t="shared" si="356"/>
        <v/>
      </c>
      <c r="X3810" s="64">
        <f t="shared" si="357"/>
        <v>0</v>
      </c>
      <c r="Y3810" s="53">
        <f t="shared" si="358"/>
        <v>0</v>
      </c>
      <c r="Z3810" s="64">
        <f t="shared" si="359"/>
        <v>0</v>
      </c>
    </row>
    <row r="3811" spans="1:26">
      <c r="A3811" s="89" t="str">
        <f t="shared" si="354"/>
        <v/>
      </c>
      <c r="B3811" s="89" t="str">
        <f t="shared" si="355"/>
        <v/>
      </c>
      <c r="S3811" s="89" t="str">
        <f t="shared" si="356"/>
        <v/>
      </c>
      <c r="X3811" s="64">
        <f t="shared" si="357"/>
        <v>0</v>
      </c>
      <c r="Y3811" s="53">
        <f t="shared" si="358"/>
        <v>0</v>
      </c>
      <c r="Z3811" s="64">
        <f t="shared" si="359"/>
        <v>0</v>
      </c>
    </row>
    <row r="3812" spans="1:26">
      <c r="A3812" s="89" t="str">
        <f t="shared" si="354"/>
        <v/>
      </c>
      <c r="B3812" s="89" t="str">
        <f t="shared" si="355"/>
        <v/>
      </c>
      <c r="S3812" s="89" t="str">
        <f t="shared" si="356"/>
        <v/>
      </c>
      <c r="X3812" s="64">
        <f t="shared" si="357"/>
        <v>0</v>
      </c>
      <c r="Y3812" s="53">
        <f t="shared" si="358"/>
        <v>0</v>
      </c>
      <c r="Z3812" s="64">
        <f t="shared" si="359"/>
        <v>0</v>
      </c>
    </row>
    <row r="3813" spans="1:26">
      <c r="A3813" s="89" t="str">
        <f t="shared" si="354"/>
        <v/>
      </c>
      <c r="B3813" s="89" t="str">
        <f t="shared" si="355"/>
        <v/>
      </c>
      <c r="S3813" s="89" t="str">
        <f t="shared" si="356"/>
        <v/>
      </c>
      <c r="X3813" s="64">
        <f t="shared" si="357"/>
        <v>0</v>
      </c>
      <c r="Y3813" s="53">
        <f t="shared" si="358"/>
        <v>0</v>
      </c>
      <c r="Z3813" s="64">
        <f t="shared" si="359"/>
        <v>0</v>
      </c>
    </row>
    <row r="3814" spans="1:26">
      <c r="A3814" s="89" t="str">
        <f t="shared" si="354"/>
        <v/>
      </c>
      <c r="B3814" s="89" t="str">
        <f t="shared" si="355"/>
        <v/>
      </c>
      <c r="S3814" s="89" t="str">
        <f t="shared" si="356"/>
        <v/>
      </c>
      <c r="X3814" s="64">
        <f t="shared" si="357"/>
        <v>0</v>
      </c>
      <c r="Y3814" s="53">
        <f t="shared" si="358"/>
        <v>0</v>
      </c>
      <c r="Z3814" s="64">
        <f t="shared" si="359"/>
        <v>0</v>
      </c>
    </row>
    <row r="3815" spans="1:26">
      <c r="A3815" s="89" t="str">
        <f t="shared" si="354"/>
        <v/>
      </c>
      <c r="B3815" s="89" t="str">
        <f t="shared" si="355"/>
        <v/>
      </c>
      <c r="S3815" s="89" t="str">
        <f t="shared" si="356"/>
        <v/>
      </c>
      <c r="X3815" s="64">
        <f t="shared" si="357"/>
        <v>0</v>
      </c>
      <c r="Y3815" s="53">
        <f t="shared" si="358"/>
        <v>0</v>
      </c>
      <c r="Z3815" s="64">
        <f t="shared" si="359"/>
        <v>0</v>
      </c>
    </row>
    <row r="3816" spans="1:26">
      <c r="A3816" s="89" t="str">
        <f t="shared" si="354"/>
        <v/>
      </c>
      <c r="B3816" s="89" t="str">
        <f t="shared" si="355"/>
        <v/>
      </c>
      <c r="S3816" s="89" t="str">
        <f t="shared" si="356"/>
        <v/>
      </c>
      <c r="X3816" s="64">
        <f t="shared" si="357"/>
        <v>0</v>
      </c>
      <c r="Y3816" s="53">
        <f t="shared" si="358"/>
        <v>0</v>
      </c>
      <c r="Z3816" s="64">
        <f t="shared" si="359"/>
        <v>0</v>
      </c>
    </row>
    <row r="3817" spans="1:26">
      <c r="A3817" s="89" t="str">
        <f t="shared" si="354"/>
        <v/>
      </c>
      <c r="B3817" s="89" t="str">
        <f t="shared" si="355"/>
        <v/>
      </c>
      <c r="S3817" s="89" t="str">
        <f t="shared" si="356"/>
        <v/>
      </c>
      <c r="X3817" s="64">
        <f t="shared" si="357"/>
        <v>0</v>
      </c>
      <c r="Y3817" s="53">
        <f t="shared" si="358"/>
        <v>0</v>
      </c>
      <c r="Z3817" s="64">
        <f t="shared" si="359"/>
        <v>0</v>
      </c>
    </row>
    <row r="3818" spans="1:26">
      <c r="A3818" s="89" t="str">
        <f t="shared" si="354"/>
        <v/>
      </c>
      <c r="B3818" s="89" t="str">
        <f t="shared" si="355"/>
        <v/>
      </c>
      <c r="S3818" s="89" t="str">
        <f t="shared" si="356"/>
        <v/>
      </c>
      <c r="X3818" s="64">
        <f t="shared" si="357"/>
        <v>0</v>
      </c>
      <c r="Y3818" s="53">
        <f t="shared" si="358"/>
        <v>0</v>
      </c>
      <c r="Z3818" s="64">
        <f t="shared" si="359"/>
        <v>0</v>
      </c>
    </row>
    <row r="3819" spans="1:26">
      <c r="A3819" s="89" t="str">
        <f t="shared" si="354"/>
        <v/>
      </c>
      <c r="B3819" s="89" t="str">
        <f t="shared" si="355"/>
        <v/>
      </c>
      <c r="S3819" s="89" t="str">
        <f t="shared" si="356"/>
        <v/>
      </c>
      <c r="X3819" s="64">
        <f t="shared" si="357"/>
        <v>0</v>
      </c>
      <c r="Y3819" s="53">
        <f t="shared" si="358"/>
        <v>0</v>
      </c>
      <c r="Z3819" s="64">
        <f t="shared" si="359"/>
        <v>0</v>
      </c>
    </row>
    <row r="3820" spans="1:26">
      <c r="A3820" s="89" t="str">
        <f t="shared" si="354"/>
        <v/>
      </c>
      <c r="B3820" s="89" t="str">
        <f t="shared" si="355"/>
        <v/>
      </c>
      <c r="S3820" s="89" t="str">
        <f t="shared" si="356"/>
        <v/>
      </c>
      <c r="X3820" s="64">
        <f t="shared" si="357"/>
        <v>0</v>
      </c>
      <c r="Y3820" s="53">
        <f t="shared" si="358"/>
        <v>0</v>
      </c>
      <c r="Z3820" s="64">
        <f t="shared" si="359"/>
        <v>0</v>
      </c>
    </row>
    <row r="3821" spans="1:26">
      <c r="A3821" s="89" t="str">
        <f t="shared" si="354"/>
        <v/>
      </c>
      <c r="B3821" s="89" t="str">
        <f t="shared" si="355"/>
        <v/>
      </c>
      <c r="S3821" s="89" t="str">
        <f t="shared" si="356"/>
        <v/>
      </c>
      <c r="X3821" s="64">
        <f t="shared" si="357"/>
        <v>0</v>
      </c>
      <c r="Y3821" s="53">
        <f t="shared" si="358"/>
        <v>0</v>
      </c>
      <c r="Z3821" s="64">
        <f t="shared" si="359"/>
        <v>0</v>
      </c>
    </row>
    <row r="3822" spans="1:26">
      <c r="A3822" s="89" t="str">
        <f t="shared" si="354"/>
        <v/>
      </c>
      <c r="B3822" s="89" t="str">
        <f t="shared" si="355"/>
        <v/>
      </c>
      <c r="S3822" s="89" t="str">
        <f t="shared" si="356"/>
        <v/>
      </c>
      <c r="X3822" s="64">
        <f t="shared" si="357"/>
        <v>0</v>
      </c>
      <c r="Y3822" s="53">
        <f t="shared" si="358"/>
        <v>0</v>
      </c>
      <c r="Z3822" s="64">
        <f t="shared" si="359"/>
        <v>0</v>
      </c>
    </row>
    <row r="3823" spans="1:26">
      <c r="A3823" s="89" t="str">
        <f t="shared" si="354"/>
        <v/>
      </c>
      <c r="B3823" s="89" t="str">
        <f t="shared" si="355"/>
        <v/>
      </c>
      <c r="S3823" s="89" t="str">
        <f t="shared" si="356"/>
        <v/>
      </c>
      <c r="X3823" s="64">
        <f t="shared" si="357"/>
        <v>0</v>
      </c>
      <c r="Y3823" s="53">
        <f t="shared" si="358"/>
        <v>0</v>
      </c>
      <c r="Z3823" s="64">
        <f t="shared" si="359"/>
        <v>0</v>
      </c>
    </row>
    <row r="3824" spans="1:26">
      <c r="A3824" s="89" t="str">
        <f t="shared" si="354"/>
        <v/>
      </c>
      <c r="B3824" s="89" t="str">
        <f t="shared" si="355"/>
        <v/>
      </c>
      <c r="S3824" s="89" t="str">
        <f t="shared" si="356"/>
        <v/>
      </c>
      <c r="X3824" s="64">
        <f t="shared" si="357"/>
        <v>0</v>
      </c>
      <c r="Y3824" s="53">
        <f t="shared" si="358"/>
        <v>0</v>
      </c>
      <c r="Z3824" s="64">
        <f t="shared" si="359"/>
        <v>0</v>
      </c>
    </row>
    <row r="3825" spans="1:26">
      <c r="A3825" s="89" t="str">
        <f t="shared" si="354"/>
        <v/>
      </c>
      <c r="B3825" s="89" t="str">
        <f t="shared" si="355"/>
        <v/>
      </c>
      <c r="S3825" s="89" t="str">
        <f t="shared" si="356"/>
        <v/>
      </c>
      <c r="X3825" s="64">
        <f t="shared" si="357"/>
        <v>0</v>
      </c>
      <c r="Y3825" s="53">
        <f t="shared" si="358"/>
        <v>0</v>
      </c>
      <c r="Z3825" s="64">
        <f t="shared" si="359"/>
        <v>0</v>
      </c>
    </row>
    <row r="3826" spans="1:26">
      <c r="A3826" s="89" t="str">
        <f t="shared" si="354"/>
        <v/>
      </c>
      <c r="B3826" s="89" t="str">
        <f t="shared" si="355"/>
        <v/>
      </c>
      <c r="S3826" s="89" t="str">
        <f t="shared" si="356"/>
        <v/>
      </c>
      <c r="X3826" s="64">
        <f t="shared" si="357"/>
        <v>0</v>
      </c>
      <c r="Y3826" s="53">
        <f t="shared" si="358"/>
        <v>0</v>
      </c>
      <c r="Z3826" s="64">
        <f t="shared" si="359"/>
        <v>0</v>
      </c>
    </row>
    <row r="3827" spans="1:26">
      <c r="A3827" s="89" t="str">
        <f t="shared" si="354"/>
        <v/>
      </c>
      <c r="B3827" s="89" t="str">
        <f t="shared" si="355"/>
        <v/>
      </c>
      <c r="S3827" s="89" t="str">
        <f t="shared" si="356"/>
        <v/>
      </c>
      <c r="X3827" s="64">
        <f t="shared" si="357"/>
        <v>0</v>
      </c>
      <c r="Y3827" s="53">
        <f t="shared" si="358"/>
        <v>0</v>
      </c>
      <c r="Z3827" s="64">
        <f t="shared" si="359"/>
        <v>0</v>
      </c>
    </row>
    <row r="3828" spans="1:26">
      <c r="A3828" s="89" t="str">
        <f t="shared" si="354"/>
        <v/>
      </c>
      <c r="B3828" s="89" t="str">
        <f t="shared" si="355"/>
        <v/>
      </c>
      <c r="S3828" s="89" t="str">
        <f t="shared" si="356"/>
        <v/>
      </c>
      <c r="X3828" s="64">
        <f t="shared" si="357"/>
        <v>0</v>
      </c>
      <c r="Y3828" s="53">
        <f t="shared" si="358"/>
        <v>0</v>
      </c>
      <c r="Z3828" s="64">
        <f t="shared" si="359"/>
        <v>0</v>
      </c>
    </row>
    <row r="3829" spans="1:26">
      <c r="A3829" s="89" t="str">
        <f t="shared" si="354"/>
        <v/>
      </c>
      <c r="B3829" s="89" t="str">
        <f t="shared" si="355"/>
        <v/>
      </c>
      <c r="S3829" s="89" t="str">
        <f t="shared" si="356"/>
        <v/>
      </c>
      <c r="X3829" s="64">
        <f t="shared" si="357"/>
        <v>0</v>
      </c>
      <c r="Y3829" s="53">
        <f t="shared" si="358"/>
        <v>0</v>
      </c>
      <c r="Z3829" s="64">
        <f t="shared" si="359"/>
        <v>0</v>
      </c>
    </row>
    <row r="3830" spans="1:26">
      <c r="A3830" s="89" t="str">
        <f t="shared" si="354"/>
        <v/>
      </c>
      <c r="B3830" s="89" t="str">
        <f t="shared" si="355"/>
        <v/>
      </c>
      <c r="S3830" s="89" t="str">
        <f t="shared" si="356"/>
        <v/>
      </c>
      <c r="X3830" s="64">
        <f t="shared" si="357"/>
        <v>0</v>
      </c>
      <c r="Y3830" s="53">
        <f t="shared" si="358"/>
        <v>0</v>
      </c>
      <c r="Z3830" s="64">
        <f t="shared" si="359"/>
        <v>0</v>
      </c>
    </row>
    <row r="3831" spans="1:26">
      <c r="A3831" s="89" t="str">
        <f t="shared" si="354"/>
        <v/>
      </c>
      <c r="B3831" s="89" t="str">
        <f t="shared" si="355"/>
        <v/>
      </c>
      <c r="S3831" s="89" t="str">
        <f t="shared" si="356"/>
        <v/>
      </c>
      <c r="X3831" s="64">
        <f t="shared" si="357"/>
        <v>0</v>
      </c>
      <c r="Y3831" s="53">
        <f t="shared" si="358"/>
        <v>0</v>
      </c>
      <c r="Z3831" s="64">
        <f t="shared" si="359"/>
        <v>0</v>
      </c>
    </row>
    <row r="3832" spans="1:26">
      <c r="A3832" s="89" t="str">
        <f t="shared" si="354"/>
        <v/>
      </c>
      <c r="B3832" s="89" t="str">
        <f t="shared" si="355"/>
        <v/>
      </c>
      <c r="S3832" s="89" t="str">
        <f t="shared" si="356"/>
        <v/>
      </c>
      <c r="X3832" s="64">
        <f t="shared" si="357"/>
        <v>0</v>
      </c>
      <c r="Y3832" s="53">
        <f t="shared" si="358"/>
        <v>0</v>
      </c>
      <c r="Z3832" s="64">
        <f t="shared" si="359"/>
        <v>0</v>
      </c>
    </row>
    <row r="3833" spans="1:26">
      <c r="A3833" s="89" t="str">
        <f t="shared" si="354"/>
        <v/>
      </c>
      <c r="B3833" s="89" t="str">
        <f t="shared" si="355"/>
        <v/>
      </c>
      <c r="S3833" s="89" t="str">
        <f t="shared" si="356"/>
        <v/>
      </c>
      <c r="X3833" s="64">
        <f t="shared" si="357"/>
        <v>0</v>
      </c>
      <c r="Y3833" s="53">
        <f t="shared" si="358"/>
        <v>0</v>
      </c>
      <c r="Z3833" s="64">
        <f t="shared" si="359"/>
        <v>0</v>
      </c>
    </row>
    <row r="3834" spans="1:26">
      <c r="A3834" s="89" t="str">
        <f t="shared" si="354"/>
        <v/>
      </c>
      <c r="B3834" s="89" t="str">
        <f t="shared" si="355"/>
        <v/>
      </c>
      <c r="S3834" s="89" t="str">
        <f t="shared" si="356"/>
        <v/>
      </c>
      <c r="X3834" s="64">
        <f t="shared" si="357"/>
        <v>0</v>
      </c>
      <c r="Y3834" s="53">
        <f t="shared" si="358"/>
        <v>0</v>
      </c>
      <c r="Z3834" s="64">
        <f t="shared" si="359"/>
        <v>0</v>
      </c>
    </row>
    <row r="3835" spans="1:26">
      <c r="A3835" s="89" t="str">
        <f t="shared" si="354"/>
        <v/>
      </c>
      <c r="B3835" s="89" t="str">
        <f t="shared" si="355"/>
        <v/>
      </c>
      <c r="S3835" s="89" t="str">
        <f t="shared" si="356"/>
        <v/>
      </c>
      <c r="X3835" s="64">
        <f t="shared" si="357"/>
        <v>0</v>
      </c>
      <c r="Y3835" s="53">
        <f t="shared" si="358"/>
        <v>0</v>
      </c>
      <c r="Z3835" s="64">
        <f t="shared" si="359"/>
        <v>0</v>
      </c>
    </row>
    <row r="3836" spans="1:26">
      <c r="A3836" s="89" t="str">
        <f t="shared" si="354"/>
        <v/>
      </c>
      <c r="B3836" s="89" t="str">
        <f t="shared" si="355"/>
        <v/>
      </c>
      <c r="S3836" s="89" t="str">
        <f t="shared" si="356"/>
        <v/>
      </c>
      <c r="X3836" s="64">
        <f t="shared" si="357"/>
        <v>0</v>
      </c>
      <c r="Y3836" s="53">
        <f t="shared" si="358"/>
        <v>0</v>
      </c>
      <c r="Z3836" s="64">
        <f t="shared" si="359"/>
        <v>0</v>
      </c>
    </row>
    <row r="3837" spans="1:26">
      <c r="A3837" s="89" t="str">
        <f t="shared" si="354"/>
        <v/>
      </c>
      <c r="B3837" s="89" t="str">
        <f t="shared" si="355"/>
        <v/>
      </c>
      <c r="S3837" s="89" t="str">
        <f t="shared" si="356"/>
        <v/>
      </c>
      <c r="X3837" s="64">
        <f t="shared" si="357"/>
        <v>0</v>
      </c>
      <c r="Y3837" s="53">
        <f t="shared" si="358"/>
        <v>0</v>
      </c>
      <c r="Z3837" s="64">
        <f t="shared" si="359"/>
        <v>0</v>
      </c>
    </row>
    <row r="3838" spans="1:26">
      <c r="A3838" s="89" t="str">
        <f t="shared" si="354"/>
        <v/>
      </c>
      <c r="B3838" s="89" t="str">
        <f t="shared" si="355"/>
        <v/>
      </c>
      <c r="S3838" s="89" t="str">
        <f t="shared" si="356"/>
        <v/>
      </c>
      <c r="X3838" s="64">
        <f t="shared" si="357"/>
        <v>0</v>
      </c>
      <c r="Y3838" s="53">
        <f t="shared" si="358"/>
        <v>0</v>
      </c>
      <c r="Z3838" s="64">
        <f t="shared" si="359"/>
        <v>0</v>
      </c>
    </row>
    <row r="3839" spans="1:26">
      <c r="A3839" s="89" t="str">
        <f t="shared" si="354"/>
        <v/>
      </c>
      <c r="B3839" s="89" t="str">
        <f t="shared" si="355"/>
        <v/>
      </c>
      <c r="S3839" s="89" t="str">
        <f t="shared" si="356"/>
        <v/>
      </c>
      <c r="X3839" s="64">
        <f t="shared" si="357"/>
        <v>0</v>
      </c>
      <c r="Y3839" s="53">
        <f t="shared" si="358"/>
        <v>0</v>
      </c>
      <c r="Z3839" s="64">
        <f t="shared" si="359"/>
        <v>0</v>
      </c>
    </row>
    <row r="3840" spans="1:26">
      <c r="A3840" s="89" t="str">
        <f t="shared" si="354"/>
        <v/>
      </c>
      <c r="B3840" s="89" t="str">
        <f t="shared" si="355"/>
        <v/>
      </c>
      <c r="S3840" s="89" t="str">
        <f t="shared" si="356"/>
        <v/>
      </c>
      <c r="X3840" s="64">
        <f t="shared" si="357"/>
        <v>0</v>
      </c>
      <c r="Y3840" s="53">
        <f t="shared" si="358"/>
        <v>0</v>
      </c>
      <c r="Z3840" s="64">
        <f t="shared" si="359"/>
        <v>0</v>
      </c>
    </row>
    <row r="3841" spans="1:26">
      <c r="A3841" s="89" t="str">
        <f t="shared" si="354"/>
        <v/>
      </c>
      <c r="B3841" s="89" t="str">
        <f t="shared" si="355"/>
        <v/>
      </c>
      <c r="S3841" s="89" t="str">
        <f t="shared" si="356"/>
        <v/>
      </c>
      <c r="X3841" s="64">
        <f t="shared" si="357"/>
        <v>0</v>
      </c>
      <c r="Y3841" s="53">
        <f t="shared" si="358"/>
        <v>0</v>
      </c>
      <c r="Z3841" s="64">
        <f t="shared" si="359"/>
        <v>0</v>
      </c>
    </row>
    <row r="3842" spans="1:26">
      <c r="A3842" s="89" t="str">
        <f t="shared" si="354"/>
        <v/>
      </c>
      <c r="B3842" s="89" t="str">
        <f t="shared" si="355"/>
        <v/>
      </c>
      <c r="S3842" s="89" t="str">
        <f t="shared" si="356"/>
        <v/>
      </c>
      <c r="X3842" s="64">
        <f t="shared" si="357"/>
        <v>0</v>
      </c>
      <c r="Y3842" s="53">
        <f t="shared" si="358"/>
        <v>0</v>
      </c>
      <c r="Z3842" s="64">
        <f t="shared" si="359"/>
        <v>0</v>
      </c>
    </row>
    <row r="3843" spans="1:26">
      <c r="A3843" s="89" t="str">
        <f t="shared" ref="A3843:A3906" si="360">IF(G3843&amp;Q3843&lt;&gt;"",G3843&amp;Q3843,"")</f>
        <v/>
      </c>
      <c r="B3843" s="89" t="str">
        <f t="shared" ref="B3843:B3906" si="361">IF(C3843&lt;&gt;"",LEFT(C3843,9),"")</f>
        <v/>
      </c>
      <c r="S3843" s="89" t="str">
        <f t="shared" ref="S3843:S3906" si="362">IF(H3843&lt;&gt;"",H3843,"")</f>
        <v/>
      </c>
      <c r="X3843" s="64">
        <f t="shared" ref="X3843:X3906" si="363">IFERROR(VALUE(MID($C3843,1,2)),0)</f>
        <v>0</v>
      </c>
      <c r="Y3843" s="53">
        <f t="shared" ref="Y3843:Y3906" si="364">IFERROR(VALUE(MID($C3843,4,3)),0)</f>
        <v>0</v>
      </c>
      <c r="Z3843" s="64">
        <f t="shared" ref="Z3843:Z3906" si="365">VALUE(RIGHT("00"&amp;X3843,2)&amp;RIGHT("000"&amp;Y3843,3))</f>
        <v>0</v>
      </c>
    </row>
    <row r="3844" spans="1:26">
      <c r="A3844" s="89" t="str">
        <f t="shared" si="360"/>
        <v/>
      </c>
      <c r="B3844" s="89" t="str">
        <f t="shared" si="361"/>
        <v/>
      </c>
      <c r="S3844" s="89" t="str">
        <f t="shared" si="362"/>
        <v/>
      </c>
      <c r="X3844" s="64">
        <f t="shared" si="363"/>
        <v>0</v>
      </c>
      <c r="Y3844" s="53">
        <f t="shared" si="364"/>
        <v>0</v>
      </c>
      <c r="Z3844" s="64">
        <f t="shared" si="365"/>
        <v>0</v>
      </c>
    </row>
    <row r="3845" spans="1:26">
      <c r="A3845" s="89" t="str">
        <f t="shared" si="360"/>
        <v/>
      </c>
      <c r="B3845" s="89" t="str">
        <f t="shared" si="361"/>
        <v/>
      </c>
      <c r="S3845" s="89" t="str">
        <f t="shared" si="362"/>
        <v/>
      </c>
      <c r="X3845" s="64">
        <f t="shared" si="363"/>
        <v>0</v>
      </c>
      <c r="Y3845" s="53">
        <f t="shared" si="364"/>
        <v>0</v>
      </c>
      <c r="Z3845" s="64">
        <f t="shared" si="365"/>
        <v>0</v>
      </c>
    </row>
    <row r="3846" spans="1:26">
      <c r="A3846" s="89" t="str">
        <f t="shared" si="360"/>
        <v/>
      </c>
      <c r="B3846" s="89" t="str">
        <f t="shared" si="361"/>
        <v/>
      </c>
      <c r="S3846" s="89" t="str">
        <f t="shared" si="362"/>
        <v/>
      </c>
      <c r="X3846" s="64">
        <f t="shared" si="363"/>
        <v>0</v>
      </c>
      <c r="Y3846" s="53">
        <f t="shared" si="364"/>
        <v>0</v>
      </c>
      <c r="Z3846" s="64">
        <f t="shared" si="365"/>
        <v>0</v>
      </c>
    </row>
    <row r="3847" spans="1:26">
      <c r="A3847" s="89" t="str">
        <f t="shared" si="360"/>
        <v/>
      </c>
      <c r="B3847" s="89" t="str">
        <f t="shared" si="361"/>
        <v/>
      </c>
      <c r="S3847" s="89" t="str">
        <f t="shared" si="362"/>
        <v/>
      </c>
      <c r="X3847" s="64">
        <f t="shared" si="363"/>
        <v>0</v>
      </c>
      <c r="Y3847" s="53">
        <f t="shared" si="364"/>
        <v>0</v>
      </c>
      <c r="Z3847" s="64">
        <f t="shared" si="365"/>
        <v>0</v>
      </c>
    </row>
    <row r="3848" spans="1:26">
      <c r="A3848" s="89" t="str">
        <f t="shared" si="360"/>
        <v/>
      </c>
      <c r="B3848" s="89" t="str">
        <f t="shared" si="361"/>
        <v/>
      </c>
      <c r="S3848" s="89" t="str">
        <f t="shared" si="362"/>
        <v/>
      </c>
      <c r="X3848" s="64">
        <f t="shared" si="363"/>
        <v>0</v>
      </c>
      <c r="Y3848" s="53">
        <f t="shared" si="364"/>
        <v>0</v>
      </c>
      <c r="Z3848" s="64">
        <f t="shared" si="365"/>
        <v>0</v>
      </c>
    </row>
    <row r="3849" spans="1:26">
      <c r="A3849" s="89" t="str">
        <f t="shared" si="360"/>
        <v/>
      </c>
      <c r="B3849" s="89" t="str">
        <f t="shared" si="361"/>
        <v/>
      </c>
      <c r="S3849" s="89" t="str">
        <f t="shared" si="362"/>
        <v/>
      </c>
      <c r="X3849" s="64">
        <f t="shared" si="363"/>
        <v>0</v>
      </c>
      <c r="Y3849" s="53">
        <f t="shared" si="364"/>
        <v>0</v>
      </c>
      <c r="Z3849" s="64">
        <f t="shared" si="365"/>
        <v>0</v>
      </c>
    </row>
    <row r="3850" spans="1:26">
      <c r="A3850" s="89" t="str">
        <f t="shared" si="360"/>
        <v/>
      </c>
      <c r="B3850" s="89" t="str">
        <f t="shared" si="361"/>
        <v/>
      </c>
      <c r="S3850" s="89" t="str">
        <f t="shared" si="362"/>
        <v/>
      </c>
      <c r="X3850" s="64">
        <f t="shared" si="363"/>
        <v>0</v>
      </c>
      <c r="Y3850" s="53">
        <f t="shared" si="364"/>
        <v>0</v>
      </c>
      <c r="Z3850" s="64">
        <f t="shared" si="365"/>
        <v>0</v>
      </c>
    </row>
    <row r="3851" spans="1:26">
      <c r="A3851" s="89" t="str">
        <f t="shared" si="360"/>
        <v/>
      </c>
      <c r="B3851" s="89" t="str">
        <f t="shared" si="361"/>
        <v/>
      </c>
      <c r="S3851" s="89" t="str">
        <f t="shared" si="362"/>
        <v/>
      </c>
      <c r="X3851" s="64">
        <f t="shared" si="363"/>
        <v>0</v>
      </c>
      <c r="Y3851" s="53">
        <f t="shared" si="364"/>
        <v>0</v>
      </c>
      <c r="Z3851" s="64">
        <f t="shared" si="365"/>
        <v>0</v>
      </c>
    </row>
    <row r="3852" spans="1:26">
      <c r="A3852" s="89" t="str">
        <f t="shared" si="360"/>
        <v/>
      </c>
      <c r="B3852" s="89" t="str">
        <f t="shared" si="361"/>
        <v/>
      </c>
      <c r="S3852" s="89" t="str">
        <f t="shared" si="362"/>
        <v/>
      </c>
      <c r="X3852" s="64">
        <f t="shared" si="363"/>
        <v>0</v>
      </c>
      <c r="Y3852" s="53">
        <f t="shared" si="364"/>
        <v>0</v>
      </c>
      <c r="Z3852" s="64">
        <f t="shared" si="365"/>
        <v>0</v>
      </c>
    </row>
    <row r="3853" spans="1:26">
      <c r="A3853" s="89" t="str">
        <f t="shared" si="360"/>
        <v/>
      </c>
      <c r="B3853" s="89" t="str">
        <f t="shared" si="361"/>
        <v/>
      </c>
      <c r="S3853" s="89" t="str">
        <f t="shared" si="362"/>
        <v/>
      </c>
      <c r="X3853" s="64">
        <f t="shared" si="363"/>
        <v>0</v>
      </c>
      <c r="Y3853" s="53">
        <f t="shared" si="364"/>
        <v>0</v>
      </c>
      <c r="Z3853" s="64">
        <f t="shared" si="365"/>
        <v>0</v>
      </c>
    </row>
    <row r="3854" spans="1:26">
      <c r="A3854" s="89" t="str">
        <f t="shared" si="360"/>
        <v/>
      </c>
      <c r="B3854" s="89" t="str">
        <f t="shared" si="361"/>
        <v/>
      </c>
      <c r="S3854" s="89" t="str">
        <f t="shared" si="362"/>
        <v/>
      </c>
      <c r="X3854" s="64">
        <f t="shared" si="363"/>
        <v>0</v>
      </c>
      <c r="Y3854" s="53">
        <f t="shared" si="364"/>
        <v>0</v>
      </c>
      <c r="Z3854" s="64">
        <f t="shared" si="365"/>
        <v>0</v>
      </c>
    </row>
    <row r="3855" spans="1:26">
      <c r="A3855" s="89" t="str">
        <f t="shared" si="360"/>
        <v/>
      </c>
      <c r="B3855" s="89" t="str">
        <f t="shared" si="361"/>
        <v/>
      </c>
      <c r="S3855" s="89" t="str">
        <f t="shared" si="362"/>
        <v/>
      </c>
      <c r="X3855" s="64">
        <f t="shared" si="363"/>
        <v>0</v>
      </c>
      <c r="Y3855" s="53">
        <f t="shared" si="364"/>
        <v>0</v>
      </c>
      <c r="Z3855" s="64">
        <f t="shared" si="365"/>
        <v>0</v>
      </c>
    </row>
    <row r="3856" spans="1:26">
      <c r="A3856" s="89" t="str">
        <f t="shared" si="360"/>
        <v/>
      </c>
      <c r="B3856" s="89" t="str">
        <f t="shared" si="361"/>
        <v/>
      </c>
      <c r="S3856" s="89" t="str">
        <f t="shared" si="362"/>
        <v/>
      </c>
      <c r="X3856" s="64">
        <f t="shared" si="363"/>
        <v>0</v>
      </c>
      <c r="Y3856" s="53">
        <f t="shared" si="364"/>
        <v>0</v>
      </c>
      <c r="Z3856" s="64">
        <f t="shared" si="365"/>
        <v>0</v>
      </c>
    </row>
    <row r="3857" spans="1:26">
      <c r="A3857" s="89" t="str">
        <f t="shared" si="360"/>
        <v/>
      </c>
      <c r="B3857" s="89" t="str">
        <f t="shared" si="361"/>
        <v/>
      </c>
      <c r="S3857" s="89" t="str">
        <f t="shared" si="362"/>
        <v/>
      </c>
      <c r="X3857" s="64">
        <f t="shared" si="363"/>
        <v>0</v>
      </c>
      <c r="Y3857" s="53">
        <f t="shared" si="364"/>
        <v>0</v>
      </c>
      <c r="Z3857" s="64">
        <f t="shared" si="365"/>
        <v>0</v>
      </c>
    </row>
    <row r="3858" spans="1:26">
      <c r="A3858" s="89" t="str">
        <f t="shared" si="360"/>
        <v/>
      </c>
      <c r="B3858" s="89" t="str">
        <f t="shared" si="361"/>
        <v/>
      </c>
      <c r="S3858" s="89" t="str">
        <f t="shared" si="362"/>
        <v/>
      </c>
      <c r="X3858" s="64">
        <f t="shared" si="363"/>
        <v>0</v>
      </c>
      <c r="Y3858" s="53">
        <f t="shared" si="364"/>
        <v>0</v>
      </c>
      <c r="Z3858" s="64">
        <f t="shared" si="365"/>
        <v>0</v>
      </c>
    </row>
    <row r="3859" spans="1:26">
      <c r="A3859" s="89" t="str">
        <f t="shared" si="360"/>
        <v/>
      </c>
      <c r="B3859" s="89" t="str">
        <f t="shared" si="361"/>
        <v/>
      </c>
      <c r="S3859" s="89" t="str">
        <f t="shared" si="362"/>
        <v/>
      </c>
      <c r="X3859" s="64">
        <f t="shared" si="363"/>
        <v>0</v>
      </c>
      <c r="Y3859" s="53">
        <f t="shared" si="364"/>
        <v>0</v>
      </c>
      <c r="Z3859" s="64">
        <f t="shared" si="365"/>
        <v>0</v>
      </c>
    </row>
    <row r="3860" spans="1:26">
      <c r="A3860" s="89" t="str">
        <f t="shared" si="360"/>
        <v/>
      </c>
      <c r="B3860" s="89" t="str">
        <f t="shared" si="361"/>
        <v/>
      </c>
      <c r="S3860" s="89" t="str">
        <f t="shared" si="362"/>
        <v/>
      </c>
      <c r="X3860" s="64">
        <f t="shared" si="363"/>
        <v>0</v>
      </c>
      <c r="Y3860" s="53">
        <f t="shared" si="364"/>
        <v>0</v>
      </c>
      <c r="Z3860" s="64">
        <f t="shared" si="365"/>
        <v>0</v>
      </c>
    </row>
    <row r="3861" spans="1:26">
      <c r="A3861" s="89" t="str">
        <f t="shared" si="360"/>
        <v/>
      </c>
      <c r="B3861" s="89" t="str">
        <f t="shared" si="361"/>
        <v/>
      </c>
      <c r="S3861" s="89" t="str">
        <f t="shared" si="362"/>
        <v/>
      </c>
      <c r="X3861" s="64">
        <f t="shared" si="363"/>
        <v>0</v>
      </c>
      <c r="Y3861" s="53">
        <f t="shared" si="364"/>
        <v>0</v>
      </c>
      <c r="Z3861" s="64">
        <f t="shared" si="365"/>
        <v>0</v>
      </c>
    </row>
    <row r="3862" spans="1:26">
      <c r="A3862" s="89" t="str">
        <f t="shared" si="360"/>
        <v/>
      </c>
      <c r="B3862" s="89" t="str">
        <f t="shared" si="361"/>
        <v/>
      </c>
      <c r="S3862" s="89" t="str">
        <f t="shared" si="362"/>
        <v/>
      </c>
      <c r="X3862" s="64">
        <f t="shared" si="363"/>
        <v>0</v>
      </c>
      <c r="Y3862" s="53">
        <f t="shared" si="364"/>
        <v>0</v>
      </c>
      <c r="Z3862" s="64">
        <f t="shared" si="365"/>
        <v>0</v>
      </c>
    </row>
    <row r="3863" spans="1:26">
      <c r="A3863" s="89" t="str">
        <f t="shared" si="360"/>
        <v/>
      </c>
      <c r="B3863" s="89" t="str">
        <f t="shared" si="361"/>
        <v/>
      </c>
      <c r="S3863" s="89" t="str">
        <f t="shared" si="362"/>
        <v/>
      </c>
      <c r="X3863" s="64">
        <f t="shared" si="363"/>
        <v>0</v>
      </c>
      <c r="Y3863" s="53">
        <f t="shared" si="364"/>
        <v>0</v>
      </c>
      <c r="Z3863" s="64">
        <f t="shared" si="365"/>
        <v>0</v>
      </c>
    </row>
    <row r="3864" spans="1:26">
      <c r="A3864" s="89" t="str">
        <f t="shared" si="360"/>
        <v/>
      </c>
      <c r="B3864" s="89" t="str">
        <f t="shared" si="361"/>
        <v/>
      </c>
      <c r="S3864" s="89" t="str">
        <f t="shared" si="362"/>
        <v/>
      </c>
      <c r="X3864" s="64">
        <f t="shared" si="363"/>
        <v>0</v>
      </c>
      <c r="Y3864" s="53">
        <f t="shared" si="364"/>
        <v>0</v>
      </c>
      <c r="Z3864" s="64">
        <f t="shared" si="365"/>
        <v>0</v>
      </c>
    </row>
    <row r="3865" spans="1:26">
      <c r="A3865" s="89" t="str">
        <f t="shared" si="360"/>
        <v/>
      </c>
      <c r="B3865" s="89" t="str">
        <f t="shared" si="361"/>
        <v/>
      </c>
      <c r="S3865" s="89" t="str">
        <f t="shared" si="362"/>
        <v/>
      </c>
      <c r="X3865" s="64">
        <f t="shared" si="363"/>
        <v>0</v>
      </c>
      <c r="Y3865" s="53">
        <f t="shared" si="364"/>
        <v>0</v>
      </c>
      <c r="Z3865" s="64">
        <f t="shared" si="365"/>
        <v>0</v>
      </c>
    </row>
    <row r="3866" spans="1:26">
      <c r="A3866" s="89" t="str">
        <f t="shared" si="360"/>
        <v/>
      </c>
      <c r="B3866" s="89" t="str">
        <f t="shared" si="361"/>
        <v/>
      </c>
      <c r="S3866" s="89" t="str">
        <f t="shared" si="362"/>
        <v/>
      </c>
      <c r="X3866" s="64">
        <f t="shared" si="363"/>
        <v>0</v>
      </c>
      <c r="Y3866" s="53">
        <f t="shared" si="364"/>
        <v>0</v>
      </c>
      <c r="Z3866" s="64">
        <f t="shared" si="365"/>
        <v>0</v>
      </c>
    </row>
    <row r="3867" spans="1:26">
      <c r="A3867" s="89" t="str">
        <f t="shared" si="360"/>
        <v/>
      </c>
      <c r="B3867" s="89" t="str">
        <f t="shared" si="361"/>
        <v/>
      </c>
      <c r="S3867" s="89" t="str">
        <f t="shared" si="362"/>
        <v/>
      </c>
      <c r="X3867" s="64">
        <f t="shared" si="363"/>
        <v>0</v>
      </c>
      <c r="Y3867" s="53">
        <f t="shared" si="364"/>
        <v>0</v>
      </c>
      <c r="Z3867" s="64">
        <f t="shared" si="365"/>
        <v>0</v>
      </c>
    </row>
    <row r="3868" spans="1:26">
      <c r="A3868" s="89" t="str">
        <f t="shared" si="360"/>
        <v/>
      </c>
      <c r="B3868" s="89" t="str">
        <f t="shared" si="361"/>
        <v/>
      </c>
      <c r="S3868" s="89" t="str">
        <f t="shared" si="362"/>
        <v/>
      </c>
      <c r="X3868" s="64">
        <f t="shared" si="363"/>
        <v>0</v>
      </c>
      <c r="Y3868" s="53">
        <f t="shared" si="364"/>
        <v>0</v>
      </c>
      <c r="Z3868" s="64">
        <f t="shared" si="365"/>
        <v>0</v>
      </c>
    </row>
    <row r="3869" spans="1:26">
      <c r="A3869" s="89" t="str">
        <f t="shared" si="360"/>
        <v/>
      </c>
      <c r="B3869" s="89" t="str">
        <f t="shared" si="361"/>
        <v/>
      </c>
      <c r="S3869" s="89" t="str">
        <f t="shared" si="362"/>
        <v/>
      </c>
      <c r="X3869" s="64">
        <f t="shared" si="363"/>
        <v>0</v>
      </c>
      <c r="Y3869" s="53">
        <f t="shared" si="364"/>
        <v>0</v>
      </c>
      <c r="Z3869" s="64">
        <f t="shared" si="365"/>
        <v>0</v>
      </c>
    </row>
    <row r="3870" spans="1:26">
      <c r="A3870" s="89" t="str">
        <f t="shared" si="360"/>
        <v/>
      </c>
      <c r="B3870" s="89" t="str">
        <f t="shared" si="361"/>
        <v/>
      </c>
      <c r="S3870" s="89" t="str">
        <f t="shared" si="362"/>
        <v/>
      </c>
      <c r="X3870" s="64">
        <f t="shared" si="363"/>
        <v>0</v>
      </c>
      <c r="Y3870" s="53">
        <f t="shared" si="364"/>
        <v>0</v>
      </c>
      <c r="Z3870" s="64">
        <f t="shared" si="365"/>
        <v>0</v>
      </c>
    </row>
    <row r="3871" spans="1:26">
      <c r="A3871" s="89" t="str">
        <f t="shared" si="360"/>
        <v/>
      </c>
      <c r="B3871" s="89" t="str">
        <f t="shared" si="361"/>
        <v/>
      </c>
      <c r="S3871" s="89" t="str">
        <f t="shared" si="362"/>
        <v/>
      </c>
      <c r="X3871" s="64">
        <f t="shared" si="363"/>
        <v>0</v>
      </c>
      <c r="Y3871" s="53">
        <f t="shared" si="364"/>
        <v>0</v>
      </c>
      <c r="Z3871" s="64">
        <f t="shared" si="365"/>
        <v>0</v>
      </c>
    </row>
    <row r="3872" spans="1:26">
      <c r="A3872" s="89" t="str">
        <f t="shared" si="360"/>
        <v/>
      </c>
      <c r="B3872" s="89" t="str">
        <f t="shared" si="361"/>
        <v/>
      </c>
      <c r="S3872" s="89" t="str">
        <f t="shared" si="362"/>
        <v/>
      </c>
      <c r="X3872" s="64">
        <f t="shared" si="363"/>
        <v>0</v>
      </c>
      <c r="Y3872" s="53">
        <f t="shared" si="364"/>
        <v>0</v>
      </c>
      <c r="Z3872" s="64">
        <f t="shared" si="365"/>
        <v>0</v>
      </c>
    </row>
    <row r="3873" spans="1:26">
      <c r="A3873" s="89" t="str">
        <f t="shared" si="360"/>
        <v/>
      </c>
      <c r="B3873" s="89" t="str">
        <f t="shared" si="361"/>
        <v/>
      </c>
      <c r="S3873" s="89" t="str">
        <f t="shared" si="362"/>
        <v/>
      </c>
      <c r="X3873" s="64">
        <f t="shared" si="363"/>
        <v>0</v>
      </c>
      <c r="Y3873" s="53">
        <f t="shared" si="364"/>
        <v>0</v>
      </c>
      <c r="Z3873" s="64">
        <f t="shared" si="365"/>
        <v>0</v>
      </c>
    </row>
    <row r="3874" spans="1:26">
      <c r="A3874" s="89" t="str">
        <f t="shared" si="360"/>
        <v/>
      </c>
      <c r="B3874" s="89" t="str">
        <f t="shared" si="361"/>
        <v/>
      </c>
      <c r="S3874" s="89" t="str">
        <f t="shared" si="362"/>
        <v/>
      </c>
      <c r="X3874" s="64">
        <f t="shared" si="363"/>
        <v>0</v>
      </c>
      <c r="Y3874" s="53">
        <f t="shared" si="364"/>
        <v>0</v>
      </c>
      <c r="Z3874" s="64">
        <f t="shared" si="365"/>
        <v>0</v>
      </c>
    </row>
    <row r="3875" spans="1:26">
      <c r="A3875" s="89" t="str">
        <f t="shared" si="360"/>
        <v/>
      </c>
      <c r="B3875" s="89" t="str">
        <f t="shared" si="361"/>
        <v/>
      </c>
      <c r="S3875" s="89" t="str">
        <f t="shared" si="362"/>
        <v/>
      </c>
      <c r="X3875" s="64">
        <f t="shared" si="363"/>
        <v>0</v>
      </c>
      <c r="Y3875" s="53">
        <f t="shared" si="364"/>
        <v>0</v>
      </c>
      <c r="Z3875" s="64">
        <f t="shared" si="365"/>
        <v>0</v>
      </c>
    </row>
    <row r="3876" spans="1:26">
      <c r="A3876" s="89" t="str">
        <f t="shared" si="360"/>
        <v/>
      </c>
      <c r="B3876" s="89" t="str">
        <f t="shared" si="361"/>
        <v/>
      </c>
      <c r="S3876" s="89" t="str">
        <f t="shared" si="362"/>
        <v/>
      </c>
      <c r="X3876" s="64">
        <f t="shared" si="363"/>
        <v>0</v>
      </c>
      <c r="Y3876" s="53">
        <f t="shared" si="364"/>
        <v>0</v>
      </c>
      <c r="Z3876" s="64">
        <f t="shared" si="365"/>
        <v>0</v>
      </c>
    </row>
    <row r="3877" spans="1:26">
      <c r="A3877" s="89" t="str">
        <f t="shared" si="360"/>
        <v/>
      </c>
      <c r="B3877" s="89" t="str">
        <f t="shared" si="361"/>
        <v/>
      </c>
      <c r="S3877" s="89" t="str">
        <f t="shared" si="362"/>
        <v/>
      </c>
      <c r="X3877" s="64">
        <f t="shared" si="363"/>
        <v>0</v>
      </c>
      <c r="Y3877" s="53">
        <f t="shared" si="364"/>
        <v>0</v>
      </c>
      <c r="Z3877" s="64">
        <f t="shared" si="365"/>
        <v>0</v>
      </c>
    </row>
    <row r="3878" spans="1:26">
      <c r="A3878" s="89" t="str">
        <f t="shared" si="360"/>
        <v/>
      </c>
      <c r="B3878" s="89" t="str">
        <f t="shared" si="361"/>
        <v/>
      </c>
      <c r="S3878" s="89" t="str">
        <f t="shared" si="362"/>
        <v/>
      </c>
      <c r="X3878" s="64">
        <f t="shared" si="363"/>
        <v>0</v>
      </c>
      <c r="Y3878" s="53">
        <f t="shared" si="364"/>
        <v>0</v>
      </c>
      <c r="Z3878" s="64">
        <f t="shared" si="365"/>
        <v>0</v>
      </c>
    </row>
    <row r="3879" spans="1:26">
      <c r="A3879" s="89" t="str">
        <f t="shared" si="360"/>
        <v/>
      </c>
      <c r="B3879" s="89" t="str">
        <f t="shared" si="361"/>
        <v/>
      </c>
      <c r="S3879" s="89" t="str">
        <f t="shared" si="362"/>
        <v/>
      </c>
      <c r="X3879" s="64">
        <f t="shared" si="363"/>
        <v>0</v>
      </c>
      <c r="Y3879" s="53">
        <f t="shared" si="364"/>
        <v>0</v>
      </c>
      <c r="Z3879" s="64">
        <f t="shared" si="365"/>
        <v>0</v>
      </c>
    </row>
    <row r="3880" spans="1:26">
      <c r="A3880" s="89" t="str">
        <f t="shared" si="360"/>
        <v/>
      </c>
      <c r="B3880" s="89" t="str">
        <f t="shared" si="361"/>
        <v/>
      </c>
      <c r="S3880" s="89" t="str">
        <f t="shared" si="362"/>
        <v/>
      </c>
      <c r="X3880" s="64">
        <f t="shared" si="363"/>
        <v>0</v>
      </c>
      <c r="Y3880" s="53">
        <f t="shared" si="364"/>
        <v>0</v>
      </c>
      <c r="Z3880" s="64">
        <f t="shared" si="365"/>
        <v>0</v>
      </c>
    </row>
    <row r="3881" spans="1:26">
      <c r="A3881" s="89" t="str">
        <f t="shared" si="360"/>
        <v/>
      </c>
      <c r="B3881" s="89" t="str">
        <f t="shared" si="361"/>
        <v/>
      </c>
      <c r="S3881" s="89" t="str">
        <f t="shared" si="362"/>
        <v/>
      </c>
      <c r="X3881" s="64">
        <f t="shared" si="363"/>
        <v>0</v>
      </c>
      <c r="Y3881" s="53">
        <f t="shared" si="364"/>
        <v>0</v>
      </c>
      <c r="Z3881" s="64">
        <f t="shared" si="365"/>
        <v>0</v>
      </c>
    </row>
    <row r="3882" spans="1:26">
      <c r="A3882" s="89" t="str">
        <f t="shared" si="360"/>
        <v/>
      </c>
      <c r="B3882" s="89" t="str">
        <f t="shared" si="361"/>
        <v/>
      </c>
      <c r="S3882" s="89" t="str">
        <f t="shared" si="362"/>
        <v/>
      </c>
      <c r="X3882" s="64">
        <f t="shared" si="363"/>
        <v>0</v>
      </c>
      <c r="Y3882" s="53">
        <f t="shared" si="364"/>
        <v>0</v>
      </c>
      <c r="Z3882" s="64">
        <f t="shared" si="365"/>
        <v>0</v>
      </c>
    </row>
    <row r="3883" spans="1:26">
      <c r="A3883" s="89" t="str">
        <f t="shared" si="360"/>
        <v/>
      </c>
      <c r="B3883" s="89" t="str">
        <f t="shared" si="361"/>
        <v/>
      </c>
      <c r="S3883" s="89" t="str">
        <f t="shared" si="362"/>
        <v/>
      </c>
      <c r="X3883" s="64">
        <f t="shared" si="363"/>
        <v>0</v>
      </c>
      <c r="Y3883" s="53">
        <f t="shared" si="364"/>
        <v>0</v>
      </c>
      <c r="Z3883" s="64">
        <f t="shared" si="365"/>
        <v>0</v>
      </c>
    </row>
    <row r="3884" spans="1:26">
      <c r="A3884" s="89" t="str">
        <f t="shared" si="360"/>
        <v/>
      </c>
      <c r="B3884" s="89" t="str">
        <f t="shared" si="361"/>
        <v/>
      </c>
      <c r="S3884" s="89" t="str">
        <f t="shared" si="362"/>
        <v/>
      </c>
      <c r="X3884" s="64">
        <f t="shared" si="363"/>
        <v>0</v>
      </c>
      <c r="Y3884" s="53">
        <f t="shared" si="364"/>
        <v>0</v>
      </c>
      <c r="Z3884" s="64">
        <f t="shared" si="365"/>
        <v>0</v>
      </c>
    </row>
    <row r="3885" spans="1:26">
      <c r="A3885" s="89" t="str">
        <f t="shared" si="360"/>
        <v/>
      </c>
      <c r="B3885" s="89" t="str">
        <f t="shared" si="361"/>
        <v/>
      </c>
      <c r="S3885" s="89" t="str">
        <f t="shared" si="362"/>
        <v/>
      </c>
      <c r="X3885" s="64">
        <f t="shared" si="363"/>
        <v>0</v>
      </c>
      <c r="Y3885" s="53">
        <f t="shared" si="364"/>
        <v>0</v>
      </c>
      <c r="Z3885" s="64">
        <f t="shared" si="365"/>
        <v>0</v>
      </c>
    </row>
    <row r="3886" spans="1:26">
      <c r="A3886" s="89" t="str">
        <f t="shared" si="360"/>
        <v/>
      </c>
      <c r="B3886" s="89" t="str">
        <f t="shared" si="361"/>
        <v/>
      </c>
      <c r="S3886" s="89" t="str">
        <f t="shared" si="362"/>
        <v/>
      </c>
      <c r="X3886" s="64">
        <f t="shared" si="363"/>
        <v>0</v>
      </c>
      <c r="Y3886" s="53">
        <f t="shared" si="364"/>
        <v>0</v>
      </c>
      <c r="Z3886" s="64">
        <f t="shared" si="365"/>
        <v>0</v>
      </c>
    </row>
    <row r="3887" spans="1:26">
      <c r="A3887" s="89" t="str">
        <f t="shared" si="360"/>
        <v/>
      </c>
      <c r="B3887" s="89" t="str">
        <f t="shared" si="361"/>
        <v/>
      </c>
      <c r="S3887" s="89" t="str">
        <f t="shared" si="362"/>
        <v/>
      </c>
      <c r="X3887" s="64">
        <f t="shared" si="363"/>
        <v>0</v>
      </c>
      <c r="Y3887" s="53">
        <f t="shared" si="364"/>
        <v>0</v>
      </c>
      <c r="Z3887" s="64">
        <f t="shared" si="365"/>
        <v>0</v>
      </c>
    </row>
    <row r="3888" spans="1:26">
      <c r="A3888" s="89" t="str">
        <f t="shared" si="360"/>
        <v/>
      </c>
      <c r="B3888" s="89" t="str">
        <f t="shared" si="361"/>
        <v/>
      </c>
      <c r="S3888" s="89" t="str">
        <f t="shared" si="362"/>
        <v/>
      </c>
      <c r="X3888" s="64">
        <f t="shared" si="363"/>
        <v>0</v>
      </c>
      <c r="Y3888" s="53">
        <f t="shared" si="364"/>
        <v>0</v>
      </c>
      <c r="Z3888" s="64">
        <f t="shared" si="365"/>
        <v>0</v>
      </c>
    </row>
    <row r="3889" spans="1:26">
      <c r="A3889" s="89" t="str">
        <f t="shared" si="360"/>
        <v/>
      </c>
      <c r="B3889" s="89" t="str">
        <f t="shared" si="361"/>
        <v/>
      </c>
      <c r="S3889" s="89" t="str">
        <f t="shared" si="362"/>
        <v/>
      </c>
      <c r="X3889" s="64">
        <f t="shared" si="363"/>
        <v>0</v>
      </c>
      <c r="Y3889" s="53">
        <f t="shared" si="364"/>
        <v>0</v>
      </c>
      <c r="Z3889" s="64">
        <f t="shared" si="365"/>
        <v>0</v>
      </c>
    </row>
    <row r="3890" spans="1:26">
      <c r="A3890" s="89" t="str">
        <f t="shared" si="360"/>
        <v/>
      </c>
      <c r="B3890" s="89" t="str">
        <f t="shared" si="361"/>
        <v/>
      </c>
      <c r="S3890" s="89" t="str">
        <f t="shared" si="362"/>
        <v/>
      </c>
      <c r="X3890" s="64">
        <f t="shared" si="363"/>
        <v>0</v>
      </c>
      <c r="Y3890" s="53">
        <f t="shared" si="364"/>
        <v>0</v>
      </c>
      <c r="Z3890" s="64">
        <f t="shared" si="365"/>
        <v>0</v>
      </c>
    </row>
    <row r="3891" spans="1:26">
      <c r="A3891" s="89" t="str">
        <f t="shared" si="360"/>
        <v/>
      </c>
      <c r="B3891" s="89" t="str">
        <f t="shared" si="361"/>
        <v/>
      </c>
      <c r="S3891" s="89" t="str">
        <f t="shared" si="362"/>
        <v/>
      </c>
      <c r="X3891" s="64">
        <f t="shared" si="363"/>
        <v>0</v>
      </c>
      <c r="Y3891" s="53">
        <f t="shared" si="364"/>
        <v>0</v>
      </c>
      <c r="Z3891" s="64">
        <f t="shared" si="365"/>
        <v>0</v>
      </c>
    </row>
    <row r="3892" spans="1:26">
      <c r="A3892" s="89" t="str">
        <f t="shared" si="360"/>
        <v/>
      </c>
      <c r="B3892" s="89" t="str">
        <f t="shared" si="361"/>
        <v/>
      </c>
      <c r="S3892" s="89" t="str">
        <f t="shared" si="362"/>
        <v/>
      </c>
      <c r="X3892" s="64">
        <f t="shared" si="363"/>
        <v>0</v>
      </c>
      <c r="Y3892" s="53">
        <f t="shared" si="364"/>
        <v>0</v>
      </c>
      <c r="Z3892" s="64">
        <f t="shared" si="365"/>
        <v>0</v>
      </c>
    </row>
    <row r="3893" spans="1:26">
      <c r="A3893" s="89" t="str">
        <f t="shared" si="360"/>
        <v/>
      </c>
      <c r="B3893" s="89" t="str">
        <f t="shared" si="361"/>
        <v/>
      </c>
      <c r="S3893" s="89" t="str">
        <f t="shared" si="362"/>
        <v/>
      </c>
      <c r="X3893" s="64">
        <f t="shared" si="363"/>
        <v>0</v>
      </c>
      <c r="Y3893" s="53">
        <f t="shared" si="364"/>
        <v>0</v>
      </c>
      <c r="Z3893" s="64">
        <f t="shared" si="365"/>
        <v>0</v>
      </c>
    </row>
    <row r="3894" spans="1:26">
      <c r="A3894" s="89" t="str">
        <f t="shared" si="360"/>
        <v/>
      </c>
      <c r="B3894" s="89" t="str">
        <f t="shared" si="361"/>
        <v/>
      </c>
      <c r="S3894" s="89" t="str">
        <f t="shared" si="362"/>
        <v/>
      </c>
      <c r="X3894" s="64">
        <f t="shared" si="363"/>
        <v>0</v>
      </c>
      <c r="Y3894" s="53">
        <f t="shared" si="364"/>
        <v>0</v>
      </c>
      <c r="Z3894" s="64">
        <f t="shared" si="365"/>
        <v>0</v>
      </c>
    </row>
    <row r="3895" spans="1:26">
      <c r="A3895" s="89" t="str">
        <f t="shared" si="360"/>
        <v/>
      </c>
      <c r="B3895" s="89" t="str">
        <f t="shared" si="361"/>
        <v/>
      </c>
      <c r="S3895" s="89" t="str">
        <f t="shared" si="362"/>
        <v/>
      </c>
      <c r="X3895" s="64">
        <f t="shared" si="363"/>
        <v>0</v>
      </c>
      <c r="Y3895" s="53">
        <f t="shared" si="364"/>
        <v>0</v>
      </c>
      <c r="Z3895" s="64">
        <f t="shared" si="365"/>
        <v>0</v>
      </c>
    </row>
    <row r="3896" spans="1:26">
      <c r="A3896" s="89" t="str">
        <f t="shared" si="360"/>
        <v/>
      </c>
      <c r="B3896" s="89" t="str">
        <f t="shared" si="361"/>
        <v/>
      </c>
      <c r="S3896" s="89" t="str">
        <f t="shared" si="362"/>
        <v/>
      </c>
      <c r="X3896" s="64">
        <f t="shared" si="363"/>
        <v>0</v>
      </c>
      <c r="Y3896" s="53">
        <f t="shared" si="364"/>
        <v>0</v>
      </c>
      <c r="Z3896" s="64">
        <f t="shared" si="365"/>
        <v>0</v>
      </c>
    </row>
    <row r="3897" spans="1:26">
      <c r="A3897" s="89" t="str">
        <f t="shared" si="360"/>
        <v/>
      </c>
      <c r="B3897" s="89" t="str">
        <f t="shared" si="361"/>
        <v/>
      </c>
      <c r="S3897" s="89" t="str">
        <f t="shared" si="362"/>
        <v/>
      </c>
      <c r="X3897" s="64">
        <f t="shared" si="363"/>
        <v>0</v>
      </c>
      <c r="Y3897" s="53">
        <f t="shared" si="364"/>
        <v>0</v>
      </c>
      <c r="Z3897" s="64">
        <f t="shared" si="365"/>
        <v>0</v>
      </c>
    </row>
    <row r="3898" spans="1:26">
      <c r="A3898" s="89" t="str">
        <f t="shared" si="360"/>
        <v/>
      </c>
      <c r="B3898" s="89" t="str">
        <f t="shared" si="361"/>
        <v/>
      </c>
      <c r="S3898" s="89" t="str">
        <f t="shared" si="362"/>
        <v/>
      </c>
      <c r="X3898" s="64">
        <f t="shared" si="363"/>
        <v>0</v>
      </c>
      <c r="Y3898" s="53">
        <f t="shared" si="364"/>
        <v>0</v>
      </c>
      <c r="Z3898" s="64">
        <f t="shared" si="365"/>
        <v>0</v>
      </c>
    </row>
    <row r="3899" spans="1:26">
      <c r="A3899" s="89" t="str">
        <f t="shared" si="360"/>
        <v/>
      </c>
      <c r="B3899" s="89" t="str">
        <f t="shared" si="361"/>
        <v/>
      </c>
      <c r="S3899" s="89" t="str">
        <f t="shared" si="362"/>
        <v/>
      </c>
      <c r="X3899" s="64">
        <f t="shared" si="363"/>
        <v>0</v>
      </c>
      <c r="Y3899" s="53">
        <f t="shared" si="364"/>
        <v>0</v>
      </c>
      <c r="Z3899" s="64">
        <f t="shared" si="365"/>
        <v>0</v>
      </c>
    </row>
    <row r="3900" spans="1:26">
      <c r="A3900" s="89" t="str">
        <f t="shared" si="360"/>
        <v/>
      </c>
      <c r="B3900" s="89" t="str">
        <f t="shared" si="361"/>
        <v/>
      </c>
      <c r="S3900" s="89" t="str">
        <f t="shared" si="362"/>
        <v/>
      </c>
      <c r="X3900" s="64">
        <f t="shared" si="363"/>
        <v>0</v>
      </c>
      <c r="Y3900" s="53">
        <f t="shared" si="364"/>
        <v>0</v>
      </c>
      <c r="Z3900" s="64">
        <f t="shared" si="365"/>
        <v>0</v>
      </c>
    </row>
    <row r="3901" spans="1:26">
      <c r="A3901" s="89" t="str">
        <f t="shared" si="360"/>
        <v/>
      </c>
      <c r="B3901" s="89" t="str">
        <f t="shared" si="361"/>
        <v/>
      </c>
      <c r="S3901" s="89" t="str">
        <f t="shared" si="362"/>
        <v/>
      </c>
      <c r="X3901" s="64">
        <f t="shared" si="363"/>
        <v>0</v>
      </c>
      <c r="Y3901" s="53">
        <f t="shared" si="364"/>
        <v>0</v>
      </c>
      <c r="Z3901" s="64">
        <f t="shared" si="365"/>
        <v>0</v>
      </c>
    </row>
    <row r="3902" spans="1:26">
      <c r="A3902" s="89" t="str">
        <f t="shared" si="360"/>
        <v/>
      </c>
      <c r="B3902" s="89" t="str">
        <f t="shared" si="361"/>
        <v/>
      </c>
      <c r="S3902" s="89" t="str">
        <f t="shared" si="362"/>
        <v/>
      </c>
      <c r="X3902" s="64">
        <f t="shared" si="363"/>
        <v>0</v>
      </c>
      <c r="Y3902" s="53">
        <f t="shared" si="364"/>
        <v>0</v>
      </c>
      <c r="Z3902" s="64">
        <f t="shared" si="365"/>
        <v>0</v>
      </c>
    </row>
    <row r="3903" spans="1:26">
      <c r="A3903" s="89" t="str">
        <f t="shared" si="360"/>
        <v/>
      </c>
      <c r="B3903" s="89" t="str">
        <f t="shared" si="361"/>
        <v/>
      </c>
      <c r="S3903" s="89" t="str">
        <f t="shared" si="362"/>
        <v/>
      </c>
      <c r="X3903" s="64">
        <f t="shared" si="363"/>
        <v>0</v>
      </c>
      <c r="Y3903" s="53">
        <f t="shared" si="364"/>
        <v>0</v>
      </c>
      <c r="Z3903" s="64">
        <f t="shared" si="365"/>
        <v>0</v>
      </c>
    </row>
    <row r="3904" spans="1:26">
      <c r="A3904" s="89" t="str">
        <f t="shared" si="360"/>
        <v/>
      </c>
      <c r="B3904" s="89" t="str">
        <f t="shared" si="361"/>
        <v/>
      </c>
      <c r="S3904" s="89" t="str">
        <f t="shared" si="362"/>
        <v/>
      </c>
      <c r="X3904" s="64">
        <f t="shared" si="363"/>
        <v>0</v>
      </c>
      <c r="Y3904" s="53">
        <f t="shared" si="364"/>
        <v>0</v>
      </c>
      <c r="Z3904" s="64">
        <f t="shared" si="365"/>
        <v>0</v>
      </c>
    </row>
    <row r="3905" spans="1:26">
      <c r="A3905" s="89" t="str">
        <f t="shared" si="360"/>
        <v/>
      </c>
      <c r="B3905" s="89" t="str">
        <f t="shared" si="361"/>
        <v/>
      </c>
      <c r="S3905" s="89" t="str">
        <f t="shared" si="362"/>
        <v/>
      </c>
      <c r="X3905" s="64">
        <f t="shared" si="363"/>
        <v>0</v>
      </c>
      <c r="Y3905" s="53">
        <f t="shared" si="364"/>
        <v>0</v>
      </c>
      <c r="Z3905" s="64">
        <f t="shared" si="365"/>
        <v>0</v>
      </c>
    </row>
    <row r="3906" spans="1:26">
      <c r="A3906" s="89" t="str">
        <f t="shared" si="360"/>
        <v/>
      </c>
      <c r="B3906" s="89" t="str">
        <f t="shared" si="361"/>
        <v/>
      </c>
      <c r="S3906" s="89" t="str">
        <f t="shared" si="362"/>
        <v/>
      </c>
      <c r="X3906" s="64">
        <f t="shared" si="363"/>
        <v>0</v>
      </c>
      <c r="Y3906" s="53">
        <f t="shared" si="364"/>
        <v>0</v>
      </c>
      <c r="Z3906" s="64">
        <f t="shared" si="365"/>
        <v>0</v>
      </c>
    </row>
    <row r="3907" spans="1:26">
      <c r="A3907" s="89" t="str">
        <f t="shared" ref="A3907:A3970" si="366">IF(G3907&amp;Q3907&lt;&gt;"",G3907&amp;Q3907,"")</f>
        <v/>
      </c>
      <c r="B3907" s="89" t="str">
        <f t="shared" ref="B3907:B3970" si="367">IF(C3907&lt;&gt;"",LEFT(C3907,9),"")</f>
        <v/>
      </c>
      <c r="S3907" s="89" t="str">
        <f t="shared" ref="S3907:S3970" si="368">IF(H3907&lt;&gt;"",H3907,"")</f>
        <v/>
      </c>
      <c r="X3907" s="64">
        <f t="shared" ref="X3907:X3970" si="369">IFERROR(VALUE(MID($C3907,1,2)),0)</f>
        <v>0</v>
      </c>
      <c r="Y3907" s="53">
        <f t="shared" ref="Y3907:Y3970" si="370">IFERROR(VALUE(MID($C3907,4,3)),0)</f>
        <v>0</v>
      </c>
      <c r="Z3907" s="64">
        <f t="shared" ref="Z3907:Z3970" si="371">VALUE(RIGHT("00"&amp;X3907,2)&amp;RIGHT("000"&amp;Y3907,3))</f>
        <v>0</v>
      </c>
    </row>
    <row r="3908" spans="1:26">
      <c r="A3908" s="89" t="str">
        <f t="shared" si="366"/>
        <v/>
      </c>
      <c r="B3908" s="89" t="str">
        <f t="shared" si="367"/>
        <v/>
      </c>
      <c r="S3908" s="89" t="str">
        <f t="shared" si="368"/>
        <v/>
      </c>
      <c r="X3908" s="64">
        <f t="shared" si="369"/>
        <v>0</v>
      </c>
      <c r="Y3908" s="53">
        <f t="shared" si="370"/>
        <v>0</v>
      </c>
      <c r="Z3908" s="64">
        <f t="shared" si="371"/>
        <v>0</v>
      </c>
    </row>
    <row r="3909" spans="1:26">
      <c r="A3909" s="89" t="str">
        <f t="shared" si="366"/>
        <v/>
      </c>
      <c r="B3909" s="89" t="str">
        <f t="shared" si="367"/>
        <v/>
      </c>
      <c r="S3909" s="89" t="str">
        <f t="shared" si="368"/>
        <v/>
      </c>
      <c r="X3909" s="64">
        <f t="shared" si="369"/>
        <v>0</v>
      </c>
      <c r="Y3909" s="53">
        <f t="shared" si="370"/>
        <v>0</v>
      </c>
      <c r="Z3909" s="64">
        <f t="shared" si="371"/>
        <v>0</v>
      </c>
    </row>
    <row r="3910" spans="1:26">
      <c r="A3910" s="89" t="str">
        <f t="shared" si="366"/>
        <v/>
      </c>
      <c r="B3910" s="89" t="str">
        <f t="shared" si="367"/>
        <v/>
      </c>
      <c r="S3910" s="89" t="str">
        <f t="shared" si="368"/>
        <v/>
      </c>
      <c r="X3910" s="64">
        <f t="shared" si="369"/>
        <v>0</v>
      </c>
      <c r="Y3910" s="53">
        <f t="shared" si="370"/>
        <v>0</v>
      </c>
      <c r="Z3910" s="64">
        <f t="shared" si="371"/>
        <v>0</v>
      </c>
    </row>
    <row r="3911" spans="1:26">
      <c r="A3911" s="89" t="str">
        <f t="shared" si="366"/>
        <v/>
      </c>
      <c r="B3911" s="89" t="str">
        <f t="shared" si="367"/>
        <v/>
      </c>
      <c r="S3911" s="89" t="str">
        <f t="shared" si="368"/>
        <v/>
      </c>
      <c r="X3911" s="64">
        <f t="shared" si="369"/>
        <v>0</v>
      </c>
      <c r="Y3911" s="53">
        <f t="shared" si="370"/>
        <v>0</v>
      </c>
      <c r="Z3911" s="64">
        <f t="shared" si="371"/>
        <v>0</v>
      </c>
    </row>
    <row r="3912" spans="1:26">
      <c r="A3912" s="89" t="str">
        <f t="shared" si="366"/>
        <v/>
      </c>
      <c r="B3912" s="89" t="str">
        <f t="shared" si="367"/>
        <v/>
      </c>
      <c r="S3912" s="89" t="str">
        <f t="shared" si="368"/>
        <v/>
      </c>
      <c r="X3912" s="64">
        <f t="shared" si="369"/>
        <v>0</v>
      </c>
      <c r="Y3912" s="53">
        <f t="shared" si="370"/>
        <v>0</v>
      </c>
      <c r="Z3912" s="64">
        <f t="shared" si="371"/>
        <v>0</v>
      </c>
    </row>
    <row r="3913" spans="1:26">
      <c r="A3913" s="89" t="str">
        <f t="shared" si="366"/>
        <v/>
      </c>
      <c r="B3913" s="89" t="str">
        <f t="shared" si="367"/>
        <v/>
      </c>
      <c r="S3913" s="89" t="str">
        <f t="shared" si="368"/>
        <v/>
      </c>
      <c r="X3913" s="64">
        <f t="shared" si="369"/>
        <v>0</v>
      </c>
      <c r="Y3913" s="53">
        <f t="shared" si="370"/>
        <v>0</v>
      </c>
      <c r="Z3913" s="64">
        <f t="shared" si="371"/>
        <v>0</v>
      </c>
    </row>
    <row r="3914" spans="1:26">
      <c r="A3914" s="89" t="str">
        <f t="shared" si="366"/>
        <v/>
      </c>
      <c r="B3914" s="89" t="str">
        <f t="shared" si="367"/>
        <v/>
      </c>
      <c r="S3914" s="89" t="str">
        <f t="shared" si="368"/>
        <v/>
      </c>
      <c r="X3914" s="64">
        <f t="shared" si="369"/>
        <v>0</v>
      </c>
      <c r="Y3914" s="53">
        <f t="shared" si="370"/>
        <v>0</v>
      </c>
      <c r="Z3914" s="64">
        <f t="shared" si="371"/>
        <v>0</v>
      </c>
    </row>
    <row r="3915" spans="1:26">
      <c r="A3915" s="89" t="str">
        <f t="shared" si="366"/>
        <v/>
      </c>
      <c r="B3915" s="89" t="str">
        <f t="shared" si="367"/>
        <v/>
      </c>
      <c r="S3915" s="89" t="str">
        <f t="shared" si="368"/>
        <v/>
      </c>
      <c r="X3915" s="64">
        <f t="shared" si="369"/>
        <v>0</v>
      </c>
      <c r="Y3915" s="53">
        <f t="shared" si="370"/>
        <v>0</v>
      </c>
      <c r="Z3915" s="64">
        <f t="shared" si="371"/>
        <v>0</v>
      </c>
    </row>
    <row r="3916" spans="1:26">
      <c r="A3916" s="89" t="str">
        <f t="shared" si="366"/>
        <v/>
      </c>
      <c r="B3916" s="89" t="str">
        <f t="shared" si="367"/>
        <v/>
      </c>
      <c r="S3916" s="89" t="str">
        <f t="shared" si="368"/>
        <v/>
      </c>
      <c r="X3916" s="64">
        <f t="shared" si="369"/>
        <v>0</v>
      </c>
      <c r="Y3916" s="53">
        <f t="shared" si="370"/>
        <v>0</v>
      </c>
      <c r="Z3916" s="64">
        <f t="shared" si="371"/>
        <v>0</v>
      </c>
    </row>
    <row r="3917" spans="1:26">
      <c r="A3917" s="89" t="str">
        <f t="shared" si="366"/>
        <v/>
      </c>
      <c r="B3917" s="89" t="str">
        <f t="shared" si="367"/>
        <v/>
      </c>
      <c r="S3917" s="89" t="str">
        <f t="shared" si="368"/>
        <v/>
      </c>
      <c r="X3917" s="64">
        <f t="shared" si="369"/>
        <v>0</v>
      </c>
      <c r="Y3917" s="53">
        <f t="shared" si="370"/>
        <v>0</v>
      </c>
      <c r="Z3917" s="64">
        <f t="shared" si="371"/>
        <v>0</v>
      </c>
    </row>
    <row r="3918" spans="1:26">
      <c r="A3918" s="89" t="str">
        <f t="shared" si="366"/>
        <v/>
      </c>
      <c r="B3918" s="89" t="str">
        <f t="shared" si="367"/>
        <v/>
      </c>
      <c r="S3918" s="89" t="str">
        <f t="shared" si="368"/>
        <v/>
      </c>
      <c r="X3918" s="64">
        <f t="shared" si="369"/>
        <v>0</v>
      </c>
      <c r="Y3918" s="53">
        <f t="shared" si="370"/>
        <v>0</v>
      </c>
      <c r="Z3918" s="64">
        <f t="shared" si="371"/>
        <v>0</v>
      </c>
    </row>
    <row r="3919" spans="1:26">
      <c r="A3919" s="89" t="str">
        <f t="shared" si="366"/>
        <v/>
      </c>
      <c r="B3919" s="89" t="str">
        <f t="shared" si="367"/>
        <v/>
      </c>
      <c r="S3919" s="89" t="str">
        <f t="shared" si="368"/>
        <v/>
      </c>
      <c r="X3919" s="64">
        <f t="shared" si="369"/>
        <v>0</v>
      </c>
      <c r="Y3919" s="53">
        <f t="shared" si="370"/>
        <v>0</v>
      </c>
      <c r="Z3919" s="64">
        <f t="shared" si="371"/>
        <v>0</v>
      </c>
    </row>
    <row r="3920" spans="1:26">
      <c r="A3920" s="89" t="str">
        <f t="shared" si="366"/>
        <v/>
      </c>
      <c r="B3920" s="89" t="str">
        <f t="shared" si="367"/>
        <v/>
      </c>
      <c r="S3920" s="89" t="str">
        <f t="shared" si="368"/>
        <v/>
      </c>
      <c r="X3920" s="64">
        <f t="shared" si="369"/>
        <v>0</v>
      </c>
      <c r="Y3920" s="53">
        <f t="shared" si="370"/>
        <v>0</v>
      </c>
      <c r="Z3920" s="64">
        <f t="shared" si="371"/>
        <v>0</v>
      </c>
    </row>
    <row r="3921" spans="1:26">
      <c r="A3921" s="89" t="str">
        <f t="shared" si="366"/>
        <v/>
      </c>
      <c r="B3921" s="89" t="str">
        <f t="shared" si="367"/>
        <v/>
      </c>
      <c r="S3921" s="89" t="str">
        <f t="shared" si="368"/>
        <v/>
      </c>
      <c r="X3921" s="64">
        <f t="shared" si="369"/>
        <v>0</v>
      </c>
      <c r="Y3921" s="53">
        <f t="shared" si="370"/>
        <v>0</v>
      </c>
      <c r="Z3921" s="64">
        <f t="shared" si="371"/>
        <v>0</v>
      </c>
    </row>
    <row r="3922" spans="1:26">
      <c r="A3922" s="89" t="str">
        <f t="shared" si="366"/>
        <v/>
      </c>
      <c r="B3922" s="89" t="str">
        <f t="shared" si="367"/>
        <v/>
      </c>
      <c r="S3922" s="89" t="str">
        <f t="shared" si="368"/>
        <v/>
      </c>
      <c r="X3922" s="64">
        <f t="shared" si="369"/>
        <v>0</v>
      </c>
      <c r="Y3922" s="53">
        <f t="shared" si="370"/>
        <v>0</v>
      </c>
      <c r="Z3922" s="64">
        <f t="shared" si="371"/>
        <v>0</v>
      </c>
    </row>
    <row r="3923" spans="1:26">
      <c r="A3923" s="89" t="str">
        <f t="shared" si="366"/>
        <v/>
      </c>
      <c r="B3923" s="89" t="str">
        <f t="shared" si="367"/>
        <v/>
      </c>
      <c r="S3923" s="89" t="str">
        <f t="shared" si="368"/>
        <v/>
      </c>
      <c r="X3923" s="64">
        <f t="shared" si="369"/>
        <v>0</v>
      </c>
      <c r="Y3923" s="53">
        <f t="shared" si="370"/>
        <v>0</v>
      </c>
      <c r="Z3923" s="64">
        <f t="shared" si="371"/>
        <v>0</v>
      </c>
    </row>
    <row r="3924" spans="1:26">
      <c r="A3924" s="89" t="str">
        <f t="shared" si="366"/>
        <v/>
      </c>
      <c r="B3924" s="89" t="str">
        <f t="shared" si="367"/>
        <v/>
      </c>
      <c r="S3924" s="89" t="str">
        <f t="shared" si="368"/>
        <v/>
      </c>
      <c r="X3924" s="64">
        <f t="shared" si="369"/>
        <v>0</v>
      </c>
      <c r="Y3924" s="53">
        <f t="shared" si="370"/>
        <v>0</v>
      </c>
      <c r="Z3924" s="64">
        <f t="shared" si="371"/>
        <v>0</v>
      </c>
    </row>
    <row r="3925" spans="1:26">
      <c r="A3925" s="89" t="str">
        <f t="shared" si="366"/>
        <v/>
      </c>
      <c r="B3925" s="89" t="str">
        <f t="shared" si="367"/>
        <v/>
      </c>
      <c r="S3925" s="89" t="str">
        <f t="shared" si="368"/>
        <v/>
      </c>
      <c r="X3925" s="64">
        <f t="shared" si="369"/>
        <v>0</v>
      </c>
      <c r="Y3925" s="53">
        <f t="shared" si="370"/>
        <v>0</v>
      </c>
      <c r="Z3925" s="64">
        <f t="shared" si="371"/>
        <v>0</v>
      </c>
    </row>
    <row r="3926" spans="1:26">
      <c r="A3926" s="89" t="str">
        <f t="shared" si="366"/>
        <v/>
      </c>
      <c r="B3926" s="89" t="str">
        <f t="shared" si="367"/>
        <v/>
      </c>
      <c r="S3926" s="89" t="str">
        <f t="shared" si="368"/>
        <v/>
      </c>
      <c r="X3926" s="64">
        <f t="shared" si="369"/>
        <v>0</v>
      </c>
      <c r="Y3926" s="53">
        <f t="shared" si="370"/>
        <v>0</v>
      </c>
      <c r="Z3926" s="64">
        <f t="shared" si="371"/>
        <v>0</v>
      </c>
    </row>
    <row r="3927" spans="1:26">
      <c r="A3927" s="89" t="str">
        <f t="shared" si="366"/>
        <v/>
      </c>
      <c r="B3927" s="89" t="str">
        <f t="shared" si="367"/>
        <v/>
      </c>
      <c r="S3927" s="89" t="str">
        <f t="shared" si="368"/>
        <v/>
      </c>
      <c r="X3927" s="64">
        <f t="shared" si="369"/>
        <v>0</v>
      </c>
      <c r="Y3927" s="53">
        <f t="shared" si="370"/>
        <v>0</v>
      </c>
      <c r="Z3927" s="64">
        <f t="shared" si="371"/>
        <v>0</v>
      </c>
    </row>
    <row r="3928" spans="1:26">
      <c r="A3928" s="89" t="str">
        <f t="shared" si="366"/>
        <v/>
      </c>
      <c r="B3928" s="89" t="str">
        <f t="shared" si="367"/>
        <v/>
      </c>
      <c r="S3928" s="89" t="str">
        <f t="shared" si="368"/>
        <v/>
      </c>
      <c r="X3928" s="64">
        <f t="shared" si="369"/>
        <v>0</v>
      </c>
      <c r="Y3928" s="53">
        <f t="shared" si="370"/>
        <v>0</v>
      </c>
      <c r="Z3928" s="64">
        <f t="shared" si="371"/>
        <v>0</v>
      </c>
    </row>
    <row r="3929" spans="1:26">
      <c r="A3929" s="89" t="str">
        <f t="shared" si="366"/>
        <v/>
      </c>
      <c r="B3929" s="89" t="str">
        <f t="shared" si="367"/>
        <v/>
      </c>
      <c r="S3929" s="89" t="str">
        <f t="shared" si="368"/>
        <v/>
      </c>
      <c r="X3929" s="64">
        <f t="shared" si="369"/>
        <v>0</v>
      </c>
      <c r="Y3929" s="53">
        <f t="shared" si="370"/>
        <v>0</v>
      </c>
      <c r="Z3929" s="64">
        <f t="shared" si="371"/>
        <v>0</v>
      </c>
    </row>
    <row r="3930" spans="1:26">
      <c r="A3930" s="89" t="str">
        <f t="shared" si="366"/>
        <v/>
      </c>
      <c r="B3930" s="89" t="str">
        <f t="shared" si="367"/>
        <v/>
      </c>
      <c r="S3930" s="89" t="str">
        <f t="shared" si="368"/>
        <v/>
      </c>
      <c r="X3930" s="64">
        <f t="shared" si="369"/>
        <v>0</v>
      </c>
      <c r="Y3930" s="53">
        <f t="shared" si="370"/>
        <v>0</v>
      </c>
      <c r="Z3930" s="64">
        <f t="shared" si="371"/>
        <v>0</v>
      </c>
    </row>
    <row r="3931" spans="1:26">
      <c r="A3931" s="89" t="str">
        <f t="shared" si="366"/>
        <v/>
      </c>
      <c r="B3931" s="89" t="str">
        <f t="shared" si="367"/>
        <v/>
      </c>
      <c r="S3931" s="89" t="str">
        <f t="shared" si="368"/>
        <v/>
      </c>
      <c r="X3931" s="64">
        <f t="shared" si="369"/>
        <v>0</v>
      </c>
      <c r="Y3931" s="53">
        <f t="shared" si="370"/>
        <v>0</v>
      </c>
      <c r="Z3931" s="64">
        <f t="shared" si="371"/>
        <v>0</v>
      </c>
    </row>
    <row r="3932" spans="1:26">
      <c r="A3932" s="89" t="str">
        <f t="shared" si="366"/>
        <v/>
      </c>
      <c r="B3932" s="89" t="str">
        <f t="shared" si="367"/>
        <v/>
      </c>
      <c r="S3932" s="89" t="str">
        <f t="shared" si="368"/>
        <v/>
      </c>
      <c r="X3932" s="64">
        <f t="shared" si="369"/>
        <v>0</v>
      </c>
      <c r="Y3932" s="53">
        <f t="shared" si="370"/>
        <v>0</v>
      </c>
      <c r="Z3932" s="64">
        <f t="shared" si="371"/>
        <v>0</v>
      </c>
    </row>
    <row r="3933" spans="1:26">
      <c r="A3933" s="89" t="str">
        <f t="shared" si="366"/>
        <v/>
      </c>
      <c r="B3933" s="89" t="str">
        <f t="shared" si="367"/>
        <v/>
      </c>
      <c r="S3933" s="89" t="str">
        <f t="shared" si="368"/>
        <v/>
      </c>
      <c r="X3933" s="64">
        <f t="shared" si="369"/>
        <v>0</v>
      </c>
      <c r="Y3933" s="53">
        <f t="shared" si="370"/>
        <v>0</v>
      </c>
      <c r="Z3933" s="64">
        <f t="shared" si="371"/>
        <v>0</v>
      </c>
    </row>
    <row r="3934" spans="1:26">
      <c r="A3934" s="89" t="str">
        <f t="shared" si="366"/>
        <v/>
      </c>
      <c r="B3934" s="89" t="str">
        <f t="shared" si="367"/>
        <v/>
      </c>
      <c r="S3934" s="89" t="str">
        <f t="shared" si="368"/>
        <v/>
      </c>
      <c r="X3934" s="64">
        <f t="shared" si="369"/>
        <v>0</v>
      </c>
      <c r="Y3934" s="53">
        <f t="shared" si="370"/>
        <v>0</v>
      </c>
      <c r="Z3934" s="64">
        <f t="shared" si="371"/>
        <v>0</v>
      </c>
    </row>
    <row r="3935" spans="1:26">
      <c r="A3935" s="89" t="str">
        <f t="shared" si="366"/>
        <v/>
      </c>
      <c r="B3935" s="89" t="str">
        <f t="shared" si="367"/>
        <v/>
      </c>
      <c r="S3935" s="89" t="str">
        <f t="shared" si="368"/>
        <v/>
      </c>
      <c r="X3935" s="64">
        <f t="shared" si="369"/>
        <v>0</v>
      </c>
      <c r="Y3935" s="53">
        <f t="shared" si="370"/>
        <v>0</v>
      </c>
      <c r="Z3935" s="64">
        <f t="shared" si="371"/>
        <v>0</v>
      </c>
    </row>
    <row r="3936" spans="1:26">
      <c r="A3936" s="89" t="str">
        <f t="shared" si="366"/>
        <v/>
      </c>
      <c r="B3936" s="89" t="str">
        <f t="shared" si="367"/>
        <v/>
      </c>
      <c r="S3936" s="89" t="str">
        <f t="shared" si="368"/>
        <v/>
      </c>
      <c r="X3936" s="64">
        <f t="shared" si="369"/>
        <v>0</v>
      </c>
      <c r="Y3936" s="53">
        <f t="shared" si="370"/>
        <v>0</v>
      </c>
      <c r="Z3936" s="64">
        <f t="shared" si="371"/>
        <v>0</v>
      </c>
    </row>
    <row r="3937" spans="1:26">
      <c r="A3937" s="89" t="str">
        <f t="shared" si="366"/>
        <v/>
      </c>
      <c r="B3937" s="89" t="str">
        <f t="shared" si="367"/>
        <v/>
      </c>
      <c r="S3937" s="89" t="str">
        <f t="shared" si="368"/>
        <v/>
      </c>
      <c r="X3937" s="64">
        <f t="shared" si="369"/>
        <v>0</v>
      </c>
      <c r="Y3937" s="53">
        <f t="shared" si="370"/>
        <v>0</v>
      </c>
      <c r="Z3937" s="64">
        <f t="shared" si="371"/>
        <v>0</v>
      </c>
    </row>
    <row r="3938" spans="1:26">
      <c r="A3938" s="89" t="str">
        <f t="shared" si="366"/>
        <v/>
      </c>
      <c r="B3938" s="89" t="str">
        <f t="shared" si="367"/>
        <v/>
      </c>
      <c r="S3938" s="89" t="str">
        <f t="shared" si="368"/>
        <v/>
      </c>
      <c r="X3938" s="64">
        <f t="shared" si="369"/>
        <v>0</v>
      </c>
      <c r="Y3938" s="53">
        <f t="shared" si="370"/>
        <v>0</v>
      </c>
      <c r="Z3938" s="64">
        <f t="shared" si="371"/>
        <v>0</v>
      </c>
    </row>
    <row r="3939" spans="1:26">
      <c r="A3939" s="89" t="str">
        <f t="shared" si="366"/>
        <v/>
      </c>
      <c r="B3939" s="89" t="str">
        <f t="shared" si="367"/>
        <v/>
      </c>
      <c r="S3939" s="89" t="str">
        <f t="shared" si="368"/>
        <v/>
      </c>
      <c r="X3939" s="64">
        <f t="shared" si="369"/>
        <v>0</v>
      </c>
      <c r="Y3939" s="53">
        <f t="shared" si="370"/>
        <v>0</v>
      </c>
      <c r="Z3939" s="64">
        <f t="shared" si="371"/>
        <v>0</v>
      </c>
    </row>
    <row r="3940" spans="1:26">
      <c r="A3940" s="89" t="str">
        <f t="shared" si="366"/>
        <v/>
      </c>
      <c r="B3940" s="89" t="str">
        <f t="shared" si="367"/>
        <v/>
      </c>
      <c r="S3940" s="89" t="str">
        <f t="shared" si="368"/>
        <v/>
      </c>
      <c r="X3940" s="64">
        <f t="shared" si="369"/>
        <v>0</v>
      </c>
      <c r="Y3940" s="53">
        <f t="shared" si="370"/>
        <v>0</v>
      </c>
      <c r="Z3940" s="64">
        <f t="shared" si="371"/>
        <v>0</v>
      </c>
    </row>
    <row r="3941" spans="1:26">
      <c r="A3941" s="89" t="str">
        <f t="shared" si="366"/>
        <v/>
      </c>
      <c r="B3941" s="89" t="str">
        <f t="shared" si="367"/>
        <v/>
      </c>
      <c r="S3941" s="89" t="str">
        <f t="shared" si="368"/>
        <v/>
      </c>
      <c r="X3941" s="64">
        <f t="shared" si="369"/>
        <v>0</v>
      </c>
      <c r="Y3941" s="53">
        <f t="shared" si="370"/>
        <v>0</v>
      </c>
      <c r="Z3941" s="64">
        <f t="shared" si="371"/>
        <v>0</v>
      </c>
    </row>
    <row r="3942" spans="1:26">
      <c r="A3942" s="89" t="str">
        <f t="shared" si="366"/>
        <v/>
      </c>
      <c r="B3942" s="89" t="str">
        <f t="shared" si="367"/>
        <v/>
      </c>
      <c r="S3942" s="89" t="str">
        <f t="shared" si="368"/>
        <v/>
      </c>
      <c r="X3942" s="64">
        <f t="shared" si="369"/>
        <v>0</v>
      </c>
      <c r="Y3942" s="53">
        <f t="shared" si="370"/>
        <v>0</v>
      </c>
      <c r="Z3942" s="64">
        <f t="shared" si="371"/>
        <v>0</v>
      </c>
    </row>
    <row r="3943" spans="1:26">
      <c r="A3943" s="89" t="str">
        <f t="shared" si="366"/>
        <v/>
      </c>
      <c r="B3943" s="89" t="str">
        <f t="shared" si="367"/>
        <v/>
      </c>
      <c r="S3943" s="89" t="str">
        <f t="shared" si="368"/>
        <v/>
      </c>
      <c r="X3943" s="64">
        <f t="shared" si="369"/>
        <v>0</v>
      </c>
      <c r="Y3943" s="53">
        <f t="shared" si="370"/>
        <v>0</v>
      </c>
      <c r="Z3943" s="64">
        <f t="shared" si="371"/>
        <v>0</v>
      </c>
    </row>
    <row r="3944" spans="1:26">
      <c r="A3944" s="89" t="str">
        <f t="shared" si="366"/>
        <v/>
      </c>
      <c r="B3944" s="89" t="str">
        <f t="shared" si="367"/>
        <v/>
      </c>
      <c r="S3944" s="89" t="str">
        <f t="shared" si="368"/>
        <v/>
      </c>
      <c r="X3944" s="64">
        <f t="shared" si="369"/>
        <v>0</v>
      </c>
      <c r="Y3944" s="53">
        <f t="shared" si="370"/>
        <v>0</v>
      </c>
      <c r="Z3944" s="64">
        <f t="shared" si="371"/>
        <v>0</v>
      </c>
    </row>
    <row r="3945" spans="1:26">
      <c r="A3945" s="89" t="str">
        <f t="shared" si="366"/>
        <v/>
      </c>
      <c r="B3945" s="89" t="str">
        <f t="shared" si="367"/>
        <v/>
      </c>
      <c r="S3945" s="89" t="str">
        <f t="shared" si="368"/>
        <v/>
      </c>
      <c r="X3945" s="64">
        <f t="shared" si="369"/>
        <v>0</v>
      </c>
      <c r="Y3945" s="53">
        <f t="shared" si="370"/>
        <v>0</v>
      </c>
      <c r="Z3945" s="64">
        <f t="shared" si="371"/>
        <v>0</v>
      </c>
    </row>
    <row r="3946" spans="1:26">
      <c r="A3946" s="89" t="str">
        <f t="shared" si="366"/>
        <v/>
      </c>
      <c r="B3946" s="89" t="str">
        <f t="shared" si="367"/>
        <v/>
      </c>
      <c r="S3946" s="89" t="str">
        <f t="shared" si="368"/>
        <v/>
      </c>
      <c r="X3946" s="64">
        <f t="shared" si="369"/>
        <v>0</v>
      </c>
      <c r="Y3946" s="53">
        <f t="shared" si="370"/>
        <v>0</v>
      </c>
      <c r="Z3946" s="64">
        <f t="shared" si="371"/>
        <v>0</v>
      </c>
    </row>
    <row r="3947" spans="1:26">
      <c r="A3947" s="89" t="str">
        <f t="shared" si="366"/>
        <v/>
      </c>
      <c r="B3947" s="89" t="str">
        <f t="shared" si="367"/>
        <v/>
      </c>
      <c r="S3947" s="89" t="str">
        <f t="shared" si="368"/>
        <v/>
      </c>
      <c r="X3947" s="64">
        <f t="shared" si="369"/>
        <v>0</v>
      </c>
      <c r="Y3947" s="53">
        <f t="shared" si="370"/>
        <v>0</v>
      </c>
      <c r="Z3947" s="64">
        <f t="shared" si="371"/>
        <v>0</v>
      </c>
    </row>
    <row r="3948" spans="1:26">
      <c r="A3948" s="89" t="str">
        <f t="shared" si="366"/>
        <v/>
      </c>
      <c r="B3948" s="89" t="str">
        <f t="shared" si="367"/>
        <v/>
      </c>
      <c r="S3948" s="89" t="str">
        <f t="shared" si="368"/>
        <v/>
      </c>
      <c r="X3948" s="64">
        <f t="shared" si="369"/>
        <v>0</v>
      </c>
      <c r="Y3948" s="53">
        <f t="shared" si="370"/>
        <v>0</v>
      </c>
      <c r="Z3948" s="64">
        <f t="shared" si="371"/>
        <v>0</v>
      </c>
    </row>
    <row r="3949" spans="1:26">
      <c r="A3949" s="89" t="str">
        <f t="shared" si="366"/>
        <v/>
      </c>
      <c r="B3949" s="89" t="str">
        <f t="shared" si="367"/>
        <v/>
      </c>
      <c r="S3949" s="89" t="str">
        <f t="shared" si="368"/>
        <v/>
      </c>
      <c r="X3949" s="64">
        <f t="shared" si="369"/>
        <v>0</v>
      </c>
      <c r="Y3949" s="53">
        <f t="shared" si="370"/>
        <v>0</v>
      </c>
      <c r="Z3949" s="64">
        <f t="shared" si="371"/>
        <v>0</v>
      </c>
    </row>
    <row r="3950" spans="1:26">
      <c r="A3950" s="89" t="str">
        <f t="shared" si="366"/>
        <v/>
      </c>
      <c r="B3950" s="89" t="str">
        <f t="shared" si="367"/>
        <v/>
      </c>
      <c r="S3950" s="89" t="str">
        <f t="shared" si="368"/>
        <v/>
      </c>
      <c r="X3950" s="64">
        <f t="shared" si="369"/>
        <v>0</v>
      </c>
      <c r="Y3950" s="53">
        <f t="shared" si="370"/>
        <v>0</v>
      </c>
      <c r="Z3950" s="64">
        <f t="shared" si="371"/>
        <v>0</v>
      </c>
    </row>
    <row r="3951" spans="1:26">
      <c r="A3951" s="89" t="str">
        <f t="shared" si="366"/>
        <v/>
      </c>
      <c r="B3951" s="89" t="str">
        <f t="shared" si="367"/>
        <v/>
      </c>
      <c r="S3951" s="89" t="str">
        <f t="shared" si="368"/>
        <v/>
      </c>
      <c r="X3951" s="64">
        <f t="shared" si="369"/>
        <v>0</v>
      </c>
      <c r="Y3951" s="53">
        <f t="shared" si="370"/>
        <v>0</v>
      </c>
      <c r="Z3951" s="64">
        <f t="shared" si="371"/>
        <v>0</v>
      </c>
    </row>
    <row r="3952" spans="1:26">
      <c r="A3952" s="89" t="str">
        <f t="shared" si="366"/>
        <v/>
      </c>
      <c r="B3952" s="89" t="str">
        <f t="shared" si="367"/>
        <v/>
      </c>
      <c r="S3952" s="89" t="str">
        <f t="shared" si="368"/>
        <v/>
      </c>
      <c r="X3952" s="64">
        <f t="shared" si="369"/>
        <v>0</v>
      </c>
      <c r="Y3952" s="53">
        <f t="shared" si="370"/>
        <v>0</v>
      </c>
      <c r="Z3952" s="64">
        <f t="shared" si="371"/>
        <v>0</v>
      </c>
    </row>
    <row r="3953" spans="1:26">
      <c r="A3953" s="89" t="str">
        <f t="shared" si="366"/>
        <v/>
      </c>
      <c r="B3953" s="89" t="str">
        <f t="shared" si="367"/>
        <v/>
      </c>
      <c r="S3953" s="89" t="str">
        <f t="shared" si="368"/>
        <v/>
      </c>
      <c r="X3953" s="64">
        <f t="shared" si="369"/>
        <v>0</v>
      </c>
      <c r="Y3953" s="53">
        <f t="shared" si="370"/>
        <v>0</v>
      </c>
      <c r="Z3953" s="64">
        <f t="shared" si="371"/>
        <v>0</v>
      </c>
    </row>
    <row r="3954" spans="1:26">
      <c r="A3954" s="89" t="str">
        <f t="shared" si="366"/>
        <v/>
      </c>
      <c r="B3954" s="89" t="str">
        <f t="shared" si="367"/>
        <v/>
      </c>
      <c r="S3954" s="89" t="str">
        <f t="shared" si="368"/>
        <v/>
      </c>
      <c r="X3954" s="64">
        <f t="shared" si="369"/>
        <v>0</v>
      </c>
      <c r="Y3954" s="53">
        <f t="shared" si="370"/>
        <v>0</v>
      </c>
      <c r="Z3954" s="64">
        <f t="shared" si="371"/>
        <v>0</v>
      </c>
    </row>
    <row r="3955" spans="1:26">
      <c r="A3955" s="89" t="str">
        <f t="shared" si="366"/>
        <v/>
      </c>
      <c r="B3955" s="89" t="str">
        <f t="shared" si="367"/>
        <v/>
      </c>
      <c r="S3955" s="89" t="str">
        <f t="shared" si="368"/>
        <v/>
      </c>
      <c r="X3955" s="64">
        <f t="shared" si="369"/>
        <v>0</v>
      </c>
      <c r="Y3955" s="53">
        <f t="shared" si="370"/>
        <v>0</v>
      </c>
      <c r="Z3955" s="64">
        <f t="shared" si="371"/>
        <v>0</v>
      </c>
    </row>
    <row r="3956" spans="1:26">
      <c r="A3956" s="89" t="str">
        <f t="shared" si="366"/>
        <v/>
      </c>
      <c r="B3956" s="89" t="str">
        <f t="shared" si="367"/>
        <v/>
      </c>
      <c r="S3956" s="89" t="str">
        <f t="shared" si="368"/>
        <v/>
      </c>
      <c r="X3956" s="64">
        <f t="shared" si="369"/>
        <v>0</v>
      </c>
      <c r="Y3956" s="53">
        <f t="shared" si="370"/>
        <v>0</v>
      </c>
      <c r="Z3956" s="64">
        <f t="shared" si="371"/>
        <v>0</v>
      </c>
    </row>
    <row r="3957" spans="1:26">
      <c r="A3957" s="89" t="str">
        <f t="shared" si="366"/>
        <v/>
      </c>
      <c r="B3957" s="89" t="str">
        <f t="shared" si="367"/>
        <v/>
      </c>
      <c r="S3957" s="89" t="str">
        <f t="shared" si="368"/>
        <v/>
      </c>
      <c r="X3957" s="64">
        <f t="shared" si="369"/>
        <v>0</v>
      </c>
      <c r="Y3957" s="53">
        <f t="shared" si="370"/>
        <v>0</v>
      </c>
      <c r="Z3957" s="64">
        <f t="shared" si="371"/>
        <v>0</v>
      </c>
    </row>
    <row r="3958" spans="1:26">
      <c r="A3958" s="89" t="str">
        <f t="shared" si="366"/>
        <v/>
      </c>
      <c r="B3958" s="89" t="str">
        <f t="shared" si="367"/>
        <v/>
      </c>
      <c r="S3958" s="89" t="str">
        <f t="shared" si="368"/>
        <v/>
      </c>
      <c r="X3958" s="64">
        <f t="shared" si="369"/>
        <v>0</v>
      </c>
      <c r="Y3958" s="53">
        <f t="shared" si="370"/>
        <v>0</v>
      </c>
      <c r="Z3958" s="64">
        <f t="shared" si="371"/>
        <v>0</v>
      </c>
    </row>
    <row r="3959" spans="1:26">
      <c r="A3959" s="89" t="str">
        <f t="shared" si="366"/>
        <v/>
      </c>
      <c r="B3959" s="89" t="str">
        <f t="shared" si="367"/>
        <v/>
      </c>
      <c r="S3959" s="89" t="str">
        <f t="shared" si="368"/>
        <v/>
      </c>
      <c r="X3959" s="64">
        <f t="shared" si="369"/>
        <v>0</v>
      </c>
      <c r="Y3959" s="53">
        <f t="shared" si="370"/>
        <v>0</v>
      </c>
      <c r="Z3959" s="64">
        <f t="shared" si="371"/>
        <v>0</v>
      </c>
    </row>
    <row r="3960" spans="1:26">
      <c r="A3960" s="89" t="str">
        <f t="shared" si="366"/>
        <v/>
      </c>
      <c r="B3960" s="89" t="str">
        <f t="shared" si="367"/>
        <v/>
      </c>
      <c r="S3960" s="89" t="str">
        <f t="shared" si="368"/>
        <v/>
      </c>
      <c r="X3960" s="64">
        <f t="shared" si="369"/>
        <v>0</v>
      </c>
      <c r="Y3960" s="53">
        <f t="shared" si="370"/>
        <v>0</v>
      </c>
      <c r="Z3960" s="64">
        <f t="shared" si="371"/>
        <v>0</v>
      </c>
    </row>
    <row r="3961" spans="1:26">
      <c r="A3961" s="89" t="str">
        <f t="shared" si="366"/>
        <v/>
      </c>
      <c r="B3961" s="89" t="str">
        <f t="shared" si="367"/>
        <v/>
      </c>
      <c r="S3961" s="89" t="str">
        <f t="shared" si="368"/>
        <v/>
      </c>
      <c r="X3961" s="64">
        <f t="shared" si="369"/>
        <v>0</v>
      </c>
      <c r="Y3961" s="53">
        <f t="shared" si="370"/>
        <v>0</v>
      </c>
      <c r="Z3961" s="64">
        <f t="shared" si="371"/>
        <v>0</v>
      </c>
    </row>
    <row r="3962" spans="1:26">
      <c r="A3962" s="89" t="str">
        <f t="shared" si="366"/>
        <v/>
      </c>
      <c r="B3962" s="89" t="str">
        <f t="shared" si="367"/>
        <v/>
      </c>
      <c r="S3962" s="89" t="str">
        <f t="shared" si="368"/>
        <v/>
      </c>
      <c r="X3962" s="64">
        <f t="shared" si="369"/>
        <v>0</v>
      </c>
      <c r="Y3962" s="53">
        <f t="shared" si="370"/>
        <v>0</v>
      </c>
      <c r="Z3962" s="64">
        <f t="shared" si="371"/>
        <v>0</v>
      </c>
    </row>
    <row r="3963" spans="1:26">
      <c r="A3963" s="89" t="str">
        <f t="shared" si="366"/>
        <v/>
      </c>
      <c r="B3963" s="89" t="str">
        <f t="shared" si="367"/>
        <v/>
      </c>
      <c r="S3963" s="89" t="str">
        <f t="shared" si="368"/>
        <v/>
      </c>
      <c r="X3963" s="64">
        <f t="shared" si="369"/>
        <v>0</v>
      </c>
      <c r="Y3963" s="53">
        <f t="shared" si="370"/>
        <v>0</v>
      </c>
      <c r="Z3963" s="64">
        <f t="shared" si="371"/>
        <v>0</v>
      </c>
    </row>
    <row r="3964" spans="1:26">
      <c r="A3964" s="89" t="str">
        <f t="shared" si="366"/>
        <v/>
      </c>
      <c r="B3964" s="89" t="str">
        <f t="shared" si="367"/>
        <v/>
      </c>
      <c r="S3964" s="89" t="str">
        <f t="shared" si="368"/>
        <v/>
      </c>
      <c r="X3964" s="64">
        <f t="shared" si="369"/>
        <v>0</v>
      </c>
      <c r="Y3964" s="53">
        <f t="shared" si="370"/>
        <v>0</v>
      </c>
      <c r="Z3964" s="64">
        <f t="shared" si="371"/>
        <v>0</v>
      </c>
    </row>
    <row r="3965" spans="1:26">
      <c r="A3965" s="89" t="str">
        <f t="shared" si="366"/>
        <v/>
      </c>
      <c r="B3965" s="89" t="str">
        <f t="shared" si="367"/>
        <v/>
      </c>
      <c r="S3965" s="89" t="str">
        <f t="shared" si="368"/>
        <v/>
      </c>
      <c r="X3965" s="64">
        <f t="shared" si="369"/>
        <v>0</v>
      </c>
      <c r="Y3965" s="53">
        <f t="shared" si="370"/>
        <v>0</v>
      </c>
      <c r="Z3965" s="64">
        <f t="shared" si="371"/>
        <v>0</v>
      </c>
    </row>
    <row r="3966" spans="1:26">
      <c r="A3966" s="89" t="str">
        <f t="shared" si="366"/>
        <v/>
      </c>
      <c r="B3966" s="89" t="str">
        <f t="shared" si="367"/>
        <v/>
      </c>
      <c r="S3966" s="89" t="str">
        <f t="shared" si="368"/>
        <v/>
      </c>
      <c r="X3966" s="64">
        <f t="shared" si="369"/>
        <v>0</v>
      </c>
      <c r="Y3966" s="53">
        <f t="shared" si="370"/>
        <v>0</v>
      </c>
      <c r="Z3966" s="64">
        <f t="shared" si="371"/>
        <v>0</v>
      </c>
    </row>
    <row r="3967" spans="1:26">
      <c r="A3967" s="89" t="str">
        <f t="shared" si="366"/>
        <v/>
      </c>
      <c r="B3967" s="89" t="str">
        <f t="shared" si="367"/>
        <v/>
      </c>
      <c r="S3967" s="89" t="str">
        <f t="shared" si="368"/>
        <v/>
      </c>
      <c r="X3967" s="64">
        <f t="shared" si="369"/>
        <v>0</v>
      </c>
      <c r="Y3967" s="53">
        <f t="shared" si="370"/>
        <v>0</v>
      </c>
      <c r="Z3967" s="64">
        <f t="shared" si="371"/>
        <v>0</v>
      </c>
    </row>
    <row r="3968" spans="1:26">
      <c r="A3968" s="89" t="str">
        <f t="shared" si="366"/>
        <v/>
      </c>
      <c r="B3968" s="89" t="str">
        <f t="shared" si="367"/>
        <v/>
      </c>
      <c r="S3968" s="89" t="str">
        <f t="shared" si="368"/>
        <v/>
      </c>
      <c r="X3968" s="64">
        <f t="shared" si="369"/>
        <v>0</v>
      </c>
      <c r="Y3968" s="53">
        <f t="shared" si="370"/>
        <v>0</v>
      </c>
      <c r="Z3968" s="64">
        <f t="shared" si="371"/>
        <v>0</v>
      </c>
    </row>
    <row r="3969" spans="1:26">
      <c r="A3969" s="89" t="str">
        <f t="shared" si="366"/>
        <v/>
      </c>
      <c r="B3969" s="89" t="str">
        <f t="shared" si="367"/>
        <v/>
      </c>
      <c r="S3969" s="89" t="str">
        <f t="shared" si="368"/>
        <v/>
      </c>
      <c r="X3969" s="64">
        <f t="shared" si="369"/>
        <v>0</v>
      </c>
      <c r="Y3969" s="53">
        <f t="shared" si="370"/>
        <v>0</v>
      </c>
      <c r="Z3969" s="64">
        <f t="shared" si="371"/>
        <v>0</v>
      </c>
    </row>
    <row r="3970" spans="1:26">
      <c r="A3970" s="89" t="str">
        <f t="shared" si="366"/>
        <v/>
      </c>
      <c r="B3970" s="89" t="str">
        <f t="shared" si="367"/>
        <v/>
      </c>
      <c r="S3970" s="89" t="str">
        <f t="shared" si="368"/>
        <v/>
      </c>
      <c r="X3970" s="64">
        <f t="shared" si="369"/>
        <v>0</v>
      </c>
      <c r="Y3970" s="53">
        <f t="shared" si="370"/>
        <v>0</v>
      </c>
      <c r="Z3970" s="64">
        <f t="shared" si="371"/>
        <v>0</v>
      </c>
    </row>
    <row r="3971" spans="1:26">
      <c r="A3971" s="89" t="str">
        <f t="shared" ref="A3971:A4034" si="372">IF(G3971&amp;Q3971&lt;&gt;"",G3971&amp;Q3971,"")</f>
        <v/>
      </c>
      <c r="B3971" s="89" t="str">
        <f t="shared" ref="B3971:B4034" si="373">IF(C3971&lt;&gt;"",LEFT(C3971,9),"")</f>
        <v/>
      </c>
      <c r="S3971" s="89" t="str">
        <f t="shared" ref="S3971:S4034" si="374">IF(H3971&lt;&gt;"",H3971,"")</f>
        <v/>
      </c>
      <c r="X3971" s="64">
        <f t="shared" ref="X3971:X4034" si="375">IFERROR(VALUE(MID($C3971,1,2)),0)</f>
        <v>0</v>
      </c>
      <c r="Y3971" s="53">
        <f t="shared" ref="Y3971:Y4034" si="376">IFERROR(VALUE(MID($C3971,4,3)),0)</f>
        <v>0</v>
      </c>
      <c r="Z3971" s="64">
        <f t="shared" ref="Z3971:Z4034" si="377">VALUE(RIGHT("00"&amp;X3971,2)&amp;RIGHT("000"&amp;Y3971,3))</f>
        <v>0</v>
      </c>
    </row>
    <row r="3972" spans="1:26">
      <c r="A3972" s="89" t="str">
        <f t="shared" si="372"/>
        <v/>
      </c>
      <c r="B3972" s="89" t="str">
        <f t="shared" si="373"/>
        <v/>
      </c>
      <c r="S3972" s="89" t="str">
        <f t="shared" si="374"/>
        <v/>
      </c>
      <c r="X3972" s="64">
        <f t="shared" si="375"/>
        <v>0</v>
      </c>
      <c r="Y3972" s="53">
        <f t="shared" si="376"/>
        <v>0</v>
      </c>
      <c r="Z3972" s="64">
        <f t="shared" si="377"/>
        <v>0</v>
      </c>
    </row>
    <row r="3973" spans="1:26">
      <c r="A3973" s="89" t="str">
        <f t="shared" si="372"/>
        <v/>
      </c>
      <c r="B3973" s="89" t="str">
        <f t="shared" si="373"/>
        <v/>
      </c>
      <c r="S3973" s="89" t="str">
        <f t="shared" si="374"/>
        <v/>
      </c>
      <c r="X3973" s="64">
        <f t="shared" si="375"/>
        <v>0</v>
      </c>
      <c r="Y3973" s="53">
        <f t="shared" si="376"/>
        <v>0</v>
      </c>
      <c r="Z3973" s="64">
        <f t="shared" si="377"/>
        <v>0</v>
      </c>
    </row>
    <row r="3974" spans="1:26">
      <c r="A3974" s="89" t="str">
        <f t="shared" si="372"/>
        <v/>
      </c>
      <c r="B3974" s="89" t="str">
        <f t="shared" si="373"/>
        <v/>
      </c>
      <c r="S3974" s="89" t="str">
        <f t="shared" si="374"/>
        <v/>
      </c>
      <c r="X3974" s="64">
        <f t="shared" si="375"/>
        <v>0</v>
      </c>
      <c r="Y3974" s="53">
        <f t="shared" si="376"/>
        <v>0</v>
      </c>
      <c r="Z3974" s="64">
        <f t="shared" si="377"/>
        <v>0</v>
      </c>
    </row>
    <row r="3975" spans="1:26">
      <c r="A3975" s="89" t="str">
        <f t="shared" si="372"/>
        <v/>
      </c>
      <c r="B3975" s="89" t="str">
        <f t="shared" si="373"/>
        <v/>
      </c>
      <c r="S3975" s="89" t="str">
        <f t="shared" si="374"/>
        <v/>
      </c>
      <c r="X3975" s="64">
        <f t="shared" si="375"/>
        <v>0</v>
      </c>
      <c r="Y3975" s="53">
        <f t="shared" si="376"/>
        <v>0</v>
      </c>
      <c r="Z3975" s="64">
        <f t="shared" si="377"/>
        <v>0</v>
      </c>
    </row>
    <row r="3976" spans="1:26">
      <c r="A3976" s="89" t="str">
        <f t="shared" si="372"/>
        <v/>
      </c>
      <c r="B3976" s="89" t="str">
        <f t="shared" si="373"/>
        <v/>
      </c>
      <c r="S3976" s="89" t="str">
        <f t="shared" si="374"/>
        <v/>
      </c>
      <c r="X3976" s="64">
        <f t="shared" si="375"/>
        <v>0</v>
      </c>
      <c r="Y3976" s="53">
        <f t="shared" si="376"/>
        <v>0</v>
      </c>
      <c r="Z3976" s="64">
        <f t="shared" si="377"/>
        <v>0</v>
      </c>
    </row>
    <row r="3977" spans="1:26">
      <c r="A3977" s="89" t="str">
        <f t="shared" si="372"/>
        <v/>
      </c>
      <c r="B3977" s="89" t="str">
        <f t="shared" si="373"/>
        <v/>
      </c>
      <c r="S3977" s="89" t="str">
        <f t="shared" si="374"/>
        <v/>
      </c>
      <c r="X3977" s="64">
        <f t="shared" si="375"/>
        <v>0</v>
      </c>
      <c r="Y3977" s="53">
        <f t="shared" si="376"/>
        <v>0</v>
      </c>
      <c r="Z3977" s="64">
        <f t="shared" si="377"/>
        <v>0</v>
      </c>
    </row>
    <row r="3978" spans="1:26">
      <c r="A3978" s="89" t="str">
        <f t="shared" si="372"/>
        <v/>
      </c>
      <c r="B3978" s="89" t="str">
        <f t="shared" si="373"/>
        <v/>
      </c>
      <c r="S3978" s="89" t="str">
        <f t="shared" si="374"/>
        <v/>
      </c>
      <c r="X3978" s="64">
        <f t="shared" si="375"/>
        <v>0</v>
      </c>
      <c r="Y3978" s="53">
        <f t="shared" si="376"/>
        <v>0</v>
      </c>
      <c r="Z3978" s="64">
        <f t="shared" si="377"/>
        <v>0</v>
      </c>
    </row>
    <row r="3979" spans="1:26">
      <c r="A3979" s="89" t="str">
        <f t="shared" si="372"/>
        <v/>
      </c>
      <c r="B3979" s="89" t="str">
        <f t="shared" si="373"/>
        <v/>
      </c>
      <c r="S3979" s="89" t="str">
        <f t="shared" si="374"/>
        <v/>
      </c>
      <c r="X3979" s="64">
        <f t="shared" si="375"/>
        <v>0</v>
      </c>
      <c r="Y3979" s="53">
        <f t="shared" si="376"/>
        <v>0</v>
      </c>
      <c r="Z3979" s="64">
        <f t="shared" si="377"/>
        <v>0</v>
      </c>
    </row>
    <row r="3980" spans="1:26">
      <c r="A3980" s="89" t="str">
        <f t="shared" si="372"/>
        <v/>
      </c>
      <c r="B3980" s="89" t="str">
        <f t="shared" si="373"/>
        <v/>
      </c>
      <c r="S3980" s="89" t="str">
        <f t="shared" si="374"/>
        <v/>
      </c>
      <c r="X3980" s="64">
        <f t="shared" si="375"/>
        <v>0</v>
      </c>
      <c r="Y3980" s="53">
        <f t="shared" si="376"/>
        <v>0</v>
      </c>
      <c r="Z3980" s="64">
        <f t="shared" si="377"/>
        <v>0</v>
      </c>
    </row>
    <row r="3981" spans="1:26">
      <c r="A3981" s="89" t="str">
        <f t="shared" si="372"/>
        <v/>
      </c>
      <c r="B3981" s="89" t="str">
        <f t="shared" si="373"/>
        <v/>
      </c>
      <c r="S3981" s="89" t="str">
        <f t="shared" si="374"/>
        <v/>
      </c>
      <c r="X3981" s="64">
        <f t="shared" si="375"/>
        <v>0</v>
      </c>
      <c r="Y3981" s="53">
        <f t="shared" si="376"/>
        <v>0</v>
      </c>
      <c r="Z3981" s="64">
        <f t="shared" si="377"/>
        <v>0</v>
      </c>
    </row>
    <row r="3982" spans="1:26">
      <c r="A3982" s="89" t="str">
        <f t="shared" si="372"/>
        <v/>
      </c>
      <c r="B3982" s="89" t="str">
        <f t="shared" si="373"/>
        <v/>
      </c>
      <c r="S3982" s="89" t="str">
        <f t="shared" si="374"/>
        <v/>
      </c>
      <c r="X3982" s="64">
        <f t="shared" si="375"/>
        <v>0</v>
      </c>
      <c r="Y3982" s="53">
        <f t="shared" si="376"/>
        <v>0</v>
      </c>
      <c r="Z3982" s="64">
        <f t="shared" si="377"/>
        <v>0</v>
      </c>
    </row>
    <row r="3983" spans="1:26">
      <c r="A3983" s="89" t="str">
        <f t="shared" si="372"/>
        <v/>
      </c>
      <c r="B3983" s="89" t="str">
        <f t="shared" si="373"/>
        <v/>
      </c>
      <c r="S3983" s="89" t="str">
        <f t="shared" si="374"/>
        <v/>
      </c>
      <c r="X3983" s="64">
        <f t="shared" si="375"/>
        <v>0</v>
      </c>
      <c r="Y3983" s="53">
        <f t="shared" si="376"/>
        <v>0</v>
      </c>
      <c r="Z3983" s="64">
        <f t="shared" si="377"/>
        <v>0</v>
      </c>
    </row>
    <row r="3984" spans="1:26">
      <c r="A3984" s="89" t="str">
        <f t="shared" si="372"/>
        <v/>
      </c>
      <c r="B3984" s="89" t="str">
        <f t="shared" si="373"/>
        <v/>
      </c>
      <c r="S3984" s="89" t="str">
        <f t="shared" si="374"/>
        <v/>
      </c>
      <c r="X3984" s="64">
        <f t="shared" si="375"/>
        <v>0</v>
      </c>
      <c r="Y3984" s="53">
        <f t="shared" si="376"/>
        <v>0</v>
      </c>
      <c r="Z3984" s="64">
        <f t="shared" si="377"/>
        <v>0</v>
      </c>
    </row>
    <row r="3985" spans="1:26">
      <c r="A3985" s="89" t="str">
        <f t="shared" si="372"/>
        <v/>
      </c>
      <c r="B3985" s="89" t="str">
        <f t="shared" si="373"/>
        <v/>
      </c>
      <c r="S3985" s="89" t="str">
        <f t="shared" si="374"/>
        <v/>
      </c>
      <c r="X3985" s="64">
        <f t="shared" si="375"/>
        <v>0</v>
      </c>
      <c r="Y3985" s="53">
        <f t="shared" si="376"/>
        <v>0</v>
      </c>
      <c r="Z3985" s="64">
        <f t="shared" si="377"/>
        <v>0</v>
      </c>
    </row>
    <row r="3986" spans="1:26">
      <c r="A3986" s="89" t="str">
        <f t="shared" si="372"/>
        <v/>
      </c>
      <c r="B3986" s="89" t="str">
        <f t="shared" si="373"/>
        <v/>
      </c>
      <c r="S3986" s="89" t="str">
        <f t="shared" si="374"/>
        <v/>
      </c>
      <c r="X3986" s="64">
        <f t="shared" si="375"/>
        <v>0</v>
      </c>
      <c r="Y3986" s="53">
        <f t="shared" si="376"/>
        <v>0</v>
      </c>
      <c r="Z3986" s="64">
        <f t="shared" si="377"/>
        <v>0</v>
      </c>
    </row>
    <row r="3987" spans="1:26">
      <c r="A3987" s="89" t="str">
        <f t="shared" si="372"/>
        <v/>
      </c>
      <c r="B3987" s="89" t="str">
        <f t="shared" si="373"/>
        <v/>
      </c>
      <c r="S3987" s="89" t="str">
        <f t="shared" si="374"/>
        <v/>
      </c>
      <c r="X3987" s="64">
        <f t="shared" si="375"/>
        <v>0</v>
      </c>
      <c r="Y3987" s="53">
        <f t="shared" si="376"/>
        <v>0</v>
      </c>
      <c r="Z3987" s="64">
        <f t="shared" si="377"/>
        <v>0</v>
      </c>
    </row>
    <row r="3988" spans="1:26">
      <c r="A3988" s="89" t="str">
        <f t="shared" si="372"/>
        <v/>
      </c>
      <c r="B3988" s="89" t="str">
        <f t="shared" si="373"/>
        <v/>
      </c>
      <c r="S3988" s="89" t="str">
        <f t="shared" si="374"/>
        <v/>
      </c>
      <c r="X3988" s="64">
        <f t="shared" si="375"/>
        <v>0</v>
      </c>
      <c r="Y3988" s="53">
        <f t="shared" si="376"/>
        <v>0</v>
      </c>
      <c r="Z3988" s="64">
        <f t="shared" si="377"/>
        <v>0</v>
      </c>
    </row>
    <row r="3989" spans="1:26">
      <c r="A3989" s="89" t="str">
        <f t="shared" si="372"/>
        <v/>
      </c>
      <c r="B3989" s="89" t="str">
        <f t="shared" si="373"/>
        <v/>
      </c>
      <c r="S3989" s="89" t="str">
        <f t="shared" si="374"/>
        <v/>
      </c>
      <c r="X3989" s="64">
        <f t="shared" si="375"/>
        <v>0</v>
      </c>
      <c r="Y3989" s="53">
        <f t="shared" si="376"/>
        <v>0</v>
      </c>
      <c r="Z3989" s="64">
        <f t="shared" si="377"/>
        <v>0</v>
      </c>
    </row>
    <row r="3990" spans="1:26">
      <c r="A3990" s="89" t="str">
        <f t="shared" si="372"/>
        <v/>
      </c>
      <c r="B3990" s="89" t="str">
        <f t="shared" si="373"/>
        <v/>
      </c>
      <c r="S3990" s="89" t="str">
        <f t="shared" si="374"/>
        <v/>
      </c>
      <c r="X3990" s="64">
        <f t="shared" si="375"/>
        <v>0</v>
      </c>
      <c r="Y3990" s="53">
        <f t="shared" si="376"/>
        <v>0</v>
      </c>
      <c r="Z3990" s="64">
        <f t="shared" si="377"/>
        <v>0</v>
      </c>
    </row>
    <row r="3991" spans="1:26">
      <c r="A3991" s="89" t="str">
        <f t="shared" si="372"/>
        <v/>
      </c>
      <c r="B3991" s="89" t="str">
        <f t="shared" si="373"/>
        <v/>
      </c>
      <c r="S3991" s="89" t="str">
        <f t="shared" si="374"/>
        <v/>
      </c>
      <c r="X3991" s="64">
        <f t="shared" si="375"/>
        <v>0</v>
      </c>
      <c r="Y3991" s="53">
        <f t="shared" si="376"/>
        <v>0</v>
      </c>
      <c r="Z3991" s="64">
        <f t="shared" si="377"/>
        <v>0</v>
      </c>
    </row>
    <row r="3992" spans="1:26">
      <c r="A3992" s="89" t="str">
        <f t="shared" si="372"/>
        <v/>
      </c>
      <c r="B3992" s="89" t="str">
        <f t="shared" si="373"/>
        <v/>
      </c>
      <c r="S3992" s="89" t="str">
        <f t="shared" si="374"/>
        <v/>
      </c>
      <c r="X3992" s="64">
        <f t="shared" si="375"/>
        <v>0</v>
      </c>
      <c r="Y3992" s="53">
        <f t="shared" si="376"/>
        <v>0</v>
      </c>
      <c r="Z3992" s="64">
        <f t="shared" si="377"/>
        <v>0</v>
      </c>
    </row>
    <row r="3993" spans="1:26">
      <c r="A3993" s="89" t="str">
        <f t="shared" si="372"/>
        <v/>
      </c>
      <c r="B3993" s="89" t="str">
        <f t="shared" si="373"/>
        <v/>
      </c>
      <c r="S3993" s="89" t="str">
        <f t="shared" si="374"/>
        <v/>
      </c>
      <c r="X3993" s="64">
        <f t="shared" si="375"/>
        <v>0</v>
      </c>
      <c r="Y3993" s="53">
        <f t="shared" si="376"/>
        <v>0</v>
      </c>
      <c r="Z3993" s="64">
        <f t="shared" si="377"/>
        <v>0</v>
      </c>
    </row>
    <row r="3994" spans="1:26">
      <c r="A3994" s="89" t="str">
        <f t="shared" si="372"/>
        <v/>
      </c>
      <c r="B3994" s="89" t="str">
        <f t="shared" si="373"/>
        <v/>
      </c>
      <c r="S3994" s="89" t="str">
        <f t="shared" si="374"/>
        <v/>
      </c>
      <c r="X3994" s="64">
        <f t="shared" si="375"/>
        <v>0</v>
      </c>
      <c r="Y3994" s="53">
        <f t="shared" si="376"/>
        <v>0</v>
      </c>
      <c r="Z3994" s="64">
        <f t="shared" si="377"/>
        <v>0</v>
      </c>
    </row>
    <row r="3995" spans="1:26">
      <c r="A3995" s="89" t="str">
        <f t="shared" si="372"/>
        <v/>
      </c>
      <c r="B3995" s="89" t="str">
        <f t="shared" si="373"/>
        <v/>
      </c>
      <c r="S3995" s="89" t="str">
        <f t="shared" si="374"/>
        <v/>
      </c>
      <c r="X3995" s="64">
        <f t="shared" si="375"/>
        <v>0</v>
      </c>
      <c r="Y3995" s="53">
        <f t="shared" si="376"/>
        <v>0</v>
      </c>
      <c r="Z3995" s="64">
        <f t="shared" si="377"/>
        <v>0</v>
      </c>
    </row>
    <row r="3996" spans="1:26">
      <c r="A3996" s="89" t="str">
        <f t="shared" si="372"/>
        <v/>
      </c>
      <c r="B3996" s="89" t="str">
        <f t="shared" si="373"/>
        <v/>
      </c>
      <c r="S3996" s="89" t="str">
        <f t="shared" si="374"/>
        <v/>
      </c>
      <c r="X3996" s="64">
        <f t="shared" si="375"/>
        <v>0</v>
      </c>
      <c r="Y3996" s="53">
        <f t="shared" si="376"/>
        <v>0</v>
      </c>
      <c r="Z3996" s="64">
        <f t="shared" si="377"/>
        <v>0</v>
      </c>
    </row>
    <row r="3997" spans="1:26">
      <c r="A3997" s="89" t="str">
        <f t="shared" si="372"/>
        <v/>
      </c>
      <c r="B3997" s="89" t="str">
        <f t="shared" si="373"/>
        <v/>
      </c>
      <c r="S3997" s="89" t="str">
        <f t="shared" si="374"/>
        <v/>
      </c>
      <c r="X3997" s="64">
        <f t="shared" si="375"/>
        <v>0</v>
      </c>
      <c r="Y3997" s="53">
        <f t="shared" si="376"/>
        <v>0</v>
      </c>
      <c r="Z3997" s="64">
        <f t="shared" si="377"/>
        <v>0</v>
      </c>
    </row>
    <row r="3998" spans="1:26">
      <c r="A3998" s="89" t="str">
        <f t="shared" si="372"/>
        <v/>
      </c>
      <c r="B3998" s="89" t="str">
        <f t="shared" si="373"/>
        <v/>
      </c>
      <c r="S3998" s="89" t="str">
        <f t="shared" si="374"/>
        <v/>
      </c>
      <c r="X3998" s="64">
        <f t="shared" si="375"/>
        <v>0</v>
      </c>
      <c r="Y3998" s="53">
        <f t="shared" si="376"/>
        <v>0</v>
      </c>
      <c r="Z3998" s="64">
        <f t="shared" si="377"/>
        <v>0</v>
      </c>
    </row>
    <row r="3999" spans="1:26">
      <c r="A3999" s="89" t="str">
        <f t="shared" si="372"/>
        <v/>
      </c>
      <c r="B3999" s="89" t="str">
        <f t="shared" si="373"/>
        <v/>
      </c>
      <c r="S3999" s="89" t="str">
        <f t="shared" si="374"/>
        <v/>
      </c>
      <c r="X3999" s="64">
        <f t="shared" si="375"/>
        <v>0</v>
      </c>
      <c r="Y3999" s="53">
        <f t="shared" si="376"/>
        <v>0</v>
      </c>
      <c r="Z3999" s="64">
        <f t="shared" si="377"/>
        <v>0</v>
      </c>
    </row>
    <row r="4000" spans="1:26">
      <c r="A4000" s="89" t="str">
        <f t="shared" si="372"/>
        <v/>
      </c>
      <c r="B4000" s="89" t="str">
        <f t="shared" si="373"/>
        <v/>
      </c>
      <c r="S4000" s="89" t="str">
        <f t="shared" si="374"/>
        <v/>
      </c>
      <c r="X4000" s="64">
        <f t="shared" si="375"/>
        <v>0</v>
      </c>
      <c r="Y4000" s="53">
        <f t="shared" si="376"/>
        <v>0</v>
      </c>
      <c r="Z4000" s="64">
        <f t="shared" si="377"/>
        <v>0</v>
      </c>
    </row>
    <row r="4001" spans="1:26">
      <c r="A4001" s="89" t="str">
        <f t="shared" si="372"/>
        <v/>
      </c>
      <c r="B4001" s="89" t="str">
        <f t="shared" si="373"/>
        <v/>
      </c>
      <c r="S4001" s="89" t="str">
        <f t="shared" si="374"/>
        <v/>
      </c>
      <c r="X4001" s="64">
        <f t="shared" si="375"/>
        <v>0</v>
      </c>
      <c r="Y4001" s="53">
        <f t="shared" si="376"/>
        <v>0</v>
      </c>
      <c r="Z4001" s="64">
        <f t="shared" si="377"/>
        <v>0</v>
      </c>
    </row>
    <row r="4002" spans="1:26">
      <c r="A4002" s="89" t="str">
        <f t="shared" si="372"/>
        <v/>
      </c>
      <c r="B4002" s="89" t="str">
        <f t="shared" si="373"/>
        <v/>
      </c>
      <c r="S4002" s="89" t="str">
        <f t="shared" si="374"/>
        <v/>
      </c>
      <c r="X4002" s="64">
        <f t="shared" si="375"/>
        <v>0</v>
      </c>
      <c r="Y4002" s="53">
        <f t="shared" si="376"/>
        <v>0</v>
      </c>
      <c r="Z4002" s="64">
        <f t="shared" si="377"/>
        <v>0</v>
      </c>
    </row>
    <row r="4003" spans="1:26">
      <c r="A4003" s="89" t="str">
        <f t="shared" si="372"/>
        <v/>
      </c>
      <c r="B4003" s="89" t="str">
        <f t="shared" si="373"/>
        <v/>
      </c>
      <c r="S4003" s="89" t="str">
        <f t="shared" si="374"/>
        <v/>
      </c>
      <c r="X4003" s="64">
        <f t="shared" si="375"/>
        <v>0</v>
      </c>
      <c r="Y4003" s="53">
        <f t="shared" si="376"/>
        <v>0</v>
      </c>
      <c r="Z4003" s="64">
        <f t="shared" si="377"/>
        <v>0</v>
      </c>
    </row>
    <row r="4004" spans="1:26">
      <c r="A4004" s="89" t="str">
        <f t="shared" si="372"/>
        <v/>
      </c>
      <c r="B4004" s="89" t="str">
        <f t="shared" si="373"/>
        <v/>
      </c>
      <c r="S4004" s="89" t="str">
        <f t="shared" si="374"/>
        <v/>
      </c>
      <c r="X4004" s="64">
        <f t="shared" si="375"/>
        <v>0</v>
      </c>
      <c r="Y4004" s="53">
        <f t="shared" si="376"/>
        <v>0</v>
      </c>
      <c r="Z4004" s="64">
        <f t="shared" si="377"/>
        <v>0</v>
      </c>
    </row>
    <row r="4005" spans="1:26">
      <c r="A4005" s="89" t="str">
        <f t="shared" si="372"/>
        <v/>
      </c>
      <c r="B4005" s="89" t="str">
        <f t="shared" si="373"/>
        <v/>
      </c>
      <c r="S4005" s="89" t="str">
        <f t="shared" si="374"/>
        <v/>
      </c>
      <c r="X4005" s="64">
        <f t="shared" si="375"/>
        <v>0</v>
      </c>
      <c r="Y4005" s="53">
        <f t="shared" si="376"/>
        <v>0</v>
      </c>
      <c r="Z4005" s="64">
        <f t="shared" si="377"/>
        <v>0</v>
      </c>
    </row>
    <row r="4006" spans="1:26">
      <c r="A4006" s="89" t="str">
        <f t="shared" si="372"/>
        <v/>
      </c>
      <c r="B4006" s="89" t="str">
        <f t="shared" si="373"/>
        <v/>
      </c>
      <c r="S4006" s="89" t="str">
        <f t="shared" si="374"/>
        <v/>
      </c>
      <c r="X4006" s="64">
        <f t="shared" si="375"/>
        <v>0</v>
      </c>
      <c r="Y4006" s="53">
        <f t="shared" si="376"/>
        <v>0</v>
      </c>
      <c r="Z4006" s="64">
        <f t="shared" si="377"/>
        <v>0</v>
      </c>
    </row>
    <row r="4007" spans="1:26">
      <c r="A4007" s="89" t="str">
        <f t="shared" si="372"/>
        <v/>
      </c>
      <c r="B4007" s="89" t="str">
        <f t="shared" si="373"/>
        <v/>
      </c>
      <c r="S4007" s="89" t="str">
        <f t="shared" si="374"/>
        <v/>
      </c>
      <c r="X4007" s="64">
        <f t="shared" si="375"/>
        <v>0</v>
      </c>
      <c r="Y4007" s="53">
        <f t="shared" si="376"/>
        <v>0</v>
      </c>
      <c r="Z4007" s="64">
        <f t="shared" si="377"/>
        <v>0</v>
      </c>
    </row>
    <row r="4008" spans="1:26">
      <c r="A4008" s="89" t="str">
        <f t="shared" si="372"/>
        <v/>
      </c>
      <c r="B4008" s="89" t="str">
        <f t="shared" si="373"/>
        <v/>
      </c>
      <c r="S4008" s="89" t="str">
        <f t="shared" si="374"/>
        <v/>
      </c>
      <c r="X4008" s="64">
        <f t="shared" si="375"/>
        <v>0</v>
      </c>
      <c r="Y4008" s="53">
        <f t="shared" si="376"/>
        <v>0</v>
      </c>
      <c r="Z4008" s="64">
        <f t="shared" si="377"/>
        <v>0</v>
      </c>
    </row>
    <row r="4009" spans="1:26">
      <c r="A4009" s="89" t="str">
        <f t="shared" si="372"/>
        <v/>
      </c>
      <c r="B4009" s="89" t="str">
        <f t="shared" si="373"/>
        <v/>
      </c>
      <c r="S4009" s="89" t="str">
        <f t="shared" si="374"/>
        <v/>
      </c>
      <c r="X4009" s="64">
        <f t="shared" si="375"/>
        <v>0</v>
      </c>
      <c r="Y4009" s="53">
        <f t="shared" si="376"/>
        <v>0</v>
      </c>
      <c r="Z4009" s="64">
        <f t="shared" si="377"/>
        <v>0</v>
      </c>
    </row>
    <row r="4010" spans="1:26">
      <c r="A4010" s="89" t="str">
        <f t="shared" si="372"/>
        <v/>
      </c>
      <c r="B4010" s="89" t="str">
        <f t="shared" si="373"/>
        <v/>
      </c>
      <c r="S4010" s="89" t="str">
        <f t="shared" si="374"/>
        <v/>
      </c>
      <c r="X4010" s="64">
        <f t="shared" si="375"/>
        <v>0</v>
      </c>
      <c r="Y4010" s="53">
        <f t="shared" si="376"/>
        <v>0</v>
      </c>
      <c r="Z4010" s="64">
        <f t="shared" si="377"/>
        <v>0</v>
      </c>
    </row>
    <row r="4011" spans="1:26">
      <c r="A4011" s="89" t="str">
        <f t="shared" si="372"/>
        <v/>
      </c>
      <c r="B4011" s="89" t="str">
        <f t="shared" si="373"/>
        <v/>
      </c>
      <c r="S4011" s="89" t="str">
        <f t="shared" si="374"/>
        <v/>
      </c>
      <c r="X4011" s="64">
        <f t="shared" si="375"/>
        <v>0</v>
      </c>
      <c r="Y4011" s="53">
        <f t="shared" si="376"/>
        <v>0</v>
      </c>
      <c r="Z4011" s="64">
        <f t="shared" si="377"/>
        <v>0</v>
      </c>
    </row>
    <row r="4012" spans="1:26">
      <c r="A4012" s="89" t="str">
        <f t="shared" si="372"/>
        <v/>
      </c>
      <c r="B4012" s="89" t="str">
        <f t="shared" si="373"/>
        <v/>
      </c>
      <c r="S4012" s="89" t="str">
        <f t="shared" si="374"/>
        <v/>
      </c>
      <c r="X4012" s="64">
        <f t="shared" si="375"/>
        <v>0</v>
      </c>
      <c r="Y4012" s="53">
        <f t="shared" si="376"/>
        <v>0</v>
      </c>
      <c r="Z4012" s="64">
        <f t="shared" si="377"/>
        <v>0</v>
      </c>
    </row>
    <row r="4013" spans="1:26">
      <c r="A4013" s="89" t="str">
        <f t="shared" si="372"/>
        <v/>
      </c>
      <c r="B4013" s="89" t="str">
        <f t="shared" si="373"/>
        <v/>
      </c>
      <c r="S4013" s="89" t="str">
        <f t="shared" si="374"/>
        <v/>
      </c>
      <c r="X4013" s="64">
        <f t="shared" si="375"/>
        <v>0</v>
      </c>
      <c r="Y4013" s="53">
        <f t="shared" si="376"/>
        <v>0</v>
      </c>
      <c r="Z4013" s="64">
        <f t="shared" si="377"/>
        <v>0</v>
      </c>
    </row>
    <row r="4014" spans="1:26">
      <c r="A4014" s="89" t="str">
        <f t="shared" si="372"/>
        <v/>
      </c>
      <c r="B4014" s="89" t="str">
        <f t="shared" si="373"/>
        <v/>
      </c>
      <c r="S4014" s="89" t="str">
        <f t="shared" si="374"/>
        <v/>
      </c>
      <c r="X4014" s="64">
        <f t="shared" si="375"/>
        <v>0</v>
      </c>
      <c r="Y4014" s="53">
        <f t="shared" si="376"/>
        <v>0</v>
      </c>
      <c r="Z4014" s="64">
        <f t="shared" si="377"/>
        <v>0</v>
      </c>
    </row>
    <row r="4015" spans="1:26">
      <c r="A4015" s="89" t="str">
        <f t="shared" si="372"/>
        <v/>
      </c>
      <c r="B4015" s="89" t="str">
        <f t="shared" si="373"/>
        <v/>
      </c>
      <c r="S4015" s="89" t="str">
        <f t="shared" si="374"/>
        <v/>
      </c>
      <c r="X4015" s="64">
        <f t="shared" si="375"/>
        <v>0</v>
      </c>
      <c r="Y4015" s="53">
        <f t="shared" si="376"/>
        <v>0</v>
      </c>
      <c r="Z4015" s="64">
        <f t="shared" si="377"/>
        <v>0</v>
      </c>
    </row>
    <row r="4016" spans="1:26">
      <c r="A4016" s="89" t="str">
        <f t="shared" si="372"/>
        <v/>
      </c>
      <c r="B4016" s="89" t="str">
        <f t="shared" si="373"/>
        <v/>
      </c>
      <c r="S4016" s="89" t="str">
        <f t="shared" si="374"/>
        <v/>
      </c>
      <c r="X4016" s="64">
        <f t="shared" si="375"/>
        <v>0</v>
      </c>
      <c r="Y4016" s="53">
        <f t="shared" si="376"/>
        <v>0</v>
      </c>
      <c r="Z4016" s="64">
        <f t="shared" si="377"/>
        <v>0</v>
      </c>
    </row>
    <row r="4017" spans="1:26">
      <c r="A4017" s="89" t="str">
        <f t="shared" si="372"/>
        <v/>
      </c>
      <c r="B4017" s="89" t="str">
        <f t="shared" si="373"/>
        <v/>
      </c>
      <c r="S4017" s="89" t="str">
        <f t="shared" si="374"/>
        <v/>
      </c>
      <c r="X4017" s="64">
        <f t="shared" si="375"/>
        <v>0</v>
      </c>
      <c r="Y4017" s="53">
        <f t="shared" si="376"/>
        <v>0</v>
      </c>
      <c r="Z4017" s="64">
        <f t="shared" si="377"/>
        <v>0</v>
      </c>
    </row>
    <row r="4018" spans="1:26">
      <c r="A4018" s="89" t="str">
        <f t="shared" si="372"/>
        <v/>
      </c>
      <c r="B4018" s="89" t="str">
        <f t="shared" si="373"/>
        <v/>
      </c>
      <c r="S4018" s="89" t="str">
        <f t="shared" si="374"/>
        <v/>
      </c>
      <c r="X4018" s="64">
        <f t="shared" si="375"/>
        <v>0</v>
      </c>
      <c r="Y4018" s="53">
        <f t="shared" si="376"/>
        <v>0</v>
      </c>
      <c r="Z4018" s="64">
        <f t="shared" si="377"/>
        <v>0</v>
      </c>
    </row>
    <row r="4019" spans="1:26">
      <c r="A4019" s="89" t="str">
        <f t="shared" si="372"/>
        <v/>
      </c>
      <c r="B4019" s="89" t="str">
        <f t="shared" si="373"/>
        <v/>
      </c>
      <c r="S4019" s="89" t="str">
        <f t="shared" si="374"/>
        <v/>
      </c>
      <c r="X4019" s="64">
        <f t="shared" si="375"/>
        <v>0</v>
      </c>
      <c r="Y4019" s="53">
        <f t="shared" si="376"/>
        <v>0</v>
      </c>
      <c r="Z4019" s="64">
        <f t="shared" si="377"/>
        <v>0</v>
      </c>
    </row>
    <row r="4020" spans="1:26">
      <c r="A4020" s="89" t="str">
        <f t="shared" si="372"/>
        <v/>
      </c>
      <c r="B4020" s="89" t="str">
        <f t="shared" si="373"/>
        <v/>
      </c>
      <c r="S4020" s="89" t="str">
        <f t="shared" si="374"/>
        <v/>
      </c>
      <c r="X4020" s="64">
        <f t="shared" si="375"/>
        <v>0</v>
      </c>
      <c r="Y4020" s="53">
        <f t="shared" si="376"/>
        <v>0</v>
      </c>
      <c r="Z4020" s="64">
        <f t="shared" si="377"/>
        <v>0</v>
      </c>
    </row>
    <row r="4021" spans="1:26">
      <c r="A4021" s="89" t="str">
        <f t="shared" si="372"/>
        <v/>
      </c>
      <c r="B4021" s="89" t="str">
        <f t="shared" si="373"/>
        <v/>
      </c>
      <c r="S4021" s="89" t="str">
        <f t="shared" si="374"/>
        <v/>
      </c>
      <c r="X4021" s="64">
        <f t="shared" si="375"/>
        <v>0</v>
      </c>
      <c r="Y4021" s="53">
        <f t="shared" si="376"/>
        <v>0</v>
      </c>
      <c r="Z4021" s="64">
        <f t="shared" si="377"/>
        <v>0</v>
      </c>
    </row>
    <row r="4022" spans="1:26">
      <c r="A4022" s="89" t="str">
        <f t="shared" si="372"/>
        <v/>
      </c>
      <c r="B4022" s="89" t="str">
        <f t="shared" si="373"/>
        <v/>
      </c>
      <c r="S4022" s="89" t="str">
        <f t="shared" si="374"/>
        <v/>
      </c>
      <c r="X4022" s="64">
        <f t="shared" si="375"/>
        <v>0</v>
      </c>
      <c r="Y4022" s="53">
        <f t="shared" si="376"/>
        <v>0</v>
      </c>
      <c r="Z4022" s="64">
        <f t="shared" si="377"/>
        <v>0</v>
      </c>
    </row>
    <row r="4023" spans="1:26">
      <c r="A4023" s="89" t="str">
        <f t="shared" si="372"/>
        <v/>
      </c>
      <c r="B4023" s="89" t="str">
        <f t="shared" si="373"/>
        <v/>
      </c>
      <c r="S4023" s="89" t="str">
        <f t="shared" si="374"/>
        <v/>
      </c>
      <c r="X4023" s="64">
        <f t="shared" si="375"/>
        <v>0</v>
      </c>
      <c r="Y4023" s="53">
        <f t="shared" si="376"/>
        <v>0</v>
      </c>
      <c r="Z4023" s="64">
        <f t="shared" si="377"/>
        <v>0</v>
      </c>
    </row>
    <row r="4024" spans="1:26">
      <c r="A4024" s="89" t="str">
        <f t="shared" si="372"/>
        <v/>
      </c>
      <c r="B4024" s="89" t="str">
        <f t="shared" si="373"/>
        <v/>
      </c>
      <c r="S4024" s="89" t="str">
        <f t="shared" si="374"/>
        <v/>
      </c>
      <c r="X4024" s="64">
        <f t="shared" si="375"/>
        <v>0</v>
      </c>
      <c r="Y4024" s="53">
        <f t="shared" si="376"/>
        <v>0</v>
      </c>
      <c r="Z4024" s="64">
        <f t="shared" si="377"/>
        <v>0</v>
      </c>
    </row>
    <row r="4025" spans="1:26">
      <c r="A4025" s="89" t="str">
        <f t="shared" si="372"/>
        <v/>
      </c>
      <c r="B4025" s="89" t="str">
        <f t="shared" si="373"/>
        <v/>
      </c>
      <c r="S4025" s="89" t="str">
        <f t="shared" si="374"/>
        <v/>
      </c>
      <c r="X4025" s="64">
        <f t="shared" si="375"/>
        <v>0</v>
      </c>
      <c r="Y4025" s="53">
        <f t="shared" si="376"/>
        <v>0</v>
      </c>
      <c r="Z4025" s="64">
        <f t="shared" si="377"/>
        <v>0</v>
      </c>
    </row>
    <row r="4026" spans="1:26">
      <c r="A4026" s="89" t="str">
        <f t="shared" si="372"/>
        <v/>
      </c>
      <c r="B4026" s="89" t="str">
        <f t="shared" si="373"/>
        <v/>
      </c>
      <c r="S4026" s="89" t="str">
        <f t="shared" si="374"/>
        <v/>
      </c>
      <c r="X4026" s="64">
        <f t="shared" si="375"/>
        <v>0</v>
      </c>
      <c r="Y4026" s="53">
        <f t="shared" si="376"/>
        <v>0</v>
      </c>
      <c r="Z4026" s="64">
        <f t="shared" si="377"/>
        <v>0</v>
      </c>
    </row>
    <row r="4027" spans="1:26">
      <c r="A4027" s="89" t="str">
        <f t="shared" si="372"/>
        <v/>
      </c>
      <c r="B4027" s="89" t="str">
        <f t="shared" si="373"/>
        <v/>
      </c>
      <c r="S4027" s="89" t="str">
        <f t="shared" si="374"/>
        <v/>
      </c>
      <c r="X4027" s="64">
        <f t="shared" si="375"/>
        <v>0</v>
      </c>
      <c r="Y4027" s="53">
        <f t="shared" si="376"/>
        <v>0</v>
      </c>
      <c r="Z4027" s="64">
        <f t="shared" si="377"/>
        <v>0</v>
      </c>
    </row>
    <row r="4028" spans="1:26">
      <c r="A4028" s="89" t="str">
        <f t="shared" si="372"/>
        <v/>
      </c>
      <c r="B4028" s="89" t="str">
        <f t="shared" si="373"/>
        <v/>
      </c>
      <c r="S4028" s="89" t="str">
        <f t="shared" si="374"/>
        <v/>
      </c>
      <c r="X4028" s="64">
        <f t="shared" si="375"/>
        <v>0</v>
      </c>
      <c r="Y4028" s="53">
        <f t="shared" si="376"/>
        <v>0</v>
      </c>
      <c r="Z4028" s="64">
        <f t="shared" si="377"/>
        <v>0</v>
      </c>
    </row>
    <row r="4029" spans="1:26">
      <c r="A4029" s="89" t="str">
        <f t="shared" si="372"/>
        <v/>
      </c>
      <c r="B4029" s="89" t="str">
        <f t="shared" si="373"/>
        <v/>
      </c>
      <c r="S4029" s="89" t="str">
        <f t="shared" si="374"/>
        <v/>
      </c>
      <c r="X4029" s="64">
        <f t="shared" si="375"/>
        <v>0</v>
      </c>
      <c r="Y4029" s="53">
        <f t="shared" si="376"/>
        <v>0</v>
      </c>
      <c r="Z4029" s="64">
        <f t="shared" si="377"/>
        <v>0</v>
      </c>
    </row>
    <row r="4030" spans="1:26">
      <c r="A4030" s="89" t="str">
        <f t="shared" si="372"/>
        <v/>
      </c>
      <c r="B4030" s="89" t="str">
        <f t="shared" si="373"/>
        <v/>
      </c>
      <c r="S4030" s="89" t="str">
        <f t="shared" si="374"/>
        <v/>
      </c>
      <c r="X4030" s="64">
        <f t="shared" si="375"/>
        <v>0</v>
      </c>
      <c r="Y4030" s="53">
        <f t="shared" si="376"/>
        <v>0</v>
      </c>
      <c r="Z4030" s="64">
        <f t="shared" si="377"/>
        <v>0</v>
      </c>
    </row>
    <row r="4031" spans="1:26">
      <c r="A4031" s="89" t="str">
        <f t="shared" si="372"/>
        <v/>
      </c>
      <c r="B4031" s="89" t="str">
        <f t="shared" si="373"/>
        <v/>
      </c>
      <c r="S4031" s="89" t="str">
        <f t="shared" si="374"/>
        <v/>
      </c>
      <c r="X4031" s="64">
        <f t="shared" si="375"/>
        <v>0</v>
      </c>
      <c r="Y4031" s="53">
        <f t="shared" si="376"/>
        <v>0</v>
      </c>
      <c r="Z4031" s="64">
        <f t="shared" si="377"/>
        <v>0</v>
      </c>
    </row>
    <row r="4032" spans="1:26">
      <c r="A4032" s="89" t="str">
        <f t="shared" si="372"/>
        <v/>
      </c>
      <c r="B4032" s="89" t="str">
        <f t="shared" si="373"/>
        <v/>
      </c>
      <c r="S4032" s="89" t="str">
        <f t="shared" si="374"/>
        <v/>
      </c>
      <c r="X4032" s="64">
        <f t="shared" si="375"/>
        <v>0</v>
      </c>
      <c r="Y4032" s="53">
        <f t="shared" si="376"/>
        <v>0</v>
      </c>
      <c r="Z4032" s="64">
        <f t="shared" si="377"/>
        <v>0</v>
      </c>
    </row>
    <row r="4033" spans="1:26">
      <c r="A4033" s="89" t="str">
        <f t="shared" si="372"/>
        <v/>
      </c>
      <c r="B4033" s="89" t="str">
        <f t="shared" si="373"/>
        <v/>
      </c>
      <c r="S4033" s="89" t="str">
        <f t="shared" si="374"/>
        <v/>
      </c>
      <c r="X4033" s="64">
        <f t="shared" si="375"/>
        <v>0</v>
      </c>
      <c r="Y4033" s="53">
        <f t="shared" si="376"/>
        <v>0</v>
      </c>
      <c r="Z4033" s="64">
        <f t="shared" si="377"/>
        <v>0</v>
      </c>
    </row>
    <row r="4034" spans="1:26">
      <c r="A4034" s="89" t="str">
        <f t="shared" si="372"/>
        <v/>
      </c>
      <c r="B4034" s="89" t="str">
        <f t="shared" si="373"/>
        <v/>
      </c>
      <c r="S4034" s="89" t="str">
        <f t="shared" si="374"/>
        <v/>
      </c>
      <c r="X4034" s="64">
        <f t="shared" si="375"/>
        <v>0</v>
      </c>
      <c r="Y4034" s="53">
        <f t="shared" si="376"/>
        <v>0</v>
      </c>
      <c r="Z4034" s="64">
        <f t="shared" si="377"/>
        <v>0</v>
      </c>
    </row>
    <row r="4035" spans="1:26">
      <c r="A4035" s="89" t="str">
        <f t="shared" ref="A4035:A4098" si="378">IF(G4035&amp;Q4035&lt;&gt;"",G4035&amp;Q4035,"")</f>
        <v/>
      </c>
      <c r="B4035" s="89" t="str">
        <f t="shared" ref="B4035:B4098" si="379">IF(C4035&lt;&gt;"",LEFT(C4035,9),"")</f>
        <v/>
      </c>
      <c r="S4035" s="89" t="str">
        <f t="shared" ref="S4035:S4098" si="380">IF(H4035&lt;&gt;"",H4035,"")</f>
        <v/>
      </c>
      <c r="X4035" s="64">
        <f t="shared" ref="X4035:X4098" si="381">IFERROR(VALUE(MID($C4035,1,2)),0)</f>
        <v>0</v>
      </c>
      <c r="Y4035" s="53">
        <f t="shared" ref="Y4035:Y4098" si="382">IFERROR(VALUE(MID($C4035,4,3)),0)</f>
        <v>0</v>
      </c>
      <c r="Z4035" s="64">
        <f t="shared" ref="Z4035:Z4098" si="383">VALUE(RIGHT("00"&amp;X4035,2)&amp;RIGHT("000"&amp;Y4035,3))</f>
        <v>0</v>
      </c>
    </row>
    <row r="4036" spans="1:26">
      <c r="A4036" s="89" t="str">
        <f t="shared" si="378"/>
        <v/>
      </c>
      <c r="B4036" s="89" t="str">
        <f t="shared" si="379"/>
        <v/>
      </c>
      <c r="S4036" s="89" t="str">
        <f t="shared" si="380"/>
        <v/>
      </c>
      <c r="X4036" s="64">
        <f t="shared" si="381"/>
        <v>0</v>
      </c>
      <c r="Y4036" s="53">
        <f t="shared" si="382"/>
        <v>0</v>
      </c>
      <c r="Z4036" s="64">
        <f t="shared" si="383"/>
        <v>0</v>
      </c>
    </row>
    <row r="4037" spans="1:26">
      <c r="A4037" s="89" t="str">
        <f t="shared" si="378"/>
        <v/>
      </c>
      <c r="B4037" s="89" t="str">
        <f t="shared" si="379"/>
        <v/>
      </c>
      <c r="S4037" s="89" t="str">
        <f t="shared" si="380"/>
        <v/>
      </c>
      <c r="X4037" s="64">
        <f t="shared" si="381"/>
        <v>0</v>
      </c>
      <c r="Y4037" s="53">
        <f t="shared" si="382"/>
        <v>0</v>
      </c>
      <c r="Z4037" s="64">
        <f t="shared" si="383"/>
        <v>0</v>
      </c>
    </row>
    <row r="4038" spans="1:26">
      <c r="A4038" s="89" t="str">
        <f t="shared" si="378"/>
        <v/>
      </c>
      <c r="B4038" s="89" t="str">
        <f t="shared" si="379"/>
        <v/>
      </c>
      <c r="S4038" s="89" t="str">
        <f t="shared" si="380"/>
        <v/>
      </c>
      <c r="X4038" s="64">
        <f t="shared" si="381"/>
        <v>0</v>
      </c>
      <c r="Y4038" s="53">
        <f t="shared" si="382"/>
        <v>0</v>
      </c>
      <c r="Z4038" s="64">
        <f t="shared" si="383"/>
        <v>0</v>
      </c>
    </row>
    <row r="4039" spans="1:26">
      <c r="A4039" s="89" t="str">
        <f t="shared" si="378"/>
        <v/>
      </c>
      <c r="B4039" s="89" t="str">
        <f t="shared" si="379"/>
        <v/>
      </c>
      <c r="S4039" s="89" t="str">
        <f t="shared" si="380"/>
        <v/>
      </c>
      <c r="X4039" s="64">
        <f t="shared" si="381"/>
        <v>0</v>
      </c>
      <c r="Y4039" s="53">
        <f t="shared" si="382"/>
        <v>0</v>
      </c>
      <c r="Z4039" s="64">
        <f t="shared" si="383"/>
        <v>0</v>
      </c>
    </row>
    <row r="4040" spans="1:26">
      <c r="A4040" s="89" t="str">
        <f t="shared" si="378"/>
        <v/>
      </c>
      <c r="B4040" s="89" t="str">
        <f t="shared" si="379"/>
        <v/>
      </c>
      <c r="S4040" s="89" t="str">
        <f t="shared" si="380"/>
        <v/>
      </c>
      <c r="X4040" s="64">
        <f t="shared" si="381"/>
        <v>0</v>
      </c>
      <c r="Y4040" s="53">
        <f t="shared" si="382"/>
        <v>0</v>
      </c>
      <c r="Z4040" s="64">
        <f t="shared" si="383"/>
        <v>0</v>
      </c>
    </row>
    <row r="4041" spans="1:26">
      <c r="A4041" s="89" t="str">
        <f t="shared" si="378"/>
        <v/>
      </c>
      <c r="B4041" s="89" t="str">
        <f t="shared" si="379"/>
        <v/>
      </c>
      <c r="S4041" s="89" t="str">
        <f t="shared" si="380"/>
        <v/>
      </c>
      <c r="X4041" s="64">
        <f t="shared" si="381"/>
        <v>0</v>
      </c>
      <c r="Y4041" s="53">
        <f t="shared" si="382"/>
        <v>0</v>
      </c>
      <c r="Z4041" s="64">
        <f t="shared" si="383"/>
        <v>0</v>
      </c>
    </row>
    <row r="4042" spans="1:26">
      <c r="A4042" s="89" t="str">
        <f t="shared" si="378"/>
        <v/>
      </c>
      <c r="B4042" s="89" t="str">
        <f t="shared" si="379"/>
        <v/>
      </c>
      <c r="S4042" s="89" t="str">
        <f t="shared" si="380"/>
        <v/>
      </c>
      <c r="X4042" s="64">
        <f t="shared" si="381"/>
        <v>0</v>
      </c>
      <c r="Y4042" s="53">
        <f t="shared" si="382"/>
        <v>0</v>
      </c>
      <c r="Z4042" s="64">
        <f t="shared" si="383"/>
        <v>0</v>
      </c>
    </row>
    <row r="4043" spans="1:26">
      <c r="A4043" s="89" t="str">
        <f t="shared" si="378"/>
        <v/>
      </c>
      <c r="B4043" s="89" t="str">
        <f t="shared" si="379"/>
        <v/>
      </c>
      <c r="S4043" s="89" t="str">
        <f t="shared" si="380"/>
        <v/>
      </c>
      <c r="X4043" s="64">
        <f t="shared" si="381"/>
        <v>0</v>
      </c>
      <c r="Y4043" s="53">
        <f t="shared" si="382"/>
        <v>0</v>
      </c>
      <c r="Z4043" s="64">
        <f t="shared" si="383"/>
        <v>0</v>
      </c>
    </row>
    <row r="4044" spans="1:26">
      <c r="A4044" s="89" t="str">
        <f t="shared" si="378"/>
        <v/>
      </c>
      <c r="B4044" s="89" t="str">
        <f t="shared" si="379"/>
        <v/>
      </c>
      <c r="S4044" s="89" t="str">
        <f t="shared" si="380"/>
        <v/>
      </c>
      <c r="X4044" s="64">
        <f t="shared" si="381"/>
        <v>0</v>
      </c>
      <c r="Y4044" s="53">
        <f t="shared" si="382"/>
        <v>0</v>
      </c>
      <c r="Z4044" s="64">
        <f t="shared" si="383"/>
        <v>0</v>
      </c>
    </row>
    <row r="4045" spans="1:26">
      <c r="A4045" s="89" t="str">
        <f t="shared" si="378"/>
        <v/>
      </c>
      <c r="B4045" s="89" t="str">
        <f t="shared" si="379"/>
        <v/>
      </c>
      <c r="S4045" s="89" t="str">
        <f t="shared" si="380"/>
        <v/>
      </c>
      <c r="X4045" s="64">
        <f t="shared" si="381"/>
        <v>0</v>
      </c>
      <c r="Y4045" s="53">
        <f t="shared" si="382"/>
        <v>0</v>
      </c>
      <c r="Z4045" s="64">
        <f t="shared" si="383"/>
        <v>0</v>
      </c>
    </row>
    <row r="4046" spans="1:26">
      <c r="A4046" s="89" t="str">
        <f t="shared" si="378"/>
        <v/>
      </c>
      <c r="B4046" s="89" t="str">
        <f t="shared" si="379"/>
        <v/>
      </c>
      <c r="S4046" s="89" t="str">
        <f t="shared" si="380"/>
        <v/>
      </c>
      <c r="X4046" s="64">
        <f t="shared" si="381"/>
        <v>0</v>
      </c>
      <c r="Y4046" s="53">
        <f t="shared" si="382"/>
        <v>0</v>
      </c>
      <c r="Z4046" s="64">
        <f t="shared" si="383"/>
        <v>0</v>
      </c>
    </row>
    <row r="4047" spans="1:26">
      <c r="A4047" s="89" t="str">
        <f t="shared" si="378"/>
        <v/>
      </c>
      <c r="B4047" s="89" t="str">
        <f t="shared" si="379"/>
        <v/>
      </c>
      <c r="S4047" s="89" t="str">
        <f t="shared" si="380"/>
        <v/>
      </c>
      <c r="X4047" s="64">
        <f t="shared" si="381"/>
        <v>0</v>
      </c>
      <c r="Y4047" s="53">
        <f t="shared" si="382"/>
        <v>0</v>
      </c>
      <c r="Z4047" s="64">
        <f t="shared" si="383"/>
        <v>0</v>
      </c>
    </row>
    <row r="4048" spans="1:26">
      <c r="A4048" s="89" t="str">
        <f t="shared" si="378"/>
        <v/>
      </c>
      <c r="B4048" s="89" t="str">
        <f t="shared" si="379"/>
        <v/>
      </c>
      <c r="S4048" s="89" t="str">
        <f t="shared" si="380"/>
        <v/>
      </c>
      <c r="X4048" s="64">
        <f t="shared" si="381"/>
        <v>0</v>
      </c>
      <c r="Y4048" s="53">
        <f t="shared" si="382"/>
        <v>0</v>
      </c>
      <c r="Z4048" s="64">
        <f t="shared" si="383"/>
        <v>0</v>
      </c>
    </row>
    <row r="4049" spans="1:26">
      <c r="A4049" s="89" t="str">
        <f t="shared" si="378"/>
        <v/>
      </c>
      <c r="B4049" s="89" t="str">
        <f t="shared" si="379"/>
        <v/>
      </c>
      <c r="S4049" s="89" t="str">
        <f t="shared" si="380"/>
        <v/>
      </c>
      <c r="X4049" s="64">
        <f t="shared" si="381"/>
        <v>0</v>
      </c>
      <c r="Y4049" s="53">
        <f t="shared" si="382"/>
        <v>0</v>
      </c>
      <c r="Z4049" s="64">
        <f t="shared" si="383"/>
        <v>0</v>
      </c>
    </row>
    <row r="4050" spans="1:26">
      <c r="A4050" s="89" t="str">
        <f t="shared" si="378"/>
        <v/>
      </c>
      <c r="B4050" s="89" t="str">
        <f t="shared" si="379"/>
        <v/>
      </c>
      <c r="S4050" s="89" t="str">
        <f t="shared" si="380"/>
        <v/>
      </c>
      <c r="X4050" s="64">
        <f t="shared" si="381"/>
        <v>0</v>
      </c>
      <c r="Y4050" s="53">
        <f t="shared" si="382"/>
        <v>0</v>
      </c>
      <c r="Z4050" s="64">
        <f t="shared" si="383"/>
        <v>0</v>
      </c>
    </row>
    <row r="4051" spans="1:26">
      <c r="A4051" s="89" t="str">
        <f t="shared" si="378"/>
        <v/>
      </c>
      <c r="B4051" s="89" t="str">
        <f t="shared" si="379"/>
        <v/>
      </c>
      <c r="S4051" s="89" t="str">
        <f t="shared" si="380"/>
        <v/>
      </c>
      <c r="X4051" s="64">
        <f t="shared" si="381"/>
        <v>0</v>
      </c>
      <c r="Y4051" s="53">
        <f t="shared" si="382"/>
        <v>0</v>
      </c>
      <c r="Z4051" s="64">
        <f t="shared" si="383"/>
        <v>0</v>
      </c>
    </row>
    <row r="4052" spans="1:26">
      <c r="A4052" s="89" t="str">
        <f t="shared" si="378"/>
        <v/>
      </c>
      <c r="B4052" s="89" t="str">
        <f t="shared" si="379"/>
        <v/>
      </c>
      <c r="S4052" s="89" t="str">
        <f t="shared" si="380"/>
        <v/>
      </c>
      <c r="X4052" s="64">
        <f t="shared" si="381"/>
        <v>0</v>
      </c>
      <c r="Y4052" s="53">
        <f t="shared" si="382"/>
        <v>0</v>
      </c>
      <c r="Z4052" s="64">
        <f t="shared" si="383"/>
        <v>0</v>
      </c>
    </row>
    <row r="4053" spans="1:26">
      <c r="A4053" s="89" t="str">
        <f t="shared" si="378"/>
        <v/>
      </c>
      <c r="B4053" s="89" t="str">
        <f t="shared" si="379"/>
        <v/>
      </c>
      <c r="S4053" s="89" t="str">
        <f t="shared" si="380"/>
        <v/>
      </c>
      <c r="X4053" s="64">
        <f t="shared" si="381"/>
        <v>0</v>
      </c>
      <c r="Y4053" s="53">
        <f t="shared" si="382"/>
        <v>0</v>
      </c>
      <c r="Z4053" s="64">
        <f t="shared" si="383"/>
        <v>0</v>
      </c>
    </row>
    <row r="4054" spans="1:26">
      <c r="A4054" s="89" t="str">
        <f t="shared" si="378"/>
        <v/>
      </c>
      <c r="B4054" s="89" t="str">
        <f t="shared" si="379"/>
        <v/>
      </c>
      <c r="S4054" s="89" t="str">
        <f t="shared" si="380"/>
        <v/>
      </c>
      <c r="X4054" s="64">
        <f t="shared" si="381"/>
        <v>0</v>
      </c>
      <c r="Y4054" s="53">
        <f t="shared" si="382"/>
        <v>0</v>
      </c>
      <c r="Z4054" s="64">
        <f t="shared" si="383"/>
        <v>0</v>
      </c>
    </row>
    <row r="4055" spans="1:26">
      <c r="A4055" s="89" t="str">
        <f t="shared" si="378"/>
        <v/>
      </c>
      <c r="B4055" s="89" t="str">
        <f t="shared" si="379"/>
        <v/>
      </c>
      <c r="S4055" s="89" t="str">
        <f t="shared" si="380"/>
        <v/>
      </c>
      <c r="X4055" s="64">
        <f t="shared" si="381"/>
        <v>0</v>
      </c>
      <c r="Y4055" s="53">
        <f t="shared" si="382"/>
        <v>0</v>
      </c>
      <c r="Z4055" s="64">
        <f t="shared" si="383"/>
        <v>0</v>
      </c>
    </row>
    <row r="4056" spans="1:26">
      <c r="A4056" s="89" t="str">
        <f t="shared" si="378"/>
        <v/>
      </c>
      <c r="B4056" s="89" t="str">
        <f t="shared" si="379"/>
        <v/>
      </c>
      <c r="S4056" s="89" t="str">
        <f t="shared" si="380"/>
        <v/>
      </c>
      <c r="X4056" s="64">
        <f t="shared" si="381"/>
        <v>0</v>
      </c>
      <c r="Y4056" s="53">
        <f t="shared" si="382"/>
        <v>0</v>
      </c>
      <c r="Z4056" s="64">
        <f t="shared" si="383"/>
        <v>0</v>
      </c>
    </row>
    <row r="4057" spans="1:26">
      <c r="A4057" s="89" t="str">
        <f t="shared" si="378"/>
        <v/>
      </c>
      <c r="B4057" s="89" t="str">
        <f t="shared" si="379"/>
        <v/>
      </c>
      <c r="S4057" s="89" t="str">
        <f t="shared" si="380"/>
        <v/>
      </c>
      <c r="X4057" s="64">
        <f t="shared" si="381"/>
        <v>0</v>
      </c>
      <c r="Y4057" s="53">
        <f t="shared" si="382"/>
        <v>0</v>
      </c>
      <c r="Z4057" s="64">
        <f t="shared" si="383"/>
        <v>0</v>
      </c>
    </row>
    <row r="4058" spans="1:26">
      <c r="A4058" s="89" t="str">
        <f t="shared" si="378"/>
        <v/>
      </c>
      <c r="B4058" s="89" t="str">
        <f t="shared" si="379"/>
        <v/>
      </c>
      <c r="S4058" s="89" t="str">
        <f t="shared" si="380"/>
        <v/>
      </c>
      <c r="X4058" s="64">
        <f t="shared" si="381"/>
        <v>0</v>
      </c>
      <c r="Y4058" s="53">
        <f t="shared" si="382"/>
        <v>0</v>
      </c>
      <c r="Z4058" s="64">
        <f t="shared" si="383"/>
        <v>0</v>
      </c>
    </row>
    <row r="4059" spans="1:26">
      <c r="A4059" s="89" t="str">
        <f t="shared" si="378"/>
        <v/>
      </c>
      <c r="B4059" s="89" t="str">
        <f t="shared" si="379"/>
        <v/>
      </c>
      <c r="S4059" s="89" t="str">
        <f t="shared" si="380"/>
        <v/>
      </c>
      <c r="X4059" s="64">
        <f t="shared" si="381"/>
        <v>0</v>
      </c>
      <c r="Y4059" s="53">
        <f t="shared" si="382"/>
        <v>0</v>
      </c>
      <c r="Z4059" s="64">
        <f t="shared" si="383"/>
        <v>0</v>
      </c>
    </row>
    <row r="4060" spans="1:26">
      <c r="A4060" s="89" t="str">
        <f t="shared" si="378"/>
        <v/>
      </c>
      <c r="B4060" s="89" t="str">
        <f t="shared" si="379"/>
        <v/>
      </c>
      <c r="S4060" s="89" t="str">
        <f t="shared" si="380"/>
        <v/>
      </c>
      <c r="X4060" s="64">
        <f t="shared" si="381"/>
        <v>0</v>
      </c>
      <c r="Y4060" s="53">
        <f t="shared" si="382"/>
        <v>0</v>
      </c>
      <c r="Z4060" s="64">
        <f t="shared" si="383"/>
        <v>0</v>
      </c>
    </row>
    <row r="4061" spans="1:26">
      <c r="A4061" s="89" t="str">
        <f t="shared" si="378"/>
        <v/>
      </c>
      <c r="B4061" s="89" t="str">
        <f t="shared" si="379"/>
        <v/>
      </c>
      <c r="S4061" s="89" t="str">
        <f t="shared" si="380"/>
        <v/>
      </c>
      <c r="X4061" s="64">
        <f t="shared" si="381"/>
        <v>0</v>
      </c>
      <c r="Y4061" s="53">
        <f t="shared" si="382"/>
        <v>0</v>
      </c>
      <c r="Z4061" s="64">
        <f t="shared" si="383"/>
        <v>0</v>
      </c>
    </row>
    <row r="4062" spans="1:26">
      <c r="A4062" s="89" t="str">
        <f t="shared" si="378"/>
        <v/>
      </c>
      <c r="B4062" s="89" t="str">
        <f t="shared" si="379"/>
        <v/>
      </c>
      <c r="S4062" s="89" t="str">
        <f t="shared" si="380"/>
        <v/>
      </c>
      <c r="X4062" s="64">
        <f t="shared" si="381"/>
        <v>0</v>
      </c>
      <c r="Y4062" s="53">
        <f t="shared" si="382"/>
        <v>0</v>
      </c>
      <c r="Z4062" s="64">
        <f t="shared" si="383"/>
        <v>0</v>
      </c>
    </row>
    <row r="4063" spans="1:26">
      <c r="A4063" s="89" t="str">
        <f t="shared" si="378"/>
        <v/>
      </c>
      <c r="B4063" s="89" t="str">
        <f t="shared" si="379"/>
        <v/>
      </c>
      <c r="S4063" s="89" t="str">
        <f t="shared" si="380"/>
        <v/>
      </c>
      <c r="X4063" s="64">
        <f t="shared" si="381"/>
        <v>0</v>
      </c>
      <c r="Y4063" s="53">
        <f t="shared" si="382"/>
        <v>0</v>
      </c>
      <c r="Z4063" s="64">
        <f t="shared" si="383"/>
        <v>0</v>
      </c>
    </row>
    <row r="4064" spans="1:26">
      <c r="A4064" s="89" t="str">
        <f t="shared" si="378"/>
        <v/>
      </c>
      <c r="B4064" s="89" t="str">
        <f t="shared" si="379"/>
        <v/>
      </c>
      <c r="S4064" s="89" t="str">
        <f t="shared" si="380"/>
        <v/>
      </c>
      <c r="X4064" s="64">
        <f t="shared" si="381"/>
        <v>0</v>
      </c>
      <c r="Y4064" s="53">
        <f t="shared" si="382"/>
        <v>0</v>
      </c>
      <c r="Z4064" s="64">
        <f t="shared" si="383"/>
        <v>0</v>
      </c>
    </row>
    <row r="4065" spans="1:26">
      <c r="A4065" s="89" t="str">
        <f t="shared" si="378"/>
        <v/>
      </c>
      <c r="B4065" s="89" t="str">
        <f t="shared" si="379"/>
        <v/>
      </c>
      <c r="S4065" s="89" t="str">
        <f t="shared" si="380"/>
        <v/>
      </c>
      <c r="X4065" s="64">
        <f t="shared" si="381"/>
        <v>0</v>
      </c>
      <c r="Y4065" s="53">
        <f t="shared" si="382"/>
        <v>0</v>
      </c>
      <c r="Z4065" s="64">
        <f t="shared" si="383"/>
        <v>0</v>
      </c>
    </row>
    <row r="4066" spans="1:26">
      <c r="A4066" s="89" t="str">
        <f t="shared" si="378"/>
        <v/>
      </c>
      <c r="B4066" s="89" t="str">
        <f t="shared" si="379"/>
        <v/>
      </c>
      <c r="S4066" s="89" t="str">
        <f t="shared" si="380"/>
        <v/>
      </c>
      <c r="X4066" s="64">
        <f t="shared" si="381"/>
        <v>0</v>
      </c>
      <c r="Y4066" s="53">
        <f t="shared" si="382"/>
        <v>0</v>
      </c>
      <c r="Z4066" s="64">
        <f t="shared" si="383"/>
        <v>0</v>
      </c>
    </row>
    <row r="4067" spans="1:26">
      <c r="A4067" s="89" t="str">
        <f t="shared" si="378"/>
        <v/>
      </c>
      <c r="B4067" s="89" t="str">
        <f t="shared" si="379"/>
        <v/>
      </c>
      <c r="S4067" s="89" t="str">
        <f t="shared" si="380"/>
        <v/>
      </c>
      <c r="X4067" s="64">
        <f t="shared" si="381"/>
        <v>0</v>
      </c>
      <c r="Y4067" s="53">
        <f t="shared" si="382"/>
        <v>0</v>
      </c>
      <c r="Z4067" s="64">
        <f t="shared" si="383"/>
        <v>0</v>
      </c>
    </row>
    <row r="4068" spans="1:26">
      <c r="A4068" s="89" t="str">
        <f t="shared" si="378"/>
        <v/>
      </c>
      <c r="B4068" s="89" t="str">
        <f t="shared" si="379"/>
        <v/>
      </c>
      <c r="S4068" s="89" t="str">
        <f t="shared" si="380"/>
        <v/>
      </c>
      <c r="X4068" s="64">
        <f t="shared" si="381"/>
        <v>0</v>
      </c>
      <c r="Y4068" s="53">
        <f t="shared" si="382"/>
        <v>0</v>
      </c>
      <c r="Z4068" s="64">
        <f t="shared" si="383"/>
        <v>0</v>
      </c>
    </row>
    <row r="4069" spans="1:26">
      <c r="A4069" s="89" t="str">
        <f t="shared" si="378"/>
        <v/>
      </c>
      <c r="B4069" s="89" t="str">
        <f t="shared" si="379"/>
        <v/>
      </c>
      <c r="S4069" s="89" t="str">
        <f t="shared" si="380"/>
        <v/>
      </c>
      <c r="X4069" s="64">
        <f t="shared" si="381"/>
        <v>0</v>
      </c>
      <c r="Y4069" s="53">
        <f t="shared" si="382"/>
        <v>0</v>
      </c>
      <c r="Z4069" s="64">
        <f t="shared" si="383"/>
        <v>0</v>
      </c>
    </row>
    <row r="4070" spans="1:26">
      <c r="A4070" s="89" t="str">
        <f t="shared" si="378"/>
        <v/>
      </c>
      <c r="B4070" s="89" t="str">
        <f t="shared" si="379"/>
        <v/>
      </c>
      <c r="S4070" s="89" t="str">
        <f t="shared" si="380"/>
        <v/>
      </c>
      <c r="X4070" s="64">
        <f t="shared" si="381"/>
        <v>0</v>
      </c>
      <c r="Y4070" s="53">
        <f t="shared" si="382"/>
        <v>0</v>
      </c>
      <c r="Z4070" s="64">
        <f t="shared" si="383"/>
        <v>0</v>
      </c>
    </row>
    <row r="4071" spans="1:26">
      <c r="A4071" s="89" t="str">
        <f t="shared" si="378"/>
        <v/>
      </c>
      <c r="B4071" s="89" t="str">
        <f t="shared" si="379"/>
        <v/>
      </c>
      <c r="S4071" s="89" t="str">
        <f t="shared" si="380"/>
        <v/>
      </c>
      <c r="X4071" s="64">
        <f t="shared" si="381"/>
        <v>0</v>
      </c>
      <c r="Y4071" s="53">
        <f t="shared" si="382"/>
        <v>0</v>
      </c>
      <c r="Z4071" s="64">
        <f t="shared" si="383"/>
        <v>0</v>
      </c>
    </row>
    <row r="4072" spans="1:26">
      <c r="A4072" s="89" t="str">
        <f t="shared" si="378"/>
        <v/>
      </c>
      <c r="B4072" s="89" t="str">
        <f t="shared" si="379"/>
        <v/>
      </c>
      <c r="S4072" s="89" t="str">
        <f t="shared" si="380"/>
        <v/>
      </c>
      <c r="X4072" s="64">
        <f t="shared" si="381"/>
        <v>0</v>
      </c>
      <c r="Y4072" s="53">
        <f t="shared" si="382"/>
        <v>0</v>
      </c>
      <c r="Z4072" s="64">
        <f t="shared" si="383"/>
        <v>0</v>
      </c>
    </row>
    <row r="4073" spans="1:26">
      <c r="A4073" s="89" t="str">
        <f t="shared" si="378"/>
        <v/>
      </c>
      <c r="B4073" s="89" t="str">
        <f t="shared" si="379"/>
        <v/>
      </c>
      <c r="S4073" s="89" t="str">
        <f t="shared" si="380"/>
        <v/>
      </c>
      <c r="X4073" s="64">
        <f t="shared" si="381"/>
        <v>0</v>
      </c>
      <c r="Y4073" s="53">
        <f t="shared" si="382"/>
        <v>0</v>
      </c>
      <c r="Z4073" s="64">
        <f t="shared" si="383"/>
        <v>0</v>
      </c>
    </row>
    <row r="4074" spans="1:26">
      <c r="A4074" s="89" t="str">
        <f t="shared" si="378"/>
        <v/>
      </c>
      <c r="B4074" s="89" t="str">
        <f t="shared" si="379"/>
        <v/>
      </c>
      <c r="S4074" s="89" t="str">
        <f t="shared" si="380"/>
        <v/>
      </c>
      <c r="X4074" s="64">
        <f t="shared" si="381"/>
        <v>0</v>
      </c>
      <c r="Y4074" s="53">
        <f t="shared" si="382"/>
        <v>0</v>
      </c>
      <c r="Z4074" s="64">
        <f t="shared" si="383"/>
        <v>0</v>
      </c>
    </row>
    <row r="4075" spans="1:26">
      <c r="A4075" s="89" t="str">
        <f t="shared" si="378"/>
        <v/>
      </c>
      <c r="B4075" s="89" t="str">
        <f t="shared" si="379"/>
        <v/>
      </c>
      <c r="S4075" s="89" t="str">
        <f t="shared" si="380"/>
        <v/>
      </c>
      <c r="X4075" s="64">
        <f t="shared" si="381"/>
        <v>0</v>
      </c>
      <c r="Y4075" s="53">
        <f t="shared" si="382"/>
        <v>0</v>
      </c>
      <c r="Z4075" s="64">
        <f t="shared" si="383"/>
        <v>0</v>
      </c>
    </row>
    <row r="4076" spans="1:26">
      <c r="A4076" s="89" t="str">
        <f t="shared" si="378"/>
        <v/>
      </c>
      <c r="B4076" s="89" t="str">
        <f t="shared" si="379"/>
        <v/>
      </c>
      <c r="S4076" s="89" t="str">
        <f t="shared" si="380"/>
        <v/>
      </c>
      <c r="X4076" s="64">
        <f t="shared" si="381"/>
        <v>0</v>
      </c>
      <c r="Y4076" s="53">
        <f t="shared" si="382"/>
        <v>0</v>
      </c>
      <c r="Z4076" s="64">
        <f t="shared" si="383"/>
        <v>0</v>
      </c>
    </row>
    <row r="4077" spans="1:26">
      <c r="A4077" s="89" t="str">
        <f t="shared" si="378"/>
        <v/>
      </c>
      <c r="B4077" s="89" t="str">
        <f t="shared" si="379"/>
        <v/>
      </c>
      <c r="S4077" s="89" t="str">
        <f t="shared" si="380"/>
        <v/>
      </c>
      <c r="X4077" s="64">
        <f t="shared" si="381"/>
        <v>0</v>
      </c>
      <c r="Y4077" s="53">
        <f t="shared" si="382"/>
        <v>0</v>
      </c>
      <c r="Z4077" s="64">
        <f t="shared" si="383"/>
        <v>0</v>
      </c>
    </row>
    <row r="4078" spans="1:26">
      <c r="A4078" s="89" t="str">
        <f t="shared" si="378"/>
        <v/>
      </c>
      <c r="B4078" s="89" t="str">
        <f t="shared" si="379"/>
        <v/>
      </c>
      <c r="S4078" s="89" t="str">
        <f t="shared" si="380"/>
        <v/>
      </c>
      <c r="X4078" s="64">
        <f t="shared" si="381"/>
        <v>0</v>
      </c>
      <c r="Y4078" s="53">
        <f t="shared" si="382"/>
        <v>0</v>
      </c>
      <c r="Z4078" s="64">
        <f t="shared" si="383"/>
        <v>0</v>
      </c>
    </row>
    <row r="4079" spans="1:26">
      <c r="A4079" s="89" t="str">
        <f t="shared" si="378"/>
        <v/>
      </c>
      <c r="B4079" s="89" t="str">
        <f t="shared" si="379"/>
        <v/>
      </c>
      <c r="S4079" s="89" t="str">
        <f t="shared" si="380"/>
        <v/>
      </c>
      <c r="X4079" s="64">
        <f t="shared" si="381"/>
        <v>0</v>
      </c>
      <c r="Y4079" s="53">
        <f t="shared" si="382"/>
        <v>0</v>
      </c>
      <c r="Z4079" s="64">
        <f t="shared" si="383"/>
        <v>0</v>
      </c>
    </row>
    <row r="4080" spans="1:26">
      <c r="A4080" s="89" t="str">
        <f t="shared" si="378"/>
        <v/>
      </c>
      <c r="B4080" s="89" t="str">
        <f t="shared" si="379"/>
        <v/>
      </c>
      <c r="S4080" s="89" t="str">
        <f t="shared" si="380"/>
        <v/>
      </c>
      <c r="X4080" s="64">
        <f t="shared" si="381"/>
        <v>0</v>
      </c>
      <c r="Y4080" s="53">
        <f t="shared" si="382"/>
        <v>0</v>
      </c>
      <c r="Z4080" s="64">
        <f t="shared" si="383"/>
        <v>0</v>
      </c>
    </row>
    <row r="4081" spans="1:26">
      <c r="A4081" s="89" t="str">
        <f t="shared" si="378"/>
        <v/>
      </c>
      <c r="B4081" s="89" t="str">
        <f t="shared" si="379"/>
        <v/>
      </c>
      <c r="S4081" s="89" t="str">
        <f t="shared" si="380"/>
        <v/>
      </c>
      <c r="X4081" s="64">
        <f t="shared" si="381"/>
        <v>0</v>
      </c>
      <c r="Y4081" s="53">
        <f t="shared" si="382"/>
        <v>0</v>
      </c>
      <c r="Z4081" s="64">
        <f t="shared" si="383"/>
        <v>0</v>
      </c>
    </row>
    <row r="4082" spans="1:26">
      <c r="A4082" s="89" t="str">
        <f t="shared" si="378"/>
        <v/>
      </c>
      <c r="B4082" s="89" t="str">
        <f t="shared" si="379"/>
        <v/>
      </c>
      <c r="S4082" s="89" t="str">
        <f t="shared" si="380"/>
        <v/>
      </c>
      <c r="X4082" s="64">
        <f t="shared" si="381"/>
        <v>0</v>
      </c>
      <c r="Y4082" s="53">
        <f t="shared" si="382"/>
        <v>0</v>
      </c>
      <c r="Z4082" s="64">
        <f t="shared" si="383"/>
        <v>0</v>
      </c>
    </row>
    <row r="4083" spans="1:26">
      <c r="A4083" s="89" t="str">
        <f t="shared" si="378"/>
        <v/>
      </c>
      <c r="B4083" s="89" t="str">
        <f t="shared" si="379"/>
        <v/>
      </c>
      <c r="S4083" s="89" t="str">
        <f t="shared" si="380"/>
        <v/>
      </c>
      <c r="X4083" s="64">
        <f t="shared" si="381"/>
        <v>0</v>
      </c>
      <c r="Y4083" s="53">
        <f t="shared" si="382"/>
        <v>0</v>
      </c>
      <c r="Z4083" s="64">
        <f t="shared" si="383"/>
        <v>0</v>
      </c>
    </row>
    <row r="4084" spans="1:26">
      <c r="A4084" s="89" t="str">
        <f t="shared" si="378"/>
        <v/>
      </c>
      <c r="B4084" s="89" t="str">
        <f t="shared" si="379"/>
        <v/>
      </c>
      <c r="S4084" s="89" t="str">
        <f t="shared" si="380"/>
        <v/>
      </c>
      <c r="X4084" s="64">
        <f t="shared" si="381"/>
        <v>0</v>
      </c>
      <c r="Y4084" s="53">
        <f t="shared" si="382"/>
        <v>0</v>
      </c>
      <c r="Z4084" s="64">
        <f t="shared" si="383"/>
        <v>0</v>
      </c>
    </row>
    <row r="4085" spans="1:26">
      <c r="A4085" s="89" t="str">
        <f t="shared" si="378"/>
        <v/>
      </c>
      <c r="B4085" s="89" t="str">
        <f t="shared" si="379"/>
        <v/>
      </c>
      <c r="S4085" s="89" t="str">
        <f t="shared" si="380"/>
        <v/>
      </c>
      <c r="X4085" s="64">
        <f t="shared" si="381"/>
        <v>0</v>
      </c>
      <c r="Y4085" s="53">
        <f t="shared" si="382"/>
        <v>0</v>
      </c>
      <c r="Z4085" s="64">
        <f t="shared" si="383"/>
        <v>0</v>
      </c>
    </row>
    <row r="4086" spans="1:26">
      <c r="A4086" s="89" t="str">
        <f t="shared" si="378"/>
        <v/>
      </c>
      <c r="B4086" s="89" t="str">
        <f t="shared" si="379"/>
        <v/>
      </c>
      <c r="S4086" s="89" t="str">
        <f t="shared" si="380"/>
        <v/>
      </c>
      <c r="X4086" s="64">
        <f t="shared" si="381"/>
        <v>0</v>
      </c>
      <c r="Y4086" s="53">
        <f t="shared" si="382"/>
        <v>0</v>
      </c>
      <c r="Z4086" s="64">
        <f t="shared" si="383"/>
        <v>0</v>
      </c>
    </row>
    <row r="4087" spans="1:26">
      <c r="A4087" s="89" t="str">
        <f t="shared" si="378"/>
        <v/>
      </c>
      <c r="B4087" s="89" t="str">
        <f t="shared" si="379"/>
        <v/>
      </c>
      <c r="S4087" s="89" t="str">
        <f t="shared" si="380"/>
        <v/>
      </c>
      <c r="X4087" s="64">
        <f t="shared" si="381"/>
        <v>0</v>
      </c>
      <c r="Y4087" s="53">
        <f t="shared" si="382"/>
        <v>0</v>
      </c>
      <c r="Z4087" s="64">
        <f t="shared" si="383"/>
        <v>0</v>
      </c>
    </row>
    <row r="4088" spans="1:26">
      <c r="A4088" s="89" t="str">
        <f t="shared" si="378"/>
        <v/>
      </c>
      <c r="B4088" s="89" t="str">
        <f t="shared" si="379"/>
        <v/>
      </c>
      <c r="S4088" s="89" t="str">
        <f t="shared" si="380"/>
        <v/>
      </c>
      <c r="X4088" s="64">
        <f t="shared" si="381"/>
        <v>0</v>
      </c>
      <c r="Y4088" s="53">
        <f t="shared" si="382"/>
        <v>0</v>
      </c>
      <c r="Z4088" s="64">
        <f t="shared" si="383"/>
        <v>0</v>
      </c>
    </row>
    <row r="4089" spans="1:26">
      <c r="A4089" s="89" t="str">
        <f t="shared" si="378"/>
        <v/>
      </c>
      <c r="B4089" s="89" t="str">
        <f t="shared" si="379"/>
        <v/>
      </c>
      <c r="S4089" s="89" t="str">
        <f t="shared" si="380"/>
        <v/>
      </c>
      <c r="X4089" s="64">
        <f t="shared" si="381"/>
        <v>0</v>
      </c>
      <c r="Y4089" s="53">
        <f t="shared" si="382"/>
        <v>0</v>
      </c>
      <c r="Z4089" s="64">
        <f t="shared" si="383"/>
        <v>0</v>
      </c>
    </row>
    <row r="4090" spans="1:26">
      <c r="A4090" s="89" t="str">
        <f t="shared" si="378"/>
        <v/>
      </c>
      <c r="B4090" s="89" t="str">
        <f t="shared" si="379"/>
        <v/>
      </c>
      <c r="S4090" s="89" t="str">
        <f t="shared" si="380"/>
        <v/>
      </c>
      <c r="X4090" s="64">
        <f t="shared" si="381"/>
        <v>0</v>
      </c>
      <c r="Y4090" s="53">
        <f t="shared" si="382"/>
        <v>0</v>
      </c>
      <c r="Z4090" s="64">
        <f t="shared" si="383"/>
        <v>0</v>
      </c>
    </row>
    <row r="4091" spans="1:26">
      <c r="A4091" s="89" t="str">
        <f t="shared" si="378"/>
        <v/>
      </c>
      <c r="B4091" s="89" t="str">
        <f t="shared" si="379"/>
        <v/>
      </c>
      <c r="S4091" s="89" t="str">
        <f t="shared" si="380"/>
        <v/>
      </c>
      <c r="X4091" s="64">
        <f t="shared" si="381"/>
        <v>0</v>
      </c>
      <c r="Y4091" s="53">
        <f t="shared" si="382"/>
        <v>0</v>
      </c>
      <c r="Z4091" s="64">
        <f t="shared" si="383"/>
        <v>0</v>
      </c>
    </row>
    <row r="4092" spans="1:26">
      <c r="A4092" s="89" t="str">
        <f t="shared" si="378"/>
        <v/>
      </c>
      <c r="B4092" s="89" t="str">
        <f t="shared" si="379"/>
        <v/>
      </c>
      <c r="S4092" s="89" t="str">
        <f t="shared" si="380"/>
        <v/>
      </c>
      <c r="X4092" s="64">
        <f t="shared" si="381"/>
        <v>0</v>
      </c>
      <c r="Y4092" s="53">
        <f t="shared" si="382"/>
        <v>0</v>
      </c>
      <c r="Z4092" s="64">
        <f t="shared" si="383"/>
        <v>0</v>
      </c>
    </row>
    <row r="4093" spans="1:26">
      <c r="A4093" s="89" t="str">
        <f t="shared" si="378"/>
        <v/>
      </c>
      <c r="B4093" s="89" t="str">
        <f t="shared" si="379"/>
        <v/>
      </c>
      <c r="S4093" s="89" t="str">
        <f t="shared" si="380"/>
        <v/>
      </c>
      <c r="X4093" s="64">
        <f t="shared" si="381"/>
        <v>0</v>
      </c>
      <c r="Y4093" s="53">
        <f t="shared" si="382"/>
        <v>0</v>
      </c>
      <c r="Z4093" s="64">
        <f t="shared" si="383"/>
        <v>0</v>
      </c>
    </row>
    <row r="4094" spans="1:26">
      <c r="A4094" s="89" t="str">
        <f t="shared" si="378"/>
        <v/>
      </c>
      <c r="B4094" s="89" t="str">
        <f t="shared" si="379"/>
        <v/>
      </c>
      <c r="S4094" s="89" t="str">
        <f t="shared" si="380"/>
        <v/>
      </c>
      <c r="X4094" s="64">
        <f t="shared" si="381"/>
        <v>0</v>
      </c>
      <c r="Y4094" s="53">
        <f t="shared" si="382"/>
        <v>0</v>
      </c>
      <c r="Z4094" s="64">
        <f t="shared" si="383"/>
        <v>0</v>
      </c>
    </row>
    <row r="4095" spans="1:26">
      <c r="A4095" s="89" t="str">
        <f t="shared" si="378"/>
        <v/>
      </c>
      <c r="B4095" s="89" t="str">
        <f t="shared" si="379"/>
        <v/>
      </c>
      <c r="S4095" s="89" t="str">
        <f t="shared" si="380"/>
        <v/>
      </c>
      <c r="X4095" s="64">
        <f t="shared" si="381"/>
        <v>0</v>
      </c>
      <c r="Y4095" s="53">
        <f t="shared" si="382"/>
        <v>0</v>
      </c>
      <c r="Z4095" s="64">
        <f t="shared" si="383"/>
        <v>0</v>
      </c>
    </row>
    <row r="4096" spans="1:26">
      <c r="A4096" s="89" t="str">
        <f t="shared" si="378"/>
        <v/>
      </c>
      <c r="B4096" s="89" t="str">
        <f t="shared" si="379"/>
        <v/>
      </c>
      <c r="S4096" s="89" t="str">
        <f t="shared" si="380"/>
        <v/>
      </c>
      <c r="X4096" s="64">
        <f t="shared" si="381"/>
        <v>0</v>
      </c>
      <c r="Y4096" s="53">
        <f t="shared" si="382"/>
        <v>0</v>
      </c>
      <c r="Z4096" s="64">
        <f t="shared" si="383"/>
        <v>0</v>
      </c>
    </row>
    <row r="4097" spans="1:26">
      <c r="A4097" s="89" t="str">
        <f t="shared" si="378"/>
        <v/>
      </c>
      <c r="B4097" s="89" t="str">
        <f t="shared" si="379"/>
        <v/>
      </c>
      <c r="S4097" s="89" t="str">
        <f t="shared" si="380"/>
        <v/>
      </c>
      <c r="X4097" s="64">
        <f t="shared" si="381"/>
        <v>0</v>
      </c>
      <c r="Y4097" s="53">
        <f t="shared" si="382"/>
        <v>0</v>
      </c>
      <c r="Z4097" s="64">
        <f t="shared" si="383"/>
        <v>0</v>
      </c>
    </row>
    <row r="4098" spans="1:26">
      <c r="A4098" s="89" t="str">
        <f t="shared" si="378"/>
        <v/>
      </c>
      <c r="B4098" s="89" t="str">
        <f t="shared" si="379"/>
        <v/>
      </c>
      <c r="S4098" s="89" t="str">
        <f t="shared" si="380"/>
        <v/>
      </c>
      <c r="X4098" s="64">
        <f t="shared" si="381"/>
        <v>0</v>
      </c>
      <c r="Y4098" s="53">
        <f t="shared" si="382"/>
        <v>0</v>
      </c>
      <c r="Z4098" s="64">
        <f t="shared" si="383"/>
        <v>0</v>
      </c>
    </row>
    <row r="4099" spans="1:26">
      <c r="A4099" s="89" t="str">
        <f t="shared" ref="A4099:A4162" si="384">IF(G4099&amp;Q4099&lt;&gt;"",G4099&amp;Q4099,"")</f>
        <v/>
      </c>
      <c r="B4099" s="89" t="str">
        <f t="shared" ref="B4099:B4162" si="385">IF(C4099&lt;&gt;"",LEFT(C4099,9),"")</f>
        <v/>
      </c>
      <c r="S4099" s="89" t="str">
        <f t="shared" ref="S4099:S4162" si="386">IF(H4099&lt;&gt;"",H4099,"")</f>
        <v/>
      </c>
      <c r="X4099" s="64">
        <f t="shared" ref="X4099:X4162" si="387">IFERROR(VALUE(MID($C4099,1,2)),0)</f>
        <v>0</v>
      </c>
      <c r="Y4099" s="53">
        <f t="shared" ref="Y4099:Y4162" si="388">IFERROR(VALUE(MID($C4099,4,3)),0)</f>
        <v>0</v>
      </c>
      <c r="Z4099" s="64">
        <f t="shared" ref="Z4099:Z4162" si="389">VALUE(RIGHT("00"&amp;X4099,2)&amp;RIGHT("000"&amp;Y4099,3))</f>
        <v>0</v>
      </c>
    </row>
    <row r="4100" spans="1:26">
      <c r="A4100" s="89" t="str">
        <f t="shared" si="384"/>
        <v/>
      </c>
      <c r="B4100" s="89" t="str">
        <f t="shared" si="385"/>
        <v/>
      </c>
      <c r="S4100" s="89" t="str">
        <f t="shared" si="386"/>
        <v/>
      </c>
      <c r="X4100" s="64">
        <f t="shared" si="387"/>
        <v>0</v>
      </c>
      <c r="Y4100" s="53">
        <f t="shared" si="388"/>
        <v>0</v>
      </c>
      <c r="Z4100" s="64">
        <f t="shared" si="389"/>
        <v>0</v>
      </c>
    </row>
    <row r="4101" spans="1:26">
      <c r="A4101" s="89" t="str">
        <f t="shared" si="384"/>
        <v/>
      </c>
      <c r="B4101" s="89" t="str">
        <f t="shared" si="385"/>
        <v/>
      </c>
      <c r="S4101" s="89" t="str">
        <f t="shared" si="386"/>
        <v/>
      </c>
      <c r="X4101" s="64">
        <f t="shared" si="387"/>
        <v>0</v>
      </c>
      <c r="Y4101" s="53">
        <f t="shared" si="388"/>
        <v>0</v>
      </c>
      <c r="Z4101" s="64">
        <f t="shared" si="389"/>
        <v>0</v>
      </c>
    </row>
    <row r="4102" spans="1:26">
      <c r="A4102" s="89" t="str">
        <f t="shared" si="384"/>
        <v/>
      </c>
      <c r="B4102" s="89" t="str">
        <f t="shared" si="385"/>
        <v/>
      </c>
      <c r="S4102" s="89" t="str">
        <f t="shared" si="386"/>
        <v/>
      </c>
      <c r="X4102" s="64">
        <f t="shared" si="387"/>
        <v>0</v>
      </c>
      <c r="Y4102" s="53">
        <f t="shared" si="388"/>
        <v>0</v>
      </c>
      <c r="Z4102" s="64">
        <f t="shared" si="389"/>
        <v>0</v>
      </c>
    </row>
    <row r="4103" spans="1:26">
      <c r="A4103" s="89" t="str">
        <f t="shared" si="384"/>
        <v/>
      </c>
      <c r="B4103" s="89" t="str">
        <f t="shared" si="385"/>
        <v/>
      </c>
      <c r="S4103" s="89" t="str">
        <f t="shared" si="386"/>
        <v/>
      </c>
      <c r="X4103" s="64">
        <f t="shared" si="387"/>
        <v>0</v>
      </c>
      <c r="Y4103" s="53">
        <f t="shared" si="388"/>
        <v>0</v>
      </c>
      <c r="Z4103" s="64">
        <f t="shared" si="389"/>
        <v>0</v>
      </c>
    </row>
    <row r="4104" spans="1:26">
      <c r="A4104" s="89" t="str">
        <f t="shared" si="384"/>
        <v/>
      </c>
      <c r="B4104" s="89" t="str">
        <f t="shared" si="385"/>
        <v/>
      </c>
      <c r="S4104" s="89" t="str">
        <f t="shared" si="386"/>
        <v/>
      </c>
      <c r="X4104" s="64">
        <f t="shared" si="387"/>
        <v>0</v>
      </c>
      <c r="Y4104" s="53">
        <f t="shared" si="388"/>
        <v>0</v>
      </c>
      <c r="Z4104" s="64">
        <f t="shared" si="389"/>
        <v>0</v>
      </c>
    </row>
    <row r="4105" spans="1:26">
      <c r="A4105" s="89" t="str">
        <f t="shared" si="384"/>
        <v/>
      </c>
      <c r="B4105" s="89" t="str">
        <f t="shared" si="385"/>
        <v/>
      </c>
      <c r="S4105" s="89" t="str">
        <f t="shared" si="386"/>
        <v/>
      </c>
      <c r="X4105" s="64">
        <f t="shared" si="387"/>
        <v>0</v>
      </c>
      <c r="Y4105" s="53">
        <f t="shared" si="388"/>
        <v>0</v>
      </c>
      <c r="Z4105" s="64">
        <f t="shared" si="389"/>
        <v>0</v>
      </c>
    </row>
    <row r="4106" spans="1:26">
      <c r="A4106" s="89" t="str">
        <f t="shared" si="384"/>
        <v/>
      </c>
      <c r="B4106" s="89" t="str">
        <f t="shared" si="385"/>
        <v/>
      </c>
      <c r="S4106" s="89" t="str">
        <f t="shared" si="386"/>
        <v/>
      </c>
      <c r="X4106" s="64">
        <f t="shared" si="387"/>
        <v>0</v>
      </c>
      <c r="Y4106" s="53">
        <f t="shared" si="388"/>
        <v>0</v>
      </c>
      <c r="Z4106" s="64">
        <f t="shared" si="389"/>
        <v>0</v>
      </c>
    </row>
    <row r="4107" spans="1:26">
      <c r="A4107" s="89" t="str">
        <f t="shared" si="384"/>
        <v/>
      </c>
      <c r="B4107" s="89" t="str">
        <f t="shared" si="385"/>
        <v/>
      </c>
      <c r="S4107" s="89" t="str">
        <f t="shared" si="386"/>
        <v/>
      </c>
      <c r="X4107" s="64">
        <f t="shared" si="387"/>
        <v>0</v>
      </c>
      <c r="Y4107" s="53">
        <f t="shared" si="388"/>
        <v>0</v>
      </c>
      <c r="Z4107" s="64">
        <f t="shared" si="389"/>
        <v>0</v>
      </c>
    </row>
    <row r="4108" spans="1:26">
      <c r="A4108" s="89" t="str">
        <f t="shared" si="384"/>
        <v/>
      </c>
      <c r="B4108" s="89" t="str">
        <f t="shared" si="385"/>
        <v/>
      </c>
      <c r="S4108" s="89" t="str">
        <f t="shared" si="386"/>
        <v/>
      </c>
      <c r="X4108" s="64">
        <f t="shared" si="387"/>
        <v>0</v>
      </c>
      <c r="Y4108" s="53">
        <f t="shared" si="388"/>
        <v>0</v>
      </c>
      <c r="Z4108" s="64">
        <f t="shared" si="389"/>
        <v>0</v>
      </c>
    </row>
    <row r="4109" spans="1:26">
      <c r="A4109" s="89" t="str">
        <f t="shared" si="384"/>
        <v/>
      </c>
      <c r="B4109" s="89" t="str">
        <f t="shared" si="385"/>
        <v/>
      </c>
      <c r="S4109" s="89" t="str">
        <f t="shared" si="386"/>
        <v/>
      </c>
      <c r="X4109" s="64">
        <f t="shared" si="387"/>
        <v>0</v>
      </c>
      <c r="Y4109" s="53">
        <f t="shared" si="388"/>
        <v>0</v>
      </c>
      <c r="Z4109" s="64">
        <f t="shared" si="389"/>
        <v>0</v>
      </c>
    </row>
    <row r="4110" spans="1:26">
      <c r="A4110" s="89" t="str">
        <f t="shared" si="384"/>
        <v/>
      </c>
      <c r="B4110" s="89" t="str">
        <f t="shared" si="385"/>
        <v/>
      </c>
      <c r="S4110" s="89" t="str">
        <f t="shared" si="386"/>
        <v/>
      </c>
      <c r="X4110" s="64">
        <f t="shared" si="387"/>
        <v>0</v>
      </c>
      <c r="Y4110" s="53">
        <f t="shared" si="388"/>
        <v>0</v>
      </c>
      <c r="Z4110" s="64">
        <f t="shared" si="389"/>
        <v>0</v>
      </c>
    </row>
    <row r="4111" spans="1:26">
      <c r="A4111" s="89" t="str">
        <f t="shared" si="384"/>
        <v/>
      </c>
      <c r="B4111" s="89" t="str">
        <f t="shared" si="385"/>
        <v/>
      </c>
      <c r="S4111" s="89" t="str">
        <f t="shared" si="386"/>
        <v/>
      </c>
      <c r="X4111" s="64">
        <f t="shared" si="387"/>
        <v>0</v>
      </c>
      <c r="Y4111" s="53">
        <f t="shared" si="388"/>
        <v>0</v>
      </c>
      <c r="Z4111" s="64">
        <f t="shared" si="389"/>
        <v>0</v>
      </c>
    </row>
    <row r="4112" spans="1:26">
      <c r="A4112" s="89" t="str">
        <f t="shared" si="384"/>
        <v/>
      </c>
      <c r="B4112" s="89" t="str">
        <f t="shared" si="385"/>
        <v/>
      </c>
      <c r="S4112" s="89" t="str">
        <f t="shared" si="386"/>
        <v/>
      </c>
      <c r="X4112" s="64">
        <f t="shared" si="387"/>
        <v>0</v>
      </c>
      <c r="Y4112" s="53">
        <f t="shared" si="388"/>
        <v>0</v>
      </c>
      <c r="Z4112" s="64">
        <f t="shared" si="389"/>
        <v>0</v>
      </c>
    </row>
    <row r="4113" spans="1:26">
      <c r="A4113" s="89" t="str">
        <f t="shared" si="384"/>
        <v/>
      </c>
      <c r="B4113" s="89" t="str">
        <f t="shared" si="385"/>
        <v/>
      </c>
      <c r="S4113" s="89" t="str">
        <f t="shared" si="386"/>
        <v/>
      </c>
      <c r="X4113" s="64">
        <f t="shared" si="387"/>
        <v>0</v>
      </c>
      <c r="Y4113" s="53">
        <f t="shared" si="388"/>
        <v>0</v>
      </c>
      <c r="Z4113" s="64">
        <f t="shared" si="389"/>
        <v>0</v>
      </c>
    </row>
    <row r="4114" spans="1:26">
      <c r="A4114" s="89" t="str">
        <f t="shared" si="384"/>
        <v/>
      </c>
      <c r="B4114" s="89" t="str">
        <f t="shared" si="385"/>
        <v/>
      </c>
      <c r="S4114" s="89" t="str">
        <f t="shared" si="386"/>
        <v/>
      </c>
      <c r="X4114" s="64">
        <f t="shared" si="387"/>
        <v>0</v>
      </c>
      <c r="Y4114" s="53">
        <f t="shared" si="388"/>
        <v>0</v>
      </c>
      <c r="Z4114" s="64">
        <f t="shared" si="389"/>
        <v>0</v>
      </c>
    </row>
    <row r="4115" spans="1:26">
      <c r="A4115" s="89" t="str">
        <f t="shared" si="384"/>
        <v/>
      </c>
      <c r="B4115" s="89" t="str">
        <f t="shared" si="385"/>
        <v/>
      </c>
      <c r="S4115" s="89" t="str">
        <f t="shared" si="386"/>
        <v/>
      </c>
      <c r="X4115" s="64">
        <f t="shared" si="387"/>
        <v>0</v>
      </c>
      <c r="Y4115" s="53">
        <f t="shared" si="388"/>
        <v>0</v>
      </c>
      <c r="Z4115" s="64">
        <f t="shared" si="389"/>
        <v>0</v>
      </c>
    </row>
    <row r="4116" spans="1:26">
      <c r="A4116" s="89" t="str">
        <f t="shared" si="384"/>
        <v/>
      </c>
      <c r="B4116" s="89" t="str">
        <f t="shared" si="385"/>
        <v/>
      </c>
      <c r="S4116" s="89" t="str">
        <f t="shared" si="386"/>
        <v/>
      </c>
      <c r="X4116" s="64">
        <f t="shared" si="387"/>
        <v>0</v>
      </c>
      <c r="Y4116" s="53">
        <f t="shared" si="388"/>
        <v>0</v>
      </c>
      <c r="Z4116" s="64">
        <f t="shared" si="389"/>
        <v>0</v>
      </c>
    </row>
    <row r="4117" spans="1:26">
      <c r="A4117" s="89" t="str">
        <f t="shared" si="384"/>
        <v/>
      </c>
      <c r="B4117" s="89" t="str">
        <f t="shared" si="385"/>
        <v/>
      </c>
      <c r="S4117" s="89" t="str">
        <f t="shared" si="386"/>
        <v/>
      </c>
      <c r="X4117" s="64">
        <f t="shared" si="387"/>
        <v>0</v>
      </c>
      <c r="Y4117" s="53">
        <f t="shared" si="388"/>
        <v>0</v>
      </c>
      <c r="Z4117" s="64">
        <f t="shared" si="389"/>
        <v>0</v>
      </c>
    </row>
    <row r="4118" spans="1:26">
      <c r="A4118" s="89" t="str">
        <f t="shared" si="384"/>
        <v/>
      </c>
      <c r="B4118" s="89" t="str">
        <f t="shared" si="385"/>
        <v/>
      </c>
      <c r="S4118" s="89" t="str">
        <f t="shared" si="386"/>
        <v/>
      </c>
      <c r="X4118" s="64">
        <f t="shared" si="387"/>
        <v>0</v>
      </c>
      <c r="Y4118" s="53">
        <f t="shared" si="388"/>
        <v>0</v>
      </c>
      <c r="Z4118" s="64">
        <f t="shared" si="389"/>
        <v>0</v>
      </c>
    </row>
    <row r="4119" spans="1:26">
      <c r="A4119" s="89" t="str">
        <f t="shared" si="384"/>
        <v/>
      </c>
      <c r="B4119" s="89" t="str">
        <f t="shared" si="385"/>
        <v/>
      </c>
      <c r="S4119" s="89" t="str">
        <f t="shared" si="386"/>
        <v/>
      </c>
      <c r="X4119" s="64">
        <f t="shared" si="387"/>
        <v>0</v>
      </c>
      <c r="Y4119" s="53">
        <f t="shared" si="388"/>
        <v>0</v>
      </c>
      <c r="Z4119" s="64">
        <f t="shared" si="389"/>
        <v>0</v>
      </c>
    </row>
    <row r="4120" spans="1:26">
      <c r="A4120" s="89" t="str">
        <f t="shared" si="384"/>
        <v/>
      </c>
      <c r="B4120" s="89" t="str">
        <f t="shared" si="385"/>
        <v/>
      </c>
      <c r="S4120" s="89" t="str">
        <f t="shared" si="386"/>
        <v/>
      </c>
      <c r="X4120" s="64">
        <f t="shared" si="387"/>
        <v>0</v>
      </c>
      <c r="Y4120" s="53">
        <f t="shared" si="388"/>
        <v>0</v>
      </c>
      <c r="Z4120" s="64">
        <f t="shared" si="389"/>
        <v>0</v>
      </c>
    </row>
    <row r="4121" spans="1:26">
      <c r="A4121" s="89" t="str">
        <f t="shared" si="384"/>
        <v/>
      </c>
      <c r="B4121" s="89" t="str">
        <f t="shared" si="385"/>
        <v/>
      </c>
      <c r="S4121" s="89" t="str">
        <f t="shared" si="386"/>
        <v/>
      </c>
      <c r="X4121" s="64">
        <f t="shared" si="387"/>
        <v>0</v>
      </c>
      <c r="Y4121" s="53">
        <f t="shared" si="388"/>
        <v>0</v>
      </c>
      <c r="Z4121" s="64">
        <f t="shared" si="389"/>
        <v>0</v>
      </c>
    </row>
    <row r="4122" spans="1:26">
      <c r="A4122" s="89" t="str">
        <f t="shared" si="384"/>
        <v/>
      </c>
      <c r="B4122" s="89" t="str">
        <f t="shared" si="385"/>
        <v/>
      </c>
      <c r="S4122" s="89" t="str">
        <f t="shared" si="386"/>
        <v/>
      </c>
      <c r="X4122" s="64">
        <f t="shared" si="387"/>
        <v>0</v>
      </c>
      <c r="Y4122" s="53">
        <f t="shared" si="388"/>
        <v>0</v>
      </c>
      <c r="Z4122" s="64">
        <f t="shared" si="389"/>
        <v>0</v>
      </c>
    </row>
    <row r="4123" spans="1:26">
      <c r="A4123" s="89" t="str">
        <f t="shared" si="384"/>
        <v/>
      </c>
      <c r="B4123" s="89" t="str">
        <f t="shared" si="385"/>
        <v/>
      </c>
      <c r="S4123" s="89" t="str">
        <f t="shared" si="386"/>
        <v/>
      </c>
      <c r="X4123" s="64">
        <f t="shared" si="387"/>
        <v>0</v>
      </c>
      <c r="Y4123" s="53">
        <f t="shared" si="388"/>
        <v>0</v>
      </c>
      <c r="Z4123" s="64">
        <f t="shared" si="389"/>
        <v>0</v>
      </c>
    </row>
    <row r="4124" spans="1:26">
      <c r="A4124" s="89" t="str">
        <f t="shared" si="384"/>
        <v/>
      </c>
      <c r="B4124" s="89" t="str">
        <f t="shared" si="385"/>
        <v/>
      </c>
      <c r="S4124" s="89" t="str">
        <f t="shared" si="386"/>
        <v/>
      </c>
      <c r="X4124" s="64">
        <f t="shared" si="387"/>
        <v>0</v>
      </c>
      <c r="Y4124" s="53">
        <f t="shared" si="388"/>
        <v>0</v>
      </c>
      <c r="Z4124" s="64">
        <f t="shared" si="389"/>
        <v>0</v>
      </c>
    </row>
    <row r="4125" spans="1:26">
      <c r="A4125" s="89" t="str">
        <f t="shared" si="384"/>
        <v/>
      </c>
      <c r="B4125" s="89" t="str">
        <f t="shared" si="385"/>
        <v/>
      </c>
      <c r="S4125" s="89" t="str">
        <f t="shared" si="386"/>
        <v/>
      </c>
      <c r="X4125" s="64">
        <f t="shared" si="387"/>
        <v>0</v>
      </c>
      <c r="Y4125" s="53">
        <f t="shared" si="388"/>
        <v>0</v>
      </c>
      <c r="Z4125" s="64">
        <f t="shared" si="389"/>
        <v>0</v>
      </c>
    </row>
    <row r="4126" spans="1:26">
      <c r="A4126" s="89" t="str">
        <f t="shared" si="384"/>
        <v/>
      </c>
      <c r="B4126" s="89" t="str">
        <f t="shared" si="385"/>
        <v/>
      </c>
      <c r="S4126" s="89" t="str">
        <f t="shared" si="386"/>
        <v/>
      </c>
      <c r="X4126" s="64">
        <f t="shared" si="387"/>
        <v>0</v>
      </c>
      <c r="Y4126" s="53">
        <f t="shared" si="388"/>
        <v>0</v>
      </c>
      <c r="Z4126" s="64">
        <f t="shared" si="389"/>
        <v>0</v>
      </c>
    </row>
    <row r="4127" spans="1:26">
      <c r="A4127" s="89" t="str">
        <f t="shared" si="384"/>
        <v/>
      </c>
      <c r="B4127" s="89" t="str">
        <f t="shared" si="385"/>
        <v/>
      </c>
      <c r="S4127" s="89" t="str">
        <f t="shared" si="386"/>
        <v/>
      </c>
      <c r="X4127" s="64">
        <f t="shared" si="387"/>
        <v>0</v>
      </c>
      <c r="Y4127" s="53">
        <f t="shared" si="388"/>
        <v>0</v>
      </c>
      <c r="Z4127" s="64">
        <f t="shared" si="389"/>
        <v>0</v>
      </c>
    </row>
    <row r="4128" spans="1:26">
      <c r="A4128" s="89" t="str">
        <f t="shared" si="384"/>
        <v/>
      </c>
      <c r="B4128" s="89" t="str">
        <f t="shared" si="385"/>
        <v/>
      </c>
      <c r="S4128" s="89" t="str">
        <f t="shared" si="386"/>
        <v/>
      </c>
      <c r="X4128" s="64">
        <f t="shared" si="387"/>
        <v>0</v>
      </c>
      <c r="Y4128" s="53">
        <f t="shared" si="388"/>
        <v>0</v>
      </c>
      <c r="Z4128" s="64">
        <f t="shared" si="389"/>
        <v>0</v>
      </c>
    </row>
    <row r="4129" spans="1:26">
      <c r="A4129" s="89" t="str">
        <f t="shared" si="384"/>
        <v/>
      </c>
      <c r="B4129" s="89" t="str">
        <f t="shared" si="385"/>
        <v/>
      </c>
      <c r="S4129" s="89" t="str">
        <f t="shared" si="386"/>
        <v/>
      </c>
      <c r="X4129" s="64">
        <f t="shared" si="387"/>
        <v>0</v>
      </c>
      <c r="Y4129" s="53">
        <f t="shared" si="388"/>
        <v>0</v>
      </c>
      <c r="Z4129" s="64">
        <f t="shared" si="389"/>
        <v>0</v>
      </c>
    </row>
    <row r="4130" spans="1:26">
      <c r="A4130" s="89" t="str">
        <f t="shared" si="384"/>
        <v/>
      </c>
      <c r="B4130" s="89" t="str">
        <f t="shared" si="385"/>
        <v/>
      </c>
      <c r="S4130" s="89" t="str">
        <f t="shared" si="386"/>
        <v/>
      </c>
      <c r="X4130" s="64">
        <f t="shared" si="387"/>
        <v>0</v>
      </c>
      <c r="Y4130" s="53">
        <f t="shared" si="388"/>
        <v>0</v>
      </c>
      <c r="Z4130" s="64">
        <f t="shared" si="389"/>
        <v>0</v>
      </c>
    </row>
    <row r="4131" spans="1:26">
      <c r="A4131" s="89" t="str">
        <f t="shared" si="384"/>
        <v/>
      </c>
      <c r="B4131" s="89" t="str">
        <f t="shared" si="385"/>
        <v/>
      </c>
      <c r="S4131" s="89" t="str">
        <f t="shared" si="386"/>
        <v/>
      </c>
      <c r="X4131" s="64">
        <f t="shared" si="387"/>
        <v>0</v>
      </c>
      <c r="Y4131" s="53">
        <f t="shared" si="388"/>
        <v>0</v>
      </c>
      <c r="Z4131" s="64">
        <f t="shared" si="389"/>
        <v>0</v>
      </c>
    </row>
    <row r="4132" spans="1:26">
      <c r="A4132" s="89" t="str">
        <f t="shared" si="384"/>
        <v/>
      </c>
      <c r="B4132" s="89" t="str">
        <f t="shared" si="385"/>
        <v/>
      </c>
      <c r="S4132" s="89" t="str">
        <f t="shared" si="386"/>
        <v/>
      </c>
      <c r="X4132" s="64">
        <f t="shared" si="387"/>
        <v>0</v>
      </c>
      <c r="Y4132" s="53">
        <f t="shared" si="388"/>
        <v>0</v>
      </c>
      <c r="Z4132" s="64">
        <f t="shared" si="389"/>
        <v>0</v>
      </c>
    </row>
    <row r="4133" spans="1:26">
      <c r="A4133" s="89" t="str">
        <f t="shared" si="384"/>
        <v/>
      </c>
      <c r="B4133" s="89" t="str">
        <f t="shared" si="385"/>
        <v/>
      </c>
      <c r="S4133" s="89" t="str">
        <f t="shared" si="386"/>
        <v/>
      </c>
      <c r="X4133" s="64">
        <f t="shared" si="387"/>
        <v>0</v>
      </c>
      <c r="Y4133" s="53">
        <f t="shared" si="388"/>
        <v>0</v>
      </c>
      <c r="Z4133" s="64">
        <f t="shared" si="389"/>
        <v>0</v>
      </c>
    </row>
    <row r="4134" spans="1:26">
      <c r="A4134" s="89" t="str">
        <f t="shared" si="384"/>
        <v/>
      </c>
      <c r="B4134" s="89" t="str">
        <f t="shared" si="385"/>
        <v/>
      </c>
      <c r="S4134" s="89" t="str">
        <f t="shared" si="386"/>
        <v/>
      </c>
      <c r="X4134" s="64">
        <f t="shared" si="387"/>
        <v>0</v>
      </c>
      <c r="Y4134" s="53">
        <f t="shared" si="388"/>
        <v>0</v>
      </c>
      <c r="Z4134" s="64">
        <f t="shared" si="389"/>
        <v>0</v>
      </c>
    </row>
    <row r="4135" spans="1:26">
      <c r="A4135" s="89" t="str">
        <f t="shared" si="384"/>
        <v/>
      </c>
      <c r="B4135" s="89" t="str">
        <f t="shared" si="385"/>
        <v/>
      </c>
      <c r="S4135" s="89" t="str">
        <f t="shared" si="386"/>
        <v/>
      </c>
      <c r="X4135" s="64">
        <f t="shared" si="387"/>
        <v>0</v>
      </c>
      <c r="Y4135" s="53">
        <f t="shared" si="388"/>
        <v>0</v>
      </c>
      <c r="Z4135" s="64">
        <f t="shared" si="389"/>
        <v>0</v>
      </c>
    </row>
    <row r="4136" spans="1:26">
      <c r="A4136" s="89" t="str">
        <f t="shared" si="384"/>
        <v/>
      </c>
      <c r="B4136" s="89" t="str">
        <f t="shared" si="385"/>
        <v/>
      </c>
      <c r="S4136" s="89" t="str">
        <f t="shared" si="386"/>
        <v/>
      </c>
      <c r="X4136" s="64">
        <f t="shared" si="387"/>
        <v>0</v>
      </c>
      <c r="Y4136" s="53">
        <f t="shared" si="388"/>
        <v>0</v>
      </c>
      <c r="Z4136" s="64">
        <f t="shared" si="389"/>
        <v>0</v>
      </c>
    </row>
    <row r="4137" spans="1:26">
      <c r="A4137" s="89" t="str">
        <f t="shared" si="384"/>
        <v/>
      </c>
      <c r="B4137" s="89" t="str">
        <f t="shared" si="385"/>
        <v/>
      </c>
      <c r="S4137" s="89" t="str">
        <f t="shared" si="386"/>
        <v/>
      </c>
      <c r="X4137" s="64">
        <f t="shared" si="387"/>
        <v>0</v>
      </c>
      <c r="Y4137" s="53">
        <f t="shared" si="388"/>
        <v>0</v>
      </c>
      <c r="Z4137" s="64">
        <f t="shared" si="389"/>
        <v>0</v>
      </c>
    </row>
    <row r="4138" spans="1:26">
      <c r="A4138" s="89" t="str">
        <f t="shared" si="384"/>
        <v/>
      </c>
      <c r="B4138" s="89" t="str">
        <f t="shared" si="385"/>
        <v/>
      </c>
      <c r="S4138" s="89" t="str">
        <f t="shared" si="386"/>
        <v/>
      </c>
      <c r="X4138" s="64">
        <f t="shared" si="387"/>
        <v>0</v>
      </c>
      <c r="Y4138" s="53">
        <f t="shared" si="388"/>
        <v>0</v>
      </c>
      <c r="Z4138" s="64">
        <f t="shared" si="389"/>
        <v>0</v>
      </c>
    </row>
    <row r="4139" spans="1:26">
      <c r="A4139" s="89" t="str">
        <f t="shared" si="384"/>
        <v/>
      </c>
      <c r="B4139" s="89" t="str">
        <f t="shared" si="385"/>
        <v/>
      </c>
      <c r="S4139" s="89" t="str">
        <f t="shared" si="386"/>
        <v/>
      </c>
      <c r="X4139" s="64">
        <f t="shared" si="387"/>
        <v>0</v>
      </c>
      <c r="Y4139" s="53">
        <f t="shared" si="388"/>
        <v>0</v>
      </c>
      <c r="Z4139" s="64">
        <f t="shared" si="389"/>
        <v>0</v>
      </c>
    </row>
    <row r="4140" spans="1:26">
      <c r="A4140" s="89" t="str">
        <f t="shared" si="384"/>
        <v/>
      </c>
      <c r="B4140" s="89" t="str">
        <f t="shared" si="385"/>
        <v/>
      </c>
      <c r="S4140" s="89" t="str">
        <f t="shared" si="386"/>
        <v/>
      </c>
      <c r="X4140" s="64">
        <f t="shared" si="387"/>
        <v>0</v>
      </c>
      <c r="Y4140" s="53">
        <f t="shared" si="388"/>
        <v>0</v>
      </c>
      <c r="Z4140" s="64">
        <f t="shared" si="389"/>
        <v>0</v>
      </c>
    </row>
    <row r="4141" spans="1:26">
      <c r="A4141" s="89" t="str">
        <f t="shared" si="384"/>
        <v/>
      </c>
      <c r="B4141" s="89" t="str">
        <f t="shared" si="385"/>
        <v/>
      </c>
      <c r="S4141" s="89" t="str">
        <f t="shared" si="386"/>
        <v/>
      </c>
      <c r="X4141" s="64">
        <f t="shared" si="387"/>
        <v>0</v>
      </c>
      <c r="Y4141" s="53">
        <f t="shared" si="388"/>
        <v>0</v>
      </c>
      <c r="Z4141" s="64">
        <f t="shared" si="389"/>
        <v>0</v>
      </c>
    </row>
    <row r="4142" spans="1:26">
      <c r="A4142" s="89" t="str">
        <f t="shared" si="384"/>
        <v/>
      </c>
      <c r="B4142" s="89" t="str">
        <f t="shared" si="385"/>
        <v/>
      </c>
      <c r="S4142" s="89" t="str">
        <f t="shared" si="386"/>
        <v/>
      </c>
      <c r="X4142" s="64">
        <f t="shared" si="387"/>
        <v>0</v>
      </c>
      <c r="Y4142" s="53">
        <f t="shared" si="388"/>
        <v>0</v>
      </c>
      <c r="Z4142" s="64">
        <f t="shared" si="389"/>
        <v>0</v>
      </c>
    </row>
    <row r="4143" spans="1:26">
      <c r="A4143" s="89" t="str">
        <f t="shared" si="384"/>
        <v/>
      </c>
      <c r="B4143" s="89" t="str">
        <f t="shared" si="385"/>
        <v/>
      </c>
      <c r="S4143" s="89" t="str">
        <f t="shared" si="386"/>
        <v/>
      </c>
      <c r="X4143" s="64">
        <f t="shared" si="387"/>
        <v>0</v>
      </c>
      <c r="Y4143" s="53">
        <f t="shared" si="388"/>
        <v>0</v>
      </c>
      <c r="Z4143" s="64">
        <f t="shared" si="389"/>
        <v>0</v>
      </c>
    </row>
    <row r="4144" spans="1:26">
      <c r="A4144" s="89" t="str">
        <f t="shared" si="384"/>
        <v/>
      </c>
      <c r="B4144" s="89" t="str">
        <f t="shared" si="385"/>
        <v/>
      </c>
      <c r="S4144" s="89" t="str">
        <f t="shared" si="386"/>
        <v/>
      </c>
      <c r="X4144" s="64">
        <f t="shared" si="387"/>
        <v>0</v>
      </c>
      <c r="Y4144" s="53">
        <f t="shared" si="388"/>
        <v>0</v>
      </c>
      <c r="Z4144" s="64">
        <f t="shared" si="389"/>
        <v>0</v>
      </c>
    </row>
    <row r="4145" spans="1:26">
      <c r="A4145" s="89" t="str">
        <f t="shared" si="384"/>
        <v/>
      </c>
      <c r="B4145" s="89" t="str">
        <f t="shared" si="385"/>
        <v/>
      </c>
      <c r="S4145" s="89" t="str">
        <f t="shared" si="386"/>
        <v/>
      </c>
      <c r="X4145" s="64">
        <f t="shared" si="387"/>
        <v>0</v>
      </c>
      <c r="Y4145" s="53">
        <f t="shared" si="388"/>
        <v>0</v>
      </c>
      <c r="Z4145" s="64">
        <f t="shared" si="389"/>
        <v>0</v>
      </c>
    </row>
    <row r="4146" spans="1:26">
      <c r="A4146" s="89" t="str">
        <f t="shared" si="384"/>
        <v/>
      </c>
      <c r="B4146" s="89" t="str">
        <f t="shared" si="385"/>
        <v/>
      </c>
      <c r="S4146" s="89" t="str">
        <f t="shared" si="386"/>
        <v/>
      </c>
      <c r="X4146" s="64">
        <f t="shared" si="387"/>
        <v>0</v>
      </c>
      <c r="Y4146" s="53">
        <f t="shared" si="388"/>
        <v>0</v>
      </c>
      <c r="Z4146" s="64">
        <f t="shared" si="389"/>
        <v>0</v>
      </c>
    </row>
    <row r="4147" spans="1:26">
      <c r="A4147" s="89" t="str">
        <f t="shared" si="384"/>
        <v/>
      </c>
      <c r="B4147" s="89" t="str">
        <f t="shared" si="385"/>
        <v/>
      </c>
      <c r="S4147" s="89" t="str">
        <f t="shared" si="386"/>
        <v/>
      </c>
      <c r="X4147" s="64">
        <f t="shared" si="387"/>
        <v>0</v>
      </c>
      <c r="Y4147" s="53">
        <f t="shared" si="388"/>
        <v>0</v>
      </c>
      <c r="Z4147" s="64">
        <f t="shared" si="389"/>
        <v>0</v>
      </c>
    </row>
    <row r="4148" spans="1:26">
      <c r="A4148" s="89" t="str">
        <f t="shared" si="384"/>
        <v/>
      </c>
      <c r="B4148" s="89" t="str">
        <f t="shared" si="385"/>
        <v/>
      </c>
      <c r="S4148" s="89" t="str">
        <f t="shared" si="386"/>
        <v/>
      </c>
      <c r="X4148" s="64">
        <f t="shared" si="387"/>
        <v>0</v>
      </c>
      <c r="Y4148" s="53">
        <f t="shared" si="388"/>
        <v>0</v>
      </c>
      <c r="Z4148" s="64">
        <f t="shared" si="389"/>
        <v>0</v>
      </c>
    </row>
    <row r="4149" spans="1:26">
      <c r="A4149" s="89" t="str">
        <f t="shared" si="384"/>
        <v/>
      </c>
      <c r="B4149" s="89" t="str">
        <f t="shared" si="385"/>
        <v/>
      </c>
      <c r="S4149" s="89" t="str">
        <f t="shared" si="386"/>
        <v/>
      </c>
      <c r="X4149" s="64">
        <f t="shared" si="387"/>
        <v>0</v>
      </c>
      <c r="Y4149" s="53">
        <f t="shared" si="388"/>
        <v>0</v>
      </c>
      <c r="Z4149" s="64">
        <f t="shared" si="389"/>
        <v>0</v>
      </c>
    </row>
    <row r="4150" spans="1:26">
      <c r="A4150" s="89" t="str">
        <f t="shared" si="384"/>
        <v/>
      </c>
      <c r="B4150" s="89" t="str">
        <f t="shared" si="385"/>
        <v/>
      </c>
      <c r="S4150" s="89" t="str">
        <f t="shared" si="386"/>
        <v/>
      </c>
      <c r="X4150" s="64">
        <f t="shared" si="387"/>
        <v>0</v>
      </c>
      <c r="Y4150" s="53">
        <f t="shared" si="388"/>
        <v>0</v>
      </c>
      <c r="Z4150" s="64">
        <f t="shared" si="389"/>
        <v>0</v>
      </c>
    </row>
    <row r="4151" spans="1:26">
      <c r="A4151" s="89" t="str">
        <f t="shared" si="384"/>
        <v/>
      </c>
      <c r="B4151" s="89" t="str">
        <f t="shared" si="385"/>
        <v/>
      </c>
      <c r="S4151" s="89" t="str">
        <f t="shared" si="386"/>
        <v/>
      </c>
      <c r="X4151" s="64">
        <f t="shared" si="387"/>
        <v>0</v>
      </c>
      <c r="Y4151" s="53">
        <f t="shared" si="388"/>
        <v>0</v>
      </c>
      <c r="Z4151" s="64">
        <f t="shared" si="389"/>
        <v>0</v>
      </c>
    </row>
    <row r="4152" spans="1:26">
      <c r="A4152" s="89" t="str">
        <f t="shared" si="384"/>
        <v/>
      </c>
      <c r="B4152" s="89" t="str">
        <f t="shared" si="385"/>
        <v/>
      </c>
      <c r="S4152" s="89" t="str">
        <f t="shared" si="386"/>
        <v/>
      </c>
      <c r="X4152" s="64">
        <f t="shared" si="387"/>
        <v>0</v>
      </c>
      <c r="Y4152" s="53">
        <f t="shared" si="388"/>
        <v>0</v>
      </c>
      <c r="Z4152" s="64">
        <f t="shared" si="389"/>
        <v>0</v>
      </c>
    </row>
    <row r="4153" spans="1:26">
      <c r="A4153" s="89" t="str">
        <f t="shared" si="384"/>
        <v/>
      </c>
      <c r="B4153" s="89" t="str">
        <f t="shared" si="385"/>
        <v/>
      </c>
      <c r="S4153" s="89" t="str">
        <f t="shared" si="386"/>
        <v/>
      </c>
      <c r="X4153" s="64">
        <f t="shared" si="387"/>
        <v>0</v>
      </c>
      <c r="Y4153" s="53">
        <f t="shared" si="388"/>
        <v>0</v>
      </c>
      <c r="Z4153" s="64">
        <f t="shared" si="389"/>
        <v>0</v>
      </c>
    </row>
    <row r="4154" spans="1:26">
      <c r="A4154" s="89" t="str">
        <f t="shared" si="384"/>
        <v/>
      </c>
      <c r="B4154" s="89" t="str">
        <f t="shared" si="385"/>
        <v/>
      </c>
      <c r="S4154" s="89" t="str">
        <f t="shared" si="386"/>
        <v/>
      </c>
      <c r="X4154" s="64">
        <f t="shared" si="387"/>
        <v>0</v>
      </c>
      <c r="Y4154" s="53">
        <f t="shared" si="388"/>
        <v>0</v>
      </c>
      <c r="Z4154" s="64">
        <f t="shared" si="389"/>
        <v>0</v>
      </c>
    </row>
    <row r="4155" spans="1:26">
      <c r="A4155" s="89" t="str">
        <f t="shared" si="384"/>
        <v/>
      </c>
      <c r="B4155" s="89" t="str">
        <f t="shared" si="385"/>
        <v/>
      </c>
      <c r="S4155" s="89" t="str">
        <f t="shared" si="386"/>
        <v/>
      </c>
      <c r="X4155" s="64">
        <f t="shared" si="387"/>
        <v>0</v>
      </c>
      <c r="Y4155" s="53">
        <f t="shared" si="388"/>
        <v>0</v>
      </c>
      <c r="Z4155" s="64">
        <f t="shared" si="389"/>
        <v>0</v>
      </c>
    </row>
    <row r="4156" spans="1:26">
      <c r="A4156" s="89" t="str">
        <f t="shared" si="384"/>
        <v/>
      </c>
      <c r="B4156" s="89" t="str">
        <f t="shared" si="385"/>
        <v/>
      </c>
      <c r="S4156" s="89" t="str">
        <f t="shared" si="386"/>
        <v/>
      </c>
      <c r="X4156" s="64">
        <f t="shared" si="387"/>
        <v>0</v>
      </c>
      <c r="Y4156" s="53">
        <f t="shared" si="388"/>
        <v>0</v>
      </c>
      <c r="Z4156" s="64">
        <f t="shared" si="389"/>
        <v>0</v>
      </c>
    </row>
    <row r="4157" spans="1:26">
      <c r="A4157" s="89" t="str">
        <f t="shared" si="384"/>
        <v/>
      </c>
      <c r="B4157" s="89" t="str">
        <f t="shared" si="385"/>
        <v/>
      </c>
      <c r="S4157" s="89" t="str">
        <f t="shared" si="386"/>
        <v/>
      </c>
      <c r="X4157" s="64">
        <f t="shared" si="387"/>
        <v>0</v>
      </c>
      <c r="Y4157" s="53">
        <f t="shared" si="388"/>
        <v>0</v>
      </c>
      <c r="Z4157" s="64">
        <f t="shared" si="389"/>
        <v>0</v>
      </c>
    </row>
    <row r="4158" spans="1:26">
      <c r="A4158" s="89" t="str">
        <f t="shared" si="384"/>
        <v/>
      </c>
      <c r="B4158" s="89" t="str">
        <f t="shared" si="385"/>
        <v/>
      </c>
      <c r="S4158" s="89" t="str">
        <f t="shared" si="386"/>
        <v/>
      </c>
      <c r="X4158" s="64">
        <f t="shared" si="387"/>
        <v>0</v>
      </c>
      <c r="Y4158" s="53">
        <f t="shared" si="388"/>
        <v>0</v>
      </c>
      <c r="Z4158" s="64">
        <f t="shared" si="389"/>
        <v>0</v>
      </c>
    </row>
    <row r="4159" spans="1:26">
      <c r="A4159" s="89" t="str">
        <f t="shared" si="384"/>
        <v/>
      </c>
      <c r="B4159" s="89" t="str">
        <f t="shared" si="385"/>
        <v/>
      </c>
      <c r="S4159" s="89" t="str">
        <f t="shared" si="386"/>
        <v/>
      </c>
      <c r="X4159" s="64">
        <f t="shared" si="387"/>
        <v>0</v>
      </c>
      <c r="Y4159" s="53">
        <f t="shared" si="388"/>
        <v>0</v>
      </c>
      <c r="Z4159" s="64">
        <f t="shared" si="389"/>
        <v>0</v>
      </c>
    </row>
    <row r="4160" spans="1:26">
      <c r="A4160" s="89" t="str">
        <f t="shared" si="384"/>
        <v/>
      </c>
      <c r="B4160" s="89" t="str">
        <f t="shared" si="385"/>
        <v/>
      </c>
      <c r="S4160" s="89" t="str">
        <f t="shared" si="386"/>
        <v/>
      </c>
      <c r="X4160" s="64">
        <f t="shared" si="387"/>
        <v>0</v>
      </c>
      <c r="Y4160" s="53">
        <f t="shared" si="388"/>
        <v>0</v>
      </c>
      <c r="Z4160" s="64">
        <f t="shared" si="389"/>
        <v>0</v>
      </c>
    </row>
    <row r="4161" spans="1:26">
      <c r="A4161" s="89" t="str">
        <f t="shared" si="384"/>
        <v/>
      </c>
      <c r="B4161" s="89" t="str">
        <f t="shared" si="385"/>
        <v/>
      </c>
      <c r="S4161" s="89" t="str">
        <f t="shared" si="386"/>
        <v/>
      </c>
      <c r="X4161" s="64">
        <f t="shared" si="387"/>
        <v>0</v>
      </c>
      <c r="Y4161" s="53">
        <f t="shared" si="388"/>
        <v>0</v>
      </c>
      <c r="Z4161" s="64">
        <f t="shared" si="389"/>
        <v>0</v>
      </c>
    </row>
    <row r="4162" spans="1:26">
      <c r="A4162" s="89" t="str">
        <f t="shared" si="384"/>
        <v/>
      </c>
      <c r="B4162" s="89" t="str">
        <f t="shared" si="385"/>
        <v/>
      </c>
      <c r="S4162" s="89" t="str">
        <f t="shared" si="386"/>
        <v/>
      </c>
      <c r="X4162" s="64">
        <f t="shared" si="387"/>
        <v>0</v>
      </c>
      <c r="Y4162" s="53">
        <f t="shared" si="388"/>
        <v>0</v>
      </c>
      <c r="Z4162" s="64">
        <f t="shared" si="389"/>
        <v>0</v>
      </c>
    </row>
    <row r="4163" spans="1:26">
      <c r="A4163" s="89" t="str">
        <f t="shared" ref="A4163:A4226" si="390">IF(G4163&amp;Q4163&lt;&gt;"",G4163&amp;Q4163,"")</f>
        <v/>
      </c>
      <c r="B4163" s="89" t="str">
        <f t="shared" ref="B4163:B4226" si="391">IF(C4163&lt;&gt;"",LEFT(C4163,9),"")</f>
        <v/>
      </c>
      <c r="S4163" s="89" t="str">
        <f t="shared" ref="S4163:S4226" si="392">IF(H4163&lt;&gt;"",H4163,"")</f>
        <v/>
      </c>
      <c r="X4163" s="64">
        <f t="shared" ref="X4163:X4226" si="393">IFERROR(VALUE(MID($C4163,1,2)),0)</f>
        <v>0</v>
      </c>
      <c r="Y4163" s="53">
        <f t="shared" ref="Y4163:Y4226" si="394">IFERROR(VALUE(MID($C4163,4,3)),0)</f>
        <v>0</v>
      </c>
      <c r="Z4163" s="64">
        <f t="shared" ref="Z4163:Z4226" si="395">VALUE(RIGHT("00"&amp;X4163,2)&amp;RIGHT("000"&amp;Y4163,3))</f>
        <v>0</v>
      </c>
    </row>
    <row r="4164" spans="1:26">
      <c r="A4164" s="89" t="str">
        <f t="shared" si="390"/>
        <v/>
      </c>
      <c r="B4164" s="89" t="str">
        <f t="shared" si="391"/>
        <v/>
      </c>
      <c r="S4164" s="89" t="str">
        <f t="shared" si="392"/>
        <v/>
      </c>
      <c r="X4164" s="64">
        <f t="shared" si="393"/>
        <v>0</v>
      </c>
      <c r="Y4164" s="53">
        <f t="shared" si="394"/>
        <v>0</v>
      </c>
      <c r="Z4164" s="64">
        <f t="shared" si="395"/>
        <v>0</v>
      </c>
    </row>
    <row r="4165" spans="1:26">
      <c r="A4165" s="89" t="str">
        <f t="shared" si="390"/>
        <v/>
      </c>
      <c r="B4165" s="89" t="str">
        <f t="shared" si="391"/>
        <v/>
      </c>
      <c r="S4165" s="89" t="str">
        <f t="shared" si="392"/>
        <v/>
      </c>
      <c r="X4165" s="64">
        <f t="shared" si="393"/>
        <v>0</v>
      </c>
      <c r="Y4165" s="53">
        <f t="shared" si="394"/>
        <v>0</v>
      </c>
      <c r="Z4165" s="64">
        <f t="shared" si="395"/>
        <v>0</v>
      </c>
    </row>
    <row r="4166" spans="1:26">
      <c r="A4166" s="89" t="str">
        <f t="shared" si="390"/>
        <v/>
      </c>
      <c r="B4166" s="89" t="str">
        <f t="shared" si="391"/>
        <v/>
      </c>
      <c r="S4166" s="89" t="str">
        <f t="shared" si="392"/>
        <v/>
      </c>
      <c r="X4166" s="64">
        <f t="shared" si="393"/>
        <v>0</v>
      </c>
      <c r="Y4166" s="53">
        <f t="shared" si="394"/>
        <v>0</v>
      </c>
      <c r="Z4166" s="64">
        <f t="shared" si="395"/>
        <v>0</v>
      </c>
    </row>
    <row r="4167" spans="1:26">
      <c r="A4167" s="89" t="str">
        <f t="shared" si="390"/>
        <v/>
      </c>
      <c r="B4167" s="89" t="str">
        <f t="shared" si="391"/>
        <v/>
      </c>
      <c r="S4167" s="89" t="str">
        <f t="shared" si="392"/>
        <v/>
      </c>
      <c r="X4167" s="64">
        <f t="shared" si="393"/>
        <v>0</v>
      </c>
      <c r="Y4167" s="53">
        <f t="shared" si="394"/>
        <v>0</v>
      </c>
      <c r="Z4167" s="64">
        <f t="shared" si="395"/>
        <v>0</v>
      </c>
    </row>
    <row r="4168" spans="1:26">
      <c r="A4168" s="89" t="str">
        <f t="shared" si="390"/>
        <v/>
      </c>
      <c r="B4168" s="89" t="str">
        <f t="shared" si="391"/>
        <v/>
      </c>
      <c r="S4168" s="89" t="str">
        <f t="shared" si="392"/>
        <v/>
      </c>
      <c r="X4168" s="64">
        <f t="shared" si="393"/>
        <v>0</v>
      </c>
      <c r="Y4168" s="53">
        <f t="shared" si="394"/>
        <v>0</v>
      </c>
      <c r="Z4168" s="64">
        <f t="shared" si="395"/>
        <v>0</v>
      </c>
    </row>
    <row r="4169" spans="1:26">
      <c r="A4169" s="89" t="str">
        <f t="shared" si="390"/>
        <v/>
      </c>
      <c r="B4169" s="89" t="str">
        <f t="shared" si="391"/>
        <v/>
      </c>
      <c r="S4169" s="89" t="str">
        <f t="shared" si="392"/>
        <v/>
      </c>
      <c r="X4169" s="64">
        <f t="shared" si="393"/>
        <v>0</v>
      </c>
      <c r="Y4169" s="53">
        <f t="shared" si="394"/>
        <v>0</v>
      </c>
      <c r="Z4169" s="64">
        <f t="shared" si="395"/>
        <v>0</v>
      </c>
    </row>
    <row r="4170" spans="1:26">
      <c r="A4170" s="89" t="str">
        <f t="shared" si="390"/>
        <v/>
      </c>
      <c r="B4170" s="89" t="str">
        <f t="shared" si="391"/>
        <v/>
      </c>
      <c r="S4170" s="89" t="str">
        <f t="shared" si="392"/>
        <v/>
      </c>
      <c r="X4170" s="64">
        <f t="shared" si="393"/>
        <v>0</v>
      </c>
      <c r="Y4170" s="53">
        <f t="shared" si="394"/>
        <v>0</v>
      </c>
      <c r="Z4170" s="64">
        <f t="shared" si="395"/>
        <v>0</v>
      </c>
    </row>
    <row r="4171" spans="1:26">
      <c r="A4171" s="89" t="str">
        <f t="shared" si="390"/>
        <v/>
      </c>
      <c r="B4171" s="89" t="str">
        <f t="shared" si="391"/>
        <v/>
      </c>
      <c r="S4171" s="89" t="str">
        <f t="shared" si="392"/>
        <v/>
      </c>
      <c r="X4171" s="64">
        <f t="shared" si="393"/>
        <v>0</v>
      </c>
      <c r="Y4171" s="53">
        <f t="shared" si="394"/>
        <v>0</v>
      </c>
      <c r="Z4171" s="64">
        <f t="shared" si="395"/>
        <v>0</v>
      </c>
    </row>
    <row r="4172" spans="1:26">
      <c r="A4172" s="89" t="str">
        <f t="shared" si="390"/>
        <v/>
      </c>
      <c r="B4172" s="89" t="str">
        <f t="shared" si="391"/>
        <v/>
      </c>
      <c r="S4172" s="89" t="str">
        <f t="shared" si="392"/>
        <v/>
      </c>
      <c r="X4172" s="64">
        <f t="shared" si="393"/>
        <v>0</v>
      </c>
      <c r="Y4172" s="53">
        <f t="shared" si="394"/>
        <v>0</v>
      </c>
      <c r="Z4172" s="64">
        <f t="shared" si="395"/>
        <v>0</v>
      </c>
    </row>
    <row r="4173" spans="1:26">
      <c r="A4173" s="89" t="str">
        <f t="shared" si="390"/>
        <v/>
      </c>
      <c r="B4173" s="89" t="str">
        <f t="shared" si="391"/>
        <v/>
      </c>
      <c r="S4173" s="89" t="str">
        <f t="shared" si="392"/>
        <v/>
      </c>
      <c r="X4173" s="64">
        <f t="shared" si="393"/>
        <v>0</v>
      </c>
      <c r="Y4173" s="53">
        <f t="shared" si="394"/>
        <v>0</v>
      </c>
      <c r="Z4173" s="64">
        <f t="shared" si="395"/>
        <v>0</v>
      </c>
    </row>
    <row r="4174" spans="1:26">
      <c r="A4174" s="89" t="str">
        <f t="shared" si="390"/>
        <v/>
      </c>
      <c r="B4174" s="89" t="str">
        <f t="shared" si="391"/>
        <v/>
      </c>
      <c r="S4174" s="89" t="str">
        <f t="shared" si="392"/>
        <v/>
      </c>
      <c r="X4174" s="64">
        <f t="shared" si="393"/>
        <v>0</v>
      </c>
      <c r="Y4174" s="53">
        <f t="shared" si="394"/>
        <v>0</v>
      </c>
      <c r="Z4174" s="64">
        <f t="shared" si="395"/>
        <v>0</v>
      </c>
    </row>
    <row r="4175" spans="1:26">
      <c r="A4175" s="89" t="str">
        <f t="shared" si="390"/>
        <v/>
      </c>
      <c r="B4175" s="89" t="str">
        <f t="shared" si="391"/>
        <v/>
      </c>
      <c r="S4175" s="89" t="str">
        <f t="shared" si="392"/>
        <v/>
      </c>
      <c r="X4175" s="64">
        <f t="shared" si="393"/>
        <v>0</v>
      </c>
      <c r="Y4175" s="53">
        <f t="shared" si="394"/>
        <v>0</v>
      </c>
      <c r="Z4175" s="64">
        <f t="shared" si="395"/>
        <v>0</v>
      </c>
    </row>
    <row r="4176" spans="1:26">
      <c r="A4176" s="89" t="str">
        <f t="shared" si="390"/>
        <v/>
      </c>
      <c r="B4176" s="89" t="str">
        <f t="shared" si="391"/>
        <v/>
      </c>
      <c r="S4176" s="89" t="str">
        <f t="shared" si="392"/>
        <v/>
      </c>
      <c r="X4176" s="64">
        <f t="shared" si="393"/>
        <v>0</v>
      </c>
      <c r="Y4176" s="53">
        <f t="shared" si="394"/>
        <v>0</v>
      </c>
      <c r="Z4176" s="64">
        <f t="shared" si="395"/>
        <v>0</v>
      </c>
    </row>
    <row r="4177" spans="1:26">
      <c r="A4177" s="89" t="str">
        <f t="shared" si="390"/>
        <v/>
      </c>
      <c r="B4177" s="89" t="str">
        <f t="shared" si="391"/>
        <v/>
      </c>
      <c r="S4177" s="89" t="str">
        <f t="shared" si="392"/>
        <v/>
      </c>
      <c r="X4177" s="64">
        <f t="shared" si="393"/>
        <v>0</v>
      </c>
      <c r="Y4177" s="53">
        <f t="shared" si="394"/>
        <v>0</v>
      </c>
      <c r="Z4177" s="64">
        <f t="shared" si="395"/>
        <v>0</v>
      </c>
    </row>
    <row r="4178" spans="1:26">
      <c r="A4178" s="89" t="str">
        <f t="shared" si="390"/>
        <v/>
      </c>
      <c r="B4178" s="89" t="str">
        <f t="shared" si="391"/>
        <v/>
      </c>
      <c r="S4178" s="89" t="str">
        <f t="shared" si="392"/>
        <v/>
      </c>
      <c r="X4178" s="64">
        <f t="shared" si="393"/>
        <v>0</v>
      </c>
      <c r="Y4178" s="53">
        <f t="shared" si="394"/>
        <v>0</v>
      </c>
      <c r="Z4178" s="64">
        <f t="shared" si="395"/>
        <v>0</v>
      </c>
    </row>
    <row r="4179" spans="1:26">
      <c r="A4179" s="89" t="str">
        <f t="shared" si="390"/>
        <v/>
      </c>
      <c r="B4179" s="89" t="str">
        <f t="shared" si="391"/>
        <v/>
      </c>
      <c r="S4179" s="89" t="str">
        <f t="shared" si="392"/>
        <v/>
      </c>
      <c r="X4179" s="64">
        <f t="shared" si="393"/>
        <v>0</v>
      </c>
      <c r="Y4179" s="53">
        <f t="shared" si="394"/>
        <v>0</v>
      </c>
      <c r="Z4179" s="64">
        <f t="shared" si="395"/>
        <v>0</v>
      </c>
    </row>
    <row r="4180" spans="1:26">
      <c r="A4180" s="89" t="str">
        <f t="shared" si="390"/>
        <v/>
      </c>
      <c r="B4180" s="89" t="str">
        <f t="shared" si="391"/>
        <v/>
      </c>
      <c r="S4180" s="89" t="str">
        <f t="shared" si="392"/>
        <v/>
      </c>
      <c r="X4180" s="64">
        <f t="shared" si="393"/>
        <v>0</v>
      </c>
      <c r="Y4180" s="53">
        <f t="shared" si="394"/>
        <v>0</v>
      </c>
      <c r="Z4180" s="64">
        <f t="shared" si="395"/>
        <v>0</v>
      </c>
    </row>
    <row r="4181" spans="1:26">
      <c r="A4181" s="89" t="str">
        <f t="shared" si="390"/>
        <v/>
      </c>
      <c r="B4181" s="89" t="str">
        <f t="shared" si="391"/>
        <v/>
      </c>
      <c r="S4181" s="89" t="str">
        <f t="shared" si="392"/>
        <v/>
      </c>
      <c r="X4181" s="64">
        <f t="shared" si="393"/>
        <v>0</v>
      </c>
      <c r="Y4181" s="53">
        <f t="shared" si="394"/>
        <v>0</v>
      </c>
      <c r="Z4181" s="64">
        <f t="shared" si="395"/>
        <v>0</v>
      </c>
    </row>
    <row r="4182" spans="1:26">
      <c r="A4182" s="89" t="str">
        <f t="shared" si="390"/>
        <v/>
      </c>
      <c r="B4182" s="89" t="str">
        <f t="shared" si="391"/>
        <v/>
      </c>
      <c r="S4182" s="89" t="str">
        <f t="shared" si="392"/>
        <v/>
      </c>
      <c r="X4182" s="64">
        <f t="shared" si="393"/>
        <v>0</v>
      </c>
      <c r="Y4182" s="53">
        <f t="shared" si="394"/>
        <v>0</v>
      </c>
      <c r="Z4182" s="64">
        <f t="shared" si="395"/>
        <v>0</v>
      </c>
    </row>
    <row r="4183" spans="1:26">
      <c r="A4183" s="89" t="str">
        <f t="shared" si="390"/>
        <v/>
      </c>
      <c r="B4183" s="89" t="str">
        <f t="shared" si="391"/>
        <v/>
      </c>
      <c r="S4183" s="89" t="str">
        <f t="shared" si="392"/>
        <v/>
      </c>
      <c r="X4183" s="64">
        <f t="shared" si="393"/>
        <v>0</v>
      </c>
      <c r="Y4183" s="53">
        <f t="shared" si="394"/>
        <v>0</v>
      </c>
      <c r="Z4183" s="64">
        <f t="shared" si="395"/>
        <v>0</v>
      </c>
    </row>
    <row r="4184" spans="1:26">
      <c r="A4184" s="89" t="str">
        <f t="shared" si="390"/>
        <v/>
      </c>
      <c r="B4184" s="89" t="str">
        <f t="shared" si="391"/>
        <v/>
      </c>
      <c r="S4184" s="89" t="str">
        <f t="shared" si="392"/>
        <v/>
      </c>
      <c r="X4184" s="64">
        <f t="shared" si="393"/>
        <v>0</v>
      </c>
      <c r="Y4184" s="53">
        <f t="shared" si="394"/>
        <v>0</v>
      </c>
      <c r="Z4184" s="64">
        <f t="shared" si="395"/>
        <v>0</v>
      </c>
    </row>
    <row r="4185" spans="1:26">
      <c r="A4185" s="89" t="str">
        <f t="shared" si="390"/>
        <v/>
      </c>
      <c r="B4185" s="89" t="str">
        <f t="shared" si="391"/>
        <v/>
      </c>
      <c r="S4185" s="89" t="str">
        <f t="shared" si="392"/>
        <v/>
      </c>
      <c r="X4185" s="64">
        <f t="shared" si="393"/>
        <v>0</v>
      </c>
      <c r="Y4185" s="53">
        <f t="shared" si="394"/>
        <v>0</v>
      </c>
      <c r="Z4185" s="64">
        <f t="shared" si="395"/>
        <v>0</v>
      </c>
    </row>
    <row r="4186" spans="1:26">
      <c r="A4186" s="89" t="str">
        <f t="shared" si="390"/>
        <v/>
      </c>
      <c r="B4186" s="89" t="str">
        <f t="shared" si="391"/>
        <v/>
      </c>
      <c r="S4186" s="89" t="str">
        <f t="shared" si="392"/>
        <v/>
      </c>
      <c r="X4186" s="64">
        <f t="shared" si="393"/>
        <v>0</v>
      </c>
      <c r="Y4186" s="53">
        <f t="shared" si="394"/>
        <v>0</v>
      </c>
      <c r="Z4186" s="64">
        <f t="shared" si="395"/>
        <v>0</v>
      </c>
    </row>
    <row r="4187" spans="1:26">
      <c r="A4187" s="89" t="str">
        <f t="shared" si="390"/>
        <v/>
      </c>
      <c r="B4187" s="89" t="str">
        <f t="shared" si="391"/>
        <v/>
      </c>
      <c r="S4187" s="89" t="str">
        <f t="shared" si="392"/>
        <v/>
      </c>
      <c r="X4187" s="64">
        <f t="shared" si="393"/>
        <v>0</v>
      </c>
      <c r="Y4187" s="53">
        <f t="shared" si="394"/>
        <v>0</v>
      </c>
      <c r="Z4187" s="64">
        <f t="shared" si="395"/>
        <v>0</v>
      </c>
    </row>
    <row r="4188" spans="1:26">
      <c r="A4188" s="89" t="str">
        <f t="shared" si="390"/>
        <v/>
      </c>
      <c r="B4188" s="89" t="str">
        <f t="shared" si="391"/>
        <v/>
      </c>
      <c r="S4188" s="89" t="str">
        <f t="shared" si="392"/>
        <v/>
      </c>
      <c r="X4188" s="64">
        <f t="shared" si="393"/>
        <v>0</v>
      </c>
      <c r="Y4188" s="53">
        <f t="shared" si="394"/>
        <v>0</v>
      </c>
      <c r="Z4188" s="64">
        <f t="shared" si="395"/>
        <v>0</v>
      </c>
    </row>
    <row r="4189" spans="1:26">
      <c r="A4189" s="89" t="str">
        <f t="shared" si="390"/>
        <v/>
      </c>
      <c r="B4189" s="89" t="str">
        <f t="shared" si="391"/>
        <v/>
      </c>
      <c r="S4189" s="89" t="str">
        <f t="shared" si="392"/>
        <v/>
      </c>
      <c r="X4189" s="64">
        <f t="shared" si="393"/>
        <v>0</v>
      </c>
      <c r="Y4189" s="53">
        <f t="shared" si="394"/>
        <v>0</v>
      </c>
      <c r="Z4189" s="64">
        <f t="shared" si="395"/>
        <v>0</v>
      </c>
    </row>
    <row r="4190" spans="1:26">
      <c r="A4190" s="89" t="str">
        <f t="shared" si="390"/>
        <v/>
      </c>
      <c r="B4190" s="89" t="str">
        <f t="shared" si="391"/>
        <v/>
      </c>
      <c r="S4190" s="89" t="str">
        <f t="shared" si="392"/>
        <v/>
      </c>
      <c r="X4190" s="64">
        <f t="shared" si="393"/>
        <v>0</v>
      </c>
      <c r="Y4190" s="53">
        <f t="shared" si="394"/>
        <v>0</v>
      </c>
      <c r="Z4190" s="64">
        <f t="shared" si="395"/>
        <v>0</v>
      </c>
    </row>
    <row r="4191" spans="1:26">
      <c r="A4191" s="89" t="str">
        <f t="shared" si="390"/>
        <v/>
      </c>
      <c r="B4191" s="89" t="str">
        <f t="shared" si="391"/>
        <v/>
      </c>
      <c r="S4191" s="89" t="str">
        <f t="shared" si="392"/>
        <v/>
      </c>
      <c r="X4191" s="64">
        <f t="shared" si="393"/>
        <v>0</v>
      </c>
      <c r="Y4191" s="53">
        <f t="shared" si="394"/>
        <v>0</v>
      </c>
      <c r="Z4191" s="64">
        <f t="shared" si="395"/>
        <v>0</v>
      </c>
    </row>
    <row r="4192" spans="1:26">
      <c r="A4192" s="89" t="str">
        <f t="shared" si="390"/>
        <v/>
      </c>
      <c r="B4192" s="89" t="str">
        <f t="shared" si="391"/>
        <v/>
      </c>
      <c r="S4192" s="89" t="str">
        <f t="shared" si="392"/>
        <v/>
      </c>
      <c r="X4192" s="64">
        <f t="shared" si="393"/>
        <v>0</v>
      </c>
      <c r="Y4192" s="53">
        <f t="shared" si="394"/>
        <v>0</v>
      </c>
      <c r="Z4192" s="64">
        <f t="shared" si="395"/>
        <v>0</v>
      </c>
    </row>
    <row r="4193" spans="1:26">
      <c r="A4193" s="89" t="str">
        <f t="shared" si="390"/>
        <v/>
      </c>
      <c r="B4193" s="89" t="str">
        <f t="shared" si="391"/>
        <v/>
      </c>
      <c r="S4193" s="89" t="str">
        <f t="shared" si="392"/>
        <v/>
      </c>
      <c r="X4193" s="64">
        <f t="shared" si="393"/>
        <v>0</v>
      </c>
      <c r="Y4193" s="53">
        <f t="shared" si="394"/>
        <v>0</v>
      </c>
      <c r="Z4193" s="64">
        <f t="shared" si="395"/>
        <v>0</v>
      </c>
    </row>
    <row r="4194" spans="1:26">
      <c r="A4194" s="89" t="str">
        <f t="shared" si="390"/>
        <v/>
      </c>
      <c r="B4194" s="89" t="str">
        <f t="shared" si="391"/>
        <v/>
      </c>
      <c r="S4194" s="89" t="str">
        <f t="shared" si="392"/>
        <v/>
      </c>
      <c r="X4194" s="64">
        <f t="shared" si="393"/>
        <v>0</v>
      </c>
      <c r="Y4194" s="53">
        <f t="shared" si="394"/>
        <v>0</v>
      </c>
      <c r="Z4194" s="64">
        <f t="shared" si="395"/>
        <v>0</v>
      </c>
    </row>
    <row r="4195" spans="1:26">
      <c r="A4195" s="89" t="str">
        <f t="shared" si="390"/>
        <v/>
      </c>
      <c r="B4195" s="89" t="str">
        <f t="shared" si="391"/>
        <v/>
      </c>
      <c r="S4195" s="89" t="str">
        <f t="shared" si="392"/>
        <v/>
      </c>
      <c r="X4195" s="64">
        <f t="shared" si="393"/>
        <v>0</v>
      </c>
      <c r="Y4195" s="53">
        <f t="shared" si="394"/>
        <v>0</v>
      </c>
      <c r="Z4195" s="64">
        <f t="shared" si="395"/>
        <v>0</v>
      </c>
    </row>
    <row r="4196" spans="1:26">
      <c r="A4196" s="89" t="str">
        <f t="shared" si="390"/>
        <v/>
      </c>
      <c r="B4196" s="89" t="str">
        <f t="shared" si="391"/>
        <v/>
      </c>
      <c r="S4196" s="89" t="str">
        <f t="shared" si="392"/>
        <v/>
      </c>
      <c r="X4196" s="64">
        <f t="shared" si="393"/>
        <v>0</v>
      </c>
      <c r="Y4196" s="53">
        <f t="shared" si="394"/>
        <v>0</v>
      </c>
      <c r="Z4196" s="64">
        <f t="shared" si="395"/>
        <v>0</v>
      </c>
    </row>
    <row r="4197" spans="1:26">
      <c r="A4197" s="89" t="str">
        <f t="shared" si="390"/>
        <v/>
      </c>
      <c r="B4197" s="89" t="str">
        <f t="shared" si="391"/>
        <v/>
      </c>
      <c r="S4197" s="89" t="str">
        <f t="shared" si="392"/>
        <v/>
      </c>
      <c r="X4197" s="64">
        <f t="shared" si="393"/>
        <v>0</v>
      </c>
      <c r="Y4197" s="53">
        <f t="shared" si="394"/>
        <v>0</v>
      </c>
      <c r="Z4197" s="64">
        <f t="shared" si="395"/>
        <v>0</v>
      </c>
    </row>
    <row r="4198" spans="1:26">
      <c r="A4198" s="89" t="str">
        <f t="shared" si="390"/>
        <v/>
      </c>
      <c r="B4198" s="89" t="str">
        <f t="shared" si="391"/>
        <v/>
      </c>
      <c r="S4198" s="89" t="str">
        <f t="shared" si="392"/>
        <v/>
      </c>
      <c r="X4198" s="64">
        <f t="shared" si="393"/>
        <v>0</v>
      </c>
      <c r="Y4198" s="53">
        <f t="shared" si="394"/>
        <v>0</v>
      </c>
      <c r="Z4198" s="64">
        <f t="shared" si="395"/>
        <v>0</v>
      </c>
    </row>
    <row r="4199" spans="1:26">
      <c r="A4199" s="89" t="str">
        <f t="shared" si="390"/>
        <v/>
      </c>
      <c r="B4199" s="89" t="str">
        <f t="shared" si="391"/>
        <v/>
      </c>
      <c r="S4199" s="89" t="str">
        <f t="shared" si="392"/>
        <v/>
      </c>
      <c r="X4199" s="64">
        <f t="shared" si="393"/>
        <v>0</v>
      </c>
      <c r="Y4199" s="53">
        <f t="shared" si="394"/>
        <v>0</v>
      </c>
      <c r="Z4199" s="64">
        <f t="shared" si="395"/>
        <v>0</v>
      </c>
    </row>
    <row r="4200" spans="1:26">
      <c r="A4200" s="89" t="str">
        <f t="shared" si="390"/>
        <v/>
      </c>
      <c r="B4200" s="89" t="str">
        <f t="shared" si="391"/>
        <v/>
      </c>
      <c r="S4200" s="89" t="str">
        <f t="shared" si="392"/>
        <v/>
      </c>
      <c r="X4200" s="64">
        <f t="shared" si="393"/>
        <v>0</v>
      </c>
      <c r="Y4200" s="53">
        <f t="shared" si="394"/>
        <v>0</v>
      </c>
      <c r="Z4200" s="64">
        <f t="shared" si="395"/>
        <v>0</v>
      </c>
    </row>
    <row r="4201" spans="1:26">
      <c r="A4201" s="89" t="str">
        <f t="shared" si="390"/>
        <v/>
      </c>
      <c r="B4201" s="89" t="str">
        <f t="shared" si="391"/>
        <v/>
      </c>
      <c r="S4201" s="89" t="str">
        <f t="shared" si="392"/>
        <v/>
      </c>
      <c r="X4201" s="64">
        <f t="shared" si="393"/>
        <v>0</v>
      </c>
      <c r="Y4201" s="53">
        <f t="shared" si="394"/>
        <v>0</v>
      </c>
      <c r="Z4201" s="64">
        <f t="shared" si="395"/>
        <v>0</v>
      </c>
    </row>
    <row r="4202" spans="1:26">
      <c r="A4202" s="89" t="str">
        <f t="shared" si="390"/>
        <v/>
      </c>
      <c r="B4202" s="89" t="str">
        <f t="shared" si="391"/>
        <v/>
      </c>
      <c r="S4202" s="89" t="str">
        <f t="shared" si="392"/>
        <v/>
      </c>
      <c r="X4202" s="64">
        <f t="shared" si="393"/>
        <v>0</v>
      </c>
      <c r="Y4202" s="53">
        <f t="shared" si="394"/>
        <v>0</v>
      </c>
      <c r="Z4202" s="64">
        <f t="shared" si="395"/>
        <v>0</v>
      </c>
    </row>
    <row r="4203" spans="1:26">
      <c r="A4203" s="89" t="str">
        <f t="shared" si="390"/>
        <v/>
      </c>
      <c r="B4203" s="89" t="str">
        <f t="shared" si="391"/>
        <v/>
      </c>
      <c r="S4203" s="89" t="str">
        <f t="shared" si="392"/>
        <v/>
      </c>
      <c r="X4203" s="64">
        <f t="shared" si="393"/>
        <v>0</v>
      </c>
      <c r="Y4203" s="53">
        <f t="shared" si="394"/>
        <v>0</v>
      </c>
      <c r="Z4203" s="64">
        <f t="shared" si="395"/>
        <v>0</v>
      </c>
    </row>
    <row r="4204" spans="1:26">
      <c r="A4204" s="89" t="str">
        <f t="shared" si="390"/>
        <v/>
      </c>
      <c r="B4204" s="89" t="str">
        <f t="shared" si="391"/>
        <v/>
      </c>
      <c r="S4204" s="89" t="str">
        <f t="shared" si="392"/>
        <v/>
      </c>
      <c r="X4204" s="64">
        <f t="shared" si="393"/>
        <v>0</v>
      </c>
      <c r="Y4204" s="53">
        <f t="shared" si="394"/>
        <v>0</v>
      </c>
      <c r="Z4204" s="64">
        <f t="shared" si="395"/>
        <v>0</v>
      </c>
    </row>
    <row r="4205" spans="1:26">
      <c r="A4205" s="89" t="str">
        <f t="shared" si="390"/>
        <v/>
      </c>
      <c r="B4205" s="89" t="str">
        <f t="shared" si="391"/>
        <v/>
      </c>
      <c r="S4205" s="89" t="str">
        <f t="shared" si="392"/>
        <v/>
      </c>
      <c r="X4205" s="64">
        <f t="shared" si="393"/>
        <v>0</v>
      </c>
      <c r="Y4205" s="53">
        <f t="shared" si="394"/>
        <v>0</v>
      </c>
      <c r="Z4205" s="64">
        <f t="shared" si="395"/>
        <v>0</v>
      </c>
    </row>
    <row r="4206" spans="1:26">
      <c r="A4206" s="89" t="str">
        <f t="shared" si="390"/>
        <v/>
      </c>
      <c r="B4206" s="89" t="str">
        <f t="shared" si="391"/>
        <v/>
      </c>
      <c r="S4206" s="89" t="str">
        <f t="shared" si="392"/>
        <v/>
      </c>
      <c r="X4206" s="64">
        <f t="shared" si="393"/>
        <v>0</v>
      </c>
      <c r="Y4206" s="53">
        <f t="shared" si="394"/>
        <v>0</v>
      </c>
      <c r="Z4206" s="64">
        <f t="shared" si="395"/>
        <v>0</v>
      </c>
    </row>
    <row r="4207" spans="1:26">
      <c r="A4207" s="89" t="str">
        <f t="shared" si="390"/>
        <v/>
      </c>
      <c r="B4207" s="89" t="str">
        <f t="shared" si="391"/>
        <v/>
      </c>
      <c r="S4207" s="89" t="str">
        <f t="shared" si="392"/>
        <v/>
      </c>
      <c r="X4207" s="64">
        <f t="shared" si="393"/>
        <v>0</v>
      </c>
      <c r="Y4207" s="53">
        <f t="shared" si="394"/>
        <v>0</v>
      </c>
      <c r="Z4207" s="64">
        <f t="shared" si="395"/>
        <v>0</v>
      </c>
    </row>
    <row r="4208" spans="1:26">
      <c r="A4208" s="89" t="str">
        <f t="shared" si="390"/>
        <v/>
      </c>
      <c r="B4208" s="89" t="str">
        <f t="shared" si="391"/>
        <v/>
      </c>
      <c r="S4208" s="89" t="str">
        <f t="shared" si="392"/>
        <v/>
      </c>
      <c r="X4208" s="64">
        <f t="shared" si="393"/>
        <v>0</v>
      </c>
      <c r="Y4208" s="53">
        <f t="shared" si="394"/>
        <v>0</v>
      </c>
      <c r="Z4208" s="64">
        <f t="shared" si="395"/>
        <v>0</v>
      </c>
    </row>
    <row r="4209" spans="1:26">
      <c r="A4209" s="89" t="str">
        <f t="shared" si="390"/>
        <v/>
      </c>
      <c r="B4209" s="89" t="str">
        <f t="shared" si="391"/>
        <v/>
      </c>
      <c r="S4209" s="89" t="str">
        <f t="shared" si="392"/>
        <v/>
      </c>
      <c r="X4209" s="64">
        <f t="shared" si="393"/>
        <v>0</v>
      </c>
      <c r="Y4209" s="53">
        <f t="shared" si="394"/>
        <v>0</v>
      </c>
      <c r="Z4209" s="64">
        <f t="shared" si="395"/>
        <v>0</v>
      </c>
    </row>
    <row r="4210" spans="1:26">
      <c r="A4210" s="89" t="str">
        <f t="shared" si="390"/>
        <v/>
      </c>
      <c r="B4210" s="89" t="str">
        <f t="shared" si="391"/>
        <v/>
      </c>
      <c r="S4210" s="89" t="str">
        <f t="shared" si="392"/>
        <v/>
      </c>
      <c r="X4210" s="64">
        <f t="shared" si="393"/>
        <v>0</v>
      </c>
      <c r="Y4210" s="53">
        <f t="shared" si="394"/>
        <v>0</v>
      </c>
      <c r="Z4210" s="64">
        <f t="shared" si="395"/>
        <v>0</v>
      </c>
    </row>
    <row r="4211" spans="1:26">
      <c r="A4211" s="89" t="str">
        <f t="shared" si="390"/>
        <v/>
      </c>
      <c r="B4211" s="89" t="str">
        <f t="shared" si="391"/>
        <v/>
      </c>
      <c r="S4211" s="89" t="str">
        <f t="shared" si="392"/>
        <v/>
      </c>
      <c r="X4211" s="64">
        <f t="shared" si="393"/>
        <v>0</v>
      </c>
      <c r="Y4211" s="53">
        <f t="shared" si="394"/>
        <v>0</v>
      </c>
      <c r="Z4211" s="64">
        <f t="shared" si="395"/>
        <v>0</v>
      </c>
    </row>
    <row r="4212" spans="1:26">
      <c r="A4212" s="89" t="str">
        <f t="shared" si="390"/>
        <v/>
      </c>
      <c r="B4212" s="89" t="str">
        <f t="shared" si="391"/>
        <v/>
      </c>
      <c r="S4212" s="89" t="str">
        <f t="shared" si="392"/>
        <v/>
      </c>
      <c r="X4212" s="64">
        <f t="shared" si="393"/>
        <v>0</v>
      </c>
      <c r="Y4212" s="53">
        <f t="shared" si="394"/>
        <v>0</v>
      </c>
      <c r="Z4212" s="64">
        <f t="shared" si="395"/>
        <v>0</v>
      </c>
    </row>
    <row r="4213" spans="1:26">
      <c r="A4213" s="89" t="str">
        <f t="shared" si="390"/>
        <v/>
      </c>
      <c r="B4213" s="89" t="str">
        <f t="shared" si="391"/>
        <v/>
      </c>
      <c r="S4213" s="89" t="str">
        <f t="shared" si="392"/>
        <v/>
      </c>
      <c r="X4213" s="64">
        <f t="shared" si="393"/>
        <v>0</v>
      </c>
      <c r="Y4213" s="53">
        <f t="shared" si="394"/>
        <v>0</v>
      </c>
      <c r="Z4213" s="64">
        <f t="shared" si="395"/>
        <v>0</v>
      </c>
    </row>
    <row r="4214" spans="1:26">
      <c r="A4214" s="89" t="str">
        <f t="shared" si="390"/>
        <v/>
      </c>
      <c r="B4214" s="89" t="str">
        <f t="shared" si="391"/>
        <v/>
      </c>
      <c r="S4214" s="89" t="str">
        <f t="shared" si="392"/>
        <v/>
      </c>
      <c r="X4214" s="64">
        <f t="shared" si="393"/>
        <v>0</v>
      </c>
      <c r="Y4214" s="53">
        <f t="shared" si="394"/>
        <v>0</v>
      </c>
      <c r="Z4214" s="64">
        <f t="shared" si="395"/>
        <v>0</v>
      </c>
    </row>
    <row r="4215" spans="1:26">
      <c r="A4215" s="89" t="str">
        <f t="shared" si="390"/>
        <v/>
      </c>
      <c r="B4215" s="89" t="str">
        <f t="shared" si="391"/>
        <v/>
      </c>
      <c r="S4215" s="89" t="str">
        <f t="shared" si="392"/>
        <v/>
      </c>
      <c r="X4215" s="64">
        <f t="shared" si="393"/>
        <v>0</v>
      </c>
      <c r="Y4215" s="53">
        <f t="shared" si="394"/>
        <v>0</v>
      </c>
      <c r="Z4215" s="64">
        <f t="shared" si="395"/>
        <v>0</v>
      </c>
    </row>
    <row r="4216" spans="1:26">
      <c r="A4216" s="89" t="str">
        <f t="shared" si="390"/>
        <v/>
      </c>
      <c r="B4216" s="89" t="str">
        <f t="shared" si="391"/>
        <v/>
      </c>
      <c r="S4216" s="89" t="str">
        <f t="shared" si="392"/>
        <v/>
      </c>
      <c r="X4216" s="64">
        <f t="shared" si="393"/>
        <v>0</v>
      </c>
      <c r="Y4216" s="53">
        <f t="shared" si="394"/>
        <v>0</v>
      </c>
      <c r="Z4216" s="64">
        <f t="shared" si="395"/>
        <v>0</v>
      </c>
    </row>
    <row r="4217" spans="1:26">
      <c r="A4217" s="89" t="str">
        <f t="shared" si="390"/>
        <v/>
      </c>
      <c r="B4217" s="89" t="str">
        <f t="shared" si="391"/>
        <v/>
      </c>
      <c r="S4217" s="89" t="str">
        <f t="shared" si="392"/>
        <v/>
      </c>
      <c r="X4217" s="64">
        <f t="shared" si="393"/>
        <v>0</v>
      </c>
      <c r="Y4217" s="53">
        <f t="shared" si="394"/>
        <v>0</v>
      </c>
      <c r="Z4217" s="64">
        <f t="shared" si="395"/>
        <v>0</v>
      </c>
    </row>
    <row r="4218" spans="1:26">
      <c r="A4218" s="89" t="str">
        <f t="shared" si="390"/>
        <v/>
      </c>
      <c r="B4218" s="89" t="str">
        <f t="shared" si="391"/>
        <v/>
      </c>
      <c r="S4218" s="89" t="str">
        <f t="shared" si="392"/>
        <v/>
      </c>
      <c r="X4218" s="64">
        <f t="shared" si="393"/>
        <v>0</v>
      </c>
      <c r="Y4218" s="53">
        <f t="shared" si="394"/>
        <v>0</v>
      </c>
      <c r="Z4218" s="64">
        <f t="shared" si="395"/>
        <v>0</v>
      </c>
    </row>
    <row r="4219" spans="1:26">
      <c r="A4219" s="89" t="str">
        <f t="shared" si="390"/>
        <v/>
      </c>
      <c r="B4219" s="89" t="str">
        <f t="shared" si="391"/>
        <v/>
      </c>
      <c r="S4219" s="89" t="str">
        <f t="shared" si="392"/>
        <v/>
      </c>
      <c r="X4219" s="64">
        <f t="shared" si="393"/>
        <v>0</v>
      </c>
      <c r="Y4219" s="53">
        <f t="shared" si="394"/>
        <v>0</v>
      </c>
      <c r="Z4219" s="64">
        <f t="shared" si="395"/>
        <v>0</v>
      </c>
    </row>
    <row r="4220" spans="1:26">
      <c r="A4220" s="89" t="str">
        <f t="shared" si="390"/>
        <v/>
      </c>
      <c r="B4220" s="89" t="str">
        <f t="shared" si="391"/>
        <v/>
      </c>
      <c r="S4220" s="89" t="str">
        <f t="shared" si="392"/>
        <v/>
      </c>
      <c r="X4220" s="64">
        <f t="shared" si="393"/>
        <v>0</v>
      </c>
      <c r="Y4220" s="53">
        <f t="shared" si="394"/>
        <v>0</v>
      </c>
      <c r="Z4220" s="64">
        <f t="shared" si="395"/>
        <v>0</v>
      </c>
    </row>
    <row r="4221" spans="1:26">
      <c r="A4221" s="89" t="str">
        <f t="shared" si="390"/>
        <v/>
      </c>
      <c r="B4221" s="89" t="str">
        <f t="shared" si="391"/>
        <v/>
      </c>
      <c r="S4221" s="89" t="str">
        <f t="shared" si="392"/>
        <v/>
      </c>
      <c r="X4221" s="64">
        <f t="shared" si="393"/>
        <v>0</v>
      </c>
      <c r="Y4221" s="53">
        <f t="shared" si="394"/>
        <v>0</v>
      </c>
      <c r="Z4221" s="64">
        <f t="shared" si="395"/>
        <v>0</v>
      </c>
    </row>
    <row r="4222" spans="1:26">
      <c r="A4222" s="89" t="str">
        <f t="shared" si="390"/>
        <v/>
      </c>
      <c r="B4222" s="89" t="str">
        <f t="shared" si="391"/>
        <v/>
      </c>
      <c r="S4222" s="89" t="str">
        <f t="shared" si="392"/>
        <v/>
      </c>
      <c r="X4222" s="64">
        <f t="shared" si="393"/>
        <v>0</v>
      </c>
      <c r="Y4222" s="53">
        <f t="shared" si="394"/>
        <v>0</v>
      </c>
      <c r="Z4222" s="64">
        <f t="shared" si="395"/>
        <v>0</v>
      </c>
    </row>
    <row r="4223" spans="1:26">
      <c r="A4223" s="89" t="str">
        <f t="shared" si="390"/>
        <v/>
      </c>
      <c r="B4223" s="89" t="str">
        <f t="shared" si="391"/>
        <v/>
      </c>
      <c r="S4223" s="89" t="str">
        <f t="shared" si="392"/>
        <v/>
      </c>
      <c r="X4223" s="64">
        <f t="shared" si="393"/>
        <v>0</v>
      </c>
      <c r="Y4223" s="53">
        <f t="shared" si="394"/>
        <v>0</v>
      </c>
      <c r="Z4223" s="64">
        <f t="shared" si="395"/>
        <v>0</v>
      </c>
    </row>
    <row r="4224" spans="1:26">
      <c r="A4224" s="89" t="str">
        <f t="shared" si="390"/>
        <v/>
      </c>
      <c r="B4224" s="89" t="str">
        <f t="shared" si="391"/>
        <v/>
      </c>
      <c r="S4224" s="89" t="str">
        <f t="shared" si="392"/>
        <v/>
      </c>
      <c r="X4224" s="64">
        <f t="shared" si="393"/>
        <v>0</v>
      </c>
      <c r="Y4224" s="53">
        <f t="shared" si="394"/>
        <v>0</v>
      </c>
      <c r="Z4224" s="64">
        <f t="shared" si="395"/>
        <v>0</v>
      </c>
    </row>
    <row r="4225" spans="1:26">
      <c r="A4225" s="89" t="str">
        <f t="shared" si="390"/>
        <v/>
      </c>
      <c r="B4225" s="89" t="str">
        <f t="shared" si="391"/>
        <v/>
      </c>
      <c r="S4225" s="89" t="str">
        <f t="shared" si="392"/>
        <v/>
      </c>
      <c r="X4225" s="64">
        <f t="shared" si="393"/>
        <v>0</v>
      </c>
      <c r="Y4225" s="53">
        <f t="shared" si="394"/>
        <v>0</v>
      </c>
      <c r="Z4225" s="64">
        <f t="shared" si="395"/>
        <v>0</v>
      </c>
    </row>
    <row r="4226" spans="1:26">
      <c r="A4226" s="89" t="str">
        <f t="shared" si="390"/>
        <v/>
      </c>
      <c r="B4226" s="89" t="str">
        <f t="shared" si="391"/>
        <v/>
      </c>
      <c r="S4226" s="89" t="str">
        <f t="shared" si="392"/>
        <v/>
      </c>
      <c r="X4226" s="64">
        <f t="shared" si="393"/>
        <v>0</v>
      </c>
      <c r="Y4226" s="53">
        <f t="shared" si="394"/>
        <v>0</v>
      </c>
      <c r="Z4226" s="64">
        <f t="shared" si="395"/>
        <v>0</v>
      </c>
    </row>
    <row r="4227" spans="1:26">
      <c r="A4227" s="89" t="str">
        <f t="shared" ref="A4227:A4290" si="396">IF(G4227&amp;Q4227&lt;&gt;"",G4227&amp;Q4227,"")</f>
        <v/>
      </c>
      <c r="B4227" s="89" t="str">
        <f t="shared" ref="B4227:B4290" si="397">IF(C4227&lt;&gt;"",LEFT(C4227,9),"")</f>
        <v/>
      </c>
      <c r="S4227" s="89" t="str">
        <f t="shared" ref="S4227:S4290" si="398">IF(H4227&lt;&gt;"",H4227,"")</f>
        <v/>
      </c>
      <c r="X4227" s="64">
        <f t="shared" ref="X4227:X4290" si="399">IFERROR(VALUE(MID($C4227,1,2)),0)</f>
        <v>0</v>
      </c>
      <c r="Y4227" s="53">
        <f t="shared" ref="Y4227:Y4290" si="400">IFERROR(VALUE(MID($C4227,4,3)),0)</f>
        <v>0</v>
      </c>
      <c r="Z4227" s="64">
        <f t="shared" ref="Z4227:Z4290" si="401">VALUE(RIGHT("00"&amp;X4227,2)&amp;RIGHT("000"&amp;Y4227,3))</f>
        <v>0</v>
      </c>
    </row>
    <row r="4228" spans="1:26">
      <c r="A4228" s="89" t="str">
        <f t="shared" si="396"/>
        <v/>
      </c>
      <c r="B4228" s="89" t="str">
        <f t="shared" si="397"/>
        <v/>
      </c>
      <c r="S4228" s="89" t="str">
        <f t="shared" si="398"/>
        <v/>
      </c>
      <c r="X4228" s="64">
        <f t="shared" si="399"/>
        <v>0</v>
      </c>
      <c r="Y4228" s="53">
        <f t="shared" si="400"/>
        <v>0</v>
      </c>
      <c r="Z4228" s="64">
        <f t="shared" si="401"/>
        <v>0</v>
      </c>
    </row>
    <row r="4229" spans="1:26">
      <c r="A4229" s="89" t="str">
        <f t="shared" si="396"/>
        <v/>
      </c>
      <c r="B4229" s="89" t="str">
        <f t="shared" si="397"/>
        <v/>
      </c>
      <c r="S4229" s="89" t="str">
        <f t="shared" si="398"/>
        <v/>
      </c>
      <c r="X4229" s="64">
        <f t="shared" si="399"/>
        <v>0</v>
      </c>
      <c r="Y4229" s="53">
        <f t="shared" si="400"/>
        <v>0</v>
      </c>
      <c r="Z4229" s="64">
        <f t="shared" si="401"/>
        <v>0</v>
      </c>
    </row>
    <row r="4230" spans="1:26">
      <c r="A4230" s="89" t="str">
        <f t="shared" si="396"/>
        <v/>
      </c>
      <c r="B4230" s="89" t="str">
        <f t="shared" si="397"/>
        <v/>
      </c>
      <c r="S4230" s="89" t="str">
        <f t="shared" si="398"/>
        <v/>
      </c>
      <c r="X4230" s="64">
        <f t="shared" si="399"/>
        <v>0</v>
      </c>
      <c r="Y4230" s="53">
        <f t="shared" si="400"/>
        <v>0</v>
      </c>
      <c r="Z4230" s="64">
        <f t="shared" si="401"/>
        <v>0</v>
      </c>
    </row>
    <row r="4231" spans="1:26">
      <c r="A4231" s="89" t="str">
        <f t="shared" si="396"/>
        <v/>
      </c>
      <c r="B4231" s="89" t="str">
        <f t="shared" si="397"/>
        <v/>
      </c>
      <c r="S4231" s="89" t="str">
        <f t="shared" si="398"/>
        <v/>
      </c>
      <c r="X4231" s="64">
        <f t="shared" si="399"/>
        <v>0</v>
      </c>
      <c r="Y4231" s="53">
        <f t="shared" si="400"/>
        <v>0</v>
      </c>
      <c r="Z4231" s="64">
        <f t="shared" si="401"/>
        <v>0</v>
      </c>
    </row>
    <row r="4232" spans="1:26">
      <c r="A4232" s="89" t="str">
        <f t="shared" si="396"/>
        <v/>
      </c>
      <c r="B4232" s="89" t="str">
        <f t="shared" si="397"/>
        <v/>
      </c>
      <c r="S4232" s="89" t="str">
        <f t="shared" si="398"/>
        <v/>
      </c>
      <c r="X4232" s="64">
        <f t="shared" si="399"/>
        <v>0</v>
      </c>
      <c r="Y4232" s="53">
        <f t="shared" si="400"/>
        <v>0</v>
      </c>
      <c r="Z4232" s="64">
        <f t="shared" si="401"/>
        <v>0</v>
      </c>
    </row>
    <row r="4233" spans="1:26">
      <c r="A4233" s="89" t="str">
        <f t="shared" si="396"/>
        <v/>
      </c>
      <c r="B4233" s="89" t="str">
        <f t="shared" si="397"/>
        <v/>
      </c>
      <c r="S4233" s="89" t="str">
        <f t="shared" si="398"/>
        <v/>
      </c>
      <c r="X4233" s="64">
        <f t="shared" si="399"/>
        <v>0</v>
      </c>
      <c r="Y4233" s="53">
        <f t="shared" si="400"/>
        <v>0</v>
      </c>
      <c r="Z4233" s="64">
        <f t="shared" si="401"/>
        <v>0</v>
      </c>
    </row>
    <row r="4234" spans="1:26">
      <c r="A4234" s="89" t="str">
        <f t="shared" si="396"/>
        <v/>
      </c>
      <c r="B4234" s="89" t="str">
        <f t="shared" si="397"/>
        <v/>
      </c>
      <c r="S4234" s="89" t="str">
        <f t="shared" si="398"/>
        <v/>
      </c>
      <c r="X4234" s="64">
        <f t="shared" si="399"/>
        <v>0</v>
      </c>
      <c r="Y4234" s="53">
        <f t="shared" si="400"/>
        <v>0</v>
      </c>
      <c r="Z4234" s="64">
        <f t="shared" si="401"/>
        <v>0</v>
      </c>
    </row>
    <row r="4235" spans="1:26">
      <c r="A4235" s="89" t="str">
        <f t="shared" si="396"/>
        <v/>
      </c>
      <c r="B4235" s="89" t="str">
        <f t="shared" si="397"/>
        <v/>
      </c>
      <c r="S4235" s="89" t="str">
        <f t="shared" si="398"/>
        <v/>
      </c>
      <c r="X4235" s="64">
        <f t="shared" si="399"/>
        <v>0</v>
      </c>
      <c r="Y4235" s="53">
        <f t="shared" si="400"/>
        <v>0</v>
      </c>
      <c r="Z4235" s="64">
        <f t="shared" si="401"/>
        <v>0</v>
      </c>
    </row>
    <row r="4236" spans="1:26">
      <c r="A4236" s="89" t="str">
        <f t="shared" si="396"/>
        <v/>
      </c>
      <c r="B4236" s="89" t="str">
        <f t="shared" si="397"/>
        <v/>
      </c>
      <c r="S4236" s="89" t="str">
        <f t="shared" si="398"/>
        <v/>
      </c>
      <c r="X4236" s="64">
        <f t="shared" si="399"/>
        <v>0</v>
      </c>
      <c r="Y4236" s="53">
        <f t="shared" si="400"/>
        <v>0</v>
      </c>
      <c r="Z4236" s="64">
        <f t="shared" si="401"/>
        <v>0</v>
      </c>
    </row>
    <row r="4237" spans="1:26">
      <c r="A4237" s="89" t="str">
        <f t="shared" si="396"/>
        <v/>
      </c>
      <c r="B4237" s="89" t="str">
        <f t="shared" si="397"/>
        <v/>
      </c>
      <c r="S4237" s="89" t="str">
        <f t="shared" si="398"/>
        <v/>
      </c>
      <c r="X4237" s="64">
        <f t="shared" si="399"/>
        <v>0</v>
      </c>
      <c r="Y4237" s="53">
        <f t="shared" si="400"/>
        <v>0</v>
      </c>
      <c r="Z4237" s="64">
        <f t="shared" si="401"/>
        <v>0</v>
      </c>
    </row>
    <row r="4238" spans="1:26">
      <c r="A4238" s="89" t="str">
        <f t="shared" si="396"/>
        <v/>
      </c>
      <c r="B4238" s="89" t="str">
        <f t="shared" si="397"/>
        <v/>
      </c>
      <c r="S4238" s="89" t="str">
        <f t="shared" si="398"/>
        <v/>
      </c>
      <c r="X4238" s="64">
        <f t="shared" si="399"/>
        <v>0</v>
      </c>
      <c r="Y4238" s="53">
        <f t="shared" si="400"/>
        <v>0</v>
      </c>
      <c r="Z4238" s="64">
        <f t="shared" si="401"/>
        <v>0</v>
      </c>
    </row>
    <row r="4239" spans="1:26">
      <c r="A4239" s="89" t="str">
        <f t="shared" si="396"/>
        <v/>
      </c>
      <c r="B4239" s="89" t="str">
        <f t="shared" si="397"/>
        <v/>
      </c>
      <c r="S4239" s="89" t="str">
        <f t="shared" si="398"/>
        <v/>
      </c>
      <c r="X4239" s="64">
        <f t="shared" si="399"/>
        <v>0</v>
      </c>
      <c r="Y4239" s="53">
        <f t="shared" si="400"/>
        <v>0</v>
      </c>
      <c r="Z4239" s="64">
        <f t="shared" si="401"/>
        <v>0</v>
      </c>
    </row>
    <row r="4240" spans="1:26">
      <c r="A4240" s="89" t="str">
        <f t="shared" si="396"/>
        <v/>
      </c>
      <c r="B4240" s="89" t="str">
        <f t="shared" si="397"/>
        <v/>
      </c>
      <c r="S4240" s="89" t="str">
        <f t="shared" si="398"/>
        <v/>
      </c>
      <c r="X4240" s="64">
        <f t="shared" si="399"/>
        <v>0</v>
      </c>
      <c r="Y4240" s="53">
        <f t="shared" si="400"/>
        <v>0</v>
      </c>
      <c r="Z4240" s="64">
        <f t="shared" si="401"/>
        <v>0</v>
      </c>
    </row>
    <row r="4241" spans="1:26">
      <c r="A4241" s="89" t="str">
        <f t="shared" si="396"/>
        <v/>
      </c>
      <c r="B4241" s="89" t="str">
        <f t="shared" si="397"/>
        <v/>
      </c>
      <c r="S4241" s="89" t="str">
        <f t="shared" si="398"/>
        <v/>
      </c>
      <c r="X4241" s="64">
        <f t="shared" si="399"/>
        <v>0</v>
      </c>
      <c r="Y4241" s="53">
        <f t="shared" si="400"/>
        <v>0</v>
      </c>
      <c r="Z4241" s="64">
        <f t="shared" si="401"/>
        <v>0</v>
      </c>
    </row>
    <row r="4242" spans="1:26">
      <c r="A4242" s="89" t="str">
        <f t="shared" si="396"/>
        <v/>
      </c>
      <c r="B4242" s="89" t="str">
        <f t="shared" si="397"/>
        <v/>
      </c>
      <c r="S4242" s="89" t="str">
        <f t="shared" si="398"/>
        <v/>
      </c>
      <c r="X4242" s="64">
        <f t="shared" si="399"/>
        <v>0</v>
      </c>
      <c r="Y4242" s="53">
        <f t="shared" si="400"/>
        <v>0</v>
      </c>
      <c r="Z4242" s="64">
        <f t="shared" si="401"/>
        <v>0</v>
      </c>
    </row>
    <row r="4243" spans="1:26">
      <c r="A4243" s="89" t="str">
        <f t="shared" si="396"/>
        <v/>
      </c>
      <c r="B4243" s="89" t="str">
        <f t="shared" si="397"/>
        <v/>
      </c>
      <c r="S4243" s="89" t="str">
        <f t="shared" si="398"/>
        <v/>
      </c>
      <c r="X4243" s="64">
        <f t="shared" si="399"/>
        <v>0</v>
      </c>
      <c r="Y4243" s="53">
        <f t="shared" si="400"/>
        <v>0</v>
      </c>
      <c r="Z4243" s="64">
        <f t="shared" si="401"/>
        <v>0</v>
      </c>
    </row>
    <row r="4244" spans="1:26">
      <c r="A4244" s="89" t="str">
        <f t="shared" si="396"/>
        <v/>
      </c>
      <c r="B4244" s="89" t="str">
        <f t="shared" si="397"/>
        <v/>
      </c>
      <c r="S4244" s="89" t="str">
        <f t="shared" si="398"/>
        <v/>
      </c>
      <c r="X4244" s="64">
        <f t="shared" si="399"/>
        <v>0</v>
      </c>
      <c r="Y4244" s="53">
        <f t="shared" si="400"/>
        <v>0</v>
      </c>
      <c r="Z4244" s="64">
        <f t="shared" si="401"/>
        <v>0</v>
      </c>
    </row>
    <row r="4245" spans="1:26">
      <c r="A4245" s="89" t="str">
        <f t="shared" si="396"/>
        <v/>
      </c>
      <c r="B4245" s="89" t="str">
        <f t="shared" si="397"/>
        <v/>
      </c>
      <c r="S4245" s="89" t="str">
        <f t="shared" si="398"/>
        <v/>
      </c>
      <c r="X4245" s="64">
        <f t="shared" si="399"/>
        <v>0</v>
      </c>
      <c r="Y4245" s="53">
        <f t="shared" si="400"/>
        <v>0</v>
      </c>
      <c r="Z4245" s="64">
        <f t="shared" si="401"/>
        <v>0</v>
      </c>
    </row>
    <row r="4246" spans="1:26">
      <c r="A4246" s="89" t="str">
        <f t="shared" si="396"/>
        <v/>
      </c>
      <c r="B4246" s="89" t="str">
        <f t="shared" si="397"/>
        <v/>
      </c>
      <c r="S4246" s="89" t="str">
        <f t="shared" si="398"/>
        <v/>
      </c>
      <c r="X4246" s="64">
        <f t="shared" si="399"/>
        <v>0</v>
      </c>
      <c r="Y4246" s="53">
        <f t="shared" si="400"/>
        <v>0</v>
      </c>
      <c r="Z4246" s="64">
        <f t="shared" si="401"/>
        <v>0</v>
      </c>
    </row>
    <row r="4247" spans="1:26">
      <c r="A4247" s="89" t="str">
        <f t="shared" si="396"/>
        <v/>
      </c>
      <c r="B4247" s="89" t="str">
        <f t="shared" si="397"/>
        <v/>
      </c>
      <c r="S4247" s="89" t="str">
        <f t="shared" si="398"/>
        <v/>
      </c>
      <c r="X4247" s="64">
        <f t="shared" si="399"/>
        <v>0</v>
      </c>
      <c r="Y4247" s="53">
        <f t="shared" si="400"/>
        <v>0</v>
      </c>
      <c r="Z4247" s="64">
        <f t="shared" si="401"/>
        <v>0</v>
      </c>
    </row>
    <row r="4248" spans="1:26">
      <c r="A4248" s="89" t="str">
        <f t="shared" si="396"/>
        <v/>
      </c>
      <c r="B4248" s="89" t="str">
        <f t="shared" si="397"/>
        <v/>
      </c>
      <c r="S4248" s="89" t="str">
        <f t="shared" si="398"/>
        <v/>
      </c>
      <c r="X4248" s="64">
        <f t="shared" si="399"/>
        <v>0</v>
      </c>
      <c r="Y4248" s="53">
        <f t="shared" si="400"/>
        <v>0</v>
      </c>
      <c r="Z4248" s="64">
        <f t="shared" si="401"/>
        <v>0</v>
      </c>
    </row>
    <row r="4249" spans="1:26">
      <c r="A4249" s="89" t="str">
        <f t="shared" si="396"/>
        <v/>
      </c>
      <c r="B4249" s="89" t="str">
        <f t="shared" si="397"/>
        <v/>
      </c>
      <c r="S4249" s="89" t="str">
        <f t="shared" si="398"/>
        <v/>
      </c>
      <c r="X4249" s="64">
        <f t="shared" si="399"/>
        <v>0</v>
      </c>
      <c r="Y4249" s="53">
        <f t="shared" si="400"/>
        <v>0</v>
      </c>
      <c r="Z4249" s="64">
        <f t="shared" si="401"/>
        <v>0</v>
      </c>
    </row>
    <row r="4250" spans="1:26">
      <c r="A4250" s="89" t="str">
        <f t="shared" si="396"/>
        <v/>
      </c>
      <c r="B4250" s="89" t="str">
        <f t="shared" si="397"/>
        <v/>
      </c>
      <c r="S4250" s="89" t="str">
        <f t="shared" si="398"/>
        <v/>
      </c>
      <c r="X4250" s="64">
        <f t="shared" si="399"/>
        <v>0</v>
      </c>
      <c r="Y4250" s="53">
        <f t="shared" si="400"/>
        <v>0</v>
      </c>
      <c r="Z4250" s="64">
        <f t="shared" si="401"/>
        <v>0</v>
      </c>
    </row>
    <row r="4251" spans="1:26">
      <c r="A4251" s="89" t="str">
        <f t="shared" si="396"/>
        <v/>
      </c>
      <c r="B4251" s="89" t="str">
        <f t="shared" si="397"/>
        <v/>
      </c>
      <c r="S4251" s="89" t="str">
        <f t="shared" si="398"/>
        <v/>
      </c>
      <c r="X4251" s="64">
        <f t="shared" si="399"/>
        <v>0</v>
      </c>
      <c r="Y4251" s="53">
        <f t="shared" si="400"/>
        <v>0</v>
      </c>
      <c r="Z4251" s="64">
        <f t="shared" si="401"/>
        <v>0</v>
      </c>
    </row>
    <row r="4252" spans="1:26">
      <c r="A4252" s="89" t="str">
        <f t="shared" si="396"/>
        <v/>
      </c>
      <c r="B4252" s="89" t="str">
        <f t="shared" si="397"/>
        <v/>
      </c>
      <c r="S4252" s="89" t="str">
        <f t="shared" si="398"/>
        <v/>
      </c>
      <c r="X4252" s="64">
        <f t="shared" si="399"/>
        <v>0</v>
      </c>
      <c r="Y4252" s="53">
        <f t="shared" si="400"/>
        <v>0</v>
      </c>
      <c r="Z4252" s="64">
        <f t="shared" si="401"/>
        <v>0</v>
      </c>
    </row>
    <row r="4253" spans="1:26">
      <c r="A4253" s="89" t="str">
        <f t="shared" si="396"/>
        <v/>
      </c>
      <c r="B4253" s="89" t="str">
        <f t="shared" si="397"/>
        <v/>
      </c>
      <c r="S4253" s="89" t="str">
        <f t="shared" si="398"/>
        <v/>
      </c>
      <c r="X4253" s="64">
        <f t="shared" si="399"/>
        <v>0</v>
      </c>
      <c r="Y4253" s="53">
        <f t="shared" si="400"/>
        <v>0</v>
      </c>
      <c r="Z4253" s="64">
        <f t="shared" si="401"/>
        <v>0</v>
      </c>
    </row>
    <row r="4254" spans="1:26">
      <c r="A4254" s="89" t="str">
        <f t="shared" si="396"/>
        <v/>
      </c>
      <c r="B4254" s="89" t="str">
        <f t="shared" si="397"/>
        <v/>
      </c>
      <c r="S4254" s="89" t="str">
        <f t="shared" si="398"/>
        <v/>
      </c>
      <c r="X4254" s="64">
        <f t="shared" si="399"/>
        <v>0</v>
      </c>
      <c r="Y4254" s="53">
        <f t="shared" si="400"/>
        <v>0</v>
      </c>
      <c r="Z4254" s="64">
        <f t="shared" si="401"/>
        <v>0</v>
      </c>
    </row>
    <row r="4255" spans="1:26">
      <c r="A4255" s="89" t="str">
        <f t="shared" si="396"/>
        <v/>
      </c>
      <c r="B4255" s="89" t="str">
        <f t="shared" si="397"/>
        <v/>
      </c>
      <c r="S4255" s="89" t="str">
        <f t="shared" si="398"/>
        <v/>
      </c>
      <c r="X4255" s="64">
        <f t="shared" si="399"/>
        <v>0</v>
      </c>
      <c r="Y4255" s="53">
        <f t="shared" si="400"/>
        <v>0</v>
      </c>
      <c r="Z4255" s="64">
        <f t="shared" si="401"/>
        <v>0</v>
      </c>
    </row>
    <row r="4256" spans="1:26">
      <c r="A4256" s="89" t="str">
        <f t="shared" si="396"/>
        <v/>
      </c>
      <c r="B4256" s="89" t="str">
        <f t="shared" si="397"/>
        <v/>
      </c>
      <c r="S4256" s="89" t="str">
        <f t="shared" si="398"/>
        <v/>
      </c>
      <c r="X4256" s="64">
        <f t="shared" si="399"/>
        <v>0</v>
      </c>
      <c r="Y4256" s="53">
        <f t="shared" si="400"/>
        <v>0</v>
      </c>
      <c r="Z4256" s="64">
        <f t="shared" si="401"/>
        <v>0</v>
      </c>
    </row>
    <row r="4257" spans="1:26">
      <c r="A4257" s="89" t="str">
        <f t="shared" si="396"/>
        <v/>
      </c>
      <c r="B4257" s="89" t="str">
        <f t="shared" si="397"/>
        <v/>
      </c>
      <c r="S4257" s="89" t="str">
        <f t="shared" si="398"/>
        <v/>
      </c>
      <c r="X4257" s="64">
        <f t="shared" si="399"/>
        <v>0</v>
      </c>
      <c r="Y4257" s="53">
        <f t="shared" si="400"/>
        <v>0</v>
      </c>
      <c r="Z4257" s="64">
        <f t="shared" si="401"/>
        <v>0</v>
      </c>
    </row>
    <row r="4258" spans="1:26">
      <c r="A4258" s="89" t="str">
        <f t="shared" si="396"/>
        <v/>
      </c>
      <c r="B4258" s="89" t="str">
        <f t="shared" si="397"/>
        <v/>
      </c>
      <c r="S4258" s="89" t="str">
        <f t="shared" si="398"/>
        <v/>
      </c>
      <c r="X4258" s="64">
        <f t="shared" si="399"/>
        <v>0</v>
      </c>
      <c r="Y4258" s="53">
        <f t="shared" si="400"/>
        <v>0</v>
      </c>
      <c r="Z4258" s="64">
        <f t="shared" si="401"/>
        <v>0</v>
      </c>
    </row>
    <row r="4259" spans="1:26">
      <c r="A4259" s="89" t="str">
        <f t="shared" si="396"/>
        <v/>
      </c>
      <c r="B4259" s="89" t="str">
        <f t="shared" si="397"/>
        <v/>
      </c>
      <c r="S4259" s="89" t="str">
        <f t="shared" si="398"/>
        <v/>
      </c>
      <c r="X4259" s="64">
        <f t="shared" si="399"/>
        <v>0</v>
      </c>
      <c r="Y4259" s="53">
        <f t="shared" si="400"/>
        <v>0</v>
      </c>
      <c r="Z4259" s="64">
        <f t="shared" si="401"/>
        <v>0</v>
      </c>
    </row>
    <row r="4260" spans="1:26">
      <c r="A4260" s="89" t="str">
        <f t="shared" si="396"/>
        <v/>
      </c>
      <c r="B4260" s="89" t="str">
        <f t="shared" si="397"/>
        <v/>
      </c>
      <c r="S4260" s="89" t="str">
        <f t="shared" si="398"/>
        <v/>
      </c>
      <c r="X4260" s="64">
        <f t="shared" si="399"/>
        <v>0</v>
      </c>
      <c r="Y4260" s="53">
        <f t="shared" si="400"/>
        <v>0</v>
      </c>
      <c r="Z4260" s="64">
        <f t="shared" si="401"/>
        <v>0</v>
      </c>
    </row>
    <row r="4261" spans="1:26">
      <c r="A4261" s="89" t="str">
        <f t="shared" si="396"/>
        <v/>
      </c>
      <c r="B4261" s="89" t="str">
        <f t="shared" si="397"/>
        <v/>
      </c>
      <c r="S4261" s="89" t="str">
        <f t="shared" si="398"/>
        <v/>
      </c>
      <c r="X4261" s="64">
        <f t="shared" si="399"/>
        <v>0</v>
      </c>
      <c r="Y4261" s="53">
        <f t="shared" si="400"/>
        <v>0</v>
      </c>
      <c r="Z4261" s="64">
        <f t="shared" si="401"/>
        <v>0</v>
      </c>
    </row>
    <row r="4262" spans="1:26">
      <c r="A4262" s="89" t="str">
        <f t="shared" si="396"/>
        <v/>
      </c>
      <c r="B4262" s="89" t="str">
        <f t="shared" si="397"/>
        <v/>
      </c>
      <c r="S4262" s="89" t="str">
        <f t="shared" si="398"/>
        <v/>
      </c>
      <c r="X4262" s="64">
        <f t="shared" si="399"/>
        <v>0</v>
      </c>
      <c r="Y4262" s="53">
        <f t="shared" si="400"/>
        <v>0</v>
      </c>
      <c r="Z4262" s="64">
        <f t="shared" si="401"/>
        <v>0</v>
      </c>
    </row>
    <row r="4263" spans="1:26">
      <c r="A4263" s="89" t="str">
        <f t="shared" si="396"/>
        <v/>
      </c>
      <c r="B4263" s="89" t="str">
        <f t="shared" si="397"/>
        <v/>
      </c>
      <c r="S4263" s="89" t="str">
        <f t="shared" si="398"/>
        <v/>
      </c>
      <c r="X4263" s="64">
        <f t="shared" si="399"/>
        <v>0</v>
      </c>
      <c r="Y4263" s="53">
        <f t="shared" si="400"/>
        <v>0</v>
      </c>
      <c r="Z4263" s="64">
        <f t="shared" si="401"/>
        <v>0</v>
      </c>
    </row>
    <row r="4264" spans="1:26">
      <c r="A4264" s="89" t="str">
        <f t="shared" si="396"/>
        <v/>
      </c>
      <c r="B4264" s="89" t="str">
        <f t="shared" si="397"/>
        <v/>
      </c>
      <c r="S4264" s="89" t="str">
        <f t="shared" si="398"/>
        <v/>
      </c>
      <c r="X4264" s="64">
        <f t="shared" si="399"/>
        <v>0</v>
      </c>
      <c r="Y4264" s="53">
        <f t="shared" si="400"/>
        <v>0</v>
      </c>
      <c r="Z4264" s="64">
        <f t="shared" si="401"/>
        <v>0</v>
      </c>
    </row>
    <row r="4265" spans="1:26">
      <c r="A4265" s="89" t="str">
        <f t="shared" si="396"/>
        <v/>
      </c>
      <c r="B4265" s="89" t="str">
        <f t="shared" si="397"/>
        <v/>
      </c>
      <c r="S4265" s="89" t="str">
        <f t="shared" si="398"/>
        <v/>
      </c>
      <c r="X4265" s="64">
        <f t="shared" si="399"/>
        <v>0</v>
      </c>
      <c r="Y4265" s="53">
        <f t="shared" si="400"/>
        <v>0</v>
      </c>
      <c r="Z4265" s="64">
        <f t="shared" si="401"/>
        <v>0</v>
      </c>
    </row>
    <row r="4266" spans="1:26">
      <c r="A4266" s="89" t="str">
        <f t="shared" si="396"/>
        <v/>
      </c>
      <c r="B4266" s="89" t="str">
        <f t="shared" si="397"/>
        <v/>
      </c>
      <c r="S4266" s="89" t="str">
        <f t="shared" si="398"/>
        <v/>
      </c>
      <c r="X4266" s="64">
        <f t="shared" si="399"/>
        <v>0</v>
      </c>
      <c r="Y4266" s="53">
        <f t="shared" si="400"/>
        <v>0</v>
      </c>
      <c r="Z4266" s="64">
        <f t="shared" si="401"/>
        <v>0</v>
      </c>
    </row>
    <row r="4267" spans="1:26">
      <c r="A4267" s="89" t="str">
        <f t="shared" si="396"/>
        <v/>
      </c>
      <c r="B4267" s="89" t="str">
        <f t="shared" si="397"/>
        <v/>
      </c>
      <c r="S4267" s="89" t="str">
        <f t="shared" si="398"/>
        <v/>
      </c>
      <c r="X4267" s="64">
        <f t="shared" si="399"/>
        <v>0</v>
      </c>
      <c r="Y4267" s="53">
        <f t="shared" si="400"/>
        <v>0</v>
      </c>
      <c r="Z4267" s="64">
        <f t="shared" si="401"/>
        <v>0</v>
      </c>
    </row>
    <row r="4268" spans="1:26">
      <c r="A4268" s="89" t="str">
        <f t="shared" si="396"/>
        <v/>
      </c>
      <c r="B4268" s="89" t="str">
        <f t="shared" si="397"/>
        <v/>
      </c>
      <c r="S4268" s="89" t="str">
        <f t="shared" si="398"/>
        <v/>
      </c>
      <c r="X4268" s="64">
        <f t="shared" si="399"/>
        <v>0</v>
      </c>
      <c r="Y4268" s="53">
        <f t="shared" si="400"/>
        <v>0</v>
      </c>
      <c r="Z4268" s="64">
        <f t="shared" si="401"/>
        <v>0</v>
      </c>
    </row>
    <row r="4269" spans="1:26">
      <c r="A4269" s="89" t="str">
        <f t="shared" si="396"/>
        <v/>
      </c>
      <c r="B4269" s="89" t="str">
        <f t="shared" si="397"/>
        <v/>
      </c>
      <c r="S4269" s="89" t="str">
        <f t="shared" si="398"/>
        <v/>
      </c>
      <c r="X4269" s="64">
        <f t="shared" si="399"/>
        <v>0</v>
      </c>
      <c r="Y4269" s="53">
        <f t="shared" si="400"/>
        <v>0</v>
      </c>
      <c r="Z4269" s="64">
        <f t="shared" si="401"/>
        <v>0</v>
      </c>
    </row>
    <row r="4270" spans="1:26">
      <c r="A4270" s="89" t="str">
        <f t="shared" si="396"/>
        <v/>
      </c>
      <c r="B4270" s="89" t="str">
        <f t="shared" si="397"/>
        <v/>
      </c>
      <c r="S4270" s="89" t="str">
        <f t="shared" si="398"/>
        <v/>
      </c>
      <c r="X4270" s="64">
        <f t="shared" si="399"/>
        <v>0</v>
      </c>
      <c r="Y4270" s="53">
        <f t="shared" si="400"/>
        <v>0</v>
      </c>
      <c r="Z4270" s="64">
        <f t="shared" si="401"/>
        <v>0</v>
      </c>
    </row>
    <row r="4271" spans="1:26">
      <c r="A4271" s="89" t="str">
        <f t="shared" si="396"/>
        <v/>
      </c>
      <c r="B4271" s="89" t="str">
        <f t="shared" si="397"/>
        <v/>
      </c>
      <c r="S4271" s="89" t="str">
        <f t="shared" si="398"/>
        <v/>
      </c>
      <c r="X4271" s="64">
        <f t="shared" si="399"/>
        <v>0</v>
      </c>
      <c r="Y4271" s="53">
        <f t="shared" si="400"/>
        <v>0</v>
      </c>
      <c r="Z4271" s="64">
        <f t="shared" si="401"/>
        <v>0</v>
      </c>
    </row>
    <row r="4272" spans="1:26">
      <c r="A4272" s="89" t="str">
        <f t="shared" si="396"/>
        <v/>
      </c>
      <c r="B4272" s="89" t="str">
        <f t="shared" si="397"/>
        <v/>
      </c>
      <c r="S4272" s="89" t="str">
        <f t="shared" si="398"/>
        <v/>
      </c>
      <c r="X4272" s="64">
        <f t="shared" si="399"/>
        <v>0</v>
      </c>
      <c r="Y4272" s="53">
        <f t="shared" si="400"/>
        <v>0</v>
      </c>
      <c r="Z4272" s="64">
        <f t="shared" si="401"/>
        <v>0</v>
      </c>
    </row>
    <row r="4273" spans="1:26">
      <c r="A4273" s="89" t="str">
        <f t="shared" si="396"/>
        <v/>
      </c>
      <c r="B4273" s="89" t="str">
        <f t="shared" si="397"/>
        <v/>
      </c>
      <c r="S4273" s="89" t="str">
        <f t="shared" si="398"/>
        <v/>
      </c>
      <c r="X4273" s="64">
        <f t="shared" si="399"/>
        <v>0</v>
      </c>
      <c r="Y4273" s="53">
        <f t="shared" si="400"/>
        <v>0</v>
      </c>
      <c r="Z4273" s="64">
        <f t="shared" si="401"/>
        <v>0</v>
      </c>
    </row>
    <row r="4274" spans="1:26">
      <c r="A4274" s="89" t="str">
        <f t="shared" si="396"/>
        <v/>
      </c>
      <c r="B4274" s="89" t="str">
        <f t="shared" si="397"/>
        <v/>
      </c>
      <c r="S4274" s="89" t="str">
        <f t="shared" si="398"/>
        <v/>
      </c>
      <c r="X4274" s="64">
        <f t="shared" si="399"/>
        <v>0</v>
      </c>
      <c r="Y4274" s="53">
        <f t="shared" si="400"/>
        <v>0</v>
      </c>
      <c r="Z4274" s="64">
        <f t="shared" si="401"/>
        <v>0</v>
      </c>
    </row>
    <row r="4275" spans="1:26">
      <c r="A4275" s="89" t="str">
        <f t="shared" si="396"/>
        <v/>
      </c>
      <c r="B4275" s="89" t="str">
        <f t="shared" si="397"/>
        <v/>
      </c>
      <c r="S4275" s="89" t="str">
        <f t="shared" si="398"/>
        <v/>
      </c>
      <c r="X4275" s="64">
        <f t="shared" si="399"/>
        <v>0</v>
      </c>
      <c r="Y4275" s="53">
        <f t="shared" si="400"/>
        <v>0</v>
      </c>
      <c r="Z4275" s="64">
        <f t="shared" si="401"/>
        <v>0</v>
      </c>
    </row>
    <row r="4276" spans="1:26">
      <c r="A4276" s="89" t="str">
        <f t="shared" si="396"/>
        <v/>
      </c>
      <c r="B4276" s="89" t="str">
        <f t="shared" si="397"/>
        <v/>
      </c>
      <c r="S4276" s="89" t="str">
        <f t="shared" si="398"/>
        <v/>
      </c>
      <c r="X4276" s="64">
        <f t="shared" si="399"/>
        <v>0</v>
      </c>
      <c r="Y4276" s="53">
        <f t="shared" si="400"/>
        <v>0</v>
      </c>
      <c r="Z4276" s="64">
        <f t="shared" si="401"/>
        <v>0</v>
      </c>
    </row>
    <row r="4277" spans="1:26">
      <c r="A4277" s="89" t="str">
        <f t="shared" si="396"/>
        <v/>
      </c>
      <c r="B4277" s="89" t="str">
        <f t="shared" si="397"/>
        <v/>
      </c>
      <c r="S4277" s="89" t="str">
        <f t="shared" si="398"/>
        <v/>
      </c>
      <c r="X4277" s="64">
        <f t="shared" si="399"/>
        <v>0</v>
      </c>
      <c r="Y4277" s="53">
        <f t="shared" si="400"/>
        <v>0</v>
      </c>
      <c r="Z4277" s="64">
        <f t="shared" si="401"/>
        <v>0</v>
      </c>
    </row>
    <row r="4278" spans="1:26">
      <c r="A4278" s="89" t="str">
        <f t="shared" si="396"/>
        <v/>
      </c>
      <c r="B4278" s="89" t="str">
        <f t="shared" si="397"/>
        <v/>
      </c>
      <c r="S4278" s="89" t="str">
        <f t="shared" si="398"/>
        <v/>
      </c>
      <c r="X4278" s="64">
        <f t="shared" si="399"/>
        <v>0</v>
      </c>
      <c r="Y4278" s="53">
        <f t="shared" si="400"/>
        <v>0</v>
      </c>
      <c r="Z4278" s="64">
        <f t="shared" si="401"/>
        <v>0</v>
      </c>
    </row>
    <row r="4279" spans="1:26">
      <c r="A4279" s="89" t="str">
        <f t="shared" si="396"/>
        <v/>
      </c>
      <c r="B4279" s="89" t="str">
        <f t="shared" si="397"/>
        <v/>
      </c>
      <c r="S4279" s="89" t="str">
        <f t="shared" si="398"/>
        <v/>
      </c>
      <c r="X4279" s="64">
        <f t="shared" si="399"/>
        <v>0</v>
      </c>
      <c r="Y4279" s="53">
        <f t="shared" si="400"/>
        <v>0</v>
      </c>
      <c r="Z4279" s="64">
        <f t="shared" si="401"/>
        <v>0</v>
      </c>
    </row>
    <row r="4280" spans="1:26">
      <c r="A4280" s="89" t="str">
        <f t="shared" si="396"/>
        <v/>
      </c>
      <c r="B4280" s="89" t="str">
        <f t="shared" si="397"/>
        <v/>
      </c>
      <c r="S4280" s="89" t="str">
        <f t="shared" si="398"/>
        <v/>
      </c>
      <c r="X4280" s="64">
        <f t="shared" si="399"/>
        <v>0</v>
      </c>
      <c r="Y4280" s="53">
        <f t="shared" si="400"/>
        <v>0</v>
      </c>
      <c r="Z4280" s="64">
        <f t="shared" si="401"/>
        <v>0</v>
      </c>
    </row>
    <row r="4281" spans="1:26">
      <c r="A4281" s="89" t="str">
        <f t="shared" si="396"/>
        <v/>
      </c>
      <c r="B4281" s="89" t="str">
        <f t="shared" si="397"/>
        <v/>
      </c>
      <c r="S4281" s="89" t="str">
        <f t="shared" si="398"/>
        <v/>
      </c>
      <c r="X4281" s="64">
        <f t="shared" si="399"/>
        <v>0</v>
      </c>
      <c r="Y4281" s="53">
        <f t="shared" si="400"/>
        <v>0</v>
      </c>
      <c r="Z4281" s="64">
        <f t="shared" si="401"/>
        <v>0</v>
      </c>
    </row>
    <row r="4282" spans="1:26">
      <c r="A4282" s="89" t="str">
        <f t="shared" si="396"/>
        <v/>
      </c>
      <c r="B4282" s="89" t="str">
        <f t="shared" si="397"/>
        <v/>
      </c>
      <c r="S4282" s="89" t="str">
        <f t="shared" si="398"/>
        <v/>
      </c>
      <c r="X4282" s="64">
        <f t="shared" si="399"/>
        <v>0</v>
      </c>
      <c r="Y4282" s="53">
        <f t="shared" si="400"/>
        <v>0</v>
      </c>
      <c r="Z4282" s="64">
        <f t="shared" si="401"/>
        <v>0</v>
      </c>
    </row>
    <row r="4283" spans="1:26">
      <c r="A4283" s="89" t="str">
        <f t="shared" si="396"/>
        <v/>
      </c>
      <c r="B4283" s="89" t="str">
        <f t="shared" si="397"/>
        <v/>
      </c>
      <c r="S4283" s="89" t="str">
        <f t="shared" si="398"/>
        <v/>
      </c>
      <c r="X4283" s="64">
        <f t="shared" si="399"/>
        <v>0</v>
      </c>
      <c r="Y4283" s="53">
        <f t="shared" si="400"/>
        <v>0</v>
      </c>
      <c r="Z4283" s="64">
        <f t="shared" si="401"/>
        <v>0</v>
      </c>
    </row>
    <row r="4284" spans="1:26">
      <c r="A4284" s="89" t="str">
        <f t="shared" si="396"/>
        <v/>
      </c>
      <c r="B4284" s="89" t="str">
        <f t="shared" si="397"/>
        <v/>
      </c>
      <c r="S4284" s="89" t="str">
        <f t="shared" si="398"/>
        <v/>
      </c>
      <c r="X4284" s="64">
        <f t="shared" si="399"/>
        <v>0</v>
      </c>
      <c r="Y4284" s="53">
        <f t="shared" si="400"/>
        <v>0</v>
      </c>
      <c r="Z4284" s="64">
        <f t="shared" si="401"/>
        <v>0</v>
      </c>
    </row>
    <row r="4285" spans="1:26">
      <c r="A4285" s="89" t="str">
        <f t="shared" si="396"/>
        <v/>
      </c>
      <c r="B4285" s="89" t="str">
        <f t="shared" si="397"/>
        <v/>
      </c>
      <c r="S4285" s="89" t="str">
        <f t="shared" si="398"/>
        <v/>
      </c>
      <c r="X4285" s="64">
        <f t="shared" si="399"/>
        <v>0</v>
      </c>
      <c r="Y4285" s="53">
        <f t="shared" si="400"/>
        <v>0</v>
      </c>
      <c r="Z4285" s="64">
        <f t="shared" si="401"/>
        <v>0</v>
      </c>
    </row>
    <row r="4286" spans="1:26">
      <c r="A4286" s="89" t="str">
        <f t="shared" si="396"/>
        <v/>
      </c>
      <c r="B4286" s="89" t="str">
        <f t="shared" si="397"/>
        <v/>
      </c>
      <c r="S4286" s="89" t="str">
        <f t="shared" si="398"/>
        <v/>
      </c>
      <c r="X4286" s="64">
        <f t="shared" si="399"/>
        <v>0</v>
      </c>
      <c r="Y4286" s="53">
        <f t="shared" si="400"/>
        <v>0</v>
      </c>
      <c r="Z4286" s="64">
        <f t="shared" si="401"/>
        <v>0</v>
      </c>
    </row>
    <row r="4287" spans="1:26">
      <c r="A4287" s="89" t="str">
        <f t="shared" si="396"/>
        <v/>
      </c>
      <c r="B4287" s="89" t="str">
        <f t="shared" si="397"/>
        <v/>
      </c>
      <c r="S4287" s="89" t="str">
        <f t="shared" si="398"/>
        <v/>
      </c>
      <c r="X4287" s="64">
        <f t="shared" si="399"/>
        <v>0</v>
      </c>
      <c r="Y4287" s="53">
        <f t="shared" si="400"/>
        <v>0</v>
      </c>
      <c r="Z4287" s="64">
        <f t="shared" si="401"/>
        <v>0</v>
      </c>
    </row>
    <row r="4288" spans="1:26">
      <c r="A4288" s="89" t="str">
        <f t="shared" si="396"/>
        <v/>
      </c>
      <c r="B4288" s="89" t="str">
        <f t="shared" si="397"/>
        <v/>
      </c>
      <c r="S4288" s="89" t="str">
        <f t="shared" si="398"/>
        <v/>
      </c>
      <c r="X4288" s="64">
        <f t="shared" si="399"/>
        <v>0</v>
      </c>
      <c r="Y4288" s="53">
        <f t="shared" si="400"/>
        <v>0</v>
      </c>
      <c r="Z4288" s="64">
        <f t="shared" si="401"/>
        <v>0</v>
      </c>
    </row>
    <row r="4289" spans="1:26">
      <c r="A4289" s="89" t="str">
        <f t="shared" si="396"/>
        <v/>
      </c>
      <c r="B4289" s="89" t="str">
        <f t="shared" si="397"/>
        <v/>
      </c>
      <c r="S4289" s="89" t="str">
        <f t="shared" si="398"/>
        <v/>
      </c>
      <c r="X4289" s="64">
        <f t="shared" si="399"/>
        <v>0</v>
      </c>
      <c r="Y4289" s="53">
        <f t="shared" si="400"/>
        <v>0</v>
      </c>
      <c r="Z4289" s="64">
        <f t="shared" si="401"/>
        <v>0</v>
      </c>
    </row>
    <row r="4290" spans="1:26">
      <c r="A4290" s="89" t="str">
        <f t="shared" si="396"/>
        <v/>
      </c>
      <c r="B4290" s="89" t="str">
        <f t="shared" si="397"/>
        <v/>
      </c>
      <c r="S4290" s="89" t="str">
        <f t="shared" si="398"/>
        <v/>
      </c>
      <c r="X4290" s="64">
        <f t="shared" si="399"/>
        <v>0</v>
      </c>
      <c r="Y4290" s="53">
        <f t="shared" si="400"/>
        <v>0</v>
      </c>
      <c r="Z4290" s="64">
        <f t="shared" si="401"/>
        <v>0</v>
      </c>
    </row>
    <row r="4291" spans="1:26">
      <c r="A4291" s="89" t="str">
        <f t="shared" ref="A4291:A4354" si="402">IF(G4291&amp;Q4291&lt;&gt;"",G4291&amp;Q4291,"")</f>
        <v/>
      </c>
      <c r="B4291" s="89" t="str">
        <f t="shared" ref="B4291:B4354" si="403">IF(C4291&lt;&gt;"",LEFT(C4291,9),"")</f>
        <v/>
      </c>
      <c r="S4291" s="89" t="str">
        <f t="shared" ref="S4291:S4354" si="404">IF(H4291&lt;&gt;"",H4291,"")</f>
        <v/>
      </c>
      <c r="X4291" s="64">
        <f t="shared" ref="X4291:X4354" si="405">IFERROR(VALUE(MID($C4291,1,2)),0)</f>
        <v>0</v>
      </c>
      <c r="Y4291" s="53">
        <f t="shared" ref="Y4291:Y4354" si="406">IFERROR(VALUE(MID($C4291,4,3)),0)</f>
        <v>0</v>
      </c>
      <c r="Z4291" s="64">
        <f t="shared" ref="Z4291:Z4354" si="407">VALUE(RIGHT("00"&amp;X4291,2)&amp;RIGHT("000"&amp;Y4291,3))</f>
        <v>0</v>
      </c>
    </row>
    <row r="4292" spans="1:26">
      <c r="A4292" s="89" t="str">
        <f t="shared" si="402"/>
        <v/>
      </c>
      <c r="B4292" s="89" t="str">
        <f t="shared" si="403"/>
        <v/>
      </c>
      <c r="S4292" s="89" t="str">
        <f t="shared" si="404"/>
        <v/>
      </c>
      <c r="X4292" s="64">
        <f t="shared" si="405"/>
        <v>0</v>
      </c>
      <c r="Y4292" s="53">
        <f t="shared" si="406"/>
        <v>0</v>
      </c>
      <c r="Z4292" s="64">
        <f t="shared" si="407"/>
        <v>0</v>
      </c>
    </row>
    <row r="4293" spans="1:26">
      <c r="A4293" s="89" t="str">
        <f t="shared" si="402"/>
        <v/>
      </c>
      <c r="B4293" s="89" t="str">
        <f t="shared" si="403"/>
        <v/>
      </c>
      <c r="S4293" s="89" t="str">
        <f t="shared" si="404"/>
        <v/>
      </c>
      <c r="X4293" s="64">
        <f t="shared" si="405"/>
        <v>0</v>
      </c>
      <c r="Y4293" s="53">
        <f t="shared" si="406"/>
        <v>0</v>
      </c>
      <c r="Z4293" s="64">
        <f t="shared" si="407"/>
        <v>0</v>
      </c>
    </row>
    <row r="4294" spans="1:26">
      <c r="A4294" s="89" t="str">
        <f t="shared" si="402"/>
        <v/>
      </c>
      <c r="B4294" s="89" t="str">
        <f t="shared" si="403"/>
        <v/>
      </c>
      <c r="S4294" s="89" t="str">
        <f t="shared" si="404"/>
        <v/>
      </c>
      <c r="X4294" s="64">
        <f t="shared" si="405"/>
        <v>0</v>
      </c>
      <c r="Y4294" s="53">
        <f t="shared" si="406"/>
        <v>0</v>
      </c>
      <c r="Z4294" s="64">
        <f t="shared" si="407"/>
        <v>0</v>
      </c>
    </row>
    <row r="4295" spans="1:26">
      <c r="A4295" s="89" t="str">
        <f t="shared" si="402"/>
        <v/>
      </c>
      <c r="B4295" s="89" t="str">
        <f t="shared" si="403"/>
        <v/>
      </c>
      <c r="S4295" s="89" t="str">
        <f t="shared" si="404"/>
        <v/>
      </c>
      <c r="X4295" s="64">
        <f t="shared" si="405"/>
        <v>0</v>
      </c>
      <c r="Y4295" s="53">
        <f t="shared" si="406"/>
        <v>0</v>
      </c>
      <c r="Z4295" s="64">
        <f t="shared" si="407"/>
        <v>0</v>
      </c>
    </row>
    <row r="4296" spans="1:26">
      <c r="A4296" s="89" t="str">
        <f t="shared" si="402"/>
        <v/>
      </c>
      <c r="B4296" s="89" t="str">
        <f t="shared" si="403"/>
        <v/>
      </c>
      <c r="S4296" s="89" t="str">
        <f t="shared" si="404"/>
        <v/>
      </c>
      <c r="X4296" s="64">
        <f t="shared" si="405"/>
        <v>0</v>
      </c>
      <c r="Y4296" s="53">
        <f t="shared" si="406"/>
        <v>0</v>
      </c>
      <c r="Z4296" s="64">
        <f t="shared" si="407"/>
        <v>0</v>
      </c>
    </row>
    <row r="4297" spans="1:26">
      <c r="A4297" s="89" t="str">
        <f t="shared" si="402"/>
        <v/>
      </c>
      <c r="B4297" s="89" t="str">
        <f t="shared" si="403"/>
        <v/>
      </c>
      <c r="S4297" s="89" t="str">
        <f t="shared" si="404"/>
        <v/>
      </c>
      <c r="X4297" s="64">
        <f t="shared" si="405"/>
        <v>0</v>
      </c>
      <c r="Y4297" s="53">
        <f t="shared" si="406"/>
        <v>0</v>
      </c>
      <c r="Z4297" s="64">
        <f t="shared" si="407"/>
        <v>0</v>
      </c>
    </row>
    <row r="4298" spans="1:26">
      <c r="A4298" s="89" t="str">
        <f t="shared" si="402"/>
        <v/>
      </c>
      <c r="B4298" s="89" t="str">
        <f t="shared" si="403"/>
        <v/>
      </c>
      <c r="S4298" s="89" t="str">
        <f t="shared" si="404"/>
        <v/>
      </c>
      <c r="X4298" s="64">
        <f t="shared" si="405"/>
        <v>0</v>
      </c>
      <c r="Y4298" s="53">
        <f t="shared" si="406"/>
        <v>0</v>
      </c>
      <c r="Z4298" s="64">
        <f t="shared" si="407"/>
        <v>0</v>
      </c>
    </row>
    <row r="4299" spans="1:26">
      <c r="A4299" s="89" t="str">
        <f t="shared" si="402"/>
        <v/>
      </c>
      <c r="B4299" s="89" t="str">
        <f t="shared" si="403"/>
        <v/>
      </c>
      <c r="S4299" s="89" t="str">
        <f t="shared" si="404"/>
        <v/>
      </c>
      <c r="X4299" s="64">
        <f t="shared" si="405"/>
        <v>0</v>
      </c>
      <c r="Y4299" s="53">
        <f t="shared" si="406"/>
        <v>0</v>
      </c>
      <c r="Z4299" s="64">
        <f t="shared" si="407"/>
        <v>0</v>
      </c>
    </row>
    <row r="4300" spans="1:26">
      <c r="A4300" s="89" t="str">
        <f t="shared" si="402"/>
        <v/>
      </c>
      <c r="B4300" s="89" t="str">
        <f t="shared" si="403"/>
        <v/>
      </c>
      <c r="S4300" s="89" t="str">
        <f t="shared" si="404"/>
        <v/>
      </c>
      <c r="X4300" s="64">
        <f t="shared" si="405"/>
        <v>0</v>
      </c>
      <c r="Y4300" s="53">
        <f t="shared" si="406"/>
        <v>0</v>
      </c>
      <c r="Z4300" s="64">
        <f t="shared" si="407"/>
        <v>0</v>
      </c>
    </row>
    <row r="4301" spans="1:26">
      <c r="A4301" s="89" t="str">
        <f t="shared" si="402"/>
        <v/>
      </c>
      <c r="B4301" s="89" t="str">
        <f t="shared" si="403"/>
        <v/>
      </c>
      <c r="S4301" s="89" t="str">
        <f t="shared" si="404"/>
        <v/>
      </c>
      <c r="X4301" s="64">
        <f t="shared" si="405"/>
        <v>0</v>
      </c>
      <c r="Y4301" s="53">
        <f t="shared" si="406"/>
        <v>0</v>
      </c>
      <c r="Z4301" s="64">
        <f t="shared" si="407"/>
        <v>0</v>
      </c>
    </row>
    <row r="4302" spans="1:26">
      <c r="A4302" s="89" t="str">
        <f t="shared" si="402"/>
        <v/>
      </c>
      <c r="B4302" s="89" t="str">
        <f t="shared" si="403"/>
        <v/>
      </c>
      <c r="S4302" s="89" t="str">
        <f t="shared" si="404"/>
        <v/>
      </c>
      <c r="X4302" s="64">
        <f t="shared" si="405"/>
        <v>0</v>
      </c>
      <c r="Y4302" s="53">
        <f t="shared" si="406"/>
        <v>0</v>
      </c>
      <c r="Z4302" s="64">
        <f t="shared" si="407"/>
        <v>0</v>
      </c>
    </row>
    <row r="4303" spans="1:26">
      <c r="A4303" s="89" t="str">
        <f t="shared" si="402"/>
        <v/>
      </c>
      <c r="B4303" s="89" t="str">
        <f t="shared" si="403"/>
        <v/>
      </c>
      <c r="S4303" s="89" t="str">
        <f t="shared" si="404"/>
        <v/>
      </c>
      <c r="X4303" s="64">
        <f t="shared" si="405"/>
        <v>0</v>
      </c>
      <c r="Y4303" s="53">
        <f t="shared" si="406"/>
        <v>0</v>
      </c>
      <c r="Z4303" s="64">
        <f t="shared" si="407"/>
        <v>0</v>
      </c>
    </row>
    <row r="4304" spans="1:26">
      <c r="A4304" s="89" t="str">
        <f t="shared" si="402"/>
        <v/>
      </c>
      <c r="B4304" s="89" t="str">
        <f t="shared" si="403"/>
        <v/>
      </c>
      <c r="S4304" s="89" t="str">
        <f t="shared" si="404"/>
        <v/>
      </c>
      <c r="X4304" s="64">
        <f t="shared" si="405"/>
        <v>0</v>
      </c>
      <c r="Y4304" s="53">
        <f t="shared" si="406"/>
        <v>0</v>
      </c>
      <c r="Z4304" s="64">
        <f t="shared" si="407"/>
        <v>0</v>
      </c>
    </row>
    <row r="4305" spans="1:26">
      <c r="A4305" s="89" t="str">
        <f t="shared" si="402"/>
        <v/>
      </c>
      <c r="B4305" s="89" t="str">
        <f t="shared" si="403"/>
        <v/>
      </c>
      <c r="S4305" s="89" t="str">
        <f t="shared" si="404"/>
        <v/>
      </c>
      <c r="X4305" s="64">
        <f t="shared" si="405"/>
        <v>0</v>
      </c>
      <c r="Y4305" s="53">
        <f t="shared" si="406"/>
        <v>0</v>
      </c>
      <c r="Z4305" s="64">
        <f t="shared" si="407"/>
        <v>0</v>
      </c>
    </row>
    <row r="4306" spans="1:26">
      <c r="A4306" s="89" t="str">
        <f t="shared" si="402"/>
        <v/>
      </c>
      <c r="B4306" s="89" t="str">
        <f t="shared" si="403"/>
        <v/>
      </c>
      <c r="S4306" s="89" t="str">
        <f t="shared" si="404"/>
        <v/>
      </c>
      <c r="X4306" s="64">
        <f t="shared" si="405"/>
        <v>0</v>
      </c>
      <c r="Y4306" s="53">
        <f t="shared" si="406"/>
        <v>0</v>
      </c>
      <c r="Z4306" s="64">
        <f t="shared" si="407"/>
        <v>0</v>
      </c>
    </row>
    <row r="4307" spans="1:26">
      <c r="A4307" s="89" t="str">
        <f t="shared" si="402"/>
        <v/>
      </c>
      <c r="B4307" s="89" t="str">
        <f t="shared" si="403"/>
        <v/>
      </c>
      <c r="S4307" s="89" t="str">
        <f t="shared" si="404"/>
        <v/>
      </c>
      <c r="X4307" s="64">
        <f t="shared" si="405"/>
        <v>0</v>
      </c>
      <c r="Y4307" s="53">
        <f t="shared" si="406"/>
        <v>0</v>
      </c>
      <c r="Z4307" s="64">
        <f t="shared" si="407"/>
        <v>0</v>
      </c>
    </row>
    <row r="4308" spans="1:26">
      <c r="A4308" s="89" t="str">
        <f t="shared" si="402"/>
        <v/>
      </c>
      <c r="B4308" s="89" t="str">
        <f t="shared" si="403"/>
        <v/>
      </c>
      <c r="S4308" s="89" t="str">
        <f t="shared" si="404"/>
        <v/>
      </c>
      <c r="X4308" s="64">
        <f t="shared" si="405"/>
        <v>0</v>
      </c>
      <c r="Y4308" s="53">
        <f t="shared" si="406"/>
        <v>0</v>
      </c>
      <c r="Z4308" s="64">
        <f t="shared" si="407"/>
        <v>0</v>
      </c>
    </row>
    <row r="4309" spans="1:26">
      <c r="A4309" s="89" t="str">
        <f t="shared" si="402"/>
        <v/>
      </c>
      <c r="B4309" s="89" t="str">
        <f t="shared" si="403"/>
        <v/>
      </c>
      <c r="S4309" s="89" t="str">
        <f t="shared" si="404"/>
        <v/>
      </c>
      <c r="X4309" s="64">
        <f t="shared" si="405"/>
        <v>0</v>
      </c>
      <c r="Y4309" s="53">
        <f t="shared" si="406"/>
        <v>0</v>
      </c>
      <c r="Z4309" s="64">
        <f t="shared" si="407"/>
        <v>0</v>
      </c>
    </row>
    <row r="4310" spans="1:26">
      <c r="A4310" s="89" t="str">
        <f t="shared" si="402"/>
        <v/>
      </c>
      <c r="B4310" s="89" t="str">
        <f t="shared" si="403"/>
        <v/>
      </c>
      <c r="S4310" s="89" t="str">
        <f t="shared" si="404"/>
        <v/>
      </c>
      <c r="X4310" s="64">
        <f t="shared" si="405"/>
        <v>0</v>
      </c>
      <c r="Y4310" s="53">
        <f t="shared" si="406"/>
        <v>0</v>
      </c>
      <c r="Z4310" s="64">
        <f t="shared" si="407"/>
        <v>0</v>
      </c>
    </row>
    <row r="4311" spans="1:26">
      <c r="A4311" s="89" t="str">
        <f t="shared" si="402"/>
        <v/>
      </c>
      <c r="B4311" s="89" t="str">
        <f t="shared" si="403"/>
        <v/>
      </c>
      <c r="S4311" s="89" t="str">
        <f t="shared" si="404"/>
        <v/>
      </c>
      <c r="X4311" s="64">
        <f t="shared" si="405"/>
        <v>0</v>
      </c>
      <c r="Y4311" s="53">
        <f t="shared" si="406"/>
        <v>0</v>
      </c>
      <c r="Z4311" s="64">
        <f t="shared" si="407"/>
        <v>0</v>
      </c>
    </row>
    <row r="4312" spans="1:26">
      <c r="A4312" s="89" t="str">
        <f t="shared" si="402"/>
        <v/>
      </c>
      <c r="B4312" s="89" t="str">
        <f t="shared" si="403"/>
        <v/>
      </c>
      <c r="S4312" s="89" t="str">
        <f t="shared" si="404"/>
        <v/>
      </c>
      <c r="X4312" s="64">
        <f t="shared" si="405"/>
        <v>0</v>
      </c>
      <c r="Y4312" s="53">
        <f t="shared" si="406"/>
        <v>0</v>
      </c>
      <c r="Z4312" s="64">
        <f t="shared" si="407"/>
        <v>0</v>
      </c>
    </row>
    <row r="4313" spans="1:26">
      <c r="A4313" s="89" t="str">
        <f t="shared" si="402"/>
        <v/>
      </c>
      <c r="B4313" s="89" t="str">
        <f t="shared" si="403"/>
        <v/>
      </c>
      <c r="S4313" s="89" t="str">
        <f t="shared" si="404"/>
        <v/>
      </c>
      <c r="X4313" s="64">
        <f t="shared" si="405"/>
        <v>0</v>
      </c>
      <c r="Y4313" s="53">
        <f t="shared" si="406"/>
        <v>0</v>
      </c>
      <c r="Z4313" s="64">
        <f t="shared" si="407"/>
        <v>0</v>
      </c>
    </row>
    <row r="4314" spans="1:26">
      <c r="A4314" s="89" t="str">
        <f t="shared" si="402"/>
        <v/>
      </c>
      <c r="B4314" s="89" t="str">
        <f t="shared" si="403"/>
        <v/>
      </c>
      <c r="S4314" s="89" t="str">
        <f t="shared" si="404"/>
        <v/>
      </c>
      <c r="X4314" s="64">
        <f t="shared" si="405"/>
        <v>0</v>
      </c>
      <c r="Y4314" s="53">
        <f t="shared" si="406"/>
        <v>0</v>
      </c>
      <c r="Z4314" s="64">
        <f t="shared" si="407"/>
        <v>0</v>
      </c>
    </row>
    <row r="4315" spans="1:26">
      <c r="A4315" s="89" t="str">
        <f t="shared" si="402"/>
        <v/>
      </c>
      <c r="B4315" s="89" t="str">
        <f t="shared" si="403"/>
        <v/>
      </c>
      <c r="S4315" s="89" t="str">
        <f t="shared" si="404"/>
        <v/>
      </c>
      <c r="X4315" s="64">
        <f t="shared" si="405"/>
        <v>0</v>
      </c>
      <c r="Y4315" s="53">
        <f t="shared" si="406"/>
        <v>0</v>
      </c>
      <c r="Z4315" s="64">
        <f t="shared" si="407"/>
        <v>0</v>
      </c>
    </row>
    <row r="4316" spans="1:26">
      <c r="A4316" s="89" t="str">
        <f t="shared" si="402"/>
        <v/>
      </c>
      <c r="B4316" s="89" t="str">
        <f t="shared" si="403"/>
        <v/>
      </c>
      <c r="S4316" s="89" t="str">
        <f t="shared" si="404"/>
        <v/>
      </c>
      <c r="X4316" s="64">
        <f t="shared" si="405"/>
        <v>0</v>
      </c>
      <c r="Y4316" s="53">
        <f t="shared" si="406"/>
        <v>0</v>
      </c>
      <c r="Z4316" s="64">
        <f t="shared" si="407"/>
        <v>0</v>
      </c>
    </row>
    <row r="4317" spans="1:26">
      <c r="A4317" s="89" t="str">
        <f t="shared" si="402"/>
        <v/>
      </c>
      <c r="B4317" s="89" t="str">
        <f t="shared" si="403"/>
        <v/>
      </c>
      <c r="S4317" s="89" t="str">
        <f t="shared" si="404"/>
        <v/>
      </c>
      <c r="X4317" s="64">
        <f t="shared" si="405"/>
        <v>0</v>
      </c>
      <c r="Y4317" s="53">
        <f t="shared" si="406"/>
        <v>0</v>
      </c>
      <c r="Z4317" s="64">
        <f t="shared" si="407"/>
        <v>0</v>
      </c>
    </row>
    <row r="4318" spans="1:26">
      <c r="A4318" s="89" t="str">
        <f t="shared" si="402"/>
        <v/>
      </c>
      <c r="B4318" s="89" t="str">
        <f t="shared" si="403"/>
        <v/>
      </c>
      <c r="S4318" s="89" t="str">
        <f t="shared" si="404"/>
        <v/>
      </c>
      <c r="X4318" s="64">
        <f t="shared" si="405"/>
        <v>0</v>
      </c>
      <c r="Y4318" s="53">
        <f t="shared" si="406"/>
        <v>0</v>
      </c>
      <c r="Z4318" s="64">
        <f t="shared" si="407"/>
        <v>0</v>
      </c>
    </row>
    <row r="4319" spans="1:26">
      <c r="A4319" s="89" t="str">
        <f t="shared" si="402"/>
        <v/>
      </c>
      <c r="B4319" s="89" t="str">
        <f t="shared" si="403"/>
        <v/>
      </c>
      <c r="S4319" s="89" t="str">
        <f t="shared" si="404"/>
        <v/>
      </c>
      <c r="X4319" s="64">
        <f t="shared" si="405"/>
        <v>0</v>
      </c>
      <c r="Y4319" s="53">
        <f t="shared" si="406"/>
        <v>0</v>
      </c>
      <c r="Z4319" s="64">
        <f t="shared" si="407"/>
        <v>0</v>
      </c>
    </row>
    <row r="4320" spans="1:26">
      <c r="A4320" s="89" t="str">
        <f t="shared" si="402"/>
        <v/>
      </c>
      <c r="B4320" s="89" t="str">
        <f t="shared" si="403"/>
        <v/>
      </c>
      <c r="S4320" s="89" t="str">
        <f t="shared" si="404"/>
        <v/>
      </c>
      <c r="X4320" s="64">
        <f t="shared" si="405"/>
        <v>0</v>
      </c>
      <c r="Y4320" s="53">
        <f t="shared" si="406"/>
        <v>0</v>
      </c>
      <c r="Z4320" s="64">
        <f t="shared" si="407"/>
        <v>0</v>
      </c>
    </row>
    <row r="4321" spans="1:26">
      <c r="A4321" s="89" t="str">
        <f t="shared" si="402"/>
        <v/>
      </c>
      <c r="B4321" s="89" t="str">
        <f t="shared" si="403"/>
        <v/>
      </c>
      <c r="S4321" s="89" t="str">
        <f t="shared" si="404"/>
        <v/>
      </c>
      <c r="X4321" s="64">
        <f t="shared" si="405"/>
        <v>0</v>
      </c>
      <c r="Y4321" s="53">
        <f t="shared" si="406"/>
        <v>0</v>
      </c>
      <c r="Z4321" s="64">
        <f t="shared" si="407"/>
        <v>0</v>
      </c>
    </row>
    <row r="4322" spans="1:26">
      <c r="A4322" s="89" t="str">
        <f t="shared" si="402"/>
        <v/>
      </c>
      <c r="B4322" s="89" t="str">
        <f t="shared" si="403"/>
        <v/>
      </c>
      <c r="S4322" s="89" t="str">
        <f t="shared" si="404"/>
        <v/>
      </c>
      <c r="X4322" s="64">
        <f t="shared" si="405"/>
        <v>0</v>
      </c>
      <c r="Y4322" s="53">
        <f t="shared" si="406"/>
        <v>0</v>
      </c>
      <c r="Z4322" s="64">
        <f t="shared" si="407"/>
        <v>0</v>
      </c>
    </row>
    <row r="4323" spans="1:26">
      <c r="A4323" s="89" t="str">
        <f t="shared" si="402"/>
        <v/>
      </c>
      <c r="B4323" s="89" t="str">
        <f t="shared" si="403"/>
        <v/>
      </c>
      <c r="S4323" s="89" t="str">
        <f t="shared" si="404"/>
        <v/>
      </c>
      <c r="X4323" s="64">
        <f t="shared" si="405"/>
        <v>0</v>
      </c>
      <c r="Y4323" s="53">
        <f t="shared" si="406"/>
        <v>0</v>
      </c>
      <c r="Z4323" s="64">
        <f t="shared" si="407"/>
        <v>0</v>
      </c>
    </row>
    <row r="4324" spans="1:26">
      <c r="A4324" s="89" t="str">
        <f t="shared" si="402"/>
        <v/>
      </c>
      <c r="B4324" s="89" t="str">
        <f t="shared" si="403"/>
        <v/>
      </c>
      <c r="S4324" s="89" t="str">
        <f t="shared" si="404"/>
        <v/>
      </c>
      <c r="X4324" s="64">
        <f t="shared" si="405"/>
        <v>0</v>
      </c>
      <c r="Y4324" s="53">
        <f t="shared" si="406"/>
        <v>0</v>
      </c>
      <c r="Z4324" s="64">
        <f t="shared" si="407"/>
        <v>0</v>
      </c>
    </row>
    <row r="4325" spans="1:26">
      <c r="A4325" s="89" t="str">
        <f t="shared" si="402"/>
        <v/>
      </c>
      <c r="B4325" s="89" t="str">
        <f t="shared" si="403"/>
        <v/>
      </c>
      <c r="S4325" s="89" t="str">
        <f t="shared" si="404"/>
        <v/>
      </c>
      <c r="X4325" s="64">
        <f t="shared" si="405"/>
        <v>0</v>
      </c>
      <c r="Y4325" s="53">
        <f t="shared" si="406"/>
        <v>0</v>
      </c>
      <c r="Z4325" s="64">
        <f t="shared" si="407"/>
        <v>0</v>
      </c>
    </row>
    <row r="4326" spans="1:26">
      <c r="A4326" s="89" t="str">
        <f t="shared" si="402"/>
        <v/>
      </c>
      <c r="B4326" s="89" t="str">
        <f t="shared" si="403"/>
        <v/>
      </c>
      <c r="S4326" s="89" t="str">
        <f t="shared" si="404"/>
        <v/>
      </c>
      <c r="X4326" s="64">
        <f t="shared" si="405"/>
        <v>0</v>
      </c>
      <c r="Y4326" s="53">
        <f t="shared" si="406"/>
        <v>0</v>
      </c>
      <c r="Z4326" s="64">
        <f t="shared" si="407"/>
        <v>0</v>
      </c>
    </row>
    <row r="4327" spans="1:26">
      <c r="A4327" s="89" t="str">
        <f t="shared" si="402"/>
        <v/>
      </c>
      <c r="B4327" s="89" t="str">
        <f t="shared" si="403"/>
        <v/>
      </c>
      <c r="S4327" s="89" t="str">
        <f t="shared" si="404"/>
        <v/>
      </c>
      <c r="X4327" s="64">
        <f t="shared" si="405"/>
        <v>0</v>
      </c>
      <c r="Y4327" s="53">
        <f t="shared" si="406"/>
        <v>0</v>
      </c>
      <c r="Z4327" s="64">
        <f t="shared" si="407"/>
        <v>0</v>
      </c>
    </row>
    <row r="4328" spans="1:26">
      <c r="A4328" s="89" t="str">
        <f t="shared" si="402"/>
        <v/>
      </c>
      <c r="B4328" s="89" t="str">
        <f t="shared" si="403"/>
        <v/>
      </c>
      <c r="S4328" s="89" t="str">
        <f t="shared" si="404"/>
        <v/>
      </c>
      <c r="X4328" s="64">
        <f t="shared" si="405"/>
        <v>0</v>
      </c>
      <c r="Y4328" s="53">
        <f t="shared" si="406"/>
        <v>0</v>
      </c>
      <c r="Z4328" s="64">
        <f t="shared" si="407"/>
        <v>0</v>
      </c>
    </row>
    <row r="4329" spans="1:26">
      <c r="A4329" s="89" t="str">
        <f t="shared" si="402"/>
        <v/>
      </c>
      <c r="B4329" s="89" t="str">
        <f t="shared" si="403"/>
        <v/>
      </c>
      <c r="S4329" s="89" t="str">
        <f t="shared" si="404"/>
        <v/>
      </c>
      <c r="X4329" s="64">
        <f t="shared" si="405"/>
        <v>0</v>
      </c>
      <c r="Y4329" s="53">
        <f t="shared" si="406"/>
        <v>0</v>
      </c>
      <c r="Z4329" s="64">
        <f t="shared" si="407"/>
        <v>0</v>
      </c>
    </row>
    <row r="4330" spans="1:26">
      <c r="A4330" s="89" t="str">
        <f t="shared" si="402"/>
        <v/>
      </c>
      <c r="B4330" s="89" t="str">
        <f t="shared" si="403"/>
        <v/>
      </c>
      <c r="S4330" s="89" t="str">
        <f t="shared" si="404"/>
        <v/>
      </c>
      <c r="X4330" s="64">
        <f t="shared" si="405"/>
        <v>0</v>
      </c>
      <c r="Y4330" s="53">
        <f t="shared" si="406"/>
        <v>0</v>
      </c>
      <c r="Z4330" s="64">
        <f t="shared" si="407"/>
        <v>0</v>
      </c>
    </row>
    <row r="4331" spans="1:26">
      <c r="A4331" s="89" t="str">
        <f t="shared" si="402"/>
        <v/>
      </c>
      <c r="B4331" s="89" t="str">
        <f t="shared" si="403"/>
        <v/>
      </c>
      <c r="S4331" s="89" t="str">
        <f t="shared" si="404"/>
        <v/>
      </c>
      <c r="X4331" s="64">
        <f t="shared" si="405"/>
        <v>0</v>
      </c>
      <c r="Y4331" s="53">
        <f t="shared" si="406"/>
        <v>0</v>
      </c>
      <c r="Z4331" s="64">
        <f t="shared" si="407"/>
        <v>0</v>
      </c>
    </row>
    <row r="4332" spans="1:26">
      <c r="A4332" s="89" t="str">
        <f t="shared" si="402"/>
        <v/>
      </c>
      <c r="B4332" s="89" t="str">
        <f t="shared" si="403"/>
        <v/>
      </c>
      <c r="S4332" s="89" t="str">
        <f t="shared" si="404"/>
        <v/>
      </c>
      <c r="X4332" s="64">
        <f t="shared" si="405"/>
        <v>0</v>
      </c>
      <c r="Y4332" s="53">
        <f t="shared" si="406"/>
        <v>0</v>
      </c>
      <c r="Z4332" s="64">
        <f t="shared" si="407"/>
        <v>0</v>
      </c>
    </row>
    <row r="4333" spans="1:26">
      <c r="A4333" s="89" t="str">
        <f t="shared" si="402"/>
        <v/>
      </c>
      <c r="B4333" s="89" t="str">
        <f t="shared" si="403"/>
        <v/>
      </c>
      <c r="S4333" s="89" t="str">
        <f t="shared" si="404"/>
        <v/>
      </c>
      <c r="X4333" s="64">
        <f t="shared" si="405"/>
        <v>0</v>
      </c>
      <c r="Y4333" s="53">
        <f t="shared" si="406"/>
        <v>0</v>
      </c>
      <c r="Z4333" s="64">
        <f t="shared" si="407"/>
        <v>0</v>
      </c>
    </row>
    <row r="4334" spans="1:26">
      <c r="A4334" s="89" t="str">
        <f t="shared" si="402"/>
        <v/>
      </c>
      <c r="B4334" s="89" t="str">
        <f t="shared" si="403"/>
        <v/>
      </c>
      <c r="S4334" s="89" t="str">
        <f t="shared" si="404"/>
        <v/>
      </c>
      <c r="X4334" s="64">
        <f t="shared" si="405"/>
        <v>0</v>
      </c>
      <c r="Y4334" s="53">
        <f t="shared" si="406"/>
        <v>0</v>
      </c>
      <c r="Z4334" s="64">
        <f t="shared" si="407"/>
        <v>0</v>
      </c>
    </row>
    <row r="4335" spans="1:26">
      <c r="A4335" s="89" t="str">
        <f t="shared" si="402"/>
        <v/>
      </c>
      <c r="B4335" s="89" t="str">
        <f t="shared" si="403"/>
        <v/>
      </c>
      <c r="S4335" s="89" t="str">
        <f t="shared" si="404"/>
        <v/>
      </c>
      <c r="X4335" s="64">
        <f t="shared" si="405"/>
        <v>0</v>
      </c>
      <c r="Y4335" s="53">
        <f t="shared" si="406"/>
        <v>0</v>
      </c>
      <c r="Z4335" s="64">
        <f t="shared" si="407"/>
        <v>0</v>
      </c>
    </row>
    <row r="4336" spans="1:26">
      <c r="A4336" s="89" t="str">
        <f t="shared" si="402"/>
        <v/>
      </c>
      <c r="B4336" s="89" t="str">
        <f t="shared" si="403"/>
        <v/>
      </c>
      <c r="S4336" s="89" t="str">
        <f t="shared" si="404"/>
        <v/>
      </c>
      <c r="X4336" s="64">
        <f t="shared" si="405"/>
        <v>0</v>
      </c>
      <c r="Y4336" s="53">
        <f t="shared" si="406"/>
        <v>0</v>
      </c>
      <c r="Z4336" s="64">
        <f t="shared" si="407"/>
        <v>0</v>
      </c>
    </row>
    <row r="4337" spans="1:26">
      <c r="A4337" s="89" t="str">
        <f t="shared" si="402"/>
        <v/>
      </c>
      <c r="B4337" s="89" t="str">
        <f t="shared" si="403"/>
        <v/>
      </c>
      <c r="S4337" s="89" t="str">
        <f t="shared" si="404"/>
        <v/>
      </c>
      <c r="X4337" s="64">
        <f t="shared" si="405"/>
        <v>0</v>
      </c>
      <c r="Y4337" s="53">
        <f t="shared" si="406"/>
        <v>0</v>
      </c>
      <c r="Z4337" s="64">
        <f t="shared" si="407"/>
        <v>0</v>
      </c>
    </row>
    <row r="4338" spans="1:26">
      <c r="A4338" s="89" t="str">
        <f t="shared" si="402"/>
        <v/>
      </c>
      <c r="B4338" s="89" t="str">
        <f t="shared" si="403"/>
        <v/>
      </c>
      <c r="S4338" s="89" t="str">
        <f t="shared" si="404"/>
        <v/>
      </c>
      <c r="X4338" s="64">
        <f t="shared" si="405"/>
        <v>0</v>
      </c>
      <c r="Y4338" s="53">
        <f t="shared" si="406"/>
        <v>0</v>
      </c>
      <c r="Z4338" s="64">
        <f t="shared" si="407"/>
        <v>0</v>
      </c>
    </row>
    <row r="4339" spans="1:26">
      <c r="A4339" s="89" t="str">
        <f t="shared" si="402"/>
        <v/>
      </c>
      <c r="B4339" s="89" t="str">
        <f t="shared" si="403"/>
        <v/>
      </c>
      <c r="S4339" s="89" t="str">
        <f t="shared" si="404"/>
        <v/>
      </c>
      <c r="X4339" s="64">
        <f t="shared" si="405"/>
        <v>0</v>
      </c>
      <c r="Y4339" s="53">
        <f t="shared" si="406"/>
        <v>0</v>
      </c>
      <c r="Z4339" s="64">
        <f t="shared" si="407"/>
        <v>0</v>
      </c>
    </row>
    <row r="4340" spans="1:26">
      <c r="A4340" s="89" t="str">
        <f t="shared" si="402"/>
        <v/>
      </c>
      <c r="B4340" s="89" t="str">
        <f t="shared" si="403"/>
        <v/>
      </c>
      <c r="S4340" s="89" t="str">
        <f t="shared" si="404"/>
        <v/>
      </c>
      <c r="X4340" s="64">
        <f t="shared" si="405"/>
        <v>0</v>
      </c>
      <c r="Y4340" s="53">
        <f t="shared" si="406"/>
        <v>0</v>
      </c>
      <c r="Z4340" s="64">
        <f t="shared" si="407"/>
        <v>0</v>
      </c>
    </row>
    <row r="4341" spans="1:26">
      <c r="A4341" s="89" t="str">
        <f t="shared" si="402"/>
        <v/>
      </c>
      <c r="B4341" s="89" t="str">
        <f t="shared" si="403"/>
        <v/>
      </c>
      <c r="S4341" s="89" t="str">
        <f t="shared" si="404"/>
        <v/>
      </c>
      <c r="X4341" s="64">
        <f t="shared" si="405"/>
        <v>0</v>
      </c>
      <c r="Y4341" s="53">
        <f t="shared" si="406"/>
        <v>0</v>
      </c>
      <c r="Z4341" s="64">
        <f t="shared" si="407"/>
        <v>0</v>
      </c>
    </row>
    <row r="4342" spans="1:26">
      <c r="A4342" s="89" t="str">
        <f t="shared" si="402"/>
        <v/>
      </c>
      <c r="B4342" s="89" t="str">
        <f t="shared" si="403"/>
        <v/>
      </c>
      <c r="S4342" s="89" t="str">
        <f t="shared" si="404"/>
        <v/>
      </c>
      <c r="X4342" s="64">
        <f t="shared" si="405"/>
        <v>0</v>
      </c>
      <c r="Y4342" s="53">
        <f t="shared" si="406"/>
        <v>0</v>
      </c>
      <c r="Z4342" s="64">
        <f t="shared" si="407"/>
        <v>0</v>
      </c>
    </row>
    <row r="4343" spans="1:26">
      <c r="A4343" s="89" t="str">
        <f t="shared" si="402"/>
        <v/>
      </c>
      <c r="B4343" s="89" t="str">
        <f t="shared" si="403"/>
        <v/>
      </c>
      <c r="S4343" s="89" t="str">
        <f t="shared" si="404"/>
        <v/>
      </c>
      <c r="X4343" s="64">
        <f t="shared" si="405"/>
        <v>0</v>
      </c>
      <c r="Y4343" s="53">
        <f t="shared" si="406"/>
        <v>0</v>
      </c>
      <c r="Z4343" s="64">
        <f t="shared" si="407"/>
        <v>0</v>
      </c>
    </row>
    <row r="4344" spans="1:26">
      <c r="A4344" s="89" t="str">
        <f t="shared" si="402"/>
        <v/>
      </c>
      <c r="B4344" s="89" t="str">
        <f t="shared" si="403"/>
        <v/>
      </c>
      <c r="S4344" s="89" t="str">
        <f t="shared" si="404"/>
        <v/>
      </c>
      <c r="X4344" s="64">
        <f t="shared" si="405"/>
        <v>0</v>
      </c>
      <c r="Y4344" s="53">
        <f t="shared" si="406"/>
        <v>0</v>
      </c>
      <c r="Z4344" s="64">
        <f t="shared" si="407"/>
        <v>0</v>
      </c>
    </row>
    <row r="4345" spans="1:26">
      <c r="A4345" s="89" t="str">
        <f t="shared" si="402"/>
        <v/>
      </c>
      <c r="B4345" s="89" t="str">
        <f t="shared" si="403"/>
        <v/>
      </c>
      <c r="S4345" s="89" t="str">
        <f t="shared" si="404"/>
        <v/>
      </c>
      <c r="X4345" s="64">
        <f t="shared" si="405"/>
        <v>0</v>
      </c>
      <c r="Y4345" s="53">
        <f t="shared" si="406"/>
        <v>0</v>
      </c>
      <c r="Z4345" s="64">
        <f t="shared" si="407"/>
        <v>0</v>
      </c>
    </row>
    <row r="4346" spans="1:26">
      <c r="A4346" s="89" t="str">
        <f t="shared" si="402"/>
        <v/>
      </c>
      <c r="B4346" s="89" t="str">
        <f t="shared" si="403"/>
        <v/>
      </c>
      <c r="S4346" s="89" t="str">
        <f t="shared" si="404"/>
        <v/>
      </c>
      <c r="X4346" s="64">
        <f t="shared" si="405"/>
        <v>0</v>
      </c>
      <c r="Y4346" s="53">
        <f t="shared" si="406"/>
        <v>0</v>
      </c>
      <c r="Z4346" s="64">
        <f t="shared" si="407"/>
        <v>0</v>
      </c>
    </row>
    <row r="4347" spans="1:26">
      <c r="A4347" s="89" t="str">
        <f t="shared" si="402"/>
        <v/>
      </c>
      <c r="B4347" s="89" t="str">
        <f t="shared" si="403"/>
        <v/>
      </c>
      <c r="S4347" s="89" t="str">
        <f t="shared" si="404"/>
        <v/>
      </c>
      <c r="X4347" s="64">
        <f t="shared" si="405"/>
        <v>0</v>
      </c>
      <c r="Y4347" s="53">
        <f t="shared" si="406"/>
        <v>0</v>
      </c>
      <c r="Z4347" s="64">
        <f t="shared" si="407"/>
        <v>0</v>
      </c>
    </row>
    <row r="4348" spans="1:26">
      <c r="A4348" s="89" t="str">
        <f t="shared" si="402"/>
        <v/>
      </c>
      <c r="B4348" s="89" t="str">
        <f t="shared" si="403"/>
        <v/>
      </c>
      <c r="S4348" s="89" t="str">
        <f t="shared" si="404"/>
        <v/>
      </c>
      <c r="X4348" s="64">
        <f t="shared" si="405"/>
        <v>0</v>
      </c>
      <c r="Y4348" s="53">
        <f t="shared" si="406"/>
        <v>0</v>
      </c>
      <c r="Z4348" s="64">
        <f t="shared" si="407"/>
        <v>0</v>
      </c>
    </row>
    <row r="4349" spans="1:26">
      <c r="A4349" s="89" t="str">
        <f t="shared" si="402"/>
        <v/>
      </c>
      <c r="B4349" s="89" t="str">
        <f t="shared" si="403"/>
        <v/>
      </c>
      <c r="S4349" s="89" t="str">
        <f t="shared" si="404"/>
        <v/>
      </c>
      <c r="X4349" s="64">
        <f t="shared" si="405"/>
        <v>0</v>
      </c>
      <c r="Y4349" s="53">
        <f t="shared" si="406"/>
        <v>0</v>
      </c>
      <c r="Z4349" s="64">
        <f t="shared" si="407"/>
        <v>0</v>
      </c>
    </row>
    <row r="4350" spans="1:26">
      <c r="A4350" s="89" t="str">
        <f t="shared" si="402"/>
        <v/>
      </c>
      <c r="B4350" s="89" t="str">
        <f t="shared" si="403"/>
        <v/>
      </c>
      <c r="S4350" s="89" t="str">
        <f t="shared" si="404"/>
        <v/>
      </c>
      <c r="X4350" s="64">
        <f t="shared" si="405"/>
        <v>0</v>
      </c>
      <c r="Y4350" s="53">
        <f t="shared" si="406"/>
        <v>0</v>
      </c>
      <c r="Z4350" s="64">
        <f t="shared" si="407"/>
        <v>0</v>
      </c>
    </row>
    <row r="4351" spans="1:26">
      <c r="A4351" s="89" t="str">
        <f t="shared" si="402"/>
        <v/>
      </c>
      <c r="B4351" s="89" t="str">
        <f t="shared" si="403"/>
        <v/>
      </c>
      <c r="S4351" s="89" t="str">
        <f t="shared" si="404"/>
        <v/>
      </c>
      <c r="X4351" s="64">
        <f t="shared" si="405"/>
        <v>0</v>
      </c>
      <c r="Y4351" s="53">
        <f t="shared" si="406"/>
        <v>0</v>
      </c>
      <c r="Z4351" s="64">
        <f t="shared" si="407"/>
        <v>0</v>
      </c>
    </row>
    <row r="4352" spans="1:26">
      <c r="A4352" s="89" t="str">
        <f t="shared" si="402"/>
        <v/>
      </c>
      <c r="B4352" s="89" t="str">
        <f t="shared" si="403"/>
        <v/>
      </c>
      <c r="S4352" s="89" t="str">
        <f t="shared" si="404"/>
        <v/>
      </c>
      <c r="X4352" s="64">
        <f t="shared" si="405"/>
        <v>0</v>
      </c>
      <c r="Y4352" s="53">
        <f t="shared" si="406"/>
        <v>0</v>
      </c>
      <c r="Z4352" s="64">
        <f t="shared" si="407"/>
        <v>0</v>
      </c>
    </row>
    <row r="4353" spans="1:26">
      <c r="A4353" s="89" t="str">
        <f t="shared" si="402"/>
        <v/>
      </c>
      <c r="B4353" s="89" t="str">
        <f t="shared" si="403"/>
        <v/>
      </c>
      <c r="S4353" s="89" t="str">
        <f t="shared" si="404"/>
        <v/>
      </c>
      <c r="X4353" s="64">
        <f t="shared" si="405"/>
        <v>0</v>
      </c>
      <c r="Y4353" s="53">
        <f t="shared" si="406"/>
        <v>0</v>
      </c>
      <c r="Z4353" s="64">
        <f t="shared" si="407"/>
        <v>0</v>
      </c>
    </row>
    <row r="4354" spans="1:26">
      <c r="A4354" s="89" t="str">
        <f t="shared" si="402"/>
        <v/>
      </c>
      <c r="B4354" s="89" t="str">
        <f t="shared" si="403"/>
        <v/>
      </c>
      <c r="S4354" s="89" t="str">
        <f t="shared" si="404"/>
        <v/>
      </c>
      <c r="X4354" s="64">
        <f t="shared" si="405"/>
        <v>0</v>
      </c>
      <c r="Y4354" s="53">
        <f t="shared" si="406"/>
        <v>0</v>
      </c>
      <c r="Z4354" s="64">
        <f t="shared" si="407"/>
        <v>0</v>
      </c>
    </row>
    <row r="4355" spans="1:26">
      <c r="A4355" s="89" t="str">
        <f t="shared" ref="A4355:A4418" si="408">IF(G4355&amp;Q4355&lt;&gt;"",G4355&amp;Q4355,"")</f>
        <v/>
      </c>
      <c r="B4355" s="89" t="str">
        <f t="shared" ref="B4355:B4418" si="409">IF(C4355&lt;&gt;"",LEFT(C4355,9),"")</f>
        <v/>
      </c>
      <c r="S4355" s="89" t="str">
        <f t="shared" ref="S4355:S4418" si="410">IF(H4355&lt;&gt;"",H4355,"")</f>
        <v/>
      </c>
      <c r="X4355" s="64">
        <f t="shared" ref="X4355:X4418" si="411">IFERROR(VALUE(MID($C4355,1,2)),0)</f>
        <v>0</v>
      </c>
      <c r="Y4355" s="53">
        <f t="shared" ref="Y4355:Y4418" si="412">IFERROR(VALUE(MID($C4355,4,3)),0)</f>
        <v>0</v>
      </c>
      <c r="Z4355" s="64">
        <f t="shared" ref="Z4355:Z4418" si="413">VALUE(RIGHT("00"&amp;X4355,2)&amp;RIGHT("000"&amp;Y4355,3))</f>
        <v>0</v>
      </c>
    </row>
    <row r="4356" spans="1:26">
      <c r="A4356" s="89" t="str">
        <f t="shared" si="408"/>
        <v/>
      </c>
      <c r="B4356" s="89" t="str">
        <f t="shared" si="409"/>
        <v/>
      </c>
      <c r="S4356" s="89" t="str">
        <f t="shared" si="410"/>
        <v/>
      </c>
      <c r="X4356" s="64">
        <f t="shared" si="411"/>
        <v>0</v>
      </c>
      <c r="Y4356" s="53">
        <f t="shared" si="412"/>
        <v>0</v>
      </c>
      <c r="Z4356" s="64">
        <f t="shared" si="413"/>
        <v>0</v>
      </c>
    </row>
    <row r="4357" spans="1:26">
      <c r="A4357" s="89" t="str">
        <f t="shared" si="408"/>
        <v/>
      </c>
      <c r="B4357" s="89" t="str">
        <f t="shared" si="409"/>
        <v/>
      </c>
      <c r="S4357" s="89" t="str">
        <f t="shared" si="410"/>
        <v/>
      </c>
      <c r="X4357" s="64">
        <f t="shared" si="411"/>
        <v>0</v>
      </c>
      <c r="Y4357" s="53">
        <f t="shared" si="412"/>
        <v>0</v>
      </c>
      <c r="Z4357" s="64">
        <f t="shared" si="413"/>
        <v>0</v>
      </c>
    </row>
    <row r="4358" spans="1:26">
      <c r="A4358" s="89" t="str">
        <f t="shared" si="408"/>
        <v/>
      </c>
      <c r="B4358" s="89" t="str">
        <f t="shared" si="409"/>
        <v/>
      </c>
      <c r="S4358" s="89" t="str">
        <f t="shared" si="410"/>
        <v/>
      </c>
      <c r="X4358" s="64">
        <f t="shared" si="411"/>
        <v>0</v>
      </c>
      <c r="Y4358" s="53">
        <f t="shared" si="412"/>
        <v>0</v>
      </c>
      <c r="Z4358" s="64">
        <f t="shared" si="413"/>
        <v>0</v>
      </c>
    </row>
    <row r="4359" spans="1:26">
      <c r="A4359" s="89" t="str">
        <f t="shared" si="408"/>
        <v/>
      </c>
      <c r="B4359" s="89" t="str">
        <f t="shared" si="409"/>
        <v/>
      </c>
      <c r="S4359" s="89" t="str">
        <f t="shared" si="410"/>
        <v/>
      </c>
      <c r="X4359" s="64">
        <f t="shared" si="411"/>
        <v>0</v>
      </c>
      <c r="Y4359" s="53">
        <f t="shared" si="412"/>
        <v>0</v>
      </c>
      <c r="Z4359" s="64">
        <f t="shared" si="413"/>
        <v>0</v>
      </c>
    </row>
    <row r="4360" spans="1:26">
      <c r="A4360" s="89" t="str">
        <f t="shared" si="408"/>
        <v/>
      </c>
      <c r="B4360" s="89" t="str">
        <f t="shared" si="409"/>
        <v/>
      </c>
      <c r="S4360" s="89" t="str">
        <f t="shared" si="410"/>
        <v/>
      </c>
      <c r="X4360" s="64">
        <f t="shared" si="411"/>
        <v>0</v>
      </c>
      <c r="Y4360" s="53">
        <f t="shared" si="412"/>
        <v>0</v>
      </c>
      <c r="Z4360" s="64">
        <f t="shared" si="413"/>
        <v>0</v>
      </c>
    </row>
    <row r="4361" spans="1:26">
      <c r="A4361" s="89" t="str">
        <f t="shared" si="408"/>
        <v/>
      </c>
      <c r="B4361" s="89" t="str">
        <f t="shared" si="409"/>
        <v/>
      </c>
      <c r="S4361" s="89" t="str">
        <f t="shared" si="410"/>
        <v/>
      </c>
      <c r="X4361" s="64">
        <f t="shared" si="411"/>
        <v>0</v>
      </c>
      <c r="Y4361" s="53">
        <f t="shared" si="412"/>
        <v>0</v>
      </c>
      <c r="Z4361" s="64">
        <f t="shared" si="413"/>
        <v>0</v>
      </c>
    </row>
    <row r="4362" spans="1:26">
      <c r="A4362" s="89" t="str">
        <f t="shared" si="408"/>
        <v/>
      </c>
      <c r="B4362" s="89" t="str">
        <f t="shared" si="409"/>
        <v/>
      </c>
      <c r="S4362" s="89" t="str">
        <f t="shared" si="410"/>
        <v/>
      </c>
      <c r="X4362" s="64">
        <f t="shared" si="411"/>
        <v>0</v>
      </c>
      <c r="Y4362" s="53">
        <f t="shared" si="412"/>
        <v>0</v>
      </c>
      <c r="Z4362" s="64">
        <f t="shared" si="413"/>
        <v>0</v>
      </c>
    </row>
    <row r="4363" spans="1:26">
      <c r="A4363" s="89" t="str">
        <f t="shared" si="408"/>
        <v/>
      </c>
      <c r="B4363" s="89" t="str">
        <f t="shared" si="409"/>
        <v/>
      </c>
      <c r="S4363" s="89" t="str">
        <f t="shared" si="410"/>
        <v/>
      </c>
      <c r="X4363" s="64">
        <f t="shared" si="411"/>
        <v>0</v>
      </c>
      <c r="Y4363" s="53">
        <f t="shared" si="412"/>
        <v>0</v>
      </c>
      <c r="Z4363" s="64">
        <f t="shared" si="413"/>
        <v>0</v>
      </c>
    </row>
    <row r="4364" spans="1:26">
      <c r="A4364" s="89" t="str">
        <f t="shared" si="408"/>
        <v/>
      </c>
      <c r="B4364" s="89" t="str">
        <f t="shared" si="409"/>
        <v/>
      </c>
      <c r="S4364" s="89" t="str">
        <f t="shared" si="410"/>
        <v/>
      </c>
      <c r="X4364" s="64">
        <f t="shared" si="411"/>
        <v>0</v>
      </c>
      <c r="Y4364" s="53">
        <f t="shared" si="412"/>
        <v>0</v>
      </c>
      <c r="Z4364" s="64">
        <f t="shared" si="413"/>
        <v>0</v>
      </c>
    </row>
    <row r="4365" spans="1:26">
      <c r="A4365" s="89" t="str">
        <f t="shared" si="408"/>
        <v/>
      </c>
      <c r="B4365" s="89" t="str">
        <f t="shared" si="409"/>
        <v/>
      </c>
      <c r="S4365" s="89" t="str">
        <f t="shared" si="410"/>
        <v/>
      </c>
      <c r="X4365" s="64">
        <f t="shared" si="411"/>
        <v>0</v>
      </c>
      <c r="Y4365" s="53">
        <f t="shared" si="412"/>
        <v>0</v>
      </c>
      <c r="Z4365" s="64">
        <f t="shared" si="413"/>
        <v>0</v>
      </c>
    </row>
    <row r="4366" spans="1:26">
      <c r="A4366" s="89" t="str">
        <f t="shared" si="408"/>
        <v/>
      </c>
      <c r="B4366" s="89" t="str">
        <f t="shared" si="409"/>
        <v/>
      </c>
      <c r="S4366" s="89" t="str">
        <f t="shared" si="410"/>
        <v/>
      </c>
      <c r="X4366" s="64">
        <f t="shared" si="411"/>
        <v>0</v>
      </c>
      <c r="Y4366" s="53">
        <f t="shared" si="412"/>
        <v>0</v>
      </c>
      <c r="Z4366" s="64">
        <f t="shared" si="413"/>
        <v>0</v>
      </c>
    </row>
    <row r="4367" spans="1:26">
      <c r="A4367" s="89" t="str">
        <f t="shared" si="408"/>
        <v/>
      </c>
      <c r="B4367" s="89" t="str">
        <f t="shared" si="409"/>
        <v/>
      </c>
      <c r="S4367" s="89" t="str">
        <f t="shared" si="410"/>
        <v/>
      </c>
      <c r="X4367" s="64">
        <f t="shared" si="411"/>
        <v>0</v>
      </c>
      <c r="Y4367" s="53">
        <f t="shared" si="412"/>
        <v>0</v>
      </c>
      <c r="Z4367" s="64">
        <f t="shared" si="413"/>
        <v>0</v>
      </c>
    </row>
    <row r="4368" spans="1:26">
      <c r="A4368" s="89" t="str">
        <f t="shared" si="408"/>
        <v/>
      </c>
      <c r="B4368" s="89" t="str">
        <f t="shared" si="409"/>
        <v/>
      </c>
      <c r="S4368" s="89" t="str">
        <f t="shared" si="410"/>
        <v/>
      </c>
      <c r="X4368" s="64">
        <f t="shared" si="411"/>
        <v>0</v>
      </c>
      <c r="Y4368" s="53">
        <f t="shared" si="412"/>
        <v>0</v>
      </c>
      <c r="Z4368" s="64">
        <f t="shared" si="413"/>
        <v>0</v>
      </c>
    </row>
    <row r="4369" spans="1:26">
      <c r="A4369" s="89" t="str">
        <f t="shared" si="408"/>
        <v/>
      </c>
      <c r="B4369" s="89" t="str">
        <f t="shared" si="409"/>
        <v/>
      </c>
      <c r="S4369" s="89" t="str">
        <f t="shared" si="410"/>
        <v/>
      </c>
      <c r="X4369" s="64">
        <f t="shared" si="411"/>
        <v>0</v>
      </c>
      <c r="Y4369" s="53">
        <f t="shared" si="412"/>
        <v>0</v>
      </c>
      <c r="Z4369" s="64">
        <f t="shared" si="413"/>
        <v>0</v>
      </c>
    </row>
    <row r="4370" spans="1:26">
      <c r="A4370" s="89" t="str">
        <f t="shared" si="408"/>
        <v/>
      </c>
      <c r="B4370" s="89" t="str">
        <f t="shared" si="409"/>
        <v/>
      </c>
      <c r="S4370" s="89" t="str">
        <f t="shared" si="410"/>
        <v/>
      </c>
      <c r="X4370" s="64">
        <f t="shared" si="411"/>
        <v>0</v>
      </c>
      <c r="Y4370" s="53">
        <f t="shared" si="412"/>
        <v>0</v>
      </c>
      <c r="Z4370" s="64">
        <f t="shared" si="413"/>
        <v>0</v>
      </c>
    </row>
    <row r="4371" spans="1:26">
      <c r="A4371" s="89" t="str">
        <f t="shared" si="408"/>
        <v/>
      </c>
      <c r="B4371" s="89" t="str">
        <f t="shared" si="409"/>
        <v/>
      </c>
      <c r="S4371" s="89" t="str">
        <f t="shared" si="410"/>
        <v/>
      </c>
      <c r="X4371" s="64">
        <f t="shared" si="411"/>
        <v>0</v>
      </c>
      <c r="Y4371" s="53">
        <f t="shared" si="412"/>
        <v>0</v>
      </c>
      <c r="Z4371" s="64">
        <f t="shared" si="413"/>
        <v>0</v>
      </c>
    </row>
    <row r="4372" spans="1:26">
      <c r="A4372" s="89" t="str">
        <f t="shared" si="408"/>
        <v/>
      </c>
      <c r="B4372" s="89" t="str">
        <f t="shared" si="409"/>
        <v/>
      </c>
      <c r="S4372" s="89" t="str">
        <f t="shared" si="410"/>
        <v/>
      </c>
      <c r="X4372" s="64">
        <f t="shared" si="411"/>
        <v>0</v>
      </c>
      <c r="Y4372" s="53">
        <f t="shared" si="412"/>
        <v>0</v>
      </c>
      <c r="Z4372" s="64">
        <f t="shared" si="413"/>
        <v>0</v>
      </c>
    </row>
    <row r="4373" spans="1:26">
      <c r="A4373" s="89" t="str">
        <f t="shared" si="408"/>
        <v/>
      </c>
      <c r="B4373" s="89" t="str">
        <f t="shared" si="409"/>
        <v/>
      </c>
      <c r="S4373" s="89" t="str">
        <f t="shared" si="410"/>
        <v/>
      </c>
      <c r="X4373" s="64">
        <f t="shared" si="411"/>
        <v>0</v>
      </c>
      <c r="Y4373" s="53">
        <f t="shared" si="412"/>
        <v>0</v>
      </c>
      <c r="Z4373" s="64">
        <f t="shared" si="413"/>
        <v>0</v>
      </c>
    </row>
    <row r="4374" spans="1:26">
      <c r="A4374" s="89" t="str">
        <f t="shared" si="408"/>
        <v/>
      </c>
      <c r="B4374" s="89" t="str">
        <f t="shared" si="409"/>
        <v/>
      </c>
      <c r="S4374" s="89" t="str">
        <f t="shared" si="410"/>
        <v/>
      </c>
      <c r="X4374" s="64">
        <f t="shared" si="411"/>
        <v>0</v>
      </c>
      <c r="Y4374" s="53">
        <f t="shared" si="412"/>
        <v>0</v>
      </c>
      <c r="Z4374" s="64">
        <f t="shared" si="413"/>
        <v>0</v>
      </c>
    </row>
    <row r="4375" spans="1:26">
      <c r="A4375" s="89" t="str">
        <f t="shared" si="408"/>
        <v/>
      </c>
      <c r="B4375" s="89" t="str">
        <f t="shared" si="409"/>
        <v/>
      </c>
      <c r="S4375" s="89" t="str">
        <f t="shared" si="410"/>
        <v/>
      </c>
      <c r="X4375" s="64">
        <f t="shared" si="411"/>
        <v>0</v>
      </c>
      <c r="Y4375" s="53">
        <f t="shared" si="412"/>
        <v>0</v>
      </c>
      <c r="Z4375" s="64">
        <f t="shared" si="413"/>
        <v>0</v>
      </c>
    </row>
    <row r="4376" spans="1:26">
      <c r="A4376" s="89" t="str">
        <f t="shared" si="408"/>
        <v/>
      </c>
      <c r="B4376" s="89" t="str">
        <f t="shared" si="409"/>
        <v/>
      </c>
      <c r="S4376" s="89" t="str">
        <f t="shared" si="410"/>
        <v/>
      </c>
      <c r="X4376" s="64">
        <f t="shared" si="411"/>
        <v>0</v>
      </c>
      <c r="Y4376" s="53">
        <f t="shared" si="412"/>
        <v>0</v>
      </c>
      <c r="Z4376" s="64">
        <f t="shared" si="413"/>
        <v>0</v>
      </c>
    </row>
    <row r="4377" spans="1:26">
      <c r="A4377" s="89" t="str">
        <f t="shared" si="408"/>
        <v/>
      </c>
      <c r="B4377" s="89" t="str">
        <f t="shared" si="409"/>
        <v/>
      </c>
      <c r="S4377" s="89" t="str">
        <f t="shared" si="410"/>
        <v/>
      </c>
      <c r="X4377" s="64">
        <f t="shared" si="411"/>
        <v>0</v>
      </c>
      <c r="Y4377" s="53">
        <f t="shared" si="412"/>
        <v>0</v>
      </c>
      <c r="Z4377" s="64">
        <f t="shared" si="413"/>
        <v>0</v>
      </c>
    </row>
    <row r="4378" spans="1:26">
      <c r="A4378" s="89" t="str">
        <f t="shared" si="408"/>
        <v/>
      </c>
      <c r="B4378" s="89" t="str">
        <f t="shared" si="409"/>
        <v/>
      </c>
      <c r="S4378" s="89" t="str">
        <f t="shared" si="410"/>
        <v/>
      </c>
      <c r="X4378" s="64">
        <f t="shared" si="411"/>
        <v>0</v>
      </c>
      <c r="Y4378" s="53">
        <f t="shared" si="412"/>
        <v>0</v>
      </c>
      <c r="Z4378" s="64">
        <f t="shared" si="413"/>
        <v>0</v>
      </c>
    </row>
    <row r="4379" spans="1:26">
      <c r="A4379" s="89" t="str">
        <f t="shared" si="408"/>
        <v/>
      </c>
      <c r="B4379" s="89" t="str">
        <f t="shared" si="409"/>
        <v/>
      </c>
      <c r="S4379" s="89" t="str">
        <f t="shared" si="410"/>
        <v/>
      </c>
      <c r="X4379" s="64">
        <f t="shared" si="411"/>
        <v>0</v>
      </c>
      <c r="Y4379" s="53">
        <f t="shared" si="412"/>
        <v>0</v>
      </c>
      <c r="Z4379" s="64">
        <f t="shared" si="413"/>
        <v>0</v>
      </c>
    </row>
    <row r="4380" spans="1:26">
      <c r="A4380" s="89" t="str">
        <f t="shared" si="408"/>
        <v/>
      </c>
      <c r="B4380" s="89" t="str">
        <f t="shared" si="409"/>
        <v/>
      </c>
      <c r="S4380" s="89" t="str">
        <f t="shared" si="410"/>
        <v/>
      </c>
      <c r="X4380" s="64">
        <f t="shared" si="411"/>
        <v>0</v>
      </c>
      <c r="Y4380" s="53">
        <f t="shared" si="412"/>
        <v>0</v>
      </c>
      <c r="Z4380" s="64">
        <f t="shared" si="413"/>
        <v>0</v>
      </c>
    </row>
    <row r="4381" spans="1:26">
      <c r="A4381" s="89" t="str">
        <f t="shared" si="408"/>
        <v/>
      </c>
      <c r="B4381" s="89" t="str">
        <f t="shared" si="409"/>
        <v/>
      </c>
      <c r="S4381" s="89" t="str">
        <f t="shared" si="410"/>
        <v/>
      </c>
      <c r="X4381" s="64">
        <f t="shared" si="411"/>
        <v>0</v>
      </c>
      <c r="Y4381" s="53">
        <f t="shared" si="412"/>
        <v>0</v>
      </c>
      <c r="Z4381" s="64">
        <f t="shared" si="413"/>
        <v>0</v>
      </c>
    </row>
    <row r="4382" spans="1:26">
      <c r="A4382" s="89" t="str">
        <f t="shared" si="408"/>
        <v/>
      </c>
      <c r="B4382" s="89" t="str">
        <f t="shared" si="409"/>
        <v/>
      </c>
      <c r="S4382" s="89" t="str">
        <f t="shared" si="410"/>
        <v/>
      </c>
      <c r="X4382" s="64">
        <f t="shared" si="411"/>
        <v>0</v>
      </c>
      <c r="Y4382" s="53">
        <f t="shared" si="412"/>
        <v>0</v>
      </c>
      <c r="Z4382" s="64">
        <f t="shared" si="413"/>
        <v>0</v>
      </c>
    </row>
    <row r="4383" spans="1:26">
      <c r="A4383" s="89" t="str">
        <f t="shared" si="408"/>
        <v/>
      </c>
      <c r="B4383" s="89" t="str">
        <f t="shared" si="409"/>
        <v/>
      </c>
      <c r="S4383" s="89" t="str">
        <f t="shared" si="410"/>
        <v/>
      </c>
      <c r="X4383" s="64">
        <f t="shared" si="411"/>
        <v>0</v>
      </c>
      <c r="Y4383" s="53">
        <f t="shared" si="412"/>
        <v>0</v>
      </c>
      <c r="Z4383" s="64">
        <f t="shared" si="413"/>
        <v>0</v>
      </c>
    </row>
    <row r="4384" spans="1:26">
      <c r="A4384" s="89" t="str">
        <f t="shared" si="408"/>
        <v/>
      </c>
      <c r="B4384" s="89" t="str">
        <f t="shared" si="409"/>
        <v/>
      </c>
      <c r="S4384" s="89" t="str">
        <f t="shared" si="410"/>
        <v/>
      </c>
      <c r="X4384" s="64">
        <f t="shared" si="411"/>
        <v>0</v>
      </c>
      <c r="Y4384" s="53">
        <f t="shared" si="412"/>
        <v>0</v>
      </c>
      <c r="Z4384" s="64">
        <f t="shared" si="413"/>
        <v>0</v>
      </c>
    </row>
    <row r="4385" spans="1:26">
      <c r="A4385" s="89" t="str">
        <f t="shared" si="408"/>
        <v/>
      </c>
      <c r="B4385" s="89" t="str">
        <f t="shared" si="409"/>
        <v/>
      </c>
      <c r="S4385" s="89" t="str">
        <f t="shared" si="410"/>
        <v/>
      </c>
      <c r="X4385" s="64">
        <f t="shared" si="411"/>
        <v>0</v>
      </c>
      <c r="Y4385" s="53">
        <f t="shared" si="412"/>
        <v>0</v>
      </c>
      <c r="Z4385" s="64">
        <f t="shared" si="413"/>
        <v>0</v>
      </c>
    </row>
    <row r="4386" spans="1:26">
      <c r="A4386" s="89" t="str">
        <f t="shared" si="408"/>
        <v/>
      </c>
      <c r="B4386" s="89" t="str">
        <f t="shared" si="409"/>
        <v/>
      </c>
      <c r="S4386" s="89" t="str">
        <f t="shared" si="410"/>
        <v/>
      </c>
      <c r="X4386" s="64">
        <f t="shared" si="411"/>
        <v>0</v>
      </c>
      <c r="Y4386" s="53">
        <f t="shared" si="412"/>
        <v>0</v>
      </c>
      <c r="Z4386" s="64">
        <f t="shared" si="413"/>
        <v>0</v>
      </c>
    </row>
    <row r="4387" spans="1:26">
      <c r="A4387" s="89" t="str">
        <f t="shared" si="408"/>
        <v/>
      </c>
      <c r="B4387" s="89" t="str">
        <f t="shared" si="409"/>
        <v/>
      </c>
      <c r="S4387" s="89" t="str">
        <f t="shared" si="410"/>
        <v/>
      </c>
      <c r="X4387" s="64">
        <f t="shared" si="411"/>
        <v>0</v>
      </c>
      <c r="Y4387" s="53">
        <f t="shared" si="412"/>
        <v>0</v>
      </c>
      <c r="Z4387" s="64">
        <f t="shared" si="413"/>
        <v>0</v>
      </c>
    </row>
    <row r="4388" spans="1:26">
      <c r="A4388" s="89" t="str">
        <f t="shared" si="408"/>
        <v/>
      </c>
      <c r="B4388" s="89" t="str">
        <f t="shared" si="409"/>
        <v/>
      </c>
      <c r="S4388" s="89" t="str">
        <f t="shared" si="410"/>
        <v/>
      </c>
      <c r="X4388" s="64">
        <f t="shared" si="411"/>
        <v>0</v>
      </c>
      <c r="Y4388" s="53">
        <f t="shared" si="412"/>
        <v>0</v>
      </c>
      <c r="Z4388" s="64">
        <f t="shared" si="413"/>
        <v>0</v>
      </c>
    </row>
    <row r="4389" spans="1:26">
      <c r="A4389" s="89" t="str">
        <f t="shared" si="408"/>
        <v/>
      </c>
      <c r="B4389" s="89" t="str">
        <f t="shared" si="409"/>
        <v/>
      </c>
      <c r="S4389" s="89" t="str">
        <f t="shared" si="410"/>
        <v/>
      </c>
      <c r="X4389" s="64">
        <f t="shared" si="411"/>
        <v>0</v>
      </c>
      <c r="Y4389" s="53">
        <f t="shared" si="412"/>
        <v>0</v>
      </c>
      <c r="Z4389" s="64">
        <f t="shared" si="413"/>
        <v>0</v>
      </c>
    </row>
    <row r="4390" spans="1:26">
      <c r="A4390" s="89" t="str">
        <f t="shared" si="408"/>
        <v/>
      </c>
      <c r="B4390" s="89" t="str">
        <f t="shared" si="409"/>
        <v/>
      </c>
      <c r="S4390" s="89" t="str">
        <f t="shared" si="410"/>
        <v/>
      </c>
      <c r="X4390" s="64">
        <f t="shared" si="411"/>
        <v>0</v>
      </c>
      <c r="Y4390" s="53">
        <f t="shared" si="412"/>
        <v>0</v>
      </c>
      <c r="Z4390" s="64">
        <f t="shared" si="413"/>
        <v>0</v>
      </c>
    </row>
    <row r="4391" spans="1:26">
      <c r="A4391" s="89" t="str">
        <f t="shared" si="408"/>
        <v/>
      </c>
      <c r="B4391" s="89" t="str">
        <f t="shared" si="409"/>
        <v/>
      </c>
      <c r="S4391" s="89" t="str">
        <f t="shared" si="410"/>
        <v/>
      </c>
      <c r="X4391" s="64">
        <f t="shared" si="411"/>
        <v>0</v>
      </c>
      <c r="Y4391" s="53">
        <f t="shared" si="412"/>
        <v>0</v>
      </c>
      <c r="Z4391" s="64">
        <f t="shared" si="413"/>
        <v>0</v>
      </c>
    </row>
    <row r="4392" spans="1:26">
      <c r="A4392" s="89" t="str">
        <f t="shared" si="408"/>
        <v/>
      </c>
      <c r="B4392" s="89" t="str">
        <f t="shared" si="409"/>
        <v/>
      </c>
      <c r="S4392" s="89" t="str">
        <f t="shared" si="410"/>
        <v/>
      </c>
      <c r="X4392" s="64">
        <f t="shared" si="411"/>
        <v>0</v>
      </c>
      <c r="Y4392" s="53">
        <f t="shared" si="412"/>
        <v>0</v>
      </c>
      <c r="Z4392" s="64">
        <f t="shared" si="413"/>
        <v>0</v>
      </c>
    </row>
    <row r="4393" spans="1:26">
      <c r="A4393" s="89" t="str">
        <f t="shared" si="408"/>
        <v/>
      </c>
      <c r="B4393" s="89" t="str">
        <f t="shared" si="409"/>
        <v/>
      </c>
      <c r="S4393" s="89" t="str">
        <f t="shared" si="410"/>
        <v/>
      </c>
      <c r="X4393" s="64">
        <f t="shared" si="411"/>
        <v>0</v>
      </c>
      <c r="Y4393" s="53">
        <f t="shared" si="412"/>
        <v>0</v>
      </c>
      <c r="Z4393" s="64">
        <f t="shared" si="413"/>
        <v>0</v>
      </c>
    </row>
    <row r="4394" spans="1:26">
      <c r="A4394" s="89" t="str">
        <f t="shared" si="408"/>
        <v/>
      </c>
      <c r="B4394" s="89" t="str">
        <f t="shared" si="409"/>
        <v/>
      </c>
      <c r="S4394" s="89" t="str">
        <f t="shared" si="410"/>
        <v/>
      </c>
      <c r="X4394" s="64">
        <f t="shared" si="411"/>
        <v>0</v>
      </c>
      <c r="Y4394" s="53">
        <f t="shared" si="412"/>
        <v>0</v>
      </c>
      <c r="Z4394" s="64">
        <f t="shared" si="413"/>
        <v>0</v>
      </c>
    </row>
    <row r="4395" spans="1:26">
      <c r="A4395" s="89" t="str">
        <f t="shared" si="408"/>
        <v/>
      </c>
      <c r="B4395" s="89" t="str">
        <f t="shared" si="409"/>
        <v/>
      </c>
      <c r="S4395" s="89" t="str">
        <f t="shared" si="410"/>
        <v/>
      </c>
      <c r="X4395" s="64">
        <f t="shared" si="411"/>
        <v>0</v>
      </c>
      <c r="Y4395" s="53">
        <f t="shared" si="412"/>
        <v>0</v>
      </c>
      <c r="Z4395" s="64">
        <f t="shared" si="413"/>
        <v>0</v>
      </c>
    </row>
    <row r="4396" spans="1:26">
      <c r="A4396" s="89" t="str">
        <f t="shared" si="408"/>
        <v/>
      </c>
      <c r="B4396" s="89" t="str">
        <f t="shared" si="409"/>
        <v/>
      </c>
      <c r="S4396" s="89" t="str">
        <f t="shared" si="410"/>
        <v/>
      </c>
      <c r="X4396" s="64">
        <f t="shared" si="411"/>
        <v>0</v>
      </c>
      <c r="Y4396" s="53">
        <f t="shared" si="412"/>
        <v>0</v>
      </c>
      <c r="Z4396" s="64">
        <f t="shared" si="413"/>
        <v>0</v>
      </c>
    </row>
    <row r="4397" spans="1:26">
      <c r="A4397" s="89" t="str">
        <f t="shared" si="408"/>
        <v/>
      </c>
      <c r="B4397" s="89" t="str">
        <f t="shared" si="409"/>
        <v/>
      </c>
      <c r="S4397" s="89" t="str">
        <f t="shared" si="410"/>
        <v/>
      </c>
      <c r="X4397" s="64">
        <f t="shared" si="411"/>
        <v>0</v>
      </c>
      <c r="Y4397" s="53">
        <f t="shared" si="412"/>
        <v>0</v>
      </c>
      <c r="Z4397" s="64">
        <f t="shared" si="413"/>
        <v>0</v>
      </c>
    </row>
    <row r="4398" spans="1:26">
      <c r="A4398" s="89" t="str">
        <f t="shared" si="408"/>
        <v/>
      </c>
      <c r="B4398" s="89" t="str">
        <f t="shared" si="409"/>
        <v/>
      </c>
      <c r="S4398" s="89" t="str">
        <f t="shared" si="410"/>
        <v/>
      </c>
      <c r="X4398" s="64">
        <f t="shared" si="411"/>
        <v>0</v>
      </c>
      <c r="Y4398" s="53">
        <f t="shared" si="412"/>
        <v>0</v>
      </c>
      <c r="Z4398" s="64">
        <f t="shared" si="413"/>
        <v>0</v>
      </c>
    </row>
    <row r="4399" spans="1:26">
      <c r="A4399" s="89" t="str">
        <f t="shared" si="408"/>
        <v/>
      </c>
      <c r="B4399" s="89" t="str">
        <f t="shared" si="409"/>
        <v/>
      </c>
      <c r="S4399" s="89" t="str">
        <f t="shared" si="410"/>
        <v/>
      </c>
      <c r="X4399" s="64">
        <f t="shared" si="411"/>
        <v>0</v>
      </c>
      <c r="Y4399" s="53">
        <f t="shared" si="412"/>
        <v>0</v>
      </c>
      <c r="Z4399" s="64">
        <f t="shared" si="413"/>
        <v>0</v>
      </c>
    </row>
    <row r="4400" spans="1:26">
      <c r="A4400" s="89" t="str">
        <f t="shared" si="408"/>
        <v/>
      </c>
      <c r="B4400" s="89" t="str">
        <f t="shared" si="409"/>
        <v/>
      </c>
      <c r="S4400" s="89" t="str">
        <f t="shared" si="410"/>
        <v/>
      </c>
      <c r="X4400" s="64">
        <f t="shared" si="411"/>
        <v>0</v>
      </c>
      <c r="Y4400" s="53">
        <f t="shared" si="412"/>
        <v>0</v>
      </c>
      <c r="Z4400" s="64">
        <f t="shared" si="413"/>
        <v>0</v>
      </c>
    </row>
    <row r="4401" spans="1:26">
      <c r="A4401" s="89" t="str">
        <f t="shared" si="408"/>
        <v/>
      </c>
      <c r="B4401" s="89" t="str">
        <f t="shared" si="409"/>
        <v/>
      </c>
      <c r="S4401" s="89" t="str">
        <f t="shared" si="410"/>
        <v/>
      </c>
      <c r="X4401" s="64">
        <f t="shared" si="411"/>
        <v>0</v>
      </c>
      <c r="Y4401" s="53">
        <f t="shared" si="412"/>
        <v>0</v>
      </c>
      <c r="Z4401" s="64">
        <f t="shared" si="413"/>
        <v>0</v>
      </c>
    </row>
    <row r="4402" spans="1:26">
      <c r="A4402" s="89" t="str">
        <f t="shared" si="408"/>
        <v/>
      </c>
      <c r="B4402" s="89" t="str">
        <f t="shared" si="409"/>
        <v/>
      </c>
      <c r="S4402" s="89" t="str">
        <f t="shared" si="410"/>
        <v/>
      </c>
      <c r="X4402" s="64">
        <f t="shared" si="411"/>
        <v>0</v>
      </c>
      <c r="Y4402" s="53">
        <f t="shared" si="412"/>
        <v>0</v>
      </c>
      <c r="Z4402" s="64">
        <f t="shared" si="413"/>
        <v>0</v>
      </c>
    </row>
    <row r="4403" spans="1:26">
      <c r="A4403" s="89" t="str">
        <f t="shared" si="408"/>
        <v/>
      </c>
      <c r="B4403" s="89" t="str">
        <f t="shared" si="409"/>
        <v/>
      </c>
      <c r="S4403" s="89" t="str">
        <f t="shared" si="410"/>
        <v/>
      </c>
      <c r="X4403" s="64">
        <f t="shared" si="411"/>
        <v>0</v>
      </c>
      <c r="Y4403" s="53">
        <f t="shared" si="412"/>
        <v>0</v>
      </c>
      <c r="Z4403" s="64">
        <f t="shared" si="413"/>
        <v>0</v>
      </c>
    </row>
    <row r="4404" spans="1:26">
      <c r="A4404" s="89" t="str">
        <f t="shared" si="408"/>
        <v/>
      </c>
      <c r="B4404" s="89" t="str">
        <f t="shared" si="409"/>
        <v/>
      </c>
      <c r="S4404" s="89" t="str">
        <f t="shared" si="410"/>
        <v/>
      </c>
      <c r="X4404" s="64">
        <f t="shared" si="411"/>
        <v>0</v>
      </c>
      <c r="Y4404" s="53">
        <f t="shared" si="412"/>
        <v>0</v>
      </c>
      <c r="Z4404" s="64">
        <f t="shared" si="413"/>
        <v>0</v>
      </c>
    </row>
    <row r="4405" spans="1:26">
      <c r="A4405" s="89" t="str">
        <f t="shared" si="408"/>
        <v/>
      </c>
      <c r="B4405" s="89" t="str">
        <f t="shared" si="409"/>
        <v/>
      </c>
      <c r="S4405" s="89" t="str">
        <f t="shared" si="410"/>
        <v/>
      </c>
      <c r="X4405" s="64">
        <f t="shared" si="411"/>
        <v>0</v>
      </c>
      <c r="Y4405" s="53">
        <f t="shared" si="412"/>
        <v>0</v>
      </c>
      <c r="Z4405" s="64">
        <f t="shared" si="413"/>
        <v>0</v>
      </c>
    </row>
    <row r="4406" spans="1:26">
      <c r="A4406" s="89" t="str">
        <f t="shared" si="408"/>
        <v/>
      </c>
      <c r="B4406" s="89" t="str">
        <f t="shared" si="409"/>
        <v/>
      </c>
      <c r="S4406" s="89" t="str">
        <f t="shared" si="410"/>
        <v/>
      </c>
      <c r="X4406" s="64">
        <f t="shared" si="411"/>
        <v>0</v>
      </c>
      <c r="Y4406" s="53">
        <f t="shared" si="412"/>
        <v>0</v>
      </c>
      <c r="Z4406" s="64">
        <f t="shared" si="413"/>
        <v>0</v>
      </c>
    </row>
    <row r="4407" spans="1:26">
      <c r="A4407" s="89" t="str">
        <f t="shared" si="408"/>
        <v/>
      </c>
      <c r="B4407" s="89" t="str">
        <f t="shared" si="409"/>
        <v/>
      </c>
      <c r="S4407" s="89" t="str">
        <f t="shared" si="410"/>
        <v/>
      </c>
      <c r="X4407" s="64">
        <f t="shared" si="411"/>
        <v>0</v>
      </c>
      <c r="Y4407" s="53">
        <f t="shared" si="412"/>
        <v>0</v>
      </c>
      <c r="Z4407" s="64">
        <f t="shared" si="413"/>
        <v>0</v>
      </c>
    </row>
    <row r="4408" spans="1:26">
      <c r="A4408" s="89" t="str">
        <f t="shared" si="408"/>
        <v/>
      </c>
      <c r="B4408" s="89" t="str">
        <f t="shared" si="409"/>
        <v/>
      </c>
      <c r="S4408" s="89" t="str">
        <f t="shared" si="410"/>
        <v/>
      </c>
      <c r="X4408" s="64">
        <f t="shared" si="411"/>
        <v>0</v>
      </c>
      <c r="Y4408" s="53">
        <f t="shared" si="412"/>
        <v>0</v>
      </c>
      <c r="Z4408" s="64">
        <f t="shared" si="413"/>
        <v>0</v>
      </c>
    </row>
    <row r="4409" spans="1:26">
      <c r="A4409" s="89" t="str">
        <f t="shared" si="408"/>
        <v/>
      </c>
      <c r="B4409" s="89" t="str">
        <f t="shared" si="409"/>
        <v/>
      </c>
      <c r="S4409" s="89" t="str">
        <f t="shared" si="410"/>
        <v/>
      </c>
      <c r="X4409" s="64">
        <f t="shared" si="411"/>
        <v>0</v>
      </c>
      <c r="Y4409" s="53">
        <f t="shared" si="412"/>
        <v>0</v>
      </c>
      <c r="Z4409" s="64">
        <f t="shared" si="413"/>
        <v>0</v>
      </c>
    </row>
    <row r="4410" spans="1:26">
      <c r="A4410" s="89" t="str">
        <f t="shared" si="408"/>
        <v/>
      </c>
      <c r="B4410" s="89" t="str">
        <f t="shared" si="409"/>
        <v/>
      </c>
      <c r="S4410" s="89" t="str">
        <f t="shared" si="410"/>
        <v/>
      </c>
      <c r="X4410" s="64">
        <f t="shared" si="411"/>
        <v>0</v>
      </c>
      <c r="Y4410" s="53">
        <f t="shared" si="412"/>
        <v>0</v>
      </c>
      <c r="Z4410" s="64">
        <f t="shared" si="413"/>
        <v>0</v>
      </c>
    </row>
    <row r="4411" spans="1:26">
      <c r="A4411" s="89" t="str">
        <f t="shared" si="408"/>
        <v/>
      </c>
      <c r="B4411" s="89" t="str">
        <f t="shared" si="409"/>
        <v/>
      </c>
      <c r="S4411" s="89" t="str">
        <f t="shared" si="410"/>
        <v/>
      </c>
      <c r="X4411" s="64">
        <f t="shared" si="411"/>
        <v>0</v>
      </c>
      <c r="Y4411" s="53">
        <f t="shared" si="412"/>
        <v>0</v>
      </c>
      <c r="Z4411" s="64">
        <f t="shared" si="413"/>
        <v>0</v>
      </c>
    </row>
    <row r="4412" spans="1:26">
      <c r="A4412" s="89" t="str">
        <f t="shared" si="408"/>
        <v/>
      </c>
      <c r="B4412" s="89" t="str">
        <f t="shared" si="409"/>
        <v/>
      </c>
      <c r="S4412" s="89" t="str">
        <f t="shared" si="410"/>
        <v/>
      </c>
      <c r="X4412" s="64">
        <f t="shared" si="411"/>
        <v>0</v>
      </c>
      <c r="Y4412" s="53">
        <f t="shared" si="412"/>
        <v>0</v>
      </c>
      <c r="Z4412" s="64">
        <f t="shared" si="413"/>
        <v>0</v>
      </c>
    </row>
    <row r="4413" spans="1:26">
      <c r="A4413" s="89" t="str">
        <f t="shared" si="408"/>
        <v/>
      </c>
      <c r="B4413" s="89" t="str">
        <f t="shared" si="409"/>
        <v/>
      </c>
      <c r="S4413" s="89" t="str">
        <f t="shared" si="410"/>
        <v/>
      </c>
      <c r="X4413" s="64">
        <f t="shared" si="411"/>
        <v>0</v>
      </c>
      <c r="Y4413" s="53">
        <f t="shared" si="412"/>
        <v>0</v>
      </c>
      <c r="Z4413" s="64">
        <f t="shared" si="413"/>
        <v>0</v>
      </c>
    </row>
    <row r="4414" spans="1:26">
      <c r="A4414" s="89" t="str">
        <f t="shared" si="408"/>
        <v/>
      </c>
      <c r="B4414" s="89" t="str">
        <f t="shared" si="409"/>
        <v/>
      </c>
      <c r="S4414" s="89" t="str">
        <f t="shared" si="410"/>
        <v/>
      </c>
      <c r="X4414" s="64">
        <f t="shared" si="411"/>
        <v>0</v>
      </c>
      <c r="Y4414" s="53">
        <f t="shared" si="412"/>
        <v>0</v>
      </c>
      <c r="Z4414" s="64">
        <f t="shared" si="413"/>
        <v>0</v>
      </c>
    </row>
    <row r="4415" spans="1:26">
      <c r="A4415" s="89" t="str">
        <f t="shared" si="408"/>
        <v/>
      </c>
      <c r="B4415" s="89" t="str">
        <f t="shared" si="409"/>
        <v/>
      </c>
      <c r="S4415" s="89" t="str">
        <f t="shared" si="410"/>
        <v/>
      </c>
      <c r="X4415" s="64">
        <f t="shared" si="411"/>
        <v>0</v>
      </c>
      <c r="Y4415" s="53">
        <f t="shared" si="412"/>
        <v>0</v>
      </c>
      <c r="Z4415" s="64">
        <f t="shared" si="413"/>
        <v>0</v>
      </c>
    </row>
    <row r="4416" spans="1:26">
      <c r="A4416" s="89" t="str">
        <f t="shared" si="408"/>
        <v/>
      </c>
      <c r="B4416" s="89" t="str">
        <f t="shared" si="409"/>
        <v/>
      </c>
      <c r="S4416" s="89" t="str">
        <f t="shared" si="410"/>
        <v/>
      </c>
      <c r="X4416" s="64">
        <f t="shared" si="411"/>
        <v>0</v>
      </c>
      <c r="Y4416" s="53">
        <f t="shared" si="412"/>
        <v>0</v>
      </c>
      <c r="Z4416" s="64">
        <f t="shared" si="413"/>
        <v>0</v>
      </c>
    </row>
    <row r="4417" spans="1:26">
      <c r="A4417" s="89" t="str">
        <f t="shared" si="408"/>
        <v/>
      </c>
      <c r="B4417" s="89" t="str">
        <f t="shared" si="409"/>
        <v/>
      </c>
      <c r="S4417" s="89" t="str">
        <f t="shared" si="410"/>
        <v/>
      </c>
      <c r="X4417" s="64">
        <f t="shared" si="411"/>
        <v>0</v>
      </c>
      <c r="Y4417" s="53">
        <f t="shared" si="412"/>
        <v>0</v>
      </c>
      <c r="Z4417" s="64">
        <f t="shared" si="413"/>
        <v>0</v>
      </c>
    </row>
    <row r="4418" spans="1:26">
      <c r="A4418" s="89" t="str">
        <f t="shared" si="408"/>
        <v/>
      </c>
      <c r="B4418" s="89" t="str">
        <f t="shared" si="409"/>
        <v/>
      </c>
      <c r="S4418" s="89" t="str">
        <f t="shared" si="410"/>
        <v/>
      </c>
      <c r="X4418" s="64">
        <f t="shared" si="411"/>
        <v>0</v>
      </c>
      <c r="Y4418" s="53">
        <f t="shared" si="412"/>
        <v>0</v>
      </c>
      <c r="Z4418" s="64">
        <f t="shared" si="413"/>
        <v>0</v>
      </c>
    </row>
    <row r="4419" spans="1:26">
      <c r="A4419" s="89" t="str">
        <f t="shared" ref="A4419:A4482" si="414">IF(G4419&amp;Q4419&lt;&gt;"",G4419&amp;Q4419,"")</f>
        <v/>
      </c>
      <c r="B4419" s="89" t="str">
        <f t="shared" ref="B4419:B4482" si="415">IF(C4419&lt;&gt;"",LEFT(C4419,9),"")</f>
        <v/>
      </c>
      <c r="S4419" s="89" t="str">
        <f t="shared" ref="S4419:S4482" si="416">IF(H4419&lt;&gt;"",H4419,"")</f>
        <v/>
      </c>
      <c r="X4419" s="64">
        <f t="shared" ref="X4419:X4482" si="417">IFERROR(VALUE(MID($C4419,1,2)),0)</f>
        <v>0</v>
      </c>
      <c r="Y4419" s="53">
        <f t="shared" ref="Y4419:Y4482" si="418">IFERROR(VALUE(MID($C4419,4,3)),0)</f>
        <v>0</v>
      </c>
      <c r="Z4419" s="64">
        <f t="shared" ref="Z4419:Z4482" si="419">VALUE(RIGHT("00"&amp;X4419,2)&amp;RIGHT("000"&amp;Y4419,3))</f>
        <v>0</v>
      </c>
    </row>
    <row r="4420" spans="1:26">
      <c r="A4420" s="89" t="str">
        <f t="shared" si="414"/>
        <v/>
      </c>
      <c r="B4420" s="89" t="str">
        <f t="shared" si="415"/>
        <v/>
      </c>
      <c r="S4420" s="89" t="str">
        <f t="shared" si="416"/>
        <v/>
      </c>
      <c r="X4420" s="64">
        <f t="shared" si="417"/>
        <v>0</v>
      </c>
      <c r="Y4420" s="53">
        <f t="shared" si="418"/>
        <v>0</v>
      </c>
      <c r="Z4420" s="64">
        <f t="shared" si="419"/>
        <v>0</v>
      </c>
    </row>
    <row r="4421" spans="1:26">
      <c r="A4421" s="89" t="str">
        <f t="shared" si="414"/>
        <v/>
      </c>
      <c r="B4421" s="89" t="str">
        <f t="shared" si="415"/>
        <v/>
      </c>
      <c r="S4421" s="89" t="str">
        <f t="shared" si="416"/>
        <v/>
      </c>
      <c r="X4421" s="64">
        <f t="shared" si="417"/>
        <v>0</v>
      </c>
      <c r="Y4421" s="53">
        <f t="shared" si="418"/>
        <v>0</v>
      </c>
      <c r="Z4421" s="64">
        <f t="shared" si="419"/>
        <v>0</v>
      </c>
    </row>
    <row r="4422" spans="1:26">
      <c r="A4422" s="89" t="str">
        <f t="shared" si="414"/>
        <v/>
      </c>
      <c r="B4422" s="89" t="str">
        <f t="shared" si="415"/>
        <v/>
      </c>
      <c r="S4422" s="89" t="str">
        <f t="shared" si="416"/>
        <v/>
      </c>
      <c r="X4422" s="64">
        <f t="shared" si="417"/>
        <v>0</v>
      </c>
      <c r="Y4422" s="53">
        <f t="shared" si="418"/>
        <v>0</v>
      </c>
      <c r="Z4422" s="64">
        <f t="shared" si="419"/>
        <v>0</v>
      </c>
    </row>
    <row r="4423" spans="1:26">
      <c r="A4423" s="89" t="str">
        <f t="shared" si="414"/>
        <v/>
      </c>
      <c r="B4423" s="89" t="str">
        <f t="shared" si="415"/>
        <v/>
      </c>
      <c r="S4423" s="89" t="str">
        <f t="shared" si="416"/>
        <v/>
      </c>
      <c r="X4423" s="64">
        <f t="shared" si="417"/>
        <v>0</v>
      </c>
      <c r="Y4423" s="53">
        <f t="shared" si="418"/>
        <v>0</v>
      </c>
      <c r="Z4423" s="64">
        <f t="shared" si="419"/>
        <v>0</v>
      </c>
    </row>
    <row r="4424" spans="1:26">
      <c r="A4424" s="89" t="str">
        <f t="shared" si="414"/>
        <v/>
      </c>
      <c r="B4424" s="89" t="str">
        <f t="shared" si="415"/>
        <v/>
      </c>
      <c r="S4424" s="89" t="str">
        <f t="shared" si="416"/>
        <v/>
      </c>
      <c r="X4424" s="64">
        <f t="shared" si="417"/>
        <v>0</v>
      </c>
      <c r="Y4424" s="53">
        <f t="shared" si="418"/>
        <v>0</v>
      </c>
      <c r="Z4424" s="64">
        <f t="shared" si="419"/>
        <v>0</v>
      </c>
    </row>
    <row r="4425" spans="1:26">
      <c r="A4425" s="89" t="str">
        <f t="shared" si="414"/>
        <v/>
      </c>
      <c r="B4425" s="89" t="str">
        <f t="shared" si="415"/>
        <v/>
      </c>
      <c r="S4425" s="89" t="str">
        <f t="shared" si="416"/>
        <v/>
      </c>
      <c r="X4425" s="64">
        <f t="shared" si="417"/>
        <v>0</v>
      </c>
      <c r="Y4425" s="53">
        <f t="shared" si="418"/>
        <v>0</v>
      </c>
      <c r="Z4425" s="64">
        <f t="shared" si="419"/>
        <v>0</v>
      </c>
    </row>
    <row r="4426" spans="1:26">
      <c r="A4426" s="89" t="str">
        <f t="shared" si="414"/>
        <v/>
      </c>
      <c r="B4426" s="89" t="str">
        <f t="shared" si="415"/>
        <v/>
      </c>
      <c r="S4426" s="89" t="str">
        <f t="shared" si="416"/>
        <v/>
      </c>
      <c r="X4426" s="64">
        <f t="shared" si="417"/>
        <v>0</v>
      </c>
      <c r="Y4426" s="53">
        <f t="shared" si="418"/>
        <v>0</v>
      </c>
      <c r="Z4426" s="64">
        <f t="shared" si="419"/>
        <v>0</v>
      </c>
    </row>
    <row r="4427" spans="1:26">
      <c r="A4427" s="89" t="str">
        <f t="shared" si="414"/>
        <v/>
      </c>
      <c r="B4427" s="89" t="str">
        <f t="shared" si="415"/>
        <v/>
      </c>
      <c r="S4427" s="89" t="str">
        <f t="shared" si="416"/>
        <v/>
      </c>
      <c r="X4427" s="64">
        <f t="shared" si="417"/>
        <v>0</v>
      </c>
      <c r="Y4427" s="53">
        <f t="shared" si="418"/>
        <v>0</v>
      </c>
      <c r="Z4427" s="64">
        <f t="shared" si="419"/>
        <v>0</v>
      </c>
    </row>
    <row r="4428" spans="1:26">
      <c r="A4428" s="89" t="str">
        <f t="shared" si="414"/>
        <v/>
      </c>
      <c r="B4428" s="89" t="str">
        <f t="shared" si="415"/>
        <v/>
      </c>
      <c r="S4428" s="89" t="str">
        <f t="shared" si="416"/>
        <v/>
      </c>
      <c r="X4428" s="64">
        <f t="shared" si="417"/>
        <v>0</v>
      </c>
      <c r="Y4428" s="53">
        <f t="shared" si="418"/>
        <v>0</v>
      </c>
      <c r="Z4428" s="64">
        <f t="shared" si="419"/>
        <v>0</v>
      </c>
    </row>
    <row r="4429" spans="1:26">
      <c r="A4429" s="89" t="str">
        <f t="shared" si="414"/>
        <v/>
      </c>
      <c r="B4429" s="89" t="str">
        <f t="shared" si="415"/>
        <v/>
      </c>
      <c r="S4429" s="89" t="str">
        <f t="shared" si="416"/>
        <v/>
      </c>
      <c r="X4429" s="64">
        <f t="shared" si="417"/>
        <v>0</v>
      </c>
      <c r="Y4429" s="53">
        <f t="shared" si="418"/>
        <v>0</v>
      </c>
      <c r="Z4429" s="64">
        <f t="shared" si="419"/>
        <v>0</v>
      </c>
    </row>
    <row r="4430" spans="1:26">
      <c r="A4430" s="89" t="str">
        <f t="shared" si="414"/>
        <v/>
      </c>
      <c r="B4430" s="89" t="str">
        <f t="shared" si="415"/>
        <v/>
      </c>
      <c r="S4430" s="89" t="str">
        <f t="shared" si="416"/>
        <v/>
      </c>
      <c r="X4430" s="64">
        <f t="shared" si="417"/>
        <v>0</v>
      </c>
      <c r="Y4430" s="53">
        <f t="shared" si="418"/>
        <v>0</v>
      </c>
      <c r="Z4430" s="64">
        <f t="shared" si="419"/>
        <v>0</v>
      </c>
    </row>
    <row r="4431" spans="1:26">
      <c r="A4431" s="89" t="str">
        <f t="shared" si="414"/>
        <v/>
      </c>
      <c r="B4431" s="89" t="str">
        <f t="shared" si="415"/>
        <v/>
      </c>
      <c r="S4431" s="89" t="str">
        <f t="shared" si="416"/>
        <v/>
      </c>
      <c r="X4431" s="64">
        <f t="shared" si="417"/>
        <v>0</v>
      </c>
      <c r="Y4431" s="53">
        <f t="shared" si="418"/>
        <v>0</v>
      </c>
      <c r="Z4431" s="64">
        <f t="shared" si="419"/>
        <v>0</v>
      </c>
    </row>
    <row r="4432" spans="1:26">
      <c r="A4432" s="89" t="str">
        <f t="shared" si="414"/>
        <v/>
      </c>
      <c r="B4432" s="89" t="str">
        <f t="shared" si="415"/>
        <v/>
      </c>
      <c r="S4432" s="89" t="str">
        <f t="shared" si="416"/>
        <v/>
      </c>
      <c r="X4432" s="64">
        <f t="shared" si="417"/>
        <v>0</v>
      </c>
      <c r="Y4432" s="53">
        <f t="shared" si="418"/>
        <v>0</v>
      </c>
      <c r="Z4432" s="64">
        <f t="shared" si="419"/>
        <v>0</v>
      </c>
    </row>
    <row r="4433" spans="1:26">
      <c r="A4433" s="89" t="str">
        <f t="shared" si="414"/>
        <v/>
      </c>
      <c r="B4433" s="89" t="str">
        <f t="shared" si="415"/>
        <v/>
      </c>
      <c r="S4433" s="89" t="str">
        <f t="shared" si="416"/>
        <v/>
      </c>
      <c r="X4433" s="64">
        <f t="shared" si="417"/>
        <v>0</v>
      </c>
      <c r="Y4433" s="53">
        <f t="shared" si="418"/>
        <v>0</v>
      </c>
      <c r="Z4433" s="64">
        <f t="shared" si="419"/>
        <v>0</v>
      </c>
    </row>
    <row r="4434" spans="1:26">
      <c r="A4434" s="89" t="str">
        <f t="shared" si="414"/>
        <v/>
      </c>
      <c r="B4434" s="89" t="str">
        <f t="shared" si="415"/>
        <v/>
      </c>
      <c r="S4434" s="89" t="str">
        <f t="shared" si="416"/>
        <v/>
      </c>
      <c r="X4434" s="64">
        <f t="shared" si="417"/>
        <v>0</v>
      </c>
      <c r="Y4434" s="53">
        <f t="shared" si="418"/>
        <v>0</v>
      </c>
      <c r="Z4434" s="64">
        <f t="shared" si="419"/>
        <v>0</v>
      </c>
    </row>
    <row r="4435" spans="1:26">
      <c r="A4435" s="89" t="str">
        <f t="shared" si="414"/>
        <v/>
      </c>
      <c r="B4435" s="89" t="str">
        <f t="shared" si="415"/>
        <v/>
      </c>
      <c r="S4435" s="89" t="str">
        <f t="shared" si="416"/>
        <v/>
      </c>
      <c r="X4435" s="64">
        <f t="shared" si="417"/>
        <v>0</v>
      </c>
      <c r="Y4435" s="53">
        <f t="shared" si="418"/>
        <v>0</v>
      </c>
      <c r="Z4435" s="64">
        <f t="shared" si="419"/>
        <v>0</v>
      </c>
    </row>
    <row r="4436" spans="1:26">
      <c r="A4436" s="89" t="str">
        <f t="shared" si="414"/>
        <v/>
      </c>
      <c r="B4436" s="89" t="str">
        <f t="shared" si="415"/>
        <v/>
      </c>
      <c r="S4436" s="89" t="str">
        <f t="shared" si="416"/>
        <v/>
      </c>
      <c r="X4436" s="64">
        <f t="shared" si="417"/>
        <v>0</v>
      </c>
      <c r="Y4436" s="53">
        <f t="shared" si="418"/>
        <v>0</v>
      </c>
      <c r="Z4436" s="64">
        <f t="shared" si="419"/>
        <v>0</v>
      </c>
    </row>
    <row r="4437" spans="1:26">
      <c r="A4437" s="89" t="str">
        <f t="shared" si="414"/>
        <v/>
      </c>
      <c r="B4437" s="89" t="str">
        <f t="shared" si="415"/>
        <v/>
      </c>
      <c r="S4437" s="89" t="str">
        <f t="shared" si="416"/>
        <v/>
      </c>
      <c r="X4437" s="64">
        <f t="shared" si="417"/>
        <v>0</v>
      </c>
      <c r="Y4437" s="53">
        <f t="shared" si="418"/>
        <v>0</v>
      </c>
      <c r="Z4437" s="64">
        <f t="shared" si="419"/>
        <v>0</v>
      </c>
    </row>
    <row r="4438" spans="1:26">
      <c r="A4438" s="89" t="str">
        <f t="shared" si="414"/>
        <v/>
      </c>
      <c r="B4438" s="89" t="str">
        <f t="shared" si="415"/>
        <v/>
      </c>
      <c r="S4438" s="89" t="str">
        <f t="shared" si="416"/>
        <v/>
      </c>
      <c r="X4438" s="64">
        <f t="shared" si="417"/>
        <v>0</v>
      </c>
      <c r="Y4438" s="53">
        <f t="shared" si="418"/>
        <v>0</v>
      </c>
      <c r="Z4438" s="64">
        <f t="shared" si="419"/>
        <v>0</v>
      </c>
    </row>
    <row r="4439" spans="1:26">
      <c r="A4439" s="89" t="str">
        <f t="shared" si="414"/>
        <v/>
      </c>
      <c r="B4439" s="89" t="str">
        <f t="shared" si="415"/>
        <v/>
      </c>
      <c r="S4439" s="89" t="str">
        <f t="shared" si="416"/>
        <v/>
      </c>
      <c r="X4439" s="64">
        <f t="shared" si="417"/>
        <v>0</v>
      </c>
      <c r="Y4439" s="53">
        <f t="shared" si="418"/>
        <v>0</v>
      </c>
      <c r="Z4439" s="64">
        <f t="shared" si="419"/>
        <v>0</v>
      </c>
    </row>
    <row r="4440" spans="1:26">
      <c r="A4440" s="89" t="str">
        <f t="shared" si="414"/>
        <v/>
      </c>
      <c r="B4440" s="89" t="str">
        <f t="shared" si="415"/>
        <v/>
      </c>
      <c r="S4440" s="89" t="str">
        <f t="shared" si="416"/>
        <v/>
      </c>
      <c r="X4440" s="64">
        <f t="shared" si="417"/>
        <v>0</v>
      </c>
      <c r="Y4440" s="53">
        <f t="shared" si="418"/>
        <v>0</v>
      </c>
      <c r="Z4440" s="64">
        <f t="shared" si="419"/>
        <v>0</v>
      </c>
    </row>
    <row r="4441" spans="1:26">
      <c r="A4441" s="89" t="str">
        <f t="shared" si="414"/>
        <v/>
      </c>
      <c r="B4441" s="89" t="str">
        <f t="shared" si="415"/>
        <v/>
      </c>
      <c r="S4441" s="89" t="str">
        <f t="shared" si="416"/>
        <v/>
      </c>
      <c r="X4441" s="64">
        <f t="shared" si="417"/>
        <v>0</v>
      </c>
      <c r="Y4441" s="53">
        <f t="shared" si="418"/>
        <v>0</v>
      </c>
      <c r="Z4441" s="64">
        <f t="shared" si="419"/>
        <v>0</v>
      </c>
    </row>
    <row r="4442" spans="1:26">
      <c r="A4442" s="89" t="str">
        <f t="shared" si="414"/>
        <v/>
      </c>
      <c r="B4442" s="89" t="str">
        <f t="shared" si="415"/>
        <v/>
      </c>
      <c r="S4442" s="89" t="str">
        <f t="shared" si="416"/>
        <v/>
      </c>
      <c r="X4442" s="64">
        <f t="shared" si="417"/>
        <v>0</v>
      </c>
      <c r="Y4442" s="53">
        <f t="shared" si="418"/>
        <v>0</v>
      </c>
      <c r="Z4442" s="64">
        <f t="shared" si="419"/>
        <v>0</v>
      </c>
    </row>
    <row r="4443" spans="1:26">
      <c r="A4443" s="89" t="str">
        <f t="shared" si="414"/>
        <v/>
      </c>
      <c r="B4443" s="89" t="str">
        <f t="shared" si="415"/>
        <v/>
      </c>
      <c r="S4443" s="89" t="str">
        <f t="shared" si="416"/>
        <v/>
      </c>
      <c r="X4443" s="64">
        <f t="shared" si="417"/>
        <v>0</v>
      </c>
      <c r="Y4443" s="53">
        <f t="shared" si="418"/>
        <v>0</v>
      </c>
      <c r="Z4443" s="64">
        <f t="shared" si="419"/>
        <v>0</v>
      </c>
    </row>
    <row r="4444" spans="1:26">
      <c r="A4444" s="89" t="str">
        <f t="shared" si="414"/>
        <v/>
      </c>
      <c r="B4444" s="89" t="str">
        <f t="shared" si="415"/>
        <v/>
      </c>
      <c r="S4444" s="89" t="str">
        <f t="shared" si="416"/>
        <v/>
      </c>
      <c r="X4444" s="64">
        <f t="shared" si="417"/>
        <v>0</v>
      </c>
      <c r="Y4444" s="53">
        <f t="shared" si="418"/>
        <v>0</v>
      </c>
      <c r="Z4444" s="64">
        <f t="shared" si="419"/>
        <v>0</v>
      </c>
    </row>
    <row r="4445" spans="1:26">
      <c r="A4445" s="89" t="str">
        <f t="shared" si="414"/>
        <v/>
      </c>
      <c r="B4445" s="89" t="str">
        <f t="shared" si="415"/>
        <v/>
      </c>
      <c r="S4445" s="89" t="str">
        <f t="shared" si="416"/>
        <v/>
      </c>
      <c r="X4445" s="64">
        <f t="shared" si="417"/>
        <v>0</v>
      </c>
      <c r="Y4445" s="53">
        <f t="shared" si="418"/>
        <v>0</v>
      </c>
      <c r="Z4445" s="64">
        <f t="shared" si="419"/>
        <v>0</v>
      </c>
    </row>
    <row r="4446" spans="1:26">
      <c r="A4446" s="89" t="str">
        <f t="shared" si="414"/>
        <v/>
      </c>
      <c r="B4446" s="89" t="str">
        <f t="shared" si="415"/>
        <v/>
      </c>
      <c r="S4446" s="89" t="str">
        <f t="shared" si="416"/>
        <v/>
      </c>
      <c r="X4446" s="64">
        <f t="shared" si="417"/>
        <v>0</v>
      </c>
      <c r="Y4446" s="53">
        <f t="shared" si="418"/>
        <v>0</v>
      </c>
      <c r="Z4446" s="64">
        <f t="shared" si="419"/>
        <v>0</v>
      </c>
    </row>
    <row r="4447" spans="1:26">
      <c r="A4447" s="89" t="str">
        <f t="shared" si="414"/>
        <v/>
      </c>
      <c r="B4447" s="89" t="str">
        <f t="shared" si="415"/>
        <v/>
      </c>
      <c r="S4447" s="89" t="str">
        <f t="shared" si="416"/>
        <v/>
      </c>
      <c r="X4447" s="64">
        <f t="shared" si="417"/>
        <v>0</v>
      </c>
      <c r="Y4447" s="53">
        <f t="shared" si="418"/>
        <v>0</v>
      </c>
      <c r="Z4447" s="64">
        <f t="shared" si="419"/>
        <v>0</v>
      </c>
    </row>
    <row r="4448" spans="1:26">
      <c r="A4448" s="89" t="str">
        <f t="shared" si="414"/>
        <v/>
      </c>
      <c r="B4448" s="89" t="str">
        <f t="shared" si="415"/>
        <v/>
      </c>
      <c r="S4448" s="89" t="str">
        <f t="shared" si="416"/>
        <v/>
      </c>
      <c r="X4448" s="64">
        <f t="shared" si="417"/>
        <v>0</v>
      </c>
      <c r="Y4448" s="53">
        <f t="shared" si="418"/>
        <v>0</v>
      </c>
      <c r="Z4448" s="64">
        <f t="shared" si="419"/>
        <v>0</v>
      </c>
    </row>
    <row r="4449" spans="1:26">
      <c r="A4449" s="89" t="str">
        <f t="shared" si="414"/>
        <v/>
      </c>
      <c r="B4449" s="89" t="str">
        <f t="shared" si="415"/>
        <v/>
      </c>
      <c r="S4449" s="89" t="str">
        <f t="shared" si="416"/>
        <v/>
      </c>
      <c r="X4449" s="64">
        <f t="shared" si="417"/>
        <v>0</v>
      </c>
      <c r="Y4449" s="53">
        <f t="shared" si="418"/>
        <v>0</v>
      </c>
      <c r="Z4449" s="64">
        <f t="shared" si="419"/>
        <v>0</v>
      </c>
    </row>
    <row r="4450" spans="1:26">
      <c r="A4450" s="89" t="str">
        <f t="shared" si="414"/>
        <v/>
      </c>
      <c r="B4450" s="89" t="str">
        <f t="shared" si="415"/>
        <v/>
      </c>
      <c r="S4450" s="89" t="str">
        <f t="shared" si="416"/>
        <v/>
      </c>
      <c r="X4450" s="64">
        <f t="shared" si="417"/>
        <v>0</v>
      </c>
      <c r="Y4450" s="53">
        <f t="shared" si="418"/>
        <v>0</v>
      </c>
      <c r="Z4450" s="64">
        <f t="shared" si="419"/>
        <v>0</v>
      </c>
    </row>
    <row r="4451" spans="1:26">
      <c r="A4451" s="89" t="str">
        <f t="shared" si="414"/>
        <v/>
      </c>
      <c r="B4451" s="89" t="str">
        <f t="shared" si="415"/>
        <v/>
      </c>
      <c r="S4451" s="89" t="str">
        <f t="shared" si="416"/>
        <v/>
      </c>
      <c r="X4451" s="64">
        <f t="shared" si="417"/>
        <v>0</v>
      </c>
      <c r="Y4451" s="53">
        <f t="shared" si="418"/>
        <v>0</v>
      </c>
      <c r="Z4451" s="64">
        <f t="shared" si="419"/>
        <v>0</v>
      </c>
    </row>
    <row r="4452" spans="1:26">
      <c r="A4452" s="89" t="str">
        <f t="shared" si="414"/>
        <v/>
      </c>
      <c r="B4452" s="89" t="str">
        <f t="shared" si="415"/>
        <v/>
      </c>
      <c r="S4452" s="89" t="str">
        <f t="shared" si="416"/>
        <v/>
      </c>
      <c r="X4452" s="64">
        <f t="shared" si="417"/>
        <v>0</v>
      </c>
      <c r="Y4452" s="53">
        <f t="shared" si="418"/>
        <v>0</v>
      </c>
      <c r="Z4452" s="64">
        <f t="shared" si="419"/>
        <v>0</v>
      </c>
    </row>
    <row r="4453" spans="1:26">
      <c r="A4453" s="89" t="str">
        <f t="shared" si="414"/>
        <v/>
      </c>
      <c r="B4453" s="89" t="str">
        <f t="shared" si="415"/>
        <v/>
      </c>
      <c r="S4453" s="89" t="str">
        <f t="shared" si="416"/>
        <v/>
      </c>
      <c r="X4453" s="64">
        <f t="shared" si="417"/>
        <v>0</v>
      </c>
      <c r="Y4453" s="53">
        <f t="shared" si="418"/>
        <v>0</v>
      </c>
      <c r="Z4453" s="64">
        <f t="shared" si="419"/>
        <v>0</v>
      </c>
    </row>
    <row r="4454" spans="1:26">
      <c r="A4454" s="89" t="str">
        <f t="shared" si="414"/>
        <v/>
      </c>
      <c r="B4454" s="89" t="str">
        <f t="shared" si="415"/>
        <v/>
      </c>
      <c r="S4454" s="89" t="str">
        <f t="shared" si="416"/>
        <v/>
      </c>
      <c r="X4454" s="64">
        <f t="shared" si="417"/>
        <v>0</v>
      </c>
      <c r="Y4454" s="53">
        <f t="shared" si="418"/>
        <v>0</v>
      </c>
      <c r="Z4454" s="64">
        <f t="shared" si="419"/>
        <v>0</v>
      </c>
    </row>
    <row r="4455" spans="1:26">
      <c r="A4455" s="89" t="str">
        <f t="shared" si="414"/>
        <v/>
      </c>
      <c r="B4455" s="89" t="str">
        <f t="shared" si="415"/>
        <v/>
      </c>
      <c r="S4455" s="89" t="str">
        <f t="shared" si="416"/>
        <v/>
      </c>
      <c r="X4455" s="64">
        <f t="shared" si="417"/>
        <v>0</v>
      </c>
      <c r="Y4455" s="53">
        <f t="shared" si="418"/>
        <v>0</v>
      </c>
      <c r="Z4455" s="64">
        <f t="shared" si="419"/>
        <v>0</v>
      </c>
    </row>
    <row r="4456" spans="1:26">
      <c r="A4456" s="89" t="str">
        <f t="shared" si="414"/>
        <v/>
      </c>
      <c r="B4456" s="89" t="str">
        <f t="shared" si="415"/>
        <v/>
      </c>
      <c r="S4456" s="89" t="str">
        <f t="shared" si="416"/>
        <v/>
      </c>
      <c r="X4456" s="64">
        <f t="shared" si="417"/>
        <v>0</v>
      </c>
      <c r="Y4456" s="53">
        <f t="shared" si="418"/>
        <v>0</v>
      </c>
      <c r="Z4456" s="64">
        <f t="shared" si="419"/>
        <v>0</v>
      </c>
    </row>
    <row r="4457" spans="1:26">
      <c r="A4457" s="89" t="str">
        <f t="shared" si="414"/>
        <v/>
      </c>
      <c r="B4457" s="89" t="str">
        <f t="shared" si="415"/>
        <v/>
      </c>
      <c r="S4457" s="89" t="str">
        <f t="shared" si="416"/>
        <v/>
      </c>
      <c r="X4457" s="64">
        <f t="shared" si="417"/>
        <v>0</v>
      </c>
      <c r="Y4457" s="53">
        <f t="shared" si="418"/>
        <v>0</v>
      </c>
      <c r="Z4457" s="64">
        <f t="shared" si="419"/>
        <v>0</v>
      </c>
    </row>
    <row r="4458" spans="1:26">
      <c r="A4458" s="89" t="str">
        <f t="shared" si="414"/>
        <v/>
      </c>
      <c r="B4458" s="89" t="str">
        <f t="shared" si="415"/>
        <v/>
      </c>
      <c r="S4458" s="89" t="str">
        <f t="shared" si="416"/>
        <v/>
      </c>
      <c r="X4458" s="64">
        <f t="shared" si="417"/>
        <v>0</v>
      </c>
      <c r="Y4458" s="53">
        <f t="shared" si="418"/>
        <v>0</v>
      </c>
      <c r="Z4458" s="64">
        <f t="shared" si="419"/>
        <v>0</v>
      </c>
    </row>
    <row r="4459" spans="1:26">
      <c r="A4459" s="89" t="str">
        <f t="shared" si="414"/>
        <v/>
      </c>
      <c r="B4459" s="89" t="str">
        <f t="shared" si="415"/>
        <v/>
      </c>
      <c r="S4459" s="89" t="str">
        <f t="shared" si="416"/>
        <v/>
      </c>
      <c r="X4459" s="64">
        <f t="shared" si="417"/>
        <v>0</v>
      </c>
      <c r="Y4459" s="53">
        <f t="shared" si="418"/>
        <v>0</v>
      </c>
      <c r="Z4459" s="64">
        <f t="shared" si="419"/>
        <v>0</v>
      </c>
    </row>
    <row r="4460" spans="1:26">
      <c r="A4460" s="89" t="str">
        <f t="shared" si="414"/>
        <v/>
      </c>
      <c r="B4460" s="89" t="str">
        <f t="shared" si="415"/>
        <v/>
      </c>
      <c r="S4460" s="89" t="str">
        <f t="shared" si="416"/>
        <v/>
      </c>
      <c r="X4460" s="64">
        <f t="shared" si="417"/>
        <v>0</v>
      </c>
      <c r="Y4460" s="53">
        <f t="shared" si="418"/>
        <v>0</v>
      </c>
      <c r="Z4460" s="64">
        <f t="shared" si="419"/>
        <v>0</v>
      </c>
    </row>
    <row r="4461" spans="1:26">
      <c r="A4461" s="89" t="str">
        <f t="shared" si="414"/>
        <v/>
      </c>
      <c r="B4461" s="89" t="str">
        <f t="shared" si="415"/>
        <v/>
      </c>
      <c r="S4461" s="89" t="str">
        <f t="shared" si="416"/>
        <v/>
      </c>
      <c r="X4461" s="64">
        <f t="shared" si="417"/>
        <v>0</v>
      </c>
      <c r="Y4461" s="53">
        <f t="shared" si="418"/>
        <v>0</v>
      </c>
      <c r="Z4461" s="64">
        <f t="shared" si="419"/>
        <v>0</v>
      </c>
    </row>
    <row r="4462" spans="1:26">
      <c r="A4462" s="89" t="str">
        <f t="shared" si="414"/>
        <v/>
      </c>
      <c r="B4462" s="89" t="str">
        <f t="shared" si="415"/>
        <v/>
      </c>
      <c r="S4462" s="89" t="str">
        <f t="shared" si="416"/>
        <v/>
      </c>
      <c r="X4462" s="64">
        <f t="shared" si="417"/>
        <v>0</v>
      </c>
      <c r="Y4462" s="53">
        <f t="shared" si="418"/>
        <v>0</v>
      </c>
      <c r="Z4462" s="64">
        <f t="shared" si="419"/>
        <v>0</v>
      </c>
    </row>
    <row r="4463" spans="1:26">
      <c r="A4463" s="89" t="str">
        <f t="shared" si="414"/>
        <v/>
      </c>
      <c r="B4463" s="89" t="str">
        <f t="shared" si="415"/>
        <v/>
      </c>
      <c r="S4463" s="89" t="str">
        <f t="shared" si="416"/>
        <v/>
      </c>
      <c r="X4463" s="64">
        <f t="shared" si="417"/>
        <v>0</v>
      </c>
      <c r="Y4463" s="53">
        <f t="shared" si="418"/>
        <v>0</v>
      </c>
      <c r="Z4463" s="64">
        <f t="shared" si="419"/>
        <v>0</v>
      </c>
    </row>
    <row r="4464" spans="1:26">
      <c r="A4464" s="89" t="str">
        <f t="shared" si="414"/>
        <v/>
      </c>
      <c r="B4464" s="89" t="str">
        <f t="shared" si="415"/>
        <v/>
      </c>
      <c r="S4464" s="89" t="str">
        <f t="shared" si="416"/>
        <v/>
      </c>
      <c r="X4464" s="64">
        <f t="shared" si="417"/>
        <v>0</v>
      </c>
      <c r="Y4464" s="53">
        <f t="shared" si="418"/>
        <v>0</v>
      </c>
      <c r="Z4464" s="64">
        <f t="shared" si="419"/>
        <v>0</v>
      </c>
    </row>
    <row r="4465" spans="1:26">
      <c r="A4465" s="89" t="str">
        <f t="shared" si="414"/>
        <v/>
      </c>
      <c r="B4465" s="89" t="str">
        <f t="shared" si="415"/>
        <v/>
      </c>
      <c r="S4465" s="89" t="str">
        <f t="shared" si="416"/>
        <v/>
      </c>
      <c r="X4465" s="64">
        <f t="shared" si="417"/>
        <v>0</v>
      </c>
      <c r="Y4465" s="53">
        <f t="shared" si="418"/>
        <v>0</v>
      </c>
      <c r="Z4465" s="64">
        <f t="shared" si="419"/>
        <v>0</v>
      </c>
    </row>
    <row r="4466" spans="1:26">
      <c r="A4466" s="89" t="str">
        <f t="shared" si="414"/>
        <v/>
      </c>
      <c r="B4466" s="89" t="str">
        <f t="shared" si="415"/>
        <v/>
      </c>
      <c r="S4466" s="89" t="str">
        <f t="shared" si="416"/>
        <v/>
      </c>
      <c r="X4466" s="64">
        <f t="shared" si="417"/>
        <v>0</v>
      </c>
      <c r="Y4466" s="53">
        <f t="shared" si="418"/>
        <v>0</v>
      </c>
      <c r="Z4466" s="64">
        <f t="shared" si="419"/>
        <v>0</v>
      </c>
    </row>
    <row r="4467" spans="1:26">
      <c r="A4467" s="89" t="str">
        <f t="shared" si="414"/>
        <v/>
      </c>
      <c r="B4467" s="89" t="str">
        <f t="shared" si="415"/>
        <v/>
      </c>
      <c r="S4467" s="89" t="str">
        <f t="shared" si="416"/>
        <v/>
      </c>
      <c r="X4467" s="64">
        <f t="shared" si="417"/>
        <v>0</v>
      </c>
      <c r="Y4467" s="53">
        <f t="shared" si="418"/>
        <v>0</v>
      </c>
      <c r="Z4467" s="64">
        <f t="shared" si="419"/>
        <v>0</v>
      </c>
    </row>
    <row r="4468" spans="1:26">
      <c r="A4468" s="89" t="str">
        <f t="shared" si="414"/>
        <v/>
      </c>
      <c r="B4468" s="89" t="str">
        <f t="shared" si="415"/>
        <v/>
      </c>
      <c r="S4468" s="89" t="str">
        <f t="shared" si="416"/>
        <v/>
      </c>
      <c r="X4468" s="64">
        <f t="shared" si="417"/>
        <v>0</v>
      </c>
      <c r="Y4468" s="53">
        <f t="shared" si="418"/>
        <v>0</v>
      </c>
      <c r="Z4468" s="64">
        <f t="shared" si="419"/>
        <v>0</v>
      </c>
    </row>
    <row r="4469" spans="1:26">
      <c r="A4469" s="89" t="str">
        <f t="shared" si="414"/>
        <v/>
      </c>
      <c r="B4469" s="89" t="str">
        <f t="shared" si="415"/>
        <v/>
      </c>
      <c r="S4469" s="89" t="str">
        <f t="shared" si="416"/>
        <v/>
      </c>
      <c r="X4469" s="64">
        <f t="shared" si="417"/>
        <v>0</v>
      </c>
      <c r="Y4469" s="53">
        <f t="shared" si="418"/>
        <v>0</v>
      </c>
      <c r="Z4469" s="64">
        <f t="shared" si="419"/>
        <v>0</v>
      </c>
    </row>
    <row r="4470" spans="1:26">
      <c r="A4470" s="89" t="str">
        <f t="shared" si="414"/>
        <v/>
      </c>
      <c r="B4470" s="89" t="str">
        <f t="shared" si="415"/>
        <v/>
      </c>
      <c r="S4470" s="89" t="str">
        <f t="shared" si="416"/>
        <v/>
      </c>
      <c r="X4470" s="64">
        <f t="shared" si="417"/>
        <v>0</v>
      </c>
      <c r="Y4470" s="53">
        <f t="shared" si="418"/>
        <v>0</v>
      </c>
      <c r="Z4470" s="64">
        <f t="shared" si="419"/>
        <v>0</v>
      </c>
    </row>
    <row r="4471" spans="1:26">
      <c r="A4471" s="89" t="str">
        <f t="shared" si="414"/>
        <v/>
      </c>
      <c r="B4471" s="89" t="str">
        <f t="shared" si="415"/>
        <v/>
      </c>
      <c r="S4471" s="89" t="str">
        <f t="shared" si="416"/>
        <v/>
      </c>
      <c r="X4471" s="64">
        <f t="shared" si="417"/>
        <v>0</v>
      </c>
      <c r="Y4471" s="53">
        <f t="shared" si="418"/>
        <v>0</v>
      </c>
      <c r="Z4471" s="64">
        <f t="shared" si="419"/>
        <v>0</v>
      </c>
    </row>
    <row r="4472" spans="1:26">
      <c r="A4472" s="89" t="str">
        <f t="shared" si="414"/>
        <v/>
      </c>
      <c r="B4472" s="89" t="str">
        <f t="shared" si="415"/>
        <v/>
      </c>
      <c r="S4472" s="89" t="str">
        <f t="shared" si="416"/>
        <v/>
      </c>
      <c r="X4472" s="64">
        <f t="shared" si="417"/>
        <v>0</v>
      </c>
      <c r="Y4472" s="53">
        <f t="shared" si="418"/>
        <v>0</v>
      </c>
      <c r="Z4472" s="64">
        <f t="shared" si="419"/>
        <v>0</v>
      </c>
    </row>
    <row r="4473" spans="1:26">
      <c r="A4473" s="89" t="str">
        <f t="shared" si="414"/>
        <v/>
      </c>
      <c r="B4473" s="89" t="str">
        <f t="shared" si="415"/>
        <v/>
      </c>
      <c r="S4473" s="89" t="str">
        <f t="shared" si="416"/>
        <v/>
      </c>
      <c r="X4473" s="64">
        <f t="shared" si="417"/>
        <v>0</v>
      </c>
      <c r="Y4473" s="53">
        <f t="shared" si="418"/>
        <v>0</v>
      </c>
      <c r="Z4473" s="64">
        <f t="shared" si="419"/>
        <v>0</v>
      </c>
    </row>
    <row r="4474" spans="1:26">
      <c r="A4474" s="89" t="str">
        <f t="shared" si="414"/>
        <v/>
      </c>
      <c r="B4474" s="89" t="str">
        <f t="shared" si="415"/>
        <v/>
      </c>
      <c r="S4474" s="89" t="str">
        <f t="shared" si="416"/>
        <v/>
      </c>
      <c r="X4474" s="64">
        <f t="shared" si="417"/>
        <v>0</v>
      </c>
      <c r="Y4474" s="53">
        <f t="shared" si="418"/>
        <v>0</v>
      </c>
      <c r="Z4474" s="64">
        <f t="shared" si="419"/>
        <v>0</v>
      </c>
    </row>
    <row r="4475" spans="1:26">
      <c r="A4475" s="89" t="str">
        <f t="shared" si="414"/>
        <v/>
      </c>
      <c r="B4475" s="89" t="str">
        <f t="shared" si="415"/>
        <v/>
      </c>
      <c r="S4475" s="89" t="str">
        <f t="shared" si="416"/>
        <v/>
      </c>
      <c r="X4475" s="64">
        <f t="shared" si="417"/>
        <v>0</v>
      </c>
      <c r="Y4475" s="53">
        <f t="shared" si="418"/>
        <v>0</v>
      </c>
      <c r="Z4475" s="64">
        <f t="shared" si="419"/>
        <v>0</v>
      </c>
    </row>
    <row r="4476" spans="1:26">
      <c r="A4476" s="89" t="str">
        <f t="shared" si="414"/>
        <v/>
      </c>
      <c r="B4476" s="89" t="str">
        <f t="shared" si="415"/>
        <v/>
      </c>
      <c r="S4476" s="89" t="str">
        <f t="shared" si="416"/>
        <v/>
      </c>
      <c r="X4476" s="64">
        <f t="shared" si="417"/>
        <v>0</v>
      </c>
      <c r="Y4476" s="53">
        <f t="shared" si="418"/>
        <v>0</v>
      </c>
      <c r="Z4476" s="64">
        <f t="shared" si="419"/>
        <v>0</v>
      </c>
    </row>
    <row r="4477" spans="1:26">
      <c r="A4477" s="89" t="str">
        <f t="shared" si="414"/>
        <v/>
      </c>
      <c r="B4477" s="89" t="str">
        <f t="shared" si="415"/>
        <v/>
      </c>
      <c r="S4477" s="89" t="str">
        <f t="shared" si="416"/>
        <v/>
      </c>
      <c r="X4477" s="64">
        <f t="shared" si="417"/>
        <v>0</v>
      </c>
      <c r="Y4477" s="53">
        <f t="shared" si="418"/>
        <v>0</v>
      </c>
      <c r="Z4477" s="64">
        <f t="shared" si="419"/>
        <v>0</v>
      </c>
    </row>
    <row r="4478" spans="1:26">
      <c r="A4478" s="89" t="str">
        <f t="shared" si="414"/>
        <v/>
      </c>
      <c r="B4478" s="89" t="str">
        <f t="shared" si="415"/>
        <v/>
      </c>
      <c r="S4478" s="89" t="str">
        <f t="shared" si="416"/>
        <v/>
      </c>
      <c r="X4478" s="64">
        <f t="shared" si="417"/>
        <v>0</v>
      </c>
      <c r="Y4478" s="53">
        <f t="shared" si="418"/>
        <v>0</v>
      </c>
      <c r="Z4478" s="64">
        <f t="shared" si="419"/>
        <v>0</v>
      </c>
    </row>
    <row r="4479" spans="1:26">
      <c r="A4479" s="89" t="str">
        <f t="shared" si="414"/>
        <v/>
      </c>
      <c r="B4479" s="89" t="str">
        <f t="shared" si="415"/>
        <v/>
      </c>
      <c r="S4479" s="89" t="str">
        <f t="shared" si="416"/>
        <v/>
      </c>
      <c r="X4479" s="64">
        <f t="shared" si="417"/>
        <v>0</v>
      </c>
      <c r="Y4479" s="53">
        <f t="shared" si="418"/>
        <v>0</v>
      </c>
      <c r="Z4479" s="64">
        <f t="shared" si="419"/>
        <v>0</v>
      </c>
    </row>
    <row r="4480" spans="1:26">
      <c r="A4480" s="89" t="str">
        <f t="shared" si="414"/>
        <v/>
      </c>
      <c r="B4480" s="89" t="str">
        <f t="shared" si="415"/>
        <v/>
      </c>
      <c r="S4480" s="89" t="str">
        <f t="shared" si="416"/>
        <v/>
      </c>
      <c r="X4480" s="64">
        <f t="shared" si="417"/>
        <v>0</v>
      </c>
      <c r="Y4480" s="53">
        <f t="shared" si="418"/>
        <v>0</v>
      </c>
      <c r="Z4480" s="64">
        <f t="shared" si="419"/>
        <v>0</v>
      </c>
    </row>
    <row r="4481" spans="1:26">
      <c r="A4481" s="89" t="str">
        <f t="shared" si="414"/>
        <v/>
      </c>
      <c r="B4481" s="89" t="str">
        <f t="shared" si="415"/>
        <v/>
      </c>
      <c r="S4481" s="89" t="str">
        <f t="shared" si="416"/>
        <v/>
      </c>
      <c r="X4481" s="64">
        <f t="shared" si="417"/>
        <v>0</v>
      </c>
      <c r="Y4481" s="53">
        <f t="shared" si="418"/>
        <v>0</v>
      </c>
      <c r="Z4481" s="64">
        <f t="shared" si="419"/>
        <v>0</v>
      </c>
    </row>
    <row r="4482" spans="1:26">
      <c r="A4482" s="89" t="str">
        <f t="shared" si="414"/>
        <v/>
      </c>
      <c r="B4482" s="89" t="str">
        <f t="shared" si="415"/>
        <v/>
      </c>
      <c r="S4482" s="89" t="str">
        <f t="shared" si="416"/>
        <v/>
      </c>
      <c r="X4482" s="64">
        <f t="shared" si="417"/>
        <v>0</v>
      </c>
      <c r="Y4482" s="53">
        <f t="shared" si="418"/>
        <v>0</v>
      </c>
      <c r="Z4482" s="64">
        <f t="shared" si="419"/>
        <v>0</v>
      </c>
    </row>
    <row r="4483" spans="1:26">
      <c r="A4483" s="89" t="str">
        <f t="shared" ref="A4483:A4546" si="420">IF(G4483&amp;Q4483&lt;&gt;"",G4483&amp;Q4483,"")</f>
        <v/>
      </c>
      <c r="B4483" s="89" t="str">
        <f t="shared" ref="B4483:B4546" si="421">IF(C4483&lt;&gt;"",LEFT(C4483,9),"")</f>
        <v/>
      </c>
      <c r="S4483" s="89" t="str">
        <f t="shared" ref="S4483:S4546" si="422">IF(H4483&lt;&gt;"",H4483,"")</f>
        <v/>
      </c>
      <c r="X4483" s="64">
        <f t="shared" ref="X4483:X4546" si="423">IFERROR(VALUE(MID($C4483,1,2)),0)</f>
        <v>0</v>
      </c>
      <c r="Y4483" s="53">
        <f t="shared" ref="Y4483:Y4546" si="424">IFERROR(VALUE(MID($C4483,4,3)),0)</f>
        <v>0</v>
      </c>
      <c r="Z4483" s="64">
        <f t="shared" ref="Z4483:Z4546" si="425">VALUE(RIGHT("00"&amp;X4483,2)&amp;RIGHT("000"&amp;Y4483,3))</f>
        <v>0</v>
      </c>
    </row>
    <row r="4484" spans="1:26">
      <c r="A4484" s="89" t="str">
        <f t="shared" si="420"/>
        <v/>
      </c>
      <c r="B4484" s="89" t="str">
        <f t="shared" si="421"/>
        <v/>
      </c>
      <c r="S4484" s="89" t="str">
        <f t="shared" si="422"/>
        <v/>
      </c>
      <c r="X4484" s="64">
        <f t="shared" si="423"/>
        <v>0</v>
      </c>
      <c r="Y4484" s="53">
        <f t="shared" si="424"/>
        <v>0</v>
      </c>
      <c r="Z4484" s="64">
        <f t="shared" si="425"/>
        <v>0</v>
      </c>
    </row>
    <row r="4485" spans="1:26">
      <c r="A4485" s="89" t="str">
        <f t="shared" si="420"/>
        <v/>
      </c>
      <c r="B4485" s="89" t="str">
        <f t="shared" si="421"/>
        <v/>
      </c>
      <c r="S4485" s="89" t="str">
        <f t="shared" si="422"/>
        <v/>
      </c>
      <c r="X4485" s="64">
        <f t="shared" si="423"/>
        <v>0</v>
      </c>
      <c r="Y4485" s="53">
        <f t="shared" si="424"/>
        <v>0</v>
      </c>
      <c r="Z4485" s="64">
        <f t="shared" si="425"/>
        <v>0</v>
      </c>
    </row>
    <row r="4486" spans="1:26">
      <c r="A4486" s="89" t="str">
        <f t="shared" si="420"/>
        <v/>
      </c>
      <c r="B4486" s="89" t="str">
        <f t="shared" si="421"/>
        <v/>
      </c>
      <c r="S4486" s="89" t="str">
        <f t="shared" si="422"/>
        <v/>
      </c>
      <c r="X4486" s="64">
        <f t="shared" si="423"/>
        <v>0</v>
      </c>
      <c r="Y4486" s="53">
        <f t="shared" si="424"/>
        <v>0</v>
      </c>
      <c r="Z4486" s="64">
        <f t="shared" si="425"/>
        <v>0</v>
      </c>
    </row>
    <row r="4487" spans="1:26">
      <c r="A4487" s="89" t="str">
        <f t="shared" si="420"/>
        <v/>
      </c>
      <c r="B4487" s="89" t="str">
        <f t="shared" si="421"/>
        <v/>
      </c>
      <c r="S4487" s="89" t="str">
        <f t="shared" si="422"/>
        <v/>
      </c>
      <c r="X4487" s="64">
        <f t="shared" si="423"/>
        <v>0</v>
      </c>
      <c r="Y4487" s="53">
        <f t="shared" si="424"/>
        <v>0</v>
      </c>
      <c r="Z4487" s="64">
        <f t="shared" si="425"/>
        <v>0</v>
      </c>
    </row>
    <row r="4488" spans="1:26">
      <c r="A4488" s="89" t="str">
        <f t="shared" si="420"/>
        <v/>
      </c>
      <c r="B4488" s="89" t="str">
        <f t="shared" si="421"/>
        <v/>
      </c>
      <c r="S4488" s="89" t="str">
        <f t="shared" si="422"/>
        <v/>
      </c>
      <c r="X4488" s="64">
        <f t="shared" si="423"/>
        <v>0</v>
      </c>
      <c r="Y4488" s="53">
        <f t="shared" si="424"/>
        <v>0</v>
      </c>
      <c r="Z4488" s="64">
        <f t="shared" si="425"/>
        <v>0</v>
      </c>
    </row>
    <row r="4489" spans="1:26">
      <c r="A4489" s="89" t="str">
        <f t="shared" si="420"/>
        <v/>
      </c>
      <c r="B4489" s="89" t="str">
        <f t="shared" si="421"/>
        <v/>
      </c>
      <c r="S4489" s="89" t="str">
        <f t="shared" si="422"/>
        <v/>
      </c>
      <c r="X4489" s="64">
        <f t="shared" si="423"/>
        <v>0</v>
      </c>
      <c r="Y4489" s="53">
        <f t="shared" si="424"/>
        <v>0</v>
      </c>
      <c r="Z4489" s="64">
        <f t="shared" si="425"/>
        <v>0</v>
      </c>
    </row>
    <row r="4490" spans="1:26">
      <c r="A4490" s="89" t="str">
        <f t="shared" si="420"/>
        <v/>
      </c>
      <c r="B4490" s="89" t="str">
        <f t="shared" si="421"/>
        <v/>
      </c>
      <c r="S4490" s="89" t="str">
        <f t="shared" si="422"/>
        <v/>
      </c>
      <c r="X4490" s="64">
        <f t="shared" si="423"/>
        <v>0</v>
      </c>
      <c r="Y4490" s="53">
        <f t="shared" si="424"/>
        <v>0</v>
      </c>
      <c r="Z4490" s="64">
        <f t="shared" si="425"/>
        <v>0</v>
      </c>
    </row>
    <row r="4491" spans="1:26">
      <c r="A4491" s="89" t="str">
        <f t="shared" si="420"/>
        <v/>
      </c>
      <c r="B4491" s="89" t="str">
        <f t="shared" si="421"/>
        <v/>
      </c>
      <c r="S4491" s="89" t="str">
        <f t="shared" si="422"/>
        <v/>
      </c>
      <c r="X4491" s="64">
        <f t="shared" si="423"/>
        <v>0</v>
      </c>
      <c r="Y4491" s="53">
        <f t="shared" si="424"/>
        <v>0</v>
      </c>
      <c r="Z4491" s="64">
        <f t="shared" si="425"/>
        <v>0</v>
      </c>
    </row>
    <row r="4492" spans="1:26">
      <c r="A4492" s="89" t="str">
        <f t="shared" si="420"/>
        <v/>
      </c>
      <c r="B4492" s="89" t="str">
        <f t="shared" si="421"/>
        <v/>
      </c>
      <c r="S4492" s="89" t="str">
        <f t="shared" si="422"/>
        <v/>
      </c>
      <c r="X4492" s="64">
        <f t="shared" si="423"/>
        <v>0</v>
      </c>
      <c r="Y4492" s="53">
        <f t="shared" si="424"/>
        <v>0</v>
      </c>
      <c r="Z4492" s="64">
        <f t="shared" si="425"/>
        <v>0</v>
      </c>
    </row>
    <row r="4493" spans="1:26">
      <c r="A4493" s="89" t="str">
        <f t="shared" si="420"/>
        <v/>
      </c>
      <c r="B4493" s="89" t="str">
        <f t="shared" si="421"/>
        <v/>
      </c>
      <c r="S4493" s="89" t="str">
        <f t="shared" si="422"/>
        <v/>
      </c>
      <c r="X4493" s="64">
        <f t="shared" si="423"/>
        <v>0</v>
      </c>
      <c r="Y4493" s="53">
        <f t="shared" si="424"/>
        <v>0</v>
      </c>
      <c r="Z4493" s="64">
        <f t="shared" si="425"/>
        <v>0</v>
      </c>
    </row>
    <row r="4494" spans="1:26">
      <c r="A4494" s="89" t="str">
        <f t="shared" si="420"/>
        <v/>
      </c>
      <c r="B4494" s="89" t="str">
        <f t="shared" si="421"/>
        <v/>
      </c>
      <c r="S4494" s="89" t="str">
        <f t="shared" si="422"/>
        <v/>
      </c>
      <c r="X4494" s="64">
        <f t="shared" si="423"/>
        <v>0</v>
      </c>
      <c r="Y4494" s="53">
        <f t="shared" si="424"/>
        <v>0</v>
      </c>
      <c r="Z4494" s="64">
        <f t="shared" si="425"/>
        <v>0</v>
      </c>
    </row>
    <row r="4495" spans="1:26">
      <c r="A4495" s="89" t="str">
        <f t="shared" si="420"/>
        <v/>
      </c>
      <c r="B4495" s="89" t="str">
        <f t="shared" si="421"/>
        <v/>
      </c>
      <c r="S4495" s="89" t="str">
        <f t="shared" si="422"/>
        <v/>
      </c>
      <c r="X4495" s="64">
        <f t="shared" si="423"/>
        <v>0</v>
      </c>
      <c r="Y4495" s="53">
        <f t="shared" si="424"/>
        <v>0</v>
      </c>
      <c r="Z4495" s="64">
        <f t="shared" si="425"/>
        <v>0</v>
      </c>
    </row>
    <row r="4496" spans="1:26">
      <c r="A4496" s="89" t="str">
        <f t="shared" si="420"/>
        <v/>
      </c>
      <c r="B4496" s="89" t="str">
        <f t="shared" si="421"/>
        <v/>
      </c>
      <c r="S4496" s="89" t="str">
        <f t="shared" si="422"/>
        <v/>
      </c>
      <c r="X4496" s="64">
        <f t="shared" si="423"/>
        <v>0</v>
      </c>
      <c r="Y4496" s="53">
        <f t="shared" si="424"/>
        <v>0</v>
      </c>
      <c r="Z4496" s="64">
        <f t="shared" si="425"/>
        <v>0</v>
      </c>
    </row>
    <row r="4497" spans="1:26">
      <c r="A4497" s="89" t="str">
        <f t="shared" si="420"/>
        <v/>
      </c>
      <c r="B4497" s="89" t="str">
        <f t="shared" si="421"/>
        <v/>
      </c>
      <c r="S4497" s="89" t="str">
        <f t="shared" si="422"/>
        <v/>
      </c>
      <c r="X4497" s="64">
        <f t="shared" si="423"/>
        <v>0</v>
      </c>
      <c r="Y4497" s="53">
        <f t="shared" si="424"/>
        <v>0</v>
      </c>
      <c r="Z4497" s="64">
        <f t="shared" si="425"/>
        <v>0</v>
      </c>
    </row>
    <row r="4498" spans="1:26">
      <c r="A4498" s="89" t="str">
        <f t="shared" si="420"/>
        <v/>
      </c>
      <c r="B4498" s="89" t="str">
        <f t="shared" si="421"/>
        <v/>
      </c>
      <c r="S4498" s="89" t="str">
        <f t="shared" si="422"/>
        <v/>
      </c>
      <c r="X4498" s="64">
        <f t="shared" si="423"/>
        <v>0</v>
      </c>
      <c r="Y4498" s="53">
        <f t="shared" si="424"/>
        <v>0</v>
      </c>
      <c r="Z4498" s="64">
        <f t="shared" si="425"/>
        <v>0</v>
      </c>
    </row>
    <row r="4499" spans="1:26">
      <c r="A4499" s="89" t="str">
        <f t="shared" si="420"/>
        <v/>
      </c>
      <c r="B4499" s="89" t="str">
        <f t="shared" si="421"/>
        <v/>
      </c>
      <c r="S4499" s="89" t="str">
        <f t="shared" si="422"/>
        <v/>
      </c>
      <c r="X4499" s="64">
        <f t="shared" si="423"/>
        <v>0</v>
      </c>
      <c r="Y4499" s="53">
        <f t="shared" si="424"/>
        <v>0</v>
      </c>
      <c r="Z4499" s="64">
        <f t="shared" si="425"/>
        <v>0</v>
      </c>
    </row>
    <row r="4500" spans="1:26">
      <c r="A4500" s="89" t="str">
        <f t="shared" si="420"/>
        <v/>
      </c>
      <c r="B4500" s="89" t="str">
        <f t="shared" si="421"/>
        <v/>
      </c>
      <c r="S4500" s="89" t="str">
        <f t="shared" si="422"/>
        <v/>
      </c>
      <c r="X4500" s="64">
        <f t="shared" si="423"/>
        <v>0</v>
      </c>
      <c r="Y4500" s="53">
        <f t="shared" si="424"/>
        <v>0</v>
      </c>
      <c r="Z4500" s="64">
        <f t="shared" si="425"/>
        <v>0</v>
      </c>
    </row>
    <row r="4501" spans="1:26">
      <c r="A4501" s="89" t="str">
        <f t="shared" si="420"/>
        <v/>
      </c>
      <c r="B4501" s="89" t="str">
        <f t="shared" si="421"/>
        <v/>
      </c>
      <c r="S4501" s="89" t="str">
        <f t="shared" si="422"/>
        <v/>
      </c>
      <c r="X4501" s="64">
        <f t="shared" si="423"/>
        <v>0</v>
      </c>
      <c r="Y4501" s="53">
        <f t="shared" si="424"/>
        <v>0</v>
      </c>
      <c r="Z4501" s="64">
        <f t="shared" si="425"/>
        <v>0</v>
      </c>
    </row>
    <row r="4502" spans="1:26">
      <c r="A4502" s="89" t="str">
        <f t="shared" si="420"/>
        <v/>
      </c>
      <c r="B4502" s="89" t="str">
        <f t="shared" si="421"/>
        <v/>
      </c>
      <c r="S4502" s="89" t="str">
        <f t="shared" si="422"/>
        <v/>
      </c>
      <c r="X4502" s="64">
        <f t="shared" si="423"/>
        <v>0</v>
      </c>
      <c r="Y4502" s="53">
        <f t="shared" si="424"/>
        <v>0</v>
      </c>
      <c r="Z4502" s="64">
        <f t="shared" si="425"/>
        <v>0</v>
      </c>
    </row>
    <row r="4503" spans="1:26">
      <c r="A4503" s="89" t="str">
        <f t="shared" si="420"/>
        <v/>
      </c>
      <c r="B4503" s="89" t="str">
        <f t="shared" si="421"/>
        <v/>
      </c>
      <c r="S4503" s="89" t="str">
        <f t="shared" si="422"/>
        <v/>
      </c>
      <c r="X4503" s="64">
        <f t="shared" si="423"/>
        <v>0</v>
      </c>
      <c r="Y4503" s="53">
        <f t="shared" si="424"/>
        <v>0</v>
      </c>
      <c r="Z4503" s="64">
        <f t="shared" si="425"/>
        <v>0</v>
      </c>
    </row>
    <row r="4504" spans="1:26">
      <c r="A4504" s="89" t="str">
        <f t="shared" si="420"/>
        <v/>
      </c>
      <c r="B4504" s="89" t="str">
        <f t="shared" si="421"/>
        <v/>
      </c>
      <c r="S4504" s="89" t="str">
        <f t="shared" si="422"/>
        <v/>
      </c>
      <c r="X4504" s="64">
        <f t="shared" si="423"/>
        <v>0</v>
      </c>
      <c r="Y4504" s="53">
        <f t="shared" si="424"/>
        <v>0</v>
      </c>
      <c r="Z4504" s="64">
        <f t="shared" si="425"/>
        <v>0</v>
      </c>
    </row>
    <row r="4505" spans="1:26">
      <c r="A4505" s="89" t="str">
        <f t="shared" si="420"/>
        <v/>
      </c>
      <c r="B4505" s="89" t="str">
        <f t="shared" si="421"/>
        <v/>
      </c>
      <c r="S4505" s="89" t="str">
        <f t="shared" si="422"/>
        <v/>
      </c>
      <c r="X4505" s="64">
        <f t="shared" si="423"/>
        <v>0</v>
      </c>
      <c r="Y4505" s="53">
        <f t="shared" si="424"/>
        <v>0</v>
      </c>
      <c r="Z4505" s="64">
        <f t="shared" si="425"/>
        <v>0</v>
      </c>
    </row>
    <row r="4506" spans="1:26">
      <c r="A4506" s="89" t="str">
        <f t="shared" si="420"/>
        <v/>
      </c>
      <c r="B4506" s="89" t="str">
        <f t="shared" si="421"/>
        <v/>
      </c>
      <c r="S4506" s="89" t="str">
        <f t="shared" si="422"/>
        <v/>
      </c>
      <c r="X4506" s="64">
        <f t="shared" si="423"/>
        <v>0</v>
      </c>
      <c r="Y4506" s="53">
        <f t="shared" si="424"/>
        <v>0</v>
      </c>
      <c r="Z4506" s="64">
        <f t="shared" si="425"/>
        <v>0</v>
      </c>
    </row>
    <row r="4507" spans="1:26">
      <c r="A4507" s="89" t="str">
        <f t="shared" si="420"/>
        <v/>
      </c>
      <c r="B4507" s="89" t="str">
        <f t="shared" si="421"/>
        <v/>
      </c>
      <c r="S4507" s="89" t="str">
        <f t="shared" si="422"/>
        <v/>
      </c>
      <c r="X4507" s="64">
        <f t="shared" si="423"/>
        <v>0</v>
      </c>
      <c r="Y4507" s="53">
        <f t="shared" si="424"/>
        <v>0</v>
      </c>
      <c r="Z4507" s="64">
        <f t="shared" si="425"/>
        <v>0</v>
      </c>
    </row>
    <row r="4508" spans="1:26">
      <c r="A4508" s="89" t="str">
        <f t="shared" si="420"/>
        <v/>
      </c>
      <c r="B4508" s="89" t="str">
        <f t="shared" si="421"/>
        <v/>
      </c>
      <c r="S4508" s="89" t="str">
        <f t="shared" si="422"/>
        <v/>
      </c>
      <c r="X4508" s="64">
        <f t="shared" si="423"/>
        <v>0</v>
      </c>
      <c r="Y4508" s="53">
        <f t="shared" si="424"/>
        <v>0</v>
      </c>
      <c r="Z4508" s="64">
        <f t="shared" si="425"/>
        <v>0</v>
      </c>
    </row>
    <row r="4509" spans="1:26">
      <c r="A4509" s="89" t="str">
        <f t="shared" si="420"/>
        <v/>
      </c>
      <c r="B4509" s="89" t="str">
        <f t="shared" si="421"/>
        <v/>
      </c>
      <c r="S4509" s="89" t="str">
        <f t="shared" si="422"/>
        <v/>
      </c>
      <c r="X4509" s="64">
        <f t="shared" si="423"/>
        <v>0</v>
      </c>
      <c r="Y4509" s="53">
        <f t="shared" si="424"/>
        <v>0</v>
      </c>
      <c r="Z4509" s="64">
        <f t="shared" si="425"/>
        <v>0</v>
      </c>
    </row>
    <row r="4510" spans="1:26">
      <c r="A4510" s="89" t="str">
        <f t="shared" si="420"/>
        <v/>
      </c>
      <c r="B4510" s="89" t="str">
        <f t="shared" si="421"/>
        <v/>
      </c>
      <c r="S4510" s="89" t="str">
        <f t="shared" si="422"/>
        <v/>
      </c>
      <c r="X4510" s="64">
        <f t="shared" si="423"/>
        <v>0</v>
      </c>
      <c r="Y4510" s="53">
        <f t="shared" si="424"/>
        <v>0</v>
      </c>
      <c r="Z4510" s="64">
        <f t="shared" si="425"/>
        <v>0</v>
      </c>
    </row>
    <row r="4511" spans="1:26">
      <c r="A4511" s="89" t="str">
        <f t="shared" si="420"/>
        <v/>
      </c>
      <c r="B4511" s="89" t="str">
        <f t="shared" si="421"/>
        <v/>
      </c>
      <c r="S4511" s="89" t="str">
        <f t="shared" si="422"/>
        <v/>
      </c>
      <c r="X4511" s="64">
        <f t="shared" si="423"/>
        <v>0</v>
      </c>
      <c r="Y4511" s="53">
        <f t="shared" si="424"/>
        <v>0</v>
      </c>
      <c r="Z4511" s="64">
        <f t="shared" si="425"/>
        <v>0</v>
      </c>
    </row>
    <row r="4512" spans="1:26">
      <c r="A4512" s="89" t="str">
        <f t="shared" si="420"/>
        <v/>
      </c>
      <c r="B4512" s="89" t="str">
        <f t="shared" si="421"/>
        <v/>
      </c>
      <c r="S4512" s="89" t="str">
        <f t="shared" si="422"/>
        <v/>
      </c>
      <c r="X4512" s="64">
        <f t="shared" si="423"/>
        <v>0</v>
      </c>
      <c r="Y4512" s="53">
        <f t="shared" si="424"/>
        <v>0</v>
      </c>
      <c r="Z4512" s="64">
        <f t="shared" si="425"/>
        <v>0</v>
      </c>
    </row>
    <row r="4513" spans="1:26">
      <c r="A4513" s="89" t="str">
        <f t="shared" si="420"/>
        <v/>
      </c>
      <c r="B4513" s="89" t="str">
        <f t="shared" si="421"/>
        <v/>
      </c>
      <c r="S4513" s="89" t="str">
        <f t="shared" si="422"/>
        <v/>
      </c>
      <c r="X4513" s="64">
        <f t="shared" si="423"/>
        <v>0</v>
      </c>
      <c r="Y4513" s="53">
        <f t="shared" si="424"/>
        <v>0</v>
      </c>
      <c r="Z4513" s="64">
        <f t="shared" si="425"/>
        <v>0</v>
      </c>
    </row>
    <row r="4514" spans="1:26">
      <c r="A4514" s="89" t="str">
        <f t="shared" si="420"/>
        <v/>
      </c>
      <c r="B4514" s="89" t="str">
        <f t="shared" si="421"/>
        <v/>
      </c>
      <c r="S4514" s="89" t="str">
        <f t="shared" si="422"/>
        <v/>
      </c>
      <c r="X4514" s="64">
        <f t="shared" si="423"/>
        <v>0</v>
      </c>
      <c r="Y4514" s="53">
        <f t="shared" si="424"/>
        <v>0</v>
      </c>
      <c r="Z4514" s="64">
        <f t="shared" si="425"/>
        <v>0</v>
      </c>
    </row>
    <row r="4515" spans="1:26">
      <c r="A4515" s="89" t="str">
        <f t="shared" si="420"/>
        <v/>
      </c>
      <c r="B4515" s="89" t="str">
        <f t="shared" si="421"/>
        <v/>
      </c>
      <c r="S4515" s="89" t="str">
        <f t="shared" si="422"/>
        <v/>
      </c>
      <c r="X4515" s="64">
        <f t="shared" si="423"/>
        <v>0</v>
      </c>
      <c r="Y4515" s="53">
        <f t="shared" si="424"/>
        <v>0</v>
      </c>
      <c r="Z4515" s="64">
        <f t="shared" si="425"/>
        <v>0</v>
      </c>
    </row>
    <row r="4516" spans="1:26">
      <c r="A4516" s="89" t="str">
        <f t="shared" si="420"/>
        <v/>
      </c>
      <c r="B4516" s="89" t="str">
        <f t="shared" si="421"/>
        <v/>
      </c>
      <c r="S4516" s="89" t="str">
        <f t="shared" si="422"/>
        <v/>
      </c>
      <c r="X4516" s="64">
        <f t="shared" si="423"/>
        <v>0</v>
      </c>
      <c r="Y4516" s="53">
        <f t="shared" si="424"/>
        <v>0</v>
      </c>
      <c r="Z4516" s="64">
        <f t="shared" si="425"/>
        <v>0</v>
      </c>
    </row>
    <row r="4517" spans="1:26">
      <c r="A4517" s="89" t="str">
        <f t="shared" si="420"/>
        <v/>
      </c>
      <c r="B4517" s="89" t="str">
        <f t="shared" si="421"/>
        <v/>
      </c>
      <c r="S4517" s="89" t="str">
        <f t="shared" si="422"/>
        <v/>
      </c>
      <c r="X4517" s="64">
        <f t="shared" si="423"/>
        <v>0</v>
      </c>
      <c r="Y4517" s="53">
        <f t="shared" si="424"/>
        <v>0</v>
      </c>
      <c r="Z4517" s="64">
        <f t="shared" si="425"/>
        <v>0</v>
      </c>
    </row>
    <row r="4518" spans="1:26">
      <c r="A4518" s="89" t="str">
        <f t="shared" si="420"/>
        <v/>
      </c>
      <c r="B4518" s="89" t="str">
        <f t="shared" si="421"/>
        <v/>
      </c>
      <c r="S4518" s="89" t="str">
        <f t="shared" si="422"/>
        <v/>
      </c>
      <c r="X4518" s="64">
        <f t="shared" si="423"/>
        <v>0</v>
      </c>
      <c r="Y4518" s="53">
        <f t="shared" si="424"/>
        <v>0</v>
      </c>
      <c r="Z4518" s="64">
        <f t="shared" si="425"/>
        <v>0</v>
      </c>
    </row>
    <row r="4519" spans="1:26">
      <c r="A4519" s="89" t="str">
        <f t="shared" si="420"/>
        <v/>
      </c>
      <c r="B4519" s="89" t="str">
        <f t="shared" si="421"/>
        <v/>
      </c>
      <c r="S4519" s="89" t="str">
        <f t="shared" si="422"/>
        <v/>
      </c>
      <c r="X4519" s="64">
        <f t="shared" si="423"/>
        <v>0</v>
      </c>
      <c r="Y4519" s="53">
        <f t="shared" si="424"/>
        <v>0</v>
      </c>
      <c r="Z4519" s="64">
        <f t="shared" si="425"/>
        <v>0</v>
      </c>
    </row>
    <row r="4520" spans="1:26">
      <c r="A4520" s="89" t="str">
        <f t="shared" si="420"/>
        <v/>
      </c>
      <c r="B4520" s="89" t="str">
        <f t="shared" si="421"/>
        <v/>
      </c>
      <c r="S4520" s="89" t="str">
        <f t="shared" si="422"/>
        <v/>
      </c>
      <c r="X4520" s="64">
        <f t="shared" si="423"/>
        <v>0</v>
      </c>
      <c r="Y4520" s="53">
        <f t="shared" si="424"/>
        <v>0</v>
      </c>
      <c r="Z4520" s="64">
        <f t="shared" si="425"/>
        <v>0</v>
      </c>
    </row>
    <row r="4521" spans="1:26">
      <c r="A4521" s="89" t="str">
        <f t="shared" si="420"/>
        <v/>
      </c>
      <c r="B4521" s="89" t="str">
        <f t="shared" si="421"/>
        <v/>
      </c>
      <c r="S4521" s="89" t="str">
        <f t="shared" si="422"/>
        <v/>
      </c>
      <c r="X4521" s="64">
        <f t="shared" si="423"/>
        <v>0</v>
      </c>
      <c r="Y4521" s="53">
        <f t="shared" si="424"/>
        <v>0</v>
      </c>
      <c r="Z4521" s="64">
        <f t="shared" si="425"/>
        <v>0</v>
      </c>
    </row>
    <row r="4522" spans="1:26">
      <c r="A4522" s="89" t="str">
        <f t="shared" si="420"/>
        <v/>
      </c>
      <c r="B4522" s="89" t="str">
        <f t="shared" si="421"/>
        <v/>
      </c>
      <c r="S4522" s="89" t="str">
        <f t="shared" si="422"/>
        <v/>
      </c>
      <c r="X4522" s="64">
        <f t="shared" si="423"/>
        <v>0</v>
      </c>
      <c r="Y4522" s="53">
        <f t="shared" si="424"/>
        <v>0</v>
      </c>
      <c r="Z4522" s="64">
        <f t="shared" si="425"/>
        <v>0</v>
      </c>
    </row>
    <row r="4523" spans="1:26">
      <c r="A4523" s="89" t="str">
        <f t="shared" si="420"/>
        <v/>
      </c>
      <c r="B4523" s="89" t="str">
        <f t="shared" si="421"/>
        <v/>
      </c>
      <c r="S4523" s="89" t="str">
        <f t="shared" si="422"/>
        <v/>
      </c>
      <c r="X4523" s="64">
        <f t="shared" si="423"/>
        <v>0</v>
      </c>
      <c r="Y4523" s="53">
        <f t="shared" si="424"/>
        <v>0</v>
      </c>
      <c r="Z4523" s="64">
        <f t="shared" si="425"/>
        <v>0</v>
      </c>
    </row>
    <row r="4524" spans="1:26">
      <c r="A4524" s="89" t="str">
        <f t="shared" si="420"/>
        <v/>
      </c>
      <c r="B4524" s="89" t="str">
        <f t="shared" si="421"/>
        <v/>
      </c>
      <c r="S4524" s="89" t="str">
        <f t="shared" si="422"/>
        <v/>
      </c>
      <c r="X4524" s="64">
        <f t="shared" si="423"/>
        <v>0</v>
      </c>
      <c r="Y4524" s="53">
        <f t="shared" si="424"/>
        <v>0</v>
      </c>
      <c r="Z4524" s="64">
        <f t="shared" si="425"/>
        <v>0</v>
      </c>
    </row>
    <row r="4525" spans="1:26">
      <c r="A4525" s="89" t="str">
        <f t="shared" si="420"/>
        <v/>
      </c>
      <c r="B4525" s="89" t="str">
        <f t="shared" si="421"/>
        <v/>
      </c>
      <c r="S4525" s="89" t="str">
        <f t="shared" si="422"/>
        <v/>
      </c>
      <c r="X4525" s="64">
        <f t="shared" si="423"/>
        <v>0</v>
      </c>
      <c r="Y4525" s="53">
        <f t="shared" si="424"/>
        <v>0</v>
      </c>
      <c r="Z4525" s="64">
        <f t="shared" si="425"/>
        <v>0</v>
      </c>
    </row>
    <row r="4526" spans="1:26">
      <c r="A4526" s="89" t="str">
        <f t="shared" si="420"/>
        <v/>
      </c>
      <c r="B4526" s="89" t="str">
        <f t="shared" si="421"/>
        <v/>
      </c>
      <c r="S4526" s="89" t="str">
        <f t="shared" si="422"/>
        <v/>
      </c>
      <c r="X4526" s="64">
        <f t="shared" si="423"/>
        <v>0</v>
      </c>
      <c r="Y4526" s="53">
        <f t="shared" si="424"/>
        <v>0</v>
      </c>
      <c r="Z4526" s="64">
        <f t="shared" si="425"/>
        <v>0</v>
      </c>
    </row>
    <row r="4527" spans="1:26">
      <c r="A4527" s="89" t="str">
        <f t="shared" si="420"/>
        <v/>
      </c>
      <c r="B4527" s="89" t="str">
        <f t="shared" si="421"/>
        <v/>
      </c>
      <c r="S4527" s="89" t="str">
        <f t="shared" si="422"/>
        <v/>
      </c>
      <c r="X4527" s="64">
        <f t="shared" si="423"/>
        <v>0</v>
      </c>
      <c r="Y4527" s="53">
        <f t="shared" si="424"/>
        <v>0</v>
      </c>
      <c r="Z4527" s="64">
        <f t="shared" si="425"/>
        <v>0</v>
      </c>
    </row>
    <row r="4528" spans="1:26">
      <c r="A4528" s="89" t="str">
        <f t="shared" si="420"/>
        <v/>
      </c>
      <c r="B4528" s="89" t="str">
        <f t="shared" si="421"/>
        <v/>
      </c>
      <c r="S4528" s="89" t="str">
        <f t="shared" si="422"/>
        <v/>
      </c>
      <c r="X4528" s="64">
        <f t="shared" si="423"/>
        <v>0</v>
      </c>
      <c r="Y4528" s="53">
        <f t="shared" si="424"/>
        <v>0</v>
      </c>
      <c r="Z4528" s="64">
        <f t="shared" si="425"/>
        <v>0</v>
      </c>
    </row>
    <row r="4529" spans="1:26">
      <c r="A4529" s="89" t="str">
        <f t="shared" si="420"/>
        <v/>
      </c>
      <c r="B4529" s="89" t="str">
        <f t="shared" si="421"/>
        <v/>
      </c>
      <c r="S4529" s="89" t="str">
        <f t="shared" si="422"/>
        <v/>
      </c>
      <c r="X4529" s="64">
        <f t="shared" si="423"/>
        <v>0</v>
      </c>
      <c r="Y4529" s="53">
        <f t="shared" si="424"/>
        <v>0</v>
      </c>
      <c r="Z4529" s="64">
        <f t="shared" si="425"/>
        <v>0</v>
      </c>
    </row>
    <row r="4530" spans="1:26">
      <c r="A4530" s="89" t="str">
        <f t="shared" si="420"/>
        <v/>
      </c>
      <c r="B4530" s="89" t="str">
        <f t="shared" si="421"/>
        <v/>
      </c>
      <c r="S4530" s="89" t="str">
        <f t="shared" si="422"/>
        <v/>
      </c>
      <c r="X4530" s="64">
        <f t="shared" si="423"/>
        <v>0</v>
      </c>
      <c r="Y4530" s="53">
        <f t="shared" si="424"/>
        <v>0</v>
      </c>
      <c r="Z4530" s="64">
        <f t="shared" si="425"/>
        <v>0</v>
      </c>
    </row>
    <row r="4531" spans="1:26">
      <c r="A4531" s="89" t="str">
        <f t="shared" si="420"/>
        <v/>
      </c>
      <c r="B4531" s="89" t="str">
        <f t="shared" si="421"/>
        <v/>
      </c>
      <c r="S4531" s="89" t="str">
        <f t="shared" si="422"/>
        <v/>
      </c>
      <c r="X4531" s="64">
        <f t="shared" si="423"/>
        <v>0</v>
      </c>
      <c r="Y4531" s="53">
        <f t="shared" si="424"/>
        <v>0</v>
      </c>
      <c r="Z4531" s="64">
        <f t="shared" si="425"/>
        <v>0</v>
      </c>
    </row>
    <row r="4532" spans="1:26">
      <c r="A4532" s="89" t="str">
        <f t="shared" si="420"/>
        <v/>
      </c>
      <c r="B4532" s="89" t="str">
        <f t="shared" si="421"/>
        <v/>
      </c>
      <c r="S4532" s="89" t="str">
        <f t="shared" si="422"/>
        <v/>
      </c>
      <c r="X4532" s="64">
        <f t="shared" si="423"/>
        <v>0</v>
      </c>
      <c r="Y4532" s="53">
        <f t="shared" si="424"/>
        <v>0</v>
      </c>
      <c r="Z4532" s="64">
        <f t="shared" si="425"/>
        <v>0</v>
      </c>
    </row>
    <row r="4533" spans="1:26">
      <c r="A4533" s="89" t="str">
        <f t="shared" si="420"/>
        <v/>
      </c>
      <c r="B4533" s="89" t="str">
        <f t="shared" si="421"/>
        <v/>
      </c>
      <c r="S4533" s="89" t="str">
        <f t="shared" si="422"/>
        <v/>
      </c>
      <c r="X4533" s="64">
        <f t="shared" si="423"/>
        <v>0</v>
      </c>
      <c r="Y4533" s="53">
        <f t="shared" si="424"/>
        <v>0</v>
      </c>
      <c r="Z4533" s="64">
        <f t="shared" si="425"/>
        <v>0</v>
      </c>
    </row>
    <row r="4534" spans="1:26">
      <c r="A4534" s="89" t="str">
        <f t="shared" si="420"/>
        <v/>
      </c>
      <c r="B4534" s="89" t="str">
        <f t="shared" si="421"/>
        <v/>
      </c>
      <c r="S4534" s="89" t="str">
        <f t="shared" si="422"/>
        <v/>
      </c>
      <c r="X4534" s="64">
        <f t="shared" si="423"/>
        <v>0</v>
      </c>
      <c r="Y4534" s="53">
        <f t="shared" si="424"/>
        <v>0</v>
      </c>
      <c r="Z4534" s="64">
        <f t="shared" si="425"/>
        <v>0</v>
      </c>
    </row>
    <row r="4535" spans="1:26">
      <c r="A4535" s="89" t="str">
        <f t="shared" si="420"/>
        <v/>
      </c>
      <c r="B4535" s="89" t="str">
        <f t="shared" si="421"/>
        <v/>
      </c>
      <c r="S4535" s="89" t="str">
        <f t="shared" si="422"/>
        <v/>
      </c>
      <c r="X4535" s="64">
        <f t="shared" si="423"/>
        <v>0</v>
      </c>
      <c r="Y4535" s="53">
        <f t="shared" si="424"/>
        <v>0</v>
      </c>
      <c r="Z4535" s="64">
        <f t="shared" si="425"/>
        <v>0</v>
      </c>
    </row>
    <row r="4536" spans="1:26">
      <c r="A4536" s="89" t="str">
        <f t="shared" si="420"/>
        <v/>
      </c>
      <c r="B4536" s="89" t="str">
        <f t="shared" si="421"/>
        <v/>
      </c>
      <c r="S4536" s="89" t="str">
        <f t="shared" si="422"/>
        <v/>
      </c>
      <c r="X4536" s="64">
        <f t="shared" si="423"/>
        <v>0</v>
      </c>
      <c r="Y4536" s="53">
        <f t="shared" si="424"/>
        <v>0</v>
      </c>
      <c r="Z4536" s="64">
        <f t="shared" si="425"/>
        <v>0</v>
      </c>
    </row>
    <row r="4537" spans="1:26">
      <c r="A4537" s="89" t="str">
        <f t="shared" si="420"/>
        <v/>
      </c>
      <c r="B4537" s="89" t="str">
        <f t="shared" si="421"/>
        <v/>
      </c>
      <c r="S4537" s="89" t="str">
        <f t="shared" si="422"/>
        <v/>
      </c>
      <c r="X4537" s="64">
        <f t="shared" si="423"/>
        <v>0</v>
      </c>
      <c r="Y4537" s="53">
        <f t="shared" si="424"/>
        <v>0</v>
      </c>
      <c r="Z4537" s="64">
        <f t="shared" si="425"/>
        <v>0</v>
      </c>
    </row>
    <row r="4538" spans="1:26">
      <c r="A4538" s="89" t="str">
        <f t="shared" si="420"/>
        <v/>
      </c>
      <c r="B4538" s="89" t="str">
        <f t="shared" si="421"/>
        <v/>
      </c>
      <c r="S4538" s="89" t="str">
        <f t="shared" si="422"/>
        <v/>
      </c>
      <c r="X4538" s="64">
        <f t="shared" si="423"/>
        <v>0</v>
      </c>
      <c r="Y4538" s="53">
        <f t="shared" si="424"/>
        <v>0</v>
      </c>
      <c r="Z4538" s="64">
        <f t="shared" si="425"/>
        <v>0</v>
      </c>
    </row>
    <row r="4539" spans="1:26">
      <c r="A4539" s="89" t="str">
        <f t="shared" si="420"/>
        <v/>
      </c>
      <c r="B4539" s="89" t="str">
        <f t="shared" si="421"/>
        <v/>
      </c>
      <c r="S4539" s="89" t="str">
        <f t="shared" si="422"/>
        <v/>
      </c>
      <c r="X4539" s="64">
        <f t="shared" si="423"/>
        <v>0</v>
      </c>
      <c r="Y4539" s="53">
        <f t="shared" si="424"/>
        <v>0</v>
      </c>
      <c r="Z4539" s="64">
        <f t="shared" si="425"/>
        <v>0</v>
      </c>
    </row>
    <row r="4540" spans="1:26">
      <c r="A4540" s="89" t="str">
        <f t="shared" si="420"/>
        <v/>
      </c>
      <c r="B4540" s="89" t="str">
        <f t="shared" si="421"/>
        <v/>
      </c>
      <c r="S4540" s="89" t="str">
        <f t="shared" si="422"/>
        <v/>
      </c>
      <c r="X4540" s="64">
        <f t="shared" si="423"/>
        <v>0</v>
      </c>
      <c r="Y4540" s="53">
        <f t="shared" si="424"/>
        <v>0</v>
      </c>
      <c r="Z4540" s="64">
        <f t="shared" si="425"/>
        <v>0</v>
      </c>
    </row>
    <row r="4541" spans="1:26">
      <c r="A4541" s="89" t="str">
        <f t="shared" si="420"/>
        <v/>
      </c>
      <c r="B4541" s="89" t="str">
        <f t="shared" si="421"/>
        <v/>
      </c>
      <c r="S4541" s="89" t="str">
        <f t="shared" si="422"/>
        <v/>
      </c>
      <c r="X4541" s="64">
        <f t="shared" si="423"/>
        <v>0</v>
      </c>
      <c r="Y4541" s="53">
        <f t="shared" si="424"/>
        <v>0</v>
      </c>
      <c r="Z4541" s="64">
        <f t="shared" si="425"/>
        <v>0</v>
      </c>
    </row>
    <row r="4542" spans="1:26">
      <c r="A4542" s="89" t="str">
        <f t="shared" si="420"/>
        <v/>
      </c>
      <c r="B4542" s="89" t="str">
        <f t="shared" si="421"/>
        <v/>
      </c>
      <c r="S4542" s="89" t="str">
        <f t="shared" si="422"/>
        <v/>
      </c>
      <c r="X4542" s="64">
        <f t="shared" si="423"/>
        <v>0</v>
      </c>
      <c r="Y4542" s="53">
        <f t="shared" si="424"/>
        <v>0</v>
      </c>
      <c r="Z4542" s="64">
        <f t="shared" si="425"/>
        <v>0</v>
      </c>
    </row>
    <row r="4543" spans="1:26">
      <c r="A4543" s="89" t="str">
        <f t="shared" si="420"/>
        <v/>
      </c>
      <c r="B4543" s="89" t="str">
        <f t="shared" si="421"/>
        <v/>
      </c>
      <c r="S4543" s="89" t="str">
        <f t="shared" si="422"/>
        <v/>
      </c>
      <c r="X4543" s="64">
        <f t="shared" si="423"/>
        <v>0</v>
      </c>
      <c r="Y4543" s="53">
        <f t="shared" si="424"/>
        <v>0</v>
      </c>
      <c r="Z4543" s="64">
        <f t="shared" si="425"/>
        <v>0</v>
      </c>
    </row>
    <row r="4544" spans="1:26">
      <c r="A4544" s="89" t="str">
        <f t="shared" si="420"/>
        <v/>
      </c>
      <c r="B4544" s="89" t="str">
        <f t="shared" si="421"/>
        <v/>
      </c>
      <c r="S4544" s="89" t="str">
        <f t="shared" si="422"/>
        <v/>
      </c>
      <c r="X4544" s="64">
        <f t="shared" si="423"/>
        <v>0</v>
      </c>
      <c r="Y4544" s="53">
        <f t="shared" si="424"/>
        <v>0</v>
      </c>
      <c r="Z4544" s="64">
        <f t="shared" si="425"/>
        <v>0</v>
      </c>
    </row>
    <row r="4545" spans="1:26">
      <c r="A4545" s="89" t="str">
        <f t="shared" si="420"/>
        <v/>
      </c>
      <c r="B4545" s="89" t="str">
        <f t="shared" si="421"/>
        <v/>
      </c>
      <c r="S4545" s="89" t="str">
        <f t="shared" si="422"/>
        <v/>
      </c>
      <c r="X4545" s="64">
        <f t="shared" si="423"/>
        <v>0</v>
      </c>
      <c r="Y4545" s="53">
        <f t="shared" si="424"/>
        <v>0</v>
      </c>
      <c r="Z4545" s="64">
        <f t="shared" si="425"/>
        <v>0</v>
      </c>
    </row>
    <row r="4546" spans="1:26">
      <c r="A4546" s="89" t="str">
        <f t="shared" si="420"/>
        <v/>
      </c>
      <c r="B4546" s="89" t="str">
        <f t="shared" si="421"/>
        <v/>
      </c>
      <c r="S4546" s="89" t="str">
        <f t="shared" si="422"/>
        <v/>
      </c>
      <c r="X4546" s="64">
        <f t="shared" si="423"/>
        <v>0</v>
      </c>
      <c r="Y4546" s="53">
        <f t="shared" si="424"/>
        <v>0</v>
      </c>
      <c r="Z4546" s="64">
        <f t="shared" si="425"/>
        <v>0</v>
      </c>
    </row>
    <row r="4547" spans="1:26">
      <c r="A4547" s="89" t="str">
        <f t="shared" ref="A4547:A4610" si="426">IF(G4547&amp;Q4547&lt;&gt;"",G4547&amp;Q4547,"")</f>
        <v/>
      </c>
      <c r="B4547" s="89" t="str">
        <f t="shared" ref="B4547:B4610" si="427">IF(C4547&lt;&gt;"",LEFT(C4547,9),"")</f>
        <v/>
      </c>
      <c r="S4547" s="89" t="str">
        <f t="shared" ref="S4547:S4610" si="428">IF(H4547&lt;&gt;"",H4547,"")</f>
        <v/>
      </c>
      <c r="X4547" s="64">
        <f t="shared" ref="X4547:X4610" si="429">IFERROR(VALUE(MID($C4547,1,2)),0)</f>
        <v>0</v>
      </c>
      <c r="Y4547" s="53">
        <f t="shared" ref="Y4547:Y4610" si="430">IFERROR(VALUE(MID($C4547,4,3)),0)</f>
        <v>0</v>
      </c>
      <c r="Z4547" s="64">
        <f t="shared" ref="Z4547:Z4610" si="431">VALUE(RIGHT("00"&amp;X4547,2)&amp;RIGHT("000"&amp;Y4547,3))</f>
        <v>0</v>
      </c>
    </row>
    <row r="4548" spans="1:26">
      <c r="A4548" s="89" t="str">
        <f t="shared" si="426"/>
        <v/>
      </c>
      <c r="B4548" s="89" t="str">
        <f t="shared" si="427"/>
        <v/>
      </c>
      <c r="S4548" s="89" t="str">
        <f t="shared" si="428"/>
        <v/>
      </c>
      <c r="X4548" s="64">
        <f t="shared" si="429"/>
        <v>0</v>
      </c>
      <c r="Y4548" s="53">
        <f t="shared" si="430"/>
        <v>0</v>
      </c>
      <c r="Z4548" s="64">
        <f t="shared" si="431"/>
        <v>0</v>
      </c>
    </row>
    <row r="4549" spans="1:26">
      <c r="A4549" s="89" t="str">
        <f t="shared" si="426"/>
        <v/>
      </c>
      <c r="B4549" s="89" t="str">
        <f t="shared" si="427"/>
        <v/>
      </c>
      <c r="S4549" s="89" t="str">
        <f t="shared" si="428"/>
        <v/>
      </c>
      <c r="X4549" s="64">
        <f t="shared" si="429"/>
        <v>0</v>
      </c>
      <c r="Y4549" s="53">
        <f t="shared" si="430"/>
        <v>0</v>
      </c>
      <c r="Z4549" s="64">
        <f t="shared" si="431"/>
        <v>0</v>
      </c>
    </row>
    <row r="4550" spans="1:26">
      <c r="A4550" s="89" t="str">
        <f t="shared" si="426"/>
        <v/>
      </c>
      <c r="B4550" s="89" t="str">
        <f t="shared" si="427"/>
        <v/>
      </c>
      <c r="S4550" s="89" t="str">
        <f t="shared" si="428"/>
        <v/>
      </c>
      <c r="X4550" s="64">
        <f t="shared" si="429"/>
        <v>0</v>
      </c>
      <c r="Y4550" s="53">
        <f t="shared" si="430"/>
        <v>0</v>
      </c>
      <c r="Z4550" s="64">
        <f t="shared" si="431"/>
        <v>0</v>
      </c>
    </row>
    <row r="4551" spans="1:26">
      <c r="A4551" s="89" t="str">
        <f t="shared" si="426"/>
        <v/>
      </c>
      <c r="B4551" s="89" t="str">
        <f t="shared" si="427"/>
        <v/>
      </c>
      <c r="S4551" s="89" t="str">
        <f t="shared" si="428"/>
        <v/>
      </c>
      <c r="X4551" s="64">
        <f t="shared" si="429"/>
        <v>0</v>
      </c>
      <c r="Y4551" s="53">
        <f t="shared" si="430"/>
        <v>0</v>
      </c>
      <c r="Z4551" s="64">
        <f t="shared" si="431"/>
        <v>0</v>
      </c>
    </row>
    <row r="4552" spans="1:26">
      <c r="A4552" s="89" t="str">
        <f t="shared" si="426"/>
        <v/>
      </c>
      <c r="B4552" s="89" t="str">
        <f t="shared" si="427"/>
        <v/>
      </c>
      <c r="S4552" s="89" t="str">
        <f t="shared" si="428"/>
        <v/>
      </c>
      <c r="X4552" s="64">
        <f t="shared" si="429"/>
        <v>0</v>
      </c>
      <c r="Y4552" s="53">
        <f t="shared" si="430"/>
        <v>0</v>
      </c>
      <c r="Z4552" s="64">
        <f t="shared" si="431"/>
        <v>0</v>
      </c>
    </row>
    <row r="4553" spans="1:26">
      <c r="A4553" s="89" t="str">
        <f t="shared" si="426"/>
        <v/>
      </c>
      <c r="B4553" s="89" t="str">
        <f t="shared" si="427"/>
        <v/>
      </c>
      <c r="S4553" s="89" t="str">
        <f t="shared" si="428"/>
        <v/>
      </c>
      <c r="X4553" s="64">
        <f t="shared" si="429"/>
        <v>0</v>
      </c>
      <c r="Y4553" s="53">
        <f t="shared" si="430"/>
        <v>0</v>
      </c>
      <c r="Z4553" s="64">
        <f t="shared" si="431"/>
        <v>0</v>
      </c>
    </row>
    <row r="4554" spans="1:26">
      <c r="A4554" s="89" t="str">
        <f t="shared" si="426"/>
        <v/>
      </c>
      <c r="B4554" s="89" t="str">
        <f t="shared" si="427"/>
        <v/>
      </c>
      <c r="S4554" s="89" t="str">
        <f t="shared" si="428"/>
        <v/>
      </c>
      <c r="X4554" s="64">
        <f t="shared" si="429"/>
        <v>0</v>
      </c>
      <c r="Y4554" s="53">
        <f t="shared" si="430"/>
        <v>0</v>
      </c>
      <c r="Z4554" s="64">
        <f t="shared" si="431"/>
        <v>0</v>
      </c>
    </row>
    <row r="4555" spans="1:26">
      <c r="A4555" s="89" t="str">
        <f t="shared" si="426"/>
        <v/>
      </c>
      <c r="B4555" s="89" t="str">
        <f t="shared" si="427"/>
        <v/>
      </c>
      <c r="S4555" s="89" t="str">
        <f t="shared" si="428"/>
        <v/>
      </c>
      <c r="X4555" s="64">
        <f t="shared" si="429"/>
        <v>0</v>
      </c>
      <c r="Y4555" s="53">
        <f t="shared" si="430"/>
        <v>0</v>
      </c>
      <c r="Z4555" s="64">
        <f t="shared" si="431"/>
        <v>0</v>
      </c>
    </row>
    <row r="4556" spans="1:26">
      <c r="A4556" s="89" t="str">
        <f t="shared" si="426"/>
        <v/>
      </c>
      <c r="B4556" s="89" t="str">
        <f t="shared" si="427"/>
        <v/>
      </c>
      <c r="S4556" s="89" t="str">
        <f t="shared" si="428"/>
        <v/>
      </c>
      <c r="X4556" s="64">
        <f t="shared" si="429"/>
        <v>0</v>
      </c>
      <c r="Y4556" s="53">
        <f t="shared" si="430"/>
        <v>0</v>
      </c>
      <c r="Z4556" s="64">
        <f t="shared" si="431"/>
        <v>0</v>
      </c>
    </row>
    <row r="4557" spans="1:26">
      <c r="A4557" s="89" t="str">
        <f t="shared" si="426"/>
        <v/>
      </c>
      <c r="B4557" s="89" t="str">
        <f t="shared" si="427"/>
        <v/>
      </c>
      <c r="S4557" s="89" t="str">
        <f t="shared" si="428"/>
        <v/>
      </c>
      <c r="X4557" s="64">
        <f t="shared" si="429"/>
        <v>0</v>
      </c>
      <c r="Y4557" s="53">
        <f t="shared" si="430"/>
        <v>0</v>
      </c>
      <c r="Z4557" s="64">
        <f t="shared" si="431"/>
        <v>0</v>
      </c>
    </row>
    <row r="4558" spans="1:26">
      <c r="A4558" s="89" t="str">
        <f t="shared" si="426"/>
        <v/>
      </c>
      <c r="B4558" s="89" t="str">
        <f t="shared" si="427"/>
        <v/>
      </c>
      <c r="S4558" s="89" t="str">
        <f t="shared" si="428"/>
        <v/>
      </c>
      <c r="X4558" s="64">
        <f t="shared" si="429"/>
        <v>0</v>
      </c>
      <c r="Y4558" s="53">
        <f t="shared" si="430"/>
        <v>0</v>
      </c>
      <c r="Z4558" s="64">
        <f t="shared" si="431"/>
        <v>0</v>
      </c>
    </row>
    <row r="4559" spans="1:26">
      <c r="A4559" s="89" t="str">
        <f t="shared" si="426"/>
        <v/>
      </c>
      <c r="B4559" s="89" t="str">
        <f t="shared" si="427"/>
        <v/>
      </c>
      <c r="S4559" s="89" t="str">
        <f t="shared" si="428"/>
        <v/>
      </c>
      <c r="X4559" s="64">
        <f t="shared" si="429"/>
        <v>0</v>
      </c>
      <c r="Y4559" s="53">
        <f t="shared" si="430"/>
        <v>0</v>
      </c>
      <c r="Z4559" s="64">
        <f t="shared" si="431"/>
        <v>0</v>
      </c>
    </row>
    <row r="4560" spans="1:26">
      <c r="A4560" s="89" t="str">
        <f t="shared" si="426"/>
        <v/>
      </c>
      <c r="B4560" s="89" t="str">
        <f t="shared" si="427"/>
        <v/>
      </c>
      <c r="S4560" s="89" t="str">
        <f t="shared" si="428"/>
        <v/>
      </c>
      <c r="X4560" s="64">
        <f t="shared" si="429"/>
        <v>0</v>
      </c>
      <c r="Y4560" s="53">
        <f t="shared" si="430"/>
        <v>0</v>
      </c>
      <c r="Z4560" s="64">
        <f t="shared" si="431"/>
        <v>0</v>
      </c>
    </row>
    <row r="4561" spans="1:26">
      <c r="A4561" s="89" t="str">
        <f t="shared" si="426"/>
        <v/>
      </c>
      <c r="B4561" s="89" t="str">
        <f t="shared" si="427"/>
        <v/>
      </c>
      <c r="S4561" s="89" t="str">
        <f t="shared" si="428"/>
        <v/>
      </c>
      <c r="X4561" s="64">
        <f t="shared" si="429"/>
        <v>0</v>
      </c>
      <c r="Y4561" s="53">
        <f t="shared" si="430"/>
        <v>0</v>
      </c>
      <c r="Z4561" s="64">
        <f t="shared" si="431"/>
        <v>0</v>
      </c>
    </row>
    <row r="4562" spans="1:26">
      <c r="A4562" s="89" t="str">
        <f t="shared" si="426"/>
        <v/>
      </c>
      <c r="B4562" s="89" t="str">
        <f t="shared" si="427"/>
        <v/>
      </c>
      <c r="S4562" s="89" t="str">
        <f t="shared" si="428"/>
        <v/>
      </c>
      <c r="X4562" s="64">
        <f t="shared" si="429"/>
        <v>0</v>
      </c>
      <c r="Y4562" s="53">
        <f t="shared" si="430"/>
        <v>0</v>
      </c>
      <c r="Z4562" s="64">
        <f t="shared" si="431"/>
        <v>0</v>
      </c>
    </row>
    <row r="4563" spans="1:26">
      <c r="A4563" s="89" t="str">
        <f t="shared" si="426"/>
        <v/>
      </c>
      <c r="B4563" s="89" t="str">
        <f t="shared" si="427"/>
        <v/>
      </c>
      <c r="S4563" s="89" t="str">
        <f t="shared" si="428"/>
        <v/>
      </c>
      <c r="X4563" s="64">
        <f t="shared" si="429"/>
        <v>0</v>
      </c>
      <c r="Y4563" s="53">
        <f t="shared" si="430"/>
        <v>0</v>
      </c>
      <c r="Z4563" s="64">
        <f t="shared" si="431"/>
        <v>0</v>
      </c>
    </row>
    <row r="4564" spans="1:26">
      <c r="A4564" s="89" t="str">
        <f t="shared" si="426"/>
        <v/>
      </c>
      <c r="B4564" s="89" t="str">
        <f t="shared" si="427"/>
        <v/>
      </c>
      <c r="S4564" s="89" t="str">
        <f t="shared" si="428"/>
        <v/>
      </c>
      <c r="X4564" s="64">
        <f t="shared" si="429"/>
        <v>0</v>
      </c>
      <c r="Y4564" s="53">
        <f t="shared" si="430"/>
        <v>0</v>
      </c>
      <c r="Z4564" s="64">
        <f t="shared" si="431"/>
        <v>0</v>
      </c>
    </row>
    <row r="4565" spans="1:26">
      <c r="A4565" s="89" t="str">
        <f t="shared" si="426"/>
        <v/>
      </c>
      <c r="B4565" s="89" t="str">
        <f t="shared" si="427"/>
        <v/>
      </c>
      <c r="S4565" s="89" t="str">
        <f t="shared" si="428"/>
        <v/>
      </c>
      <c r="X4565" s="64">
        <f t="shared" si="429"/>
        <v>0</v>
      </c>
      <c r="Y4565" s="53">
        <f t="shared" si="430"/>
        <v>0</v>
      </c>
      <c r="Z4565" s="64">
        <f t="shared" si="431"/>
        <v>0</v>
      </c>
    </row>
    <row r="4566" spans="1:26">
      <c r="A4566" s="89" t="str">
        <f t="shared" si="426"/>
        <v/>
      </c>
      <c r="B4566" s="89" t="str">
        <f t="shared" si="427"/>
        <v/>
      </c>
      <c r="S4566" s="89" t="str">
        <f t="shared" si="428"/>
        <v/>
      </c>
      <c r="X4566" s="64">
        <f t="shared" si="429"/>
        <v>0</v>
      </c>
      <c r="Y4566" s="53">
        <f t="shared" si="430"/>
        <v>0</v>
      </c>
      <c r="Z4566" s="64">
        <f t="shared" si="431"/>
        <v>0</v>
      </c>
    </row>
    <row r="4567" spans="1:26">
      <c r="A4567" s="89" t="str">
        <f t="shared" si="426"/>
        <v/>
      </c>
      <c r="B4567" s="89" t="str">
        <f t="shared" si="427"/>
        <v/>
      </c>
      <c r="S4567" s="89" t="str">
        <f t="shared" si="428"/>
        <v/>
      </c>
      <c r="X4567" s="64">
        <f t="shared" si="429"/>
        <v>0</v>
      </c>
      <c r="Y4567" s="53">
        <f t="shared" si="430"/>
        <v>0</v>
      </c>
      <c r="Z4567" s="64">
        <f t="shared" si="431"/>
        <v>0</v>
      </c>
    </row>
    <row r="4568" spans="1:26">
      <c r="A4568" s="89" t="str">
        <f t="shared" si="426"/>
        <v/>
      </c>
      <c r="B4568" s="89" t="str">
        <f t="shared" si="427"/>
        <v/>
      </c>
      <c r="S4568" s="89" t="str">
        <f t="shared" si="428"/>
        <v/>
      </c>
      <c r="X4568" s="64">
        <f t="shared" si="429"/>
        <v>0</v>
      </c>
      <c r="Y4568" s="53">
        <f t="shared" si="430"/>
        <v>0</v>
      </c>
      <c r="Z4568" s="64">
        <f t="shared" si="431"/>
        <v>0</v>
      </c>
    </row>
    <row r="4569" spans="1:26">
      <c r="A4569" s="89" t="str">
        <f t="shared" si="426"/>
        <v/>
      </c>
      <c r="B4569" s="89" t="str">
        <f t="shared" si="427"/>
        <v/>
      </c>
      <c r="S4569" s="89" t="str">
        <f t="shared" si="428"/>
        <v/>
      </c>
      <c r="X4569" s="64">
        <f t="shared" si="429"/>
        <v>0</v>
      </c>
      <c r="Y4569" s="53">
        <f t="shared" si="430"/>
        <v>0</v>
      </c>
      <c r="Z4569" s="64">
        <f t="shared" si="431"/>
        <v>0</v>
      </c>
    </row>
    <row r="4570" spans="1:26">
      <c r="A4570" s="89" t="str">
        <f t="shared" si="426"/>
        <v/>
      </c>
      <c r="B4570" s="89" t="str">
        <f t="shared" si="427"/>
        <v/>
      </c>
      <c r="S4570" s="89" t="str">
        <f t="shared" si="428"/>
        <v/>
      </c>
      <c r="X4570" s="64">
        <f t="shared" si="429"/>
        <v>0</v>
      </c>
      <c r="Y4570" s="53">
        <f t="shared" si="430"/>
        <v>0</v>
      </c>
      <c r="Z4570" s="64">
        <f t="shared" si="431"/>
        <v>0</v>
      </c>
    </row>
    <row r="4571" spans="1:26">
      <c r="A4571" s="89" t="str">
        <f t="shared" si="426"/>
        <v/>
      </c>
      <c r="B4571" s="89" t="str">
        <f t="shared" si="427"/>
        <v/>
      </c>
      <c r="S4571" s="89" t="str">
        <f t="shared" si="428"/>
        <v/>
      </c>
      <c r="X4571" s="64">
        <f t="shared" si="429"/>
        <v>0</v>
      </c>
      <c r="Y4571" s="53">
        <f t="shared" si="430"/>
        <v>0</v>
      </c>
      <c r="Z4571" s="64">
        <f t="shared" si="431"/>
        <v>0</v>
      </c>
    </row>
    <row r="4572" spans="1:26">
      <c r="A4572" s="89" t="str">
        <f t="shared" si="426"/>
        <v/>
      </c>
      <c r="B4572" s="89" t="str">
        <f t="shared" si="427"/>
        <v/>
      </c>
      <c r="S4572" s="89" t="str">
        <f t="shared" si="428"/>
        <v/>
      </c>
      <c r="X4572" s="64">
        <f t="shared" si="429"/>
        <v>0</v>
      </c>
      <c r="Y4572" s="53">
        <f t="shared" si="430"/>
        <v>0</v>
      </c>
      <c r="Z4572" s="64">
        <f t="shared" si="431"/>
        <v>0</v>
      </c>
    </row>
    <row r="4573" spans="1:26">
      <c r="A4573" s="89" t="str">
        <f t="shared" si="426"/>
        <v/>
      </c>
      <c r="B4573" s="89" t="str">
        <f t="shared" si="427"/>
        <v/>
      </c>
      <c r="S4573" s="89" t="str">
        <f t="shared" si="428"/>
        <v/>
      </c>
      <c r="X4573" s="64">
        <f t="shared" si="429"/>
        <v>0</v>
      </c>
      <c r="Y4573" s="53">
        <f t="shared" si="430"/>
        <v>0</v>
      </c>
      <c r="Z4573" s="64">
        <f t="shared" si="431"/>
        <v>0</v>
      </c>
    </row>
    <row r="4574" spans="1:26">
      <c r="A4574" s="89" t="str">
        <f t="shared" si="426"/>
        <v/>
      </c>
      <c r="B4574" s="89" t="str">
        <f t="shared" si="427"/>
        <v/>
      </c>
      <c r="S4574" s="89" t="str">
        <f t="shared" si="428"/>
        <v/>
      </c>
      <c r="X4574" s="64">
        <f t="shared" si="429"/>
        <v>0</v>
      </c>
      <c r="Y4574" s="53">
        <f t="shared" si="430"/>
        <v>0</v>
      </c>
      <c r="Z4574" s="64">
        <f t="shared" si="431"/>
        <v>0</v>
      </c>
    </row>
    <row r="4575" spans="1:26">
      <c r="A4575" s="89" t="str">
        <f t="shared" si="426"/>
        <v/>
      </c>
      <c r="B4575" s="89" t="str">
        <f t="shared" si="427"/>
        <v/>
      </c>
      <c r="S4575" s="89" t="str">
        <f t="shared" si="428"/>
        <v/>
      </c>
      <c r="X4575" s="64">
        <f t="shared" si="429"/>
        <v>0</v>
      </c>
      <c r="Y4575" s="53">
        <f t="shared" si="430"/>
        <v>0</v>
      </c>
      <c r="Z4575" s="64">
        <f t="shared" si="431"/>
        <v>0</v>
      </c>
    </row>
    <row r="4576" spans="1:26">
      <c r="A4576" s="89" t="str">
        <f t="shared" si="426"/>
        <v/>
      </c>
      <c r="B4576" s="89" t="str">
        <f t="shared" si="427"/>
        <v/>
      </c>
      <c r="S4576" s="89" t="str">
        <f t="shared" si="428"/>
        <v/>
      </c>
      <c r="X4576" s="64">
        <f t="shared" si="429"/>
        <v>0</v>
      </c>
      <c r="Y4576" s="53">
        <f t="shared" si="430"/>
        <v>0</v>
      </c>
      <c r="Z4576" s="64">
        <f t="shared" si="431"/>
        <v>0</v>
      </c>
    </row>
    <row r="4577" spans="1:26">
      <c r="A4577" s="89" t="str">
        <f t="shared" si="426"/>
        <v/>
      </c>
      <c r="B4577" s="89" t="str">
        <f t="shared" si="427"/>
        <v/>
      </c>
      <c r="S4577" s="89" t="str">
        <f t="shared" si="428"/>
        <v/>
      </c>
      <c r="X4577" s="64">
        <f t="shared" si="429"/>
        <v>0</v>
      </c>
      <c r="Y4577" s="53">
        <f t="shared" si="430"/>
        <v>0</v>
      </c>
      <c r="Z4577" s="64">
        <f t="shared" si="431"/>
        <v>0</v>
      </c>
    </row>
    <row r="4578" spans="1:26">
      <c r="A4578" s="89" t="str">
        <f t="shared" si="426"/>
        <v/>
      </c>
      <c r="B4578" s="89" t="str">
        <f t="shared" si="427"/>
        <v/>
      </c>
      <c r="S4578" s="89" t="str">
        <f t="shared" si="428"/>
        <v/>
      </c>
      <c r="X4578" s="64">
        <f t="shared" si="429"/>
        <v>0</v>
      </c>
      <c r="Y4578" s="53">
        <f t="shared" si="430"/>
        <v>0</v>
      </c>
      <c r="Z4578" s="64">
        <f t="shared" si="431"/>
        <v>0</v>
      </c>
    </row>
    <row r="4579" spans="1:26">
      <c r="A4579" s="89" t="str">
        <f t="shared" si="426"/>
        <v/>
      </c>
      <c r="B4579" s="89" t="str">
        <f t="shared" si="427"/>
        <v/>
      </c>
      <c r="S4579" s="89" t="str">
        <f t="shared" si="428"/>
        <v/>
      </c>
      <c r="X4579" s="64">
        <f t="shared" si="429"/>
        <v>0</v>
      </c>
      <c r="Y4579" s="53">
        <f t="shared" si="430"/>
        <v>0</v>
      </c>
      <c r="Z4579" s="64">
        <f t="shared" si="431"/>
        <v>0</v>
      </c>
    </row>
    <row r="4580" spans="1:26">
      <c r="A4580" s="89" t="str">
        <f t="shared" si="426"/>
        <v/>
      </c>
      <c r="B4580" s="89" t="str">
        <f t="shared" si="427"/>
        <v/>
      </c>
      <c r="S4580" s="89" t="str">
        <f t="shared" si="428"/>
        <v/>
      </c>
      <c r="X4580" s="64">
        <f t="shared" si="429"/>
        <v>0</v>
      </c>
      <c r="Y4580" s="53">
        <f t="shared" si="430"/>
        <v>0</v>
      </c>
      <c r="Z4580" s="64">
        <f t="shared" si="431"/>
        <v>0</v>
      </c>
    </row>
    <row r="4581" spans="1:26">
      <c r="A4581" s="89" t="str">
        <f t="shared" si="426"/>
        <v/>
      </c>
      <c r="B4581" s="89" t="str">
        <f t="shared" si="427"/>
        <v/>
      </c>
      <c r="S4581" s="89" t="str">
        <f t="shared" si="428"/>
        <v/>
      </c>
      <c r="X4581" s="64">
        <f t="shared" si="429"/>
        <v>0</v>
      </c>
      <c r="Y4581" s="53">
        <f t="shared" si="430"/>
        <v>0</v>
      </c>
      <c r="Z4581" s="64">
        <f t="shared" si="431"/>
        <v>0</v>
      </c>
    </row>
    <row r="4582" spans="1:26">
      <c r="A4582" s="89" t="str">
        <f t="shared" si="426"/>
        <v/>
      </c>
      <c r="B4582" s="89" t="str">
        <f t="shared" si="427"/>
        <v/>
      </c>
      <c r="S4582" s="89" t="str">
        <f t="shared" si="428"/>
        <v/>
      </c>
      <c r="X4582" s="64">
        <f t="shared" si="429"/>
        <v>0</v>
      </c>
      <c r="Y4582" s="53">
        <f t="shared" si="430"/>
        <v>0</v>
      </c>
      <c r="Z4582" s="64">
        <f t="shared" si="431"/>
        <v>0</v>
      </c>
    </row>
    <row r="4583" spans="1:26">
      <c r="A4583" s="89" t="str">
        <f t="shared" si="426"/>
        <v/>
      </c>
      <c r="B4583" s="89" t="str">
        <f t="shared" si="427"/>
        <v/>
      </c>
      <c r="S4583" s="89" t="str">
        <f t="shared" si="428"/>
        <v/>
      </c>
      <c r="X4583" s="64">
        <f t="shared" si="429"/>
        <v>0</v>
      </c>
      <c r="Y4583" s="53">
        <f t="shared" si="430"/>
        <v>0</v>
      </c>
      <c r="Z4583" s="64">
        <f t="shared" si="431"/>
        <v>0</v>
      </c>
    </row>
    <row r="4584" spans="1:26">
      <c r="A4584" s="89" t="str">
        <f t="shared" si="426"/>
        <v/>
      </c>
      <c r="B4584" s="89" t="str">
        <f t="shared" si="427"/>
        <v/>
      </c>
      <c r="S4584" s="89" t="str">
        <f t="shared" si="428"/>
        <v/>
      </c>
      <c r="X4584" s="64">
        <f t="shared" si="429"/>
        <v>0</v>
      </c>
      <c r="Y4584" s="53">
        <f t="shared" si="430"/>
        <v>0</v>
      </c>
      <c r="Z4584" s="64">
        <f t="shared" si="431"/>
        <v>0</v>
      </c>
    </row>
    <row r="4585" spans="1:26">
      <c r="A4585" s="89" t="str">
        <f t="shared" si="426"/>
        <v/>
      </c>
      <c r="B4585" s="89" t="str">
        <f t="shared" si="427"/>
        <v/>
      </c>
      <c r="S4585" s="89" t="str">
        <f t="shared" si="428"/>
        <v/>
      </c>
      <c r="X4585" s="64">
        <f t="shared" si="429"/>
        <v>0</v>
      </c>
      <c r="Y4585" s="53">
        <f t="shared" si="430"/>
        <v>0</v>
      </c>
      <c r="Z4585" s="64">
        <f t="shared" si="431"/>
        <v>0</v>
      </c>
    </row>
    <row r="4586" spans="1:26">
      <c r="A4586" s="89" t="str">
        <f t="shared" si="426"/>
        <v/>
      </c>
      <c r="B4586" s="89" t="str">
        <f t="shared" si="427"/>
        <v/>
      </c>
      <c r="S4586" s="89" t="str">
        <f t="shared" si="428"/>
        <v/>
      </c>
      <c r="X4586" s="64">
        <f t="shared" si="429"/>
        <v>0</v>
      </c>
      <c r="Y4586" s="53">
        <f t="shared" si="430"/>
        <v>0</v>
      </c>
      <c r="Z4586" s="64">
        <f t="shared" si="431"/>
        <v>0</v>
      </c>
    </row>
    <row r="4587" spans="1:26">
      <c r="A4587" s="89" t="str">
        <f t="shared" si="426"/>
        <v/>
      </c>
      <c r="B4587" s="89" t="str">
        <f t="shared" si="427"/>
        <v/>
      </c>
      <c r="S4587" s="89" t="str">
        <f t="shared" si="428"/>
        <v/>
      </c>
      <c r="X4587" s="64">
        <f t="shared" si="429"/>
        <v>0</v>
      </c>
      <c r="Y4587" s="53">
        <f t="shared" si="430"/>
        <v>0</v>
      </c>
      <c r="Z4587" s="64">
        <f t="shared" si="431"/>
        <v>0</v>
      </c>
    </row>
    <row r="4588" spans="1:26">
      <c r="A4588" s="89" t="str">
        <f t="shared" si="426"/>
        <v/>
      </c>
      <c r="B4588" s="89" t="str">
        <f t="shared" si="427"/>
        <v/>
      </c>
      <c r="S4588" s="89" t="str">
        <f t="shared" si="428"/>
        <v/>
      </c>
      <c r="X4588" s="64">
        <f t="shared" si="429"/>
        <v>0</v>
      </c>
      <c r="Y4588" s="53">
        <f t="shared" si="430"/>
        <v>0</v>
      </c>
      <c r="Z4588" s="64">
        <f t="shared" si="431"/>
        <v>0</v>
      </c>
    </row>
    <row r="4589" spans="1:26">
      <c r="A4589" s="89" t="str">
        <f t="shared" si="426"/>
        <v/>
      </c>
      <c r="B4589" s="89" t="str">
        <f t="shared" si="427"/>
        <v/>
      </c>
      <c r="S4589" s="89" t="str">
        <f t="shared" si="428"/>
        <v/>
      </c>
      <c r="X4589" s="64">
        <f t="shared" si="429"/>
        <v>0</v>
      </c>
      <c r="Y4589" s="53">
        <f t="shared" si="430"/>
        <v>0</v>
      </c>
      <c r="Z4589" s="64">
        <f t="shared" si="431"/>
        <v>0</v>
      </c>
    </row>
    <row r="4590" spans="1:26">
      <c r="A4590" s="89" t="str">
        <f t="shared" si="426"/>
        <v/>
      </c>
      <c r="B4590" s="89" t="str">
        <f t="shared" si="427"/>
        <v/>
      </c>
      <c r="S4590" s="89" t="str">
        <f t="shared" si="428"/>
        <v/>
      </c>
      <c r="X4590" s="64">
        <f t="shared" si="429"/>
        <v>0</v>
      </c>
      <c r="Y4590" s="53">
        <f t="shared" si="430"/>
        <v>0</v>
      </c>
      <c r="Z4590" s="64">
        <f t="shared" si="431"/>
        <v>0</v>
      </c>
    </row>
    <row r="4591" spans="1:26">
      <c r="A4591" s="89" t="str">
        <f t="shared" si="426"/>
        <v/>
      </c>
      <c r="B4591" s="89" t="str">
        <f t="shared" si="427"/>
        <v/>
      </c>
      <c r="S4591" s="89" t="str">
        <f t="shared" si="428"/>
        <v/>
      </c>
      <c r="X4591" s="64">
        <f t="shared" si="429"/>
        <v>0</v>
      </c>
      <c r="Y4591" s="53">
        <f t="shared" si="430"/>
        <v>0</v>
      </c>
      <c r="Z4591" s="64">
        <f t="shared" si="431"/>
        <v>0</v>
      </c>
    </row>
    <row r="4592" spans="1:26">
      <c r="A4592" s="89" t="str">
        <f t="shared" si="426"/>
        <v/>
      </c>
      <c r="B4592" s="89" t="str">
        <f t="shared" si="427"/>
        <v/>
      </c>
      <c r="S4592" s="89" t="str">
        <f t="shared" si="428"/>
        <v/>
      </c>
      <c r="X4592" s="64">
        <f t="shared" si="429"/>
        <v>0</v>
      </c>
      <c r="Y4592" s="53">
        <f t="shared" si="430"/>
        <v>0</v>
      </c>
      <c r="Z4592" s="64">
        <f t="shared" si="431"/>
        <v>0</v>
      </c>
    </row>
    <row r="4593" spans="1:26">
      <c r="A4593" s="89" t="str">
        <f t="shared" si="426"/>
        <v/>
      </c>
      <c r="B4593" s="89" t="str">
        <f t="shared" si="427"/>
        <v/>
      </c>
      <c r="S4593" s="89" t="str">
        <f t="shared" si="428"/>
        <v/>
      </c>
      <c r="X4593" s="64">
        <f t="shared" si="429"/>
        <v>0</v>
      </c>
      <c r="Y4593" s="53">
        <f t="shared" si="430"/>
        <v>0</v>
      </c>
      <c r="Z4593" s="64">
        <f t="shared" si="431"/>
        <v>0</v>
      </c>
    </row>
    <row r="4594" spans="1:26">
      <c r="A4594" s="89" t="str">
        <f t="shared" si="426"/>
        <v/>
      </c>
      <c r="B4594" s="89" t="str">
        <f t="shared" si="427"/>
        <v/>
      </c>
      <c r="S4594" s="89" t="str">
        <f t="shared" si="428"/>
        <v/>
      </c>
      <c r="X4594" s="64">
        <f t="shared" si="429"/>
        <v>0</v>
      </c>
      <c r="Y4594" s="53">
        <f t="shared" si="430"/>
        <v>0</v>
      </c>
      <c r="Z4594" s="64">
        <f t="shared" si="431"/>
        <v>0</v>
      </c>
    </row>
    <row r="4595" spans="1:26">
      <c r="A4595" s="89" t="str">
        <f t="shared" si="426"/>
        <v/>
      </c>
      <c r="B4595" s="89" t="str">
        <f t="shared" si="427"/>
        <v/>
      </c>
      <c r="S4595" s="89" t="str">
        <f t="shared" si="428"/>
        <v/>
      </c>
      <c r="X4595" s="64">
        <f t="shared" si="429"/>
        <v>0</v>
      </c>
      <c r="Y4595" s="53">
        <f t="shared" si="430"/>
        <v>0</v>
      </c>
      <c r="Z4595" s="64">
        <f t="shared" si="431"/>
        <v>0</v>
      </c>
    </row>
    <row r="4596" spans="1:26">
      <c r="A4596" s="89" t="str">
        <f t="shared" si="426"/>
        <v/>
      </c>
      <c r="B4596" s="89" t="str">
        <f t="shared" si="427"/>
        <v/>
      </c>
      <c r="S4596" s="89" t="str">
        <f t="shared" si="428"/>
        <v/>
      </c>
      <c r="X4596" s="64">
        <f t="shared" si="429"/>
        <v>0</v>
      </c>
      <c r="Y4596" s="53">
        <f t="shared" si="430"/>
        <v>0</v>
      </c>
      <c r="Z4596" s="64">
        <f t="shared" si="431"/>
        <v>0</v>
      </c>
    </row>
    <row r="4597" spans="1:26">
      <c r="A4597" s="89" t="str">
        <f t="shared" si="426"/>
        <v/>
      </c>
      <c r="B4597" s="89" t="str">
        <f t="shared" si="427"/>
        <v/>
      </c>
      <c r="S4597" s="89" t="str">
        <f t="shared" si="428"/>
        <v/>
      </c>
      <c r="X4597" s="64">
        <f t="shared" si="429"/>
        <v>0</v>
      </c>
      <c r="Y4597" s="53">
        <f t="shared" si="430"/>
        <v>0</v>
      </c>
      <c r="Z4597" s="64">
        <f t="shared" si="431"/>
        <v>0</v>
      </c>
    </row>
    <row r="4598" spans="1:26">
      <c r="A4598" s="89" t="str">
        <f t="shared" si="426"/>
        <v/>
      </c>
      <c r="B4598" s="89" t="str">
        <f t="shared" si="427"/>
        <v/>
      </c>
      <c r="S4598" s="89" t="str">
        <f t="shared" si="428"/>
        <v/>
      </c>
      <c r="X4598" s="64">
        <f t="shared" si="429"/>
        <v>0</v>
      </c>
      <c r="Y4598" s="53">
        <f t="shared" si="430"/>
        <v>0</v>
      </c>
      <c r="Z4598" s="64">
        <f t="shared" si="431"/>
        <v>0</v>
      </c>
    </row>
    <row r="4599" spans="1:26">
      <c r="A4599" s="89" t="str">
        <f t="shared" si="426"/>
        <v/>
      </c>
      <c r="B4599" s="89" t="str">
        <f t="shared" si="427"/>
        <v/>
      </c>
      <c r="S4599" s="89" t="str">
        <f t="shared" si="428"/>
        <v/>
      </c>
      <c r="X4599" s="64">
        <f t="shared" si="429"/>
        <v>0</v>
      </c>
      <c r="Y4599" s="53">
        <f t="shared" si="430"/>
        <v>0</v>
      </c>
      <c r="Z4599" s="64">
        <f t="shared" si="431"/>
        <v>0</v>
      </c>
    </row>
    <row r="4600" spans="1:26">
      <c r="A4600" s="89" t="str">
        <f t="shared" si="426"/>
        <v/>
      </c>
      <c r="B4600" s="89" t="str">
        <f t="shared" si="427"/>
        <v/>
      </c>
      <c r="S4600" s="89" t="str">
        <f t="shared" si="428"/>
        <v/>
      </c>
      <c r="X4600" s="64">
        <f t="shared" si="429"/>
        <v>0</v>
      </c>
      <c r="Y4600" s="53">
        <f t="shared" si="430"/>
        <v>0</v>
      </c>
      <c r="Z4600" s="64">
        <f t="shared" si="431"/>
        <v>0</v>
      </c>
    </row>
    <row r="4601" spans="1:26">
      <c r="A4601" s="89" t="str">
        <f t="shared" si="426"/>
        <v/>
      </c>
      <c r="B4601" s="89" t="str">
        <f t="shared" si="427"/>
        <v/>
      </c>
      <c r="S4601" s="89" t="str">
        <f t="shared" si="428"/>
        <v/>
      </c>
      <c r="X4601" s="64">
        <f t="shared" si="429"/>
        <v>0</v>
      </c>
      <c r="Y4601" s="53">
        <f t="shared" si="430"/>
        <v>0</v>
      </c>
      <c r="Z4601" s="64">
        <f t="shared" si="431"/>
        <v>0</v>
      </c>
    </row>
    <row r="4602" spans="1:26">
      <c r="A4602" s="89" t="str">
        <f t="shared" si="426"/>
        <v/>
      </c>
      <c r="B4602" s="89" t="str">
        <f t="shared" si="427"/>
        <v/>
      </c>
      <c r="S4602" s="89" t="str">
        <f t="shared" si="428"/>
        <v/>
      </c>
      <c r="X4602" s="64">
        <f t="shared" si="429"/>
        <v>0</v>
      </c>
      <c r="Y4602" s="53">
        <f t="shared" si="430"/>
        <v>0</v>
      </c>
      <c r="Z4602" s="64">
        <f t="shared" si="431"/>
        <v>0</v>
      </c>
    </row>
    <row r="4603" spans="1:26">
      <c r="A4603" s="89" t="str">
        <f t="shared" si="426"/>
        <v/>
      </c>
      <c r="B4603" s="89" t="str">
        <f t="shared" si="427"/>
        <v/>
      </c>
      <c r="S4603" s="89" t="str">
        <f t="shared" si="428"/>
        <v/>
      </c>
      <c r="X4603" s="64">
        <f t="shared" si="429"/>
        <v>0</v>
      </c>
      <c r="Y4603" s="53">
        <f t="shared" si="430"/>
        <v>0</v>
      </c>
      <c r="Z4603" s="64">
        <f t="shared" si="431"/>
        <v>0</v>
      </c>
    </row>
    <row r="4604" spans="1:26">
      <c r="A4604" s="89" t="str">
        <f t="shared" si="426"/>
        <v/>
      </c>
      <c r="B4604" s="89" t="str">
        <f t="shared" si="427"/>
        <v/>
      </c>
      <c r="S4604" s="89" t="str">
        <f t="shared" si="428"/>
        <v/>
      </c>
      <c r="X4604" s="64">
        <f t="shared" si="429"/>
        <v>0</v>
      </c>
      <c r="Y4604" s="53">
        <f t="shared" si="430"/>
        <v>0</v>
      </c>
      <c r="Z4604" s="64">
        <f t="shared" si="431"/>
        <v>0</v>
      </c>
    </row>
    <row r="4605" spans="1:26">
      <c r="A4605" s="89" t="str">
        <f t="shared" si="426"/>
        <v/>
      </c>
      <c r="B4605" s="89" t="str">
        <f t="shared" si="427"/>
        <v/>
      </c>
      <c r="S4605" s="89" t="str">
        <f t="shared" si="428"/>
        <v/>
      </c>
      <c r="X4605" s="64">
        <f t="shared" si="429"/>
        <v>0</v>
      </c>
      <c r="Y4605" s="53">
        <f t="shared" si="430"/>
        <v>0</v>
      </c>
      <c r="Z4605" s="64">
        <f t="shared" si="431"/>
        <v>0</v>
      </c>
    </row>
    <row r="4606" spans="1:26">
      <c r="A4606" s="89" t="str">
        <f t="shared" si="426"/>
        <v/>
      </c>
      <c r="B4606" s="89" t="str">
        <f t="shared" si="427"/>
        <v/>
      </c>
      <c r="S4606" s="89" t="str">
        <f t="shared" si="428"/>
        <v/>
      </c>
      <c r="X4606" s="64">
        <f t="shared" si="429"/>
        <v>0</v>
      </c>
      <c r="Y4606" s="53">
        <f t="shared" si="430"/>
        <v>0</v>
      </c>
      <c r="Z4606" s="64">
        <f t="shared" si="431"/>
        <v>0</v>
      </c>
    </row>
    <row r="4607" spans="1:26">
      <c r="A4607" s="89" t="str">
        <f t="shared" si="426"/>
        <v/>
      </c>
      <c r="B4607" s="89" t="str">
        <f t="shared" si="427"/>
        <v/>
      </c>
      <c r="S4607" s="89" t="str">
        <f t="shared" si="428"/>
        <v/>
      </c>
      <c r="X4607" s="64">
        <f t="shared" si="429"/>
        <v>0</v>
      </c>
      <c r="Y4607" s="53">
        <f t="shared" si="430"/>
        <v>0</v>
      </c>
      <c r="Z4607" s="64">
        <f t="shared" si="431"/>
        <v>0</v>
      </c>
    </row>
    <row r="4608" spans="1:26">
      <c r="A4608" s="89" t="str">
        <f t="shared" si="426"/>
        <v/>
      </c>
      <c r="B4608" s="89" t="str">
        <f t="shared" si="427"/>
        <v/>
      </c>
      <c r="S4608" s="89" t="str">
        <f t="shared" si="428"/>
        <v/>
      </c>
      <c r="X4608" s="64">
        <f t="shared" si="429"/>
        <v>0</v>
      </c>
      <c r="Y4608" s="53">
        <f t="shared" si="430"/>
        <v>0</v>
      </c>
      <c r="Z4608" s="64">
        <f t="shared" si="431"/>
        <v>0</v>
      </c>
    </row>
    <row r="4609" spans="1:26">
      <c r="A4609" s="89" t="str">
        <f t="shared" si="426"/>
        <v/>
      </c>
      <c r="B4609" s="89" t="str">
        <f t="shared" si="427"/>
        <v/>
      </c>
      <c r="S4609" s="89" t="str">
        <f t="shared" si="428"/>
        <v/>
      </c>
      <c r="X4609" s="64">
        <f t="shared" si="429"/>
        <v>0</v>
      </c>
      <c r="Y4609" s="53">
        <f t="shared" si="430"/>
        <v>0</v>
      </c>
      <c r="Z4609" s="64">
        <f t="shared" si="431"/>
        <v>0</v>
      </c>
    </row>
    <row r="4610" spans="1:26">
      <c r="A4610" s="89" t="str">
        <f t="shared" si="426"/>
        <v/>
      </c>
      <c r="B4610" s="89" t="str">
        <f t="shared" si="427"/>
        <v/>
      </c>
      <c r="S4610" s="89" t="str">
        <f t="shared" si="428"/>
        <v/>
      </c>
      <c r="X4610" s="64">
        <f t="shared" si="429"/>
        <v>0</v>
      </c>
      <c r="Y4610" s="53">
        <f t="shared" si="430"/>
        <v>0</v>
      </c>
      <c r="Z4610" s="64">
        <f t="shared" si="431"/>
        <v>0</v>
      </c>
    </row>
    <row r="4611" spans="1:26">
      <c r="A4611" s="89" t="str">
        <f t="shared" ref="A4611:A4674" si="432">IF(G4611&amp;Q4611&lt;&gt;"",G4611&amp;Q4611,"")</f>
        <v/>
      </c>
      <c r="B4611" s="89" t="str">
        <f t="shared" ref="B4611:B4674" si="433">IF(C4611&lt;&gt;"",LEFT(C4611,9),"")</f>
        <v/>
      </c>
      <c r="S4611" s="89" t="str">
        <f t="shared" ref="S4611:S4674" si="434">IF(H4611&lt;&gt;"",H4611,"")</f>
        <v/>
      </c>
      <c r="X4611" s="64">
        <f t="shared" ref="X4611:X4674" si="435">IFERROR(VALUE(MID($C4611,1,2)),0)</f>
        <v>0</v>
      </c>
      <c r="Y4611" s="53">
        <f t="shared" ref="Y4611:Y4674" si="436">IFERROR(VALUE(MID($C4611,4,3)),0)</f>
        <v>0</v>
      </c>
      <c r="Z4611" s="64">
        <f t="shared" ref="Z4611:Z4674" si="437">VALUE(RIGHT("00"&amp;X4611,2)&amp;RIGHT("000"&amp;Y4611,3))</f>
        <v>0</v>
      </c>
    </row>
    <row r="4612" spans="1:26">
      <c r="A4612" s="89" t="str">
        <f t="shared" si="432"/>
        <v/>
      </c>
      <c r="B4612" s="89" t="str">
        <f t="shared" si="433"/>
        <v/>
      </c>
      <c r="S4612" s="89" t="str">
        <f t="shared" si="434"/>
        <v/>
      </c>
      <c r="X4612" s="64">
        <f t="shared" si="435"/>
        <v>0</v>
      </c>
      <c r="Y4612" s="53">
        <f t="shared" si="436"/>
        <v>0</v>
      </c>
      <c r="Z4612" s="64">
        <f t="shared" si="437"/>
        <v>0</v>
      </c>
    </row>
    <row r="4613" spans="1:26">
      <c r="A4613" s="89" t="str">
        <f t="shared" si="432"/>
        <v/>
      </c>
      <c r="B4613" s="89" t="str">
        <f t="shared" si="433"/>
        <v/>
      </c>
      <c r="S4613" s="89" t="str">
        <f t="shared" si="434"/>
        <v/>
      </c>
      <c r="X4613" s="64">
        <f t="shared" si="435"/>
        <v>0</v>
      </c>
      <c r="Y4613" s="53">
        <f t="shared" si="436"/>
        <v>0</v>
      </c>
      <c r="Z4613" s="64">
        <f t="shared" si="437"/>
        <v>0</v>
      </c>
    </row>
    <row r="4614" spans="1:26">
      <c r="A4614" s="89" t="str">
        <f t="shared" si="432"/>
        <v/>
      </c>
      <c r="B4614" s="89" t="str">
        <f t="shared" si="433"/>
        <v/>
      </c>
      <c r="S4614" s="89" t="str">
        <f t="shared" si="434"/>
        <v/>
      </c>
      <c r="X4614" s="64">
        <f t="shared" si="435"/>
        <v>0</v>
      </c>
      <c r="Y4614" s="53">
        <f t="shared" si="436"/>
        <v>0</v>
      </c>
      <c r="Z4614" s="64">
        <f t="shared" si="437"/>
        <v>0</v>
      </c>
    </row>
    <row r="4615" spans="1:26">
      <c r="A4615" s="89" t="str">
        <f t="shared" si="432"/>
        <v/>
      </c>
      <c r="B4615" s="89" t="str">
        <f t="shared" si="433"/>
        <v/>
      </c>
      <c r="S4615" s="89" t="str">
        <f t="shared" si="434"/>
        <v/>
      </c>
      <c r="X4615" s="64">
        <f t="shared" si="435"/>
        <v>0</v>
      </c>
      <c r="Y4615" s="53">
        <f t="shared" si="436"/>
        <v>0</v>
      </c>
      <c r="Z4615" s="64">
        <f t="shared" si="437"/>
        <v>0</v>
      </c>
    </row>
    <row r="4616" spans="1:26">
      <c r="A4616" s="89" t="str">
        <f t="shared" si="432"/>
        <v/>
      </c>
      <c r="B4616" s="89" t="str">
        <f t="shared" si="433"/>
        <v/>
      </c>
      <c r="S4616" s="89" t="str">
        <f t="shared" si="434"/>
        <v/>
      </c>
      <c r="X4616" s="64">
        <f t="shared" si="435"/>
        <v>0</v>
      </c>
      <c r="Y4616" s="53">
        <f t="shared" si="436"/>
        <v>0</v>
      </c>
      <c r="Z4616" s="64">
        <f t="shared" si="437"/>
        <v>0</v>
      </c>
    </row>
    <row r="4617" spans="1:26">
      <c r="A4617" s="89" t="str">
        <f t="shared" si="432"/>
        <v/>
      </c>
      <c r="B4617" s="89" t="str">
        <f t="shared" si="433"/>
        <v/>
      </c>
      <c r="S4617" s="89" t="str">
        <f t="shared" si="434"/>
        <v/>
      </c>
      <c r="X4617" s="64">
        <f t="shared" si="435"/>
        <v>0</v>
      </c>
      <c r="Y4617" s="53">
        <f t="shared" si="436"/>
        <v>0</v>
      </c>
      <c r="Z4617" s="64">
        <f t="shared" si="437"/>
        <v>0</v>
      </c>
    </row>
    <row r="4618" spans="1:26">
      <c r="A4618" s="89" t="str">
        <f t="shared" si="432"/>
        <v/>
      </c>
      <c r="B4618" s="89" t="str">
        <f t="shared" si="433"/>
        <v/>
      </c>
      <c r="S4618" s="89" t="str">
        <f t="shared" si="434"/>
        <v/>
      </c>
      <c r="X4618" s="64">
        <f t="shared" si="435"/>
        <v>0</v>
      </c>
      <c r="Y4618" s="53">
        <f t="shared" si="436"/>
        <v>0</v>
      </c>
      <c r="Z4618" s="64">
        <f t="shared" si="437"/>
        <v>0</v>
      </c>
    </row>
    <row r="4619" spans="1:26">
      <c r="A4619" s="89" t="str">
        <f t="shared" si="432"/>
        <v/>
      </c>
      <c r="B4619" s="89" t="str">
        <f t="shared" si="433"/>
        <v/>
      </c>
      <c r="S4619" s="89" t="str">
        <f t="shared" si="434"/>
        <v/>
      </c>
      <c r="X4619" s="64">
        <f t="shared" si="435"/>
        <v>0</v>
      </c>
      <c r="Y4619" s="53">
        <f t="shared" si="436"/>
        <v>0</v>
      </c>
      <c r="Z4619" s="64">
        <f t="shared" si="437"/>
        <v>0</v>
      </c>
    </row>
    <row r="4620" spans="1:26">
      <c r="A4620" s="89" t="str">
        <f t="shared" si="432"/>
        <v/>
      </c>
      <c r="B4620" s="89" t="str">
        <f t="shared" si="433"/>
        <v/>
      </c>
      <c r="S4620" s="89" t="str">
        <f t="shared" si="434"/>
        <v/>
      </c>
      <c r="X4620" s="64">
        <f t="shared" si="435"/>
        <v>0</v>
      </c>
      <c r="Y4620" s="53">
        <f t="shared" si="436"/>
        <v>0</v>
      </c>
      <c r="Z4620" s="64">
        <f t="shared" si="437"/>
        <v>0</v>
      </c>
    </row>
    <row r="4621" spans="1:26">
      <c r="A4621" s="89" t="str">
        <f t="shared" si="432"/>
        <v/>
      </c>
      <c r="B4621" s="89" t="str">
        <f t="shared" si="433"/>
        <v/>
      </c>
      <c r="S4621" s="89" t="str">
        <f t="shared" si="434"/>
        <v/>
      </c>
      <c r="X4621" s="64">
        <f t="shared" si="435"/>
        <v>0</v>
      </c>
      <c r="Y4621" s="53">
        <f t="shared" si="436"/>
        <v>0</v>
      </c>
      <c r="Z4621" s="64">
        <f t="shared" si="437"/>
        <v>0</v>
      </c>
    </row>
    <row r="4622" spans="1:26">
      <c r="A4622" s="89" t="str">
        <f t="shared" si="432"/>
        <v/>
      </c>
      <c r="B4622" s="89" t="str">
        <f t="shared" si="433"/>
        <v/>
      </c>
      <c r="S4622" s="89" t="str">
        <f t="shared" si="434"/>
        <v/>
      </c>
      <c r="X4622" s="64">
        <f t="shared" si="435"/>
        <v>0</v>
      </c>
      <c r="Y4622" s="53">
        <f t="shared" si="436"/>
        <v>0</v>
      </c>
      <c r="Z4622" s="64">
        <f t="shared" si="437"/>
        <v>0</v>
      </c>
    </row>
    <row r="4623" spans="1:26">
      <c r="A4623" s="89" t="str">
        <f t="shared" si="432"/>
        <v/>
      </c>
      <c r="B4623" s="89" t="str">
        <f t="shared" si="433"/>
        <v/>
      </c>
      <c r="S4623" s="89" t="str">
        <f t="shared" si="434"/>
        <v/>
      </c>
      <c r="X4623" s="64">
        <f t="shared" si="435"/>
        <v>0</v>
      </c>
      <c r="Y4623" s="53">
        <f t="shared" si="436"/>
        <v>0</v>
      </c>
      <c r="Z4623" s="64">
        <f t="shared" si="437"/>
        <v>0</v>
      </c>
    </row>
    <row r="4624" spans="1:26">
      <c r="A4624" s="89" t="str">
        <f t="shared" si="432"/>
        <v/>
      </c>
      <c r="B4624" s="89" t="str">
        <f t="shared" si="433"/>
        <v/>
      </c>
      <c r="S4624" s="89" t="str">
        <f t="shared" si="434"/>
        <v/>
      </c>
      <c r="X4624" s="64">
        <f t="shared" si="435"/>
        <v>0</v>
      </c>
      <c r="Y4624" s="53">
        <f t="shared" si="436"/>
        <v>0</v>
      </c>
      <c r="Z4624" s="64">
        <f t="shared" si="437"/>
        <v>0</v>
      </c>
    </row>
    <row r="4625" spans="1:26">
      <c r="A4625" s="89" t="str">
        <f t="shared" si="432"/>
        <v/>
      </c>
      <c r="B4625" s="89" t="str">
        <f t="shared" si="433"/>
        <v/>
      </c>
      <c r="S4625" s="89" t="str">
        <f t="shared" si="434"/>
        <v/>
      </c>
      <c r="X4625" s="64">
        <f t="shared" si="435"/>
        <v>0</v>
      </c>
      <c r="Y4625" s="53">
        <f t="shared" si="436"/>
        <v>0</v>
      </c>
      <c r="Z4625" s="64">
        <f t="shared" si="437"/>
        <v>0</v>
      </c>
    </row>
    <row r="4626" spans="1:26">
      <c r="A4626" s="89" t="str">
        <f t="shared" si="432"/>
        <v/>
      </c>
      <c r="B4626" s="89" t="str">
        <f t="shared" si="433"/>
        <v/>
      </c>
      <c r="S4626" s="89" t="str">
        <f t="shared" si="434"/>
        <v/>
      </c>
      <c r="X4626" s="64">
        <f t="shared" si="435"/>
        <v>0</v>
      </c>
      <c r="Y4626" s="53">
        <f t="shared" si="436"/>
        <v>0</v>
      </c>
      <c r="Z4626" s="64">
        <f t="shared" si="437"/>
        <v>0</v>
      </c>
    </row>
    <row r="4627" spans="1:26">
      <c r="A4627" s="89" t="str">
        <f t="shared" si="432"/>
        <v/>
      </c>
      <c r="B4627" s="89" t="str">
        <f t="shared" si="433"/>
        <v/>
      </c>
      <c r="S4627" s="89" t="str">
        <f t="shared" si="434"/>
        <v/>
      </c>
      <c r="X4627" s="64">
        <f t="shared" si="435"/>
        <v>0</v>
      </c>
      <c r="Y4627" s="53">
        <f t="shared" si="436"/>
        <v>0</v>
      </c>
      <c r="Z4627" s="64">
        <f t="shared" si="437"/>
        <v>0</v>
      </c>
    </row>
    <row r="4628" spans="1:26">
      <c r="A4628" s="89" t="str">
        <f t="shared" si="432"/>
        <v/>
      </c>
      <c r="B4628" s="89" t="str">
        <f t="shared" si="433"/>
        <v/>
      </c>
      <c r="S4628" s="89" t="str">
        <f t="shared" si="434"/>
        <v/>
      </c>
      <c r="X4628" s="64">
        <f t="shared" si="435"/>
        <v>0</v>
      </c>
      <c r="Y4628" s="53">
        <f t="shared" si="436"/>
        <v>0</v>
      </c>
      <c r="Z4628" s="64">
        <f t="shared" si="437"/>
        <v>0</v>
      </c>
    </row>
    <row r="4629" spans="1:26">
      <c r="A4629" s="89" t="str">
        <f t="shared" si="432"/>
        <v/>
      </c>
      <c r="B4629" s="89" t="str">
        <f t="shared" si="433"/>
        <v/>
      </c>
      <c r="S4629" s="89" t="str">
        <f t="shared" si="434"/>
        <v/>
      </c>
      <c r="X4629" s="64">
        <f t="shared" si="435"/>
        <v>0</v>
      </c>
      <c r="Y4629" s="53">
        <f t="shared" si="436"/>
        <v>0</v>
      </c>
      <c r="Z4629" s="64">
        <f t="shared" si="437"/>
        <v>0</v>
      </c>
    </row>
    <row r="4630" spans="1:26">
      <c r="A4630" s="89" t="str">
        <f t="shared" si="432"/>
        <v/>
      </c>
      <c r="B4630" s="89" t="str">
        <f t="shared" si="433"/>
        <v/>
      </c>
      <c r="S4630" s="89" t="str">
        <f t="shared" si="434"/>
        <v/>
      </c>
      <c r="X4630" s="64">
        <f t="shared" si="435"/>
        <v>0</v>
      </c>
      <c r="Y4630" s="53">
        <f t="shared" si="436"/>
        <v>0</v>
      </c>
      <c r="Z4630" s="64">
        <f t="shared" si="437"/>
        <v>0</v>
      </c>
    </row>
    <row r="4631" spans="1:26">
      <c r="A4631" s="89" t="str">
        <f t="shared" si="432"/>
        <v/>
      </c>
      <c r="B4631" s="89" t="str">
        <f t="shared" si="433"/>
        <v/>
      </c>
      <c r="S4631" s="89" t="str">
        <f t="shared" si="434"/>
        <v/>
      </c>
      <c r="X4631" s="64">
        <f t="shared" si="435"/>
        <v>0</v>
      </c>
      <c r="Y4631" s="53">
        <f t="shared" si="436"/>
        <v>0</v>
      </c>
      <c r="Z4631" s="64">
        <f t="shared" si="437"/>
        <v>0</v>
      </c>
    </row>
    <row r="4632" spans="1:26">
      <c r="A4632" s="89" t="str">
        <f t="shared" si="432"/>
        <v/>
      </c>
      <c r="B4632" s="89" t="str">
        <f t="shared" si="433"/>
        <v/>
      </c>
      <c r="S4632" s="89" t="str">
        <f t="shared" si="434"/>
        <v/>
      </c>
      <c r="X4632" s="64">
        <f t="shared" si="435"/>
        <v>0</v>
      </c>
      <c r="Y4632" s="53">
        <f t="shared" si="436"/>
        <v>0</v>
      </c>
      <c r="Z4632" s="64">
        <f t="shared" si="437"/>
        <v>0</v>
      </c>
    </row>
    <row r="4633" spans="1:26">
      <c r="A4633" s="89" t="str">
        <f t="shared" si="432"/>
        <v/>
      </c>
      <c r="B4633" s="89" t="str">
        <f t="shared" si="433"/>
        <v/>
      </c>
      <c r="S4633" s="89" t="str">
        <f t="shared" si="434"/>
        <v/>
      </c>
      <c r="X4633" s="64">
        <f t="shared" si="435"/>
        <v>0</v>
      </c>
      <c r="Y4633" s="53">
        <f t="shared" si="436"/>
        <v>0</v>
      </c>
      <c r="Z4633" s="64">
        <f t="shared" si="437"/>
        <v>0</v>
      </c>
    </row>
    <row r="4634" spans="1:26">
      <c r="A4634" s="89" t="str">
        <f t="shared" si="432"/>
        <v/>
      </c>
      <c r="B4634" s="89" t="str">
        <f t="shared" si="433"/>
        <v/>
      </c>
      <c r="S4634" s="89" t="str">
        <f t="shared" si="434"/>
        <v/>
      </c>
      <c r="X4634" s="64">
        <f t="shared" si="435"/>
        <v>0</v>
      </c>
      <c r="Y4634" s="53">
        <f t="shared" si="436"/>
        <v>0</v>
      </c>
      <c r="Z4634" s="64">
        <f t="shared" si="437"/>
        <v>0</v>
      </c>
    </row>
    <row r="4635" spans="1:26">
      <c r="A4635" s="89" t="str">
        <f t="shared" si="432"/>
        <v/>
      </c>
      <c r="B4635" s="89" t="str">
        <f t="shared" si="433"/>
        <v/>
      </c>
      <c r="S4635" s="89" t="str">
        <f t="shared" si="434"/>
        <v/>
      </c>
      <c r="X4635" s="64">
        <f t="shared" si="435"/>
        <v>0</v>
      </c>
      <c r="Y4635" s="53">
        <f t="shared" si="436"/>
        <v>0</v>
      </c>
      <c r="Z4635" s="64">
        <f t="shared" si="437"/>
        <v>0</v>
      </c>
    </row>
    <row r="4636" spans="1:26">
      <c r="A4636" s="89" t="str">
        <f t="shared" si="432"/>
        <v/>
      </c>
      <c r="B4636" s="89" t="str">
        <f t="shared" si="433"/>
        <v/>
      </c>
      <c r="S4636" s="89" t="str">
        <f t="shared" si="434"/>
        <v/>
      </c>
      <c r="X4636" s="64">
        <f t="shared" si="435"/>
        <v>0</v>
      </c>
      <c r="Y4636" s="53">
        <f t="shared" si="436"/>
        <v>0</v>
      </c>
      <c r="Z4636" s="64">
        <f t="shared" si="437"/>
        <v>0</v>
      </c>
    </row>
    <row r="4637" spans="1:26">
      <c r="A4637" s="89" t="str">
        <f t="shared" si="432"/>
        <v/>
      </c>
      <c r="B4637" s="89" t="str">
        <f t="shared" si="433"/>
        <v/>
      </c>
      <c r="S4637" s="89" t="str">
        <f t="shared" si="434"/>
        <v/>
      </c>
      <c r="X4637" s="64">
        <f t="shared" si="435"/>
        <v>0</v>
      </c>
      <c r="Y4637" s="53">
        <f t="shared" si="436"/>
        <v>0</v>
      </c>
      <c r="Z4637" s="64">
        <f t="shared" si="437"/>
        <v>0</v>
      </c>
    </row>
    <row r="4638" spans="1:26">
      <c r="A4638" s="89" t="str">
        <f t="shared" si="432"/>
        <v/>
      </c>
      <c r="B4638" s="89" t="str">
        <f t="shared" si="433"/>
        <v/>
      </c>
      <c r="S4638" s="89" t="str">
        <f t="shared" si="434"/>
        <v/>
      </c>
      <c r="X4638" s="64">
        <f t="shared" si="435"/>
        <v>0</v>
      </c>
      <c r="Y4638" s="53">
        <f t="shared" si="436"/>
        <v>0</v>
      </c>
      <c r="Z4638" s="64">
        <f t="shared" si="437"/>
        <v>0</v>
      </c>
    </row>
    <row r="4639" spans="1:26">
      <c r="A4639" s="89" t="str">
        <f t="shared" si="432"/>
        <v/>
      </c>
      <c r="B4639" s="89" t="str">
        <f t="shared" si="433"/>
        <v/>
      </c>
      <c r="S4639" s="89" t="str">
        <f t="shared" si="434"/>
        <v/>
      </c>
      <c r="X4639" s="64">
        <f t="shared" si="435"/>
        <v>0</v>
      </c>
      <c r="Y4639" s="53">
        <f t="shared" si="436"/>
        <v>0</v>
      </c>
      <c r="Z4639" s="64">
        <f t="shared" si="437"/>
        <v>0</v>
      </c>
    </row>
    <row r="4640" spans="1:26">
      <c r="A4640" s="89" t="str">
        <f t="shared" si="432"/>
        <v/>
      </c>
      <c r="B4640" s="89" t="str">
        <f t="shared" si="433"/>
        <v/>
      </c>
      <c r="S4640" s="89" t="str">
        <f t="shared" si="434"/>
        <v/>
      </c>
      <c r="X4640" s="64">
        <f t="shared" si="435"/>
        <v>0</v>
      </c>
      <c r="Y4640" s="53">
        <f t="shared" si="436"/>
        <v>0</v>
      </c>
      <c r="Z4640" s="64">
        <f t="shared" si="437"/>
        <v>0</v>
      </c>
    </row>
    <row r="4641" spans="1:26">
      <c r="A4641" s="89" t="str">
        <f t="shared" si="432"/>
        <v/>
      </c>
      <c r="B4641" s="89" t="str">
        <f t="shared" si="433"/>
        <v/>
      </c>
      <c r="S4641" s="89" t="str">
        <f t="shared" si="434"/>
        <v/>
      </c>
      <c r="X4641" s="64">
        <f t="shared" si="435"/>
        <v>0</v>
      </c>
      <c r="Y4641" s="53">
        <f t="shared" si="436"/>
        <v>0</v>
      </c>
      <c r="Z4641" s="64">
        <f t="shared" si="437"/>
        <v>0</v>
      </c>
    </row>
    <row r="4642" spans="1:26">
      <c r="A4642" s="89" t="str">
        <f t="shared" si="432"/>
        <v/>
      </c>
      <c r="B4642" s="89" t="str">
        <f t="shared" si="433"/>
        <v/>
      </c>
      <c r="S4642" s="89" t="str">
        <f t="shared" si="434"/>
        <v/>
      </c>
      <c r="X4642" s="64">
        <f t="shared" si="435"/>
        <v>0</v>
      </c>
      <c r="Y4642" s="53">
        <f t="shared" si="436"/>
        <v>0</v>
      </c>
      <c r="Z4642" s="64">
        <f t="shared" si="437"/>
        <v>0</v>
      </c>
    </row>
    <row r="4643" spans="1:26">
      <c r="A4643" s="89" t="str">
        <f t="shared" si="432"/>
        <v/>
      </c>
      <c r="B4643" s="89" t="str">
        <f t="shared" si="433"/>
        <v/>
      </c>
      <c r="S4643" s="89" t="str">
        <f t="shared" si="434"/>
        <v/>
      </c>
      <c r="X4643" s="64">
        <f t="shared" si="435"/>
        <v>0</v>
      </c>
      <c r="Y4643" s="53">
        <f t="shared" si="436"/>
        <v>0</v>
      </c>
      <c r="Z4643" s="64">
        <f t="shared" si="437"/>
        <v>0</v>
      </c>
    </row>
    <row r="4644" spans="1:26">
      <c r="A4644" s="89" t="str">
        <f t="shared" si="432"/>
        <v/>
      </c>
      <c r="B4644" s="89" t="str">
        <f t="shared" si="433"/>
        <v/>
      </c>
      <c r="S4644" s="89" t="str">
        <f t="shared" si="434"/>
        <v/>
      </c>
      <c r="X4644" s="64">
        <f t="shared" si="435"/>
        <v>0</v>
      </c>
      <c r="Y4644" s="53">
        <f t="shared" si="436"/>
        <v>0</v>
      </c>
      <c r="Z4644" s="64">
        <f t="shared" si="437"/>
        <v>0</v>
      </c>
    </row>
    <row r="4645" spans="1:26">
      <c r="A4645" s="89" t="str">
        <f t="shared" si="432"/>
        <v/>
      </c>
      <c r="B4645" s="89" t="str">
        <f t="shared" si="433"/>
        <v/>
      </c>
      <c r="S4645" s="89" t="str">
        <f t="shared" si="434"/>
        <v/>
      </c>
      <c r="X4645" s="64">
        <f t="shared" si="435"/>
        <v>0</v>
      </c>
      <c r="Y4645" s="53">
        <f t="shared" si="436"/>
        <v>0</v>
      </c>
      <c r="Z4645" s="64">
        <f t="shared" si="437"/>
        <v>0</v>
      </c>
    </row>
    <row r="4646" spans="1:26">
      <c r="A4646" s="89" t="str">
        <f t="shared" si="432"/>
        <v/>
      </c>
      <c r="B4646" s="89" t="str">
        <f t="shared" si="433"/>
        <v/>
      </c>
      <c r="S4646" s="89" t="str">
        <f t="shared" si="434"/>
        <v/>
      </c>
      <c r="X4646" s="64">
        <f t="shared" si="435"/>
        <v>0</v>
      </c>
      <c r="Y4646" s="53">
        <f t="shared" si="436"/>
        <v>0</v>
      </c>
      <c r="Z4646" s="64">
        <f t="shared" si="437"/>
        <v>0</v>
      </c>
    </row>
    <row r="4647" spans="1:26">
      <c r="A4647" s="89" t="str">
        <f t="shared" si="432"/>
        <v/>
      </c>
      <c r="B4647" s="89" t="str">
        <f t="shared" si="433"/>
        <v/>
      </c>
      <c r="S4647" s="89" t="str">
        <f t="shared" si="434"/>
        <v/>
      </c>
      <c r="X4647" s="64">
        <f t="shared" si="435"/>
        <v>0</v>
      </c>
      <c r="Y4647" s="53">
        <f t="shared" si="436"/>
        <v>0</v>
      </c>
      <c r="Z4647" s="64">
        <f t="shared" si="437"/>
        <v>0</v>
      </c>
    </row>
    <row r="4648" spans="1:26">
      <c r="A4648" s="89" t="str">
        <f t="shared" si="432"/>
        <v/>
      </c>
      <c r="B4648" s="89" t="str">
        <f t="shared" si="433"/>
        <v/>
      </c>
      <c r="S4648" s="89" t="str">
        <f t="shared" si="434"/>
        <v/>
      </c>
      <c r="X4648" s="64">
        <f t="shared" si="435"/>
        <v>0</v>
      </c>
      <c r="Y4648" s="53">
        <f t="shared" si="436"/>
        <v>0</v>
      </c>
      <c r="Z4648" s="64">
        <f t="shared" si="437"/>
        <v>0</v>
      </c>
    </row>
    <row r="4649" spans="1:26">
      <c r="A4649" s="89" t="str">
        <f t="shared" si="432"/>
        <v/>
      </c>
      <c r="B4649" s="89" t="str">
        <f t="shared" si="433"/>
        <v/>
      </c>
      <c r="S4649" s="89" t="str">
        <f t="shared" si="434"/>
        <v/>
      </c>
      <c r="X4649" s="64">
        <f t="shared" si="435"/>
        <v>0</v>
      </c>
      <c r="Y4649" s="53">
        <f t="shared" si="436"/>
        <v>0</v>
      </c>
      <c r="Z4649" s="64">
        <f t="shared" si="437"/>
        <v>0</v>
      </c>
    </row>
    <row r="4650" spans="1:26">
      <c r="A4650" s="89" t="str">
        <f t="shared" si="432"/>
        <v/>
      </c>
      <c r="B4650" s="89" t="str">
        <f t="shared" si="433"/>
        <v/>
      </c>
      <c r="S4650" s="89" t="str">
        <f t="shared" si="434"/>
        <v/>
      </c>
      <c r="X4650" s="64">
        <f t="shared" si="435"/>
        <v>0</v>
      </c>
      <c r="Y4650" s="53">
        <f t="shared" si="436"/>
        <v>0</v>
      </c>
      <c r="Z4650" s="64">
        <f t="shared" si="437"/>
        <v>0</v>
      </c>
    </row>
    <row r="4651" spans="1:26">
      <c r="A4651" s="89" t="str">
        <f t="shared" si="432"/>
        <v/>
      </c>
      <c r="B4651" s="89" t="str">
        <f t="shared" si="433"/>
        <v/>
      </c>
      <c r="S4651" s="89" t="str">
        <f t="shared" si="434"/>
        <v/>
      </c>
      <c r="X4651" s="64">
        <f t="shared" si="435"/>
        <v>0</v>
      </c>
      <c r="Y4651" s="53">
        <f t="shared" si="436"/>
        <v>0</v>
      </c>
      <c r="Z4651" s="64">
        <f t="shared" si="437"/>
        <v>0</v>
      </c>
    </row>
    <row r="4652" spans="1:26">
      <c r="A4652" s="89" t="str">
        <f t="shared" si="432"/>
        <v/>
      </c>
      <c r="B4652" s="89" t="str">
        <f t="shared" si="433"/>
        <v/>
      </c>
      <c r="S4652" s="89" t="str">
        <f t="shared" si="434"/>
        <v/>
      </c>
      <c r="X4652" s="64">
        <f t="shared" si="435"/>
        <v>0</v>
      </c>
      <c r="Y4652" s="53">
        <f t="shared" si="436"/>
        <v>0</v>
      </c>
      <c r="Z4652" s="64">
        <f t="shared" si="437"/>
        <v>0</v>
      </c>
    </row>
    <row r="4653" spans="1:26">
      <c r="A4653" s="89" t="str">
        <f t="shared" si="432"/>
        <v/>
      </c>
      <c r="B4653" s="89" t="str">
        <f t="shared" si="433"/>
        <v/>
      </c>
      <c r="S4653" s="89" t="str">
        <f t="shared" si="434"/>
        <v/>
      </c>
      <c r="X4653" s="64">
        <f t="shared" si="435"/>
        <v>0</v>
      </c>
      <c r="Y4653" s="53">
        <f t="shared" si="436"/>
        <v>0</v>
      </c>
      <c r="Z4653" s="64">
        <f t="shared" si="437"/>
        <v>0</v>
      </c>
    </row>
    <row r="4654" spans="1:26">
      <c r="A4654" s="89" t="str">
        <f t="shared" si="432"/>
        <v/>
      </c>
      <c r="B4654" s="89" t="str">
        <f t="shared" si="433"/>
        <v/>
      </c>
      <c r="S4654" s="89" t="str">
        <f t="shared" si="434"/>
        <v/>
      </c>
      <c r="X4654" s="64">
        <f t="shared" si="435"/>
        <v>0</v>
      </c>
      <c r="Y4654" s="53">
        <f t="shared" si="436"/>
        <v>0</v>
      </c>
      <c r="Z4654" s="64">
        <f t="shared" si="437"/>
        <v>0</v>
      </c>
    </row>
    <row r="4655" spans="1:26">
      <c r="A4655" s="89" t="str">
        <f t="shared" si="432"/>
        <v/>
      </c>
      <c r="B4655" s="89" t="str">
        <f t="shared" si="433"/>
        <v/>
      </c>
      <c r="S4655" s="89" t="str">
        <f t="shared" si="434"/>
        <v/>
      </c>
      <c r="X4655" s="64">
        <f t="shared" si="435"/>
        <v>0</v>
      </c>
      <c r="Y4655" s="53">
        <f t="shared" si="436"/>
        <v>0</v>
      </c>
      <c r="Z4655" s="64">
        <f t="shared" si="437"/>
        <v>0</v>
      </c>
    </row>
    <row r="4656" spans="1:26">
      <c r="A4656" s="89" t="str">
        <f t="shared" si="432"/>
        <v/>
      </c>
      <c r="B4656" s="89" t="str">
        <f t="shared" si="433"/>
        <v/>
      </c>
      <c r="S4656" s="89" t="str">
        <f t="shared" si="434"/>
        <v/>
      </c>
      <c r="X4656" s="64">
        <f t="shared" si="435"/>
        <v>0</v>
      </c>
      <c r="Y4656" s="53">
        <f t="shared" si="436"/>
        <v>0</v>
      </c>
      <c r="Z4656" s="64">
        <f t="shared" si="437"/>
        <v>0</v>
      </c>
    </row>
    <row r="4657" spans="1:26">
      <c r="A4657" s="89" t="str">
        <f t="shared" si="432"/>
        <v/>
      </c>
      <c r="B4657" s="89" t="str">
        <f t="shared" si="433"/>
        <v/>
      </c>
      <c r="S4657" s="89" t="str">
        <f t="shared" si="434"/>
        <v/>
      </c>
      <c r="X4657" s="64">
        <f t="shared" si="435"/>
        <v>0</v>
      </c>
      <c r="Y4657" s="53">
        <f t="shared" si="436"/>
        <v>0</v>
      </c>
      <c r="Z4657" s="64">
        <f t="shared" si="437"/>
        <v>0</v>
      </c>
    </row>
    <row r="4658" spans="1:26">
      <c r="A4658" s="89" t="str">
        <f t="shared" si="432"/>
        <v/>
      </c>
      <c r="B4658" s="89" t="str">
        <f t="shared" si="433"/>
        <v/>
      </c>
      <c r="S4658" s="89" t="str">
        <f t="shared" si="434"/>
        <v/>
      </c>
      <c r="X4658" s="64">
        <f t="shared" si="435"/>
        <v>0</v>
      </c>
      <c r="Y4658" s="53">
        <f t="shared" si="436"/>
        <v>0</v>
      </c>
      <c r="Z4658" s="64">
        <f t="shared" si="437"/>
        <v>0</v>
      </c>
    </row>
    <row r="4659" spans="1:26">
      <c r="A4659" s="89" t="str">
        <f t="shared" si="432"/>
        <v/>
      </c>
      <c r="B4659" s="89" t="str">
        <f t="shared" si="433"/>
        <v/>
      </c>
      <c r="S4659" s="89" t="str">
        <f t="shared" si="434"/>
        <v/>
      </c>
      <c r="X4659" s="64">
        <f t="shared" si="435"/>
        <v>0</v>
      </c>
      <c r="Y4659" s="53">
        <f t="shared" si="436"/>
        <v>0</v>
      </c>
      <c r="Z4659" s="64">
        <f t="shared" si="437"/>
        <v>0</v>
      </c>
    </row>
    <row r="4660" spans="1:26">
      <c r="A4660" s="89" t="str">
        <f t="shared" si="432"/>
        <v/>
      </c>
      <c r="B4660" s="89" t="str">
        <f t="shared" si="433"/>
        <v/>
      </c>
      <c r="S4660" s="89" t="str">
        <f t="shared" si="434"/>
        <v/>
      </c>
      <c r="X4660" s="64">
        <f t="shared" si="435"/>
        <v>0</v>
      </c>
      <c r="Y4660" s="53">
        <f t="shared" si="436"/>
        <v>0</v>
      </c>
      <c r="Z4660" s="64">
        <f t="shared" si="437"/>
        <v>0</v>
      </c>
    </row>
    <row r="4661" spans="1:26">
      <c r="A4661" s="89" t="str">
        <f t="shared" si="432"/>
        <v/>
      </c>
      <c r="B4661" s="89" t="str">
        <f t="shared" si="433"/>
        <v/>
      </c>
      <c r="S4661" s="89" t="str">
        <f t="shared" si="434"/>
        <v/>
      </c>
      <c r="X4661" s="64">
        <f t="shared" si="435"/>
        <v>0</v>
      </c>
      <c r="Y4661" s="53">
        <f t="shared" si="436"/>
        <v>0</v>
      </c>
      <c r="Z4661" s="64">
        <f t="shared" si="437"/>
        <v>0</v>
      </c>
    </row>
    <row r="4662" spans="1:26">
      <c r="A4662" s="89" t="str">
        <f t="shared" si="432"/>
        <v/>
      </c>
      <c r="B4662" s="89" t="str">
        <f t="shared" si="433"/>
        <v/>
      </c>
      <c r="S4662" s="89" t="str">
        <f t="shared" si="434"/>
        <v/>
      </c>
      <c r="X4662" s="64">
        <f t="shared" si="435"/>
        <v>0</v>
      </c>
      <c r="Y4662" s="53">
        <f t="shared" si="436"/>
        <v>0</v>
      </c>
      <c r="Z4662" s="64">
        <f t="shared" si="437"/>
        <v>0</v>
      </c>
    </row>
    <row r="4663" spans="1:26">
      <c r="A4663" s="89" t="str">
        <f t="shared" si="432"/>
        <v/>
      </c>
      <c r="B4663" s="89" t="str">
        <f t="shared" si="433"/>
        <v/>
      </c>
      <c r="S4663" s="89" t="str">
        <f t="shared" si="434"/>
        <v/>
      </c>
      <c r="X4663" s="64">
        <f t="shared" si="435"/>
        <v>0</v>
      </c>
      <c r="Y4663" s="53">
        <f t="shared" si="436"/>
        <v>0</v>
      </c>
      <c r="Z4663" s="64">
        <f t="shared" si="437"/>
        <v>0</v>
      </c>
    </row>
    <row r="4664" spans="1:26">
      <c r="A4664" s="89" t="str">
        <f t="shared" si="432"/>
        <v/>
      </c>
      <c r="B4664" s="89" t="str">
        <f t="shared" si="433"/>
        <v/>
      </c>
      <c r="S4664" s="89" t="str">
        <f t="shared" si="434"/>
        <v/>
      </c>
      <c r="X4664" s="64">
        <f t="shared" si="435"/>
        <v>0</v>
      </c>
      <c r="Y4664" s="53">
        <f t="shared" si="436"/>
        <v>0</v>
      </c>
      <c r="Z4664" s="64">
        <f t="shared" si="437"/>
        <v>0</v>
      </c>
    </row>
    <row r="4665" spans="1:26">
      <c r="A4665" s="89" t="str">
        <f t="shared" si="432"/>
        <v/>
      </c>
      <c r="B4665" s="89" t="str">
        <f t="shared" si="433"/>
        <v/>
      </c>
      <c r="S4665" s="89" t="str">
        <f t="shared" si="434"/>
        <v/>
      </c>
      <c r="X4665" s="64">
        <f t="shared" si="435"/>
        <v>0</v>
      </c>
      <c r="Y4665" s="53">
        <f t="shared" si="436"/>
        <v>0</v>
      </c>
      <c r="Z4665" s="64">
        <f t="shared" si="437"/>
        <v>0</v>
      </c>
    </row>
    <row r="4666" spans="1:26">
      <c r="A4666" s="89" t="str">
        <f t="shared" si="432"/>
        <v/>
      </c>
      <c r="B4666" s="89" t="str">
        <f t="shared" si="433"/>
        <v/>
      </c>
      <c r="S4666" s="89" t="str">
        <f t="shared" si="434"/>
        <v/>
      </c>
      <c r="X4666" s="64">
        <f t="shared" si="435"/>
        <v>0</v>
      </c>
      <c r="Y4666" s="53">
        <f t="shared" si="436"/>
        <v>0</v>
      </c>
      <c r="Z4666" s="64">
        <f t="shared" si="437"/>
        <v>0</v>
      </c>
    </row>
    <row r="4667" spans="1:26">
      <c r="A4667" s="89" t="str">
        <f t="shared" si="432"/>
        <v/>
      </c>
      <c r="B4667" s="89" t="str">
        <f t="shared" si="433"/>
        <v/>
      </c>
      <c r="S4667" s="89" t="str">
        <f t="shared" si="434"/>
        <v/>
      </c>
      <c r="X4667" s="64">
        <f t="shared" si="435"/>
        <v>0</v>
      </c>
      <c r="Y4667" s="53">
        <f t="shared" si="436"/>
        <v>0</v>
      </c>
      <c r="Z4667" s="64">
        <f t="shared" si="437"/>
        <v>0</v>
      </c>
    </row>
    <row r="4668" spans="1:26">
      <c r="A4668" s="89" t="str">
        <f t="shared" si="432"/>
        <v/>
      </c>
      <c r="B4668" s="89" t="str">
        <f t="shared" si="433"/>
        <v/>
      </c>
      <c r="S4668" s="89" t="str">
        <f t="shared" si="434"/>
        <v/>
      </c>
      <c r="X4668" s="64">
        <f t="shared" si="435"/>
        <v>0</v>
      </c>
      <c r="Y4668" s="53">
        <f t="shared" si="436"/>
        <v>0</v>
      </c>
      <c r="Z4668" s="64">
        <f t="shared" si="437"/>
        <v>0</v>
      </c>
    </row>
    <row r="4669" spans="1:26">
      <c r="A4669" s="89" t="str">
        <f t="shared" si="432"/>
        <v/>
      </c>
      <c r="B4669" s="89" t="str">
        <f t="shared" si="433"/>
        <v/>
      </c>
      <c r="S4669" s="89" t="str">
        <f t="shared" si="434"/>
        <v/>
      </c>
      <c r="X4669" s="64">
        <f t="shared" si="435"/>
        <v>0</v>
      </c>
      <c r="Y4669" s="53">
        <f t="shared" si="436"/>
        <v>0</v>
      </c>
      <c r="Z4669" s="64">
        <f t="shared" si="437"/>
        <v>0</v>
      </c>
    </row>
    <row r="4670" spans="1:26">
      <c r="A4670" s="89" t="str">
        <f t="shared" si="432"/>
        <v/>
      </c>
      <c r="B4670" s="89" t="str">
        <f t="shared" si="433"/>
        <v/>
      </c>
      <c r="S4670" s="89" t="str">
        <f t="shared" si="434"/>
        <v/>
      </c>
      <c r="X4670" s="64">
        <f t="shared" si="435"/>
        <v>0</v>
      </c>
      <c r="Y4670" s="53">
        <f t="shared" si="436"/>
        <v>0</v>
      </c>
      <c r="Z4670" s="64">
        <f t="shared" si="437"/>
        <v>0</v>
      </c>
    </row>
    <row r="4671" spans="1:26">
      <c r="A4671" s="89" t="str">
        <f t="shared" si="432"/>
        <v/>
      </c>
      <c r="B4671" s="89" t="str">
        <f t="shared" si="433"/>
        <v/>
      </c>
      <c r="S4671" s="89" t="str">
        <f t="shared" si="434"/>
        <v/>
      </c>
      <c r="X4671" s="64">
        <f t="shared" si="435"/>
        <v>0</v>
      </c>
      <c r="Y4671" s="53">
        <f t="shared" si="436"/>
        <v>0</v>
      </c>
      <c r="Z4671" s="64">
        <f t="shared" si="437"/>
        <v>0</v>
      </c>
    </row>
    <row r="4672" spans="1:26">
      <c r="A4672" s="89" t="str">
        <f t="shared" si="432"/>
        <v/>
      </c>
      <c r="B4672" s="89" t="str">
        <f t="shared" si="433"/>
        <v/>
      </c>
      <c r="S4672" s="89" t="str">
        <f t="shared" si="434"/>
        <v/>
      </c>
      <c r="X4672" s="64">
        <f t="shared" si="435"/>
        <v>0</v>
      </c>
      <c r="Y4672" s="53">
        <f t="shared" si="436"/>
        <v>0</v>
      </c>
      <c r="Z4672" s="64">
        <f t="shared" si="437"/>
        <v>0</v>
      </c>
    </row>
    <row r="4673" spans="1:26">
      <c r="A4673" s="89" t="str">
        <f t="shared" si="432"/>
        <v/>
      </c>
      <c r="B4673" s="89" t="str">
        <f t="shared" si="433"/>
        <v/>
      </c>
      <c r="S4673" s="89" t="str">
        <f t="shared" si="434"/>
        <v/>
      </c>
      <c r="X4673" s="64">
        <f t="shared" si="435"/>
        <v>0</v>
      </c>
      <c r="Y4673" s="53">
        <f t="shared" si="436"/>
        <v>0</v>
      </c>
      <c r="Z4673" s="64">
        <f t="shared" si="437"/>
        <v>0</v>
      </c>
    </row>
    <row r="4674" spans="1:26">
      <c r="A4674" s="89" t="str">
        <f t="shared" si="432"/>
        <v/>
      </c>
      <c r="B4674" s="89" t="str">
        <f t="shared" si="433"/>
        <v/>
      </c>
      <c r="S4674" s="89" t="str">
        <f t="shared" si="434"/>
        <v/>
      </c>
      <c r="X4674" s="64">
        <f t="shared" si="435"/>
        <v>0</v>
      </c>
      <c r="Y4674" s="53">
        <f t="shared" si="436"/>
        <v>0</v>
      </c>
      <c r="Z4674" s="64">
        <f t="shared" si="437"/>
        <v>0</v>
      </c>
    </row>
    <row r="4675" spans="1:26">
      <c r="A4675" s="89" t="str">
        <f t="shared" ref="A4675:A4738" si="438">IF(G4675&amp;Q4675&lt;&gt;"",G4675&amp;Q4675,"")</f>
        <v/>
      </c>
      <c r="B4675" s="89" t="str">
        <f t="shared" ref="B4675:B4738" si="439">IF(C4675&lt;&gt;"",LEFT(C4675,9),"")</f>
        <v/>
      </c>
      <c r="S4675" s="89" t="str">
        <f t="shared" ref="S4675:S4738" si="440">IF(H4675&lt;&gt;"",H4675,"")</f>
        <v/>
      </c>
      <c r="X4675" s="64">
        <f t="shared" ref="X4675:X4738" si="441">IFERROR(VALUE(MID($C4675,1,2)),0)</f>
        <v>0</v>
      </c>
      <c r="Y4675" s="53">
        <f t="shared" ref="Y4675:Y4738" si="442">IFERROR(VALUE(MID($C4675,4,3)),0)</f>
        <v>0</v>
      </c>
      <c r="Z4675" s="64">
        <f t="shared" ref="Z4675:Z4738" si="443">VALUE(RIGHT("00"&amp;X4675,2)&amp;RIGHT("000"&amp;Y4675,3))</f>
        <v>0</v>
      </c>
    </row>
    <row r="4676" spans="1:26">
      <c r="A4676" s="89" t="str">
        <f t="shared" si="438"/>
        <v/>
      </c>
      <c r="B4676" s="89" t="str">
        <f t="shared" si="439"/>
        <v/>
      </c>
      <c r="S4676" s="89" t="str">
        <f t="shared" si="440"/>
        <v/>
      </c>
      <c r="X4676" s="64">
        <f t="shared" si="441"/>
        <v>0</v>
      </c>
      <c r="Y4676" s="53">
        <f t="shared" si="442"/>
        <v>0</v>
      </c>
      <c r="Z4676" s="64">
        <f t="shared" si="443"/>
        <v>0</v>
      </c>
    </row>
    <row r="4677" spans="1:26">
      <c r="A4677" s="89" t="str">
        <f t="shared" si="438"/>
        <v/>
      </c>
      <c r="B4677" s="89" t="str">
        <f t="shared" si="439"/>
        <v/>
      </c>
      <c r="S4677" s="89" t="str">
        <f t="shared" si="440"/>
        <v/>
      </c>
      <c r="X4677" s="64">
        <f t="shared" si="441"/>
        <v>0</v>
      </c>
      <c r="Y4677" s="53">
        <f t="shared" si="442"/>
        <v>0</v>
      </c>
      <c r="Z4677" s="64">
        <f t="shared" si="443"/>
        <v>0</v>
      </c>
    </row>
    <row r="4678" spans="1:26">
      <c r="A4678" s="89" t="str">
        <f t="shared" si="438"/>
        <v/>
      </c>
      <c r="B4678" s="89" t="str">
        <f t="shared" si="439"/>
        <v/>
      </c>
      <c r="S4678" s="89" t="str">
        <f t="shared" si="440"/>
        <v/>
      </c>
      <c r="X4678" s="64">
        <f t="shared" si="441"/>
        <v>0</v>
      </c>
      <c r="Y4678" s="53">
        <f t="shared" si="442"/>
        <v>0</v>
      </c>
      <c r="Z4678" s="64">
        <f t="shared" si="443"/>
        <v>0</v>
      </c>
    </row>
    <row r="4679" spans="1:26">
      <c r="A4679" s="89" t="str">
        <f t="shared" si="438"/>
        <v/>
      </c>
      <c r="B4679" s="89" t="str">
        <f t="shared" si="439"/>
        <v/>
      </c>
      <c r="S4679" s="89" t="str">
        <f t="shared" si="440"/>
        <v/>
      </c>
      <c r="X4679" s="64">
        <f t="shared" si="441"/>
        <v>0</v>
      </c>
      <c r="Y4679" s="53">
        <f t="shared" si="442"/>
        <v>0</v>
      </c>
      <c r="Z4679" s="64">
        <f t="shared" si="443"/>
        <v>0</v>
      </c>
    </row>
    <row r="4680" spans="1:26">
      <c r="A4680" s="89" t="str">
        <f t="shared" si="438"/>
        <v/>
      </c>
      <c r="B4680" s="89" t="str">
        <f t="shared" si="439"/>
        <v/>
      </c>
      <c r="S4680" s="89" t="str">
        <f t="shared" si="440"/>
        <v/>
      </c>
      <c r="X4680" s="64">
        <f t="shared" si="441"/>
        <v>0</v>
      </c>
      <c r="Y4680" s="53">
        <f t="shared" si="442"/>
        <v>0</v>
      </c>
      <c r="Z4680" s="64">
        <f t="shared" si="443"/>
        <v>0</v>
      </c>
    </row>
    <row r="4681" spans="1:26">
      <c r="A4681" s="89" t="str">
        <f t="shared" si="438"/>
        <v/>
      </c>
      <c r="B4681" s="89" t="str">
        <f t="shared" si="439"/>
        <v/>
      </c>
      <c r="S4681" s="89" t="str">
        <f t="shared" si="440"/>
        <v/>
      </c>
      <c r="X4681" s="64">
        <f t="shared" si="441"/>
        <v>0</v>
      </c>
      <c r="Y4681" s="53">
        <f t="shared" si="442"/>
        <v>0</v>
      </c>
      <c r="Z4681" s="64">
        <f t="shared" si="443"/>
        <v>0</v>
      </c>
    </row>
    <row r="4682" spans="1:26">
      <c r="A4682" s="89" t="str">
        <f t="shared" si="438"/>
        <v/>
      </c>
      <c r="B4682" s="89" t="str">
        <f t="shared" si="439"/>
        <v/>
      </c>
      <c r="S4682" s="89" t="str">
        <f t="shared" si="440"/>
        <v/>
      </c>
      <c r="X4682" s="64">
        <f t="shared" si="441"/>
        <v>0</v>
      </c>
      <c r="Y4682" s="53">
        <f t="shared" si="442"/>
        <v>0</v>
      </c>
      <c r="Z4682" s="64">
        <f t="shared" si="443"/>
        <v>0</v>
      </c>
    </row>
    <row r="4683" spans="1:26">
      <c r="A4683" s="89" t="str">
        <f t="shared" si="438"/>
        <v/>
      </c>
      <c r="B4683" s="89" t="str">
        <f t="shared" si="439"/>
        <v/>
      </c>
      <c r="S4683" s="89" t="str">
        <f t="shared" si="440"/>
        <v/>
      </c>
      <c r="X4683" s="64">
        <f t="shared" si="441"/>
        <v>0</v>
      </c>
      <c r="Y4683" s="53">
        <f t="shared" si="442"/>
        <v>0</v>
      </c>
      <c r="Z4683" s="64">
        <f t="shared" si="443"/>
        <v>0</v>
      </c>
    </row>
    <row r="4684" spans="1:26">
      <c r="A4684" s="89" t="str">
        <f t="shared" si="438"/>
        <v/>
      </c>
      <c r="B4684" s="89" t="str">
        <f t="shared" si="439"/>
        <v/>
      </c>
      <c r="S4684" s="89" t="str">
        <f t="shared" si="440"/>
        <v/>
      </c>
      <c r="X4684" s="64">
        <f t="shared" si="441"/>
        <v>0</v>
      </c>
      <c r="Y4684" s="53">
        <f t="shared" si="442"/>
        <v>0</v>
      </c>
      <c r="Z4684" s="64">
        <f t="shared" si="443"/>
        <v>0</v>
      </c>
    </row>
    <row r="4685" spans="1:26">
      <c r="A4685" s="89" t="str">
        <f t="shared" si="438"/>
        <v/>
      </c>
      <c r="B4685" s="89" t="str">
        <f t="shared" si="439"/>
        <v/>
      </c>
      <c r="S4685" s="89" t="str">
        <f t="shared" si="440"/>
        <v/>
      </c>
      <c r="X4685" s="64">
        <f t="shared" si="441"/>
        <v>0</v>
      </c>
      <c r="Y4685" s="53">
        <f t="shared" si="442"/>
        <v>0</v>
      </c>
      <c r="Z4685" s="64">
        <f t="shared" si="443"/>
        <v>0</v>
      </c>
    </row>
    <row r="4686" spans="1:26">
      <c r="A4686" s="89" t="str">
        <f t="shared" si="438"/>
        <v/>
      </c>
      <c r="B4686" s="89" t="str">
        <f t="shared" si="439"/>
        <v/>
      </c>
      <c r="S4686" s="89" t="str">
        <f t="shared" si="440"/>
        <v/>
      </c>
      <c r="X4686" s="64">
        <f t="shared" si="441"/>
        <v>0</v>
      </c>
      <c r="Y4686" s="53">
        <f t="shared" si="442"/>
        <v>0</v>
      </c>
      <c r="Z4686" s="64">
        <f t="shared" si="443"/>
        <v>0</v>
      </c>
    </row>
    <row r="4687" spans="1:26">
      <c r="A4687" s="89" t="str">
        <f t="shared" si="438"/>
        <v/>
      </c>
      <c r="B4687" s="89" t="str">
        <f t="shared" si="439"/>
        <v/>
      </c>
      <c r="S4687" s="89" t="str">
        <f t="shared" si="440"/>
        <v/>
      </c>
      <c r="X4687" s="64">
        <f t="shared" si="441"/>
        <v>0</v>
      </c>
      <c r="Y4687" s="53">
        <f t="shared" si="442"/>
        <v>0</v>
      </c>
      <c r="Z4687" s="64">
        <f t="shared" si="443"/>
        <v>0</v>
      </c>
    </row>
    <row r="4688" spans="1:26">
      <c r="A4688" s="89" t="str">
        <f t="shared" si="438"/>
        <v/>
      </c>
      <c r="B4688" s="89" t="str">
        <f t="shared" si="439"/>
        <v/>
      </c>
      <c r="S4688" s="89" t="str">
        <f t="shared" si="440"/>
        <v/>
      </c>
      <c r="X4688" s="64">
        <f t="shared" si="441"/>
        <v>0</v>
      </c>
      <c r="Y4688" s="53">
        <f t="shared" si="442"/>
        <v>0</v>
      </c>
      <c r="Z4688" s="64">
        <f t="shared" si="443"/>
        <v>0</v>
      </c>
    </row>
    <row r="4689" spans="1:26">
      <c r="A4689" s="89" t="str">
        <f t="shared" si="438"/>
        <v/>
      </c>
      <c r="B4689" s="89" t="str">
        <f t="shared" si="439"/>
        <v/>
      </c>
      <c r="S4689" s="89" t="str">
        <f t="shared" si="440"/>
        <v/>
      </c>
      <c r="X4689" s="64">
        <f t="shared" si="441"/>
        <v>0</v>
      </c>
      <c r="Y4689" s="53">
        <f t="shared" si="442"/>
        <v>0</v>
      </c>
      <c r="Z4689" s="64">
        <f t="shared" si="443"/>
        <v>0</v>
      </c>
    </row>
    <row r="4690" spans="1:26">
      <c r="A4690" s="89" t="str">
        <f t="shared" si="438"/>
        <v/>
      </c>
      <c r="B4690" s="89" t="str">
        <f t="shared" si="439"/>
        <v/>
      </c>
      <c r="S4690" s="89" t="str">
        <f t="shared" si="440"/>
        <v/>
      </c>
      <c r="X4690" s="64">
        <f t="shared" si="441"/>
        <v>0</v>
      </c>
      <c r="Y4690" s="53">
        <f t="shared" si="442"/>
        <v>0</v>
      </c>
      <c r="Z4690" s="64">
        <f t="shared" si="443"/>
        <v>0</v>
      </c>
    </row>
    <row r="4691" spans="1:26">
      <c r="A4691" s="89" t="str">
        <f t="shared" si="438"/>
        <v/>
      </c>
      <c r="B4691" s="89" t="str">
        <f t="shared" si="439"/>
        <v/>
      </c>
      <c r="S4691" s="89" t="str">
        <f t="shared" si="440"/>
        <v/>
      </c>
      <c r="X4691" s="64">
        <f t="shared" si="441"/>
        <v>0</v>
      </c>
      <c r="Y4691" s="53">
        <f t="shared" si="442"/>
        <v>0</v>
      </c>
      <c r="Z4691" s="64">
        <f t="shared" si="443"/>
        <v>0</v>
      </c>
    </row>
    <row r="4692" spans="1:26">
      <c r="A4692" s="89" t="str">
        <f t="shared" si="438"/>
        <v/>
      </c>
      <c r="B4692" s="89" t="str">
        <f t="shared" si="439"/>
        <v/>
      </c>
      <c r="S4692" s="89" t="str">
        <f t="shared" si="440"/>
        <v/>
      </c>
      <c r="X4692" s="64">
        <f t="shared" si="441"/>
        <v>0</v>
      </c>
      <c r="Y4692" s="53">
        <f t="shared" si="442"/>
        <v>0</v>
      </c>
      <c r="Z4692" s="64">
        <f t="shared" si="443"/>
        <v>0</v>
      </c>
    </row>
    <row r="4693" spans="1:26">
      <c r="A4693" s="89" t="str">
        <f t="shared" si="438"/>
        <v/>
      </c>
      <c r="B4693" s="89" t="str">
        <f t="shared" si="439"/>
        <v/>
      </c>
      <c r="S4693" s="89" t="str">
        <f t="shared" si="440"/>
        <v/>
      </c>
      <c r="X4693" s="64">
        <f t="shared" si="441"/>
        <v>0</v>
      </c>
      <c r="Y4693" s="53">
        <f t="shared" si="442"/>
        <v>0</v>
      </c>
      <c r="Z4693" s="64">
        <f t="shared" si="443"/>
        <v>0</v>
      </c>
    </row>
    <row r="4694" spans="1:26">
      <c r="A4694" s="89" t="str">
        <f t="shared" si="438"/>
        <v/>
      </c>
      <c r="B4694" s="89" t="str">
        <f t="shared" si="439"/>
        <v/>
      </c>
      <c r="S4694" s="89" t="str">
        <f t="shared" si="440"/>
        <v/>
      </c>
      <c r="X4694" s="64">
        <f t="shared" si="441"/>
        <v>0</v>
      </c>
      <c r="Y4694" s="53">
        <f t="shared" si="442"/>
        <v>0</v>
      </c>
      <c r="Z4694" s="64">
        <f t="shared" si="443"/>
        <v>0</v>
      </c>
    </row>
    <row r="4695" spans="1:26">
      <c r="A4695" s="89" t="str">
        <f t="shared" si="438"/>
        <v/>
      </c>
      <c r="B4695" s="89" t="str">
        <f t="shared" si="439"/>
        <v/>
      </c>
      <c r="S4695" s="89" t="str">
        <f t="shared" si="440"/>
        <v/>
      </c>
      <c r="X4695" s="64">
        <f t="shared" si="441"/>
        <v>0</v>
      </c>
      <c r="Y4695" s="53">
        <f t="shared" si="442"/>
        <v>0</v>
      </c>
      <c r="Z4695" s="64">
        <f t="shared" si="443"/>
        <v>0</v>
      </c>
    </row>
    <row r="4696" spans="1:26">
      <c r="A4696" s="89" t="str">
        <f t="shared" si="438"/>
        <v/>
      </c>
      <c r="B4696" s="89" t="str">
        <f t="shared" si="439"/>
        <v/>
      </c>
      <c r="S4696" s="89" t="str">
        <f t="shared" si="440"/>
        <v/>
      </c>
      <c r="X4696" s="64">
        <f t="shared" si="441"/>
        <v>0</v>
      </c>
      <c r="Y4696" s="53">
        <f t="shared" si="442"/>
        <v>0</v>
      </c>
      <c r="Z4696" s="64">
        <f t="shared" si="443"/>
        <v>0</v>
      </c>
    </row>
    <row r="4697" spans="1:26">
      <c r="A4697" s="89" t="str">
        <f t="shared" si="438"/>
        <v/>
      </c>
      <c r="B4697" s="89" t="str">
        <f t="shared" si="439"/>
        <v/>
      </c>
      <c r="S4697" s="89" t="str">
        <f t="shared" si="440"/>
        <v/>
      </c>
      <c r="X4697" s="64">
        <f t="shared" si="441"/>
        <v>0</v>
      </c>
      <c r="Y4697" s="53">
        <f t="shared" si="442"/>
        <v>0</v>
      </c>
      <c r="Z4697" s="64">
        <f t="shared" si="443"/>
        <v>0</v>
      </c>
    </row>
    <row r="4698" spans="1:26">
      <c r="A4698" s="89" t="str">
        <f t="shared" si="438"/>
        <v/>
      </c>
      <c r="B4698" s="89" t="str">
        <f t="shared" si="439"/>
        <v/>
      </c>
      <c r="S4698" s="89" t="str">
        <f t="shared" si="440"/>
        <v/>
      </c>
      <c r="X4698" s="64">
        <f t="shared" si="441"/>
        <v>0</v>
      </c>
      <c r="Y4698" s="53">
        <f t="shared" si="442"/>
        <v>0</v>
      </c>
      <c r="Z4698" s="64">
        <f t="shared" si="443"/>
        <v>0</v>
      </c>
    </row>
    <row r="4699" spans="1:26">
      <c r="A4699" s="89" t="str">
        <f t="shared" si="438"/>
        <v/>
      </c>
      <c r="B4699" s="89" t="str">
        <f t="shared" si="439"/>
        <v/>
      </c>
      <c r="S4699" s="89" t="str">
        <f t="shared" si="440"/>
        <v/>
      </c>
      <c r="X4699" s="64">
        <f t="shared" si="441"/>
        <v>0</v>
      </c>
      <c r="Y4699" s="53">
        <f t="shared" si="442"/>
        <v>0</v>
      </c>
      <c r="Z4699" s="64">
        <f t="shared" si="443"/>
        <v>0</v>
      </c>
    </row>
    <row r="4700" spans="1:26">
      <c r="A4700" s="89" t="str">
        <f t="shared" si="438"/>
        <v/>
      </c>
      <c r="B4700" s="89" t="str">
        <f t="shared" si="439"/>
        <v/>
      </c>
      <c r="S4700" s="89" t="str">
        <f t="shared" si="440"/>
        <v/>
      </c>
      <c r="X4700" s="64">
        <f t="shared" si="441"/>
        <v>0</v>
      </c>
      <c r="Y4700" s="53">
        <f t="shared" si="442"/>
        <v>0</v>
      </c>
      <c r="Z4700" s="64">
        <f t="shared" si="443"/>
        <v>0</v>
      </c>
    </row>
    <row r="4701" spans="1:26">
      <c r="A4701" s="89" t="str">
        <f t="shared" si="438"/>
        <v/>
      </c>
      <c r="B4701" s="89" t="str">
        <f t="shared" si="439"/>
        <v/>
      </c>
      <c r="S4701" s="89" t="str">
        <f t="shared" si="440"/>
        <v/>
      </c>
      <c r="X4701" s="64">
        <f t="shared" si="441"/>
        <v>0</v>
      </c>
      <c r="Y4701" s="53">
        <f t="shared" si="442"/>
        <v>0</v>
      </c>
      <c r="Z4701" s="64">
        <f t="shared" si="443"/>
        <v>0</v>
      </c>
    </row>
    <row r="4702" spans="1:26">
      <c r="A4702" s="89" t="str">
        <f t="shared" si="438"/>
        <v/>
      </c>
      <c r="B4702" s="89" t="str">
        <f t="shared" si="439"/>
        <v/>
      </c>
      <c r="S4702" s="89" t="str">
        <f t="shared" si="440"/>
        <v/>
      </c>
      <c r="X4702" s="64">
        <f t="shared" si="441"/>
        <v>0</v>
      </c>
      <c r="Y4702" s="53">
        <f t="shared" si="442"/>
        <v>0</v>
      </c>
      <c r="Z4702" s="64">
        <f t="shared" si="443"/>
        <v>0</v>
      </c>
    </row>
    <row r="4703" spans="1:26">
      <c r="A4703" s="89" t="str">
        <f t="shared" si="438"/>
        <v/>
      </c>
      <c r="B4703" s="89" t="str">
        <f t="shared" si="439"/>
        <v/>
      </c>
      <c r="S4703" s="89" t="str">
        <f t="shared" si="440"/>
        <v/>
      </c>
      <c r="X4703" s="64">
        <f t="shared" si="441"/>
        <v>0</v>
      </c>
      <c r="Y4703" s="53">
        <f t="shared" si="442"/>
        <v>0</v>
      </c>
      <c r="Z4703" s="64">
        <f t="shared" si="443"/>
        <v>0</v>
      </c>
    </row>
    <row r="4704" spans="1:26">
      <c r="A4704" s="89" t="str">
        <f t="shared" si="438"/>
        <v/>
      </c>
      <c r="B4704" s="89" t="str">
        <f t="shared" si="439"/>
        <v/>
      </c>
      <c r="S4704" s="89" t="str">
        <f t="shared" si="440"/>
        <v/>
      </c>
      <c r="X4704" s="64">
        <f t="shared" si="441"/>
        <v>0</v>
      </c>
      <c r="Y4704" s="53">
        <f t="shared" si="442"/>
        <v>0</v>
      </c>
      <c r="Z4704" s="64">
        <f t="shared" si="443"/>
        <v>0</v>
      </c>
    </row>
    <row r="4705" spans="1:26">
      <c r="A4705" s="89" t="str">
        <f t="shared" si="438"/>
        <v/>
      </c>
      <c r="B4705" s="89" t="str">
        <f t="shared" si="439"/>
        <v/>
      </c>
      <c r="S4705" s="89" t="str">
        <f t="shared" si="440"/>
        <v/>
      </c>
      <c r="X4705" s="64">
        <f t="shared" si="441"/>
        <v>0</v>
      </c>
      <c r="Y4705" s="53">
        <f t="shared" si="442"/>
        <v>0</v>
      </c>
      <c r="Z4705" s="64">
        <f t="shared" si="443"/>
        <v>0</v>
      </c>
    </row>
    <row r="4706" spans="1:26">
      <c r="A4706" s="89" t="str">
        <f t="shared" si="438"/>
        <v/>
      </c>
      <c r="B4706" s="89" t="str">
        <f t="shared" si="439"/>
        <v/>
      </c>
      <c r="S4706" s="89" t="str">
        <f t="shared" si="440"/>
        <v/>
      </c>
      <c r="X4706" s="64">
        <f t="shared" si="441"/>
        <v>0</v>
      </c>
      <c r="Y4706" s="53">
        <f t="shared" si="442"/>
        <v>0</v>
      </c>
      <c r="Z4706" s="64">
        <f t="shared" si="443"/>
        <v>0</v>
      </c>
    </row>
    <row r="4707" spans="1:26">
      <c r="A4707" s="89" t="str">
        <f t="shared" si="438"/>
        <v/>
      </c>
      <c r="B4707" s="89" t="str">
        <f t="shared" si="439"/>
        <v/>
      </c>
      <c r="S4707" s="89" t="str">
        <f t="shared" si="440"/>
        <v/>
      </c>
      <c r="X4707" s="64">
        <f t="shared" si="441"/>
        <v>0</v>
      </c>
      <c r="Y4707" s="53">
        <f t="shared" si="442"/>
        <v>0</v>
      </c>
      <c r="Z4707" s="64">
        <f t="shared" si="443"/>
        <v>0</v>
      </c>
    </row>
    <row r="4708" spans="1:26">
      <c r="A4708" s="89" t="str">
        <f t="shared" si="438"/>
        <v/>
      </c>
      <c r="B4708" s="89" t="str">
        <f t="shared" si="439"/>
        <v/>
      </c>
      <c r="S4708" s="89" t="str">
        <f t="shared" si="440"/>
        <v/>
      </c>
      <c r="X4708" s="64">
        <f t="shared" si="441"/>
        <v>0</v>
      </c>
      <c r="Y4708" s="53">
        <f t="shared" si="442"/>
        <v>0</v>
      </c>
      <c r="Z4708" s="64">
        <f t="shared" si="443"/>
        <v>0</v>
      </c>
    </row>
    <row r="4709" spans="1:26">
      <c r="A4709" s="89" t="str">
        <f t="shared" si="438"/>
        <v/>
      </c>
      <c r="B4709" s="89" t="str">
        <f t="shared" si="439"/>
        <v/>
      </c>
      <c r="S4709" s="89" t="str">
        <f t="shared" si="440"/>
        <v/>
      </c>
      <c r="X4709" s="64">
        <f t="shared" si="441"/>
        <v>0</v>
      </c>
      <c r="Y4709" s="53">
        <f t="shared" si="442"/>
        <v>0</v>
      </c>
      <c r="Z4709" s="64">
        <f t="shared" si="443"/>
        <v>0</v>
      </c>
    </row>
    <row r="4710" spans="1:26">
      <c r="A4710" s="89" t="str">
        <f t="shared" si="438"/>
        <v/>
      </c>
      <c r="B4710" s="89" t="str">
        <f t="shared" si="439"/>
        <v/>
      </c>
      <c r="S4710" s="89" t="str">
        <f t="shared" si="440"/>
        <v/>
      </c>
      <c r="X4710" s="64">
        <f t="shared" si="441"/>
        <v>0</v>
      </c>
      <c r="Y4710" s="53">
        <f t="shared" si="442"/>
        <v>0</v>
      </c>
      <c r="Z4710" s="64">
        <f t="shared" si="443"/>
        <v>0</v>
      </c>
    </row>
    <row r="4711" spans="1:26">
      <c r="A4711" s="89" t="str">
        <f t="shared" si="438"/>
        <v/>
      </c>
      <c r="B4711" s="89" t="str">
        <f t="shared" si="439"/>
        <v/>
      </c>
      <c r="S4711" s="89" t="str">
        <f t="shared" si="440"/>
        <v/>
      </c>
      <c r="X4711" s="64">
        <f t="shared" si="441"/>
        <v>0</v>
      </c>
      <c r="Y4711" s="53">
        <f t="shared" si="442"/>
        <v>0</v>
      </c>
      <c r="Z4711" s="64">
        <f t="shared" si="443"/>
        <v>0</v>
      </c>
    </row>
    <row r="4712" spans="1:26">
      <c r="A4712" s="89" t="str">
        <f t="shared" si="438"/>
        <v/>
      </c>
      <c r="B4712" s="89" t="str">
        <f t="shared" si="439"/>
        <v/>
      </c>
      <c r="S4712" s="89" t="str">
        <f t="shared" si="440"/>
        <v/>
      </c>
      <c r="X4712" s="64">
        <f t="shared" si="441"/>
        <v>0</v>
      </c>
      <c r="Y4712" s="53">
        <f t="shared" si="442"/>
        <v>0</v>
      </c>
      <c r="Z4712" s="64">
        <f t="shared" si="443"/>
        <v>0</v>
      </c>
    </row>
    <row r="4713" spans="1:26">
      <c r="A4713" s="89" t="str">
        <f t="shared" si="438"/>
        <v/>
      </c>
      <c r="B4713" s="89" t="str">
        <f t="shared" si="439"/>
        <v/>
      </c>
      <c r="S4713" s="89" t="str">
        <f t="shared" si="440"/>
        <v/>
      </c>
      <c r="X4713" s="64">
        <f t="shared" si="441"/>
        <v>0</v>
      </c>
      <c r="Y4713" s="53">
        <f t="shared" si="442"/>
        <v>0</v>
      </c>
      <c r="Z4713" s="64">
        <f t="shared" si="443"/>
        <v>0</v>
      </c>
    </row>
    <row r="4714" spans="1:26">
      <c r="A4714" s="89" t="str">
        <f t="shared" si="438"/>
        <v/>
      </c>
      <c r="B4714" s="89" t="str">
        <f t="shared" si="439"/>
        <v/>
      </c>
      <c r="S4714" s="89" t="str">
        <f t="shared" si="440"/>
        <v/>
      </c>
      <c r="X4714" s="64">
        <f t="shared" si="441"/>
        <v>0</v>
      </c>
      <c r="Y4714" s="53">
        <f t="shared" si="442"/>
        <v>0</v>
      </c>
      <c r="Z4714" s="64">
        <f t="shared" si="443"/>
        <v>0</v>
      </c>
    </row>
    <row r="4715" spans="1:26">
      <c r="A4715" s="89" t="str">
        <f t="shared" si="438"/>
        <v/>
      </c>
      <c r="B4715" s="89" t="str">
        <f t="shared" si="439"/>
        <v/>
      </c>
      <c r="S4715" s="89" t="str">
        <f t="shared" si="440"/>
        <v/>
      </c>
      <c r="X4715" s="64">
        <f t="shared" si="441"/>
        <v>0</v>
      </c>
      <c r="Y4715" s="53">
        <f t="shared" si="442"/>
        <v>0</v>
      </c>
      <c r="Z4715" s="64">
        <f t="shared" si="443"/>
        <v>0</v>
      </c>
    </row>
    <row r="4716" spans="1:26">
      <c r="A4716" s="89" t="str">
        <f t="shared" si="438"/>
        <v/>
      </c>
      <c r="B4716" s="89" t="str">
        <f t="shared" si="439"/>
        <v/>
      </c>
      <c r="S4716" s="89" t="str">
        <f t="shared" si="440"/>
        <v/>
      </c>
      <c r="X4716" s="64">
        <f t="shared" si="441"/>
        <v>0</v>
      </c>
      <c r="Y4716" s="53">
        <f t="shared" si="442"/>
        <v>0</v>
      </c>
      <c r="Z4716" s="64">
        <f t="shared" si="443"/>
        <v>0</v>
      </c>
    </row>
    <row r="4717" spans="1:26">
      <c r="A4717" s="89" t="str">
        <f t="shared" si="438"/>
        <v/>
      </c>
      <c r="B4717" s="89" t="str">
        <f t="shared" si="439"/>
        <v/>
      </c>
      <c r="S4717" s="89" t="str">
        <f t="shared" si="440"/>
        <v/>
      </c>
      <c r="X4717" s="64">
        <f t="shared" si="441"/>
        <v>0</v>
      </c>
      <c r="Y4717" s="53">
        <f t="shared" si="442"/>
        <v>0</v>
      </c>
      <c r="Z4717" s="64">
        <f t="shared" si="443"/>
        <v>0</v>
      </c>
    </row>
    <row r="4718" spans="1:26">
      <c r="A4718" s="89" t="str">
        <f t="shared" si="438"/>
        <v/>
      </c>
      <c r="B4718" s="89" t="str">
        <f t="shared" si="439"/>
        <v/>
      </c>
      <c r="S4718" s="89" t="str">
        <f t="shared" si="440"/>
        <v/>
      </c>
      <c r="X4718" s="64">
        <f t="shared" si="441"/>
        <v>0</v>
      </c>
      <c r="Y4718" s="53">
        <f t="shared" si="442"/>
        <v>0</v>
      </c>
      <c r="Z4718" s="64">
        <f t="shared" si="443"/>
        <v>0</v>
      </c>
    </row>
    <row r="4719" spans="1:26">
      <c r="A4719" s="89" t="str">
        <f t="shared" si="438"/>
        <v/>
      </c>
      <c r="B4719" s="89" t="str">
        <f t="shared" si="439"/>
        <v/>
      </c>
      <c r="S4719" s="89" t="str">
        <f t="shared" si="440"/>
        <v/>
      </c>
      <c r="X4719" s="64">
        <f t="shared" si="441"/>
        <v>0</v>
      </c>
      <c r="Y4719" s="53">
        <f t="shared" si="442"/>
        <v>0</v>
      </c>
      <c r="Z4719" s="64">
        <f t="shared" si="443"/>
        <v>0</v>
      </c>
    </row>
    <row r="4720" spans="1:26">
      <c r="A4720" s="89" t="str">
        <f t="shared" si="438"/>
        <v/>
      </c>
      <c r="B4720" s="89" t="str">
        <f t="shared" si="439"/>
        <v/>
      </c>
      <c r="S4720" s="89" t="str">
        <f t="shared" si="440"/>
        <v/>
      </c>
      <c r="X4720" s="64">
        <f t="shared" si="441"/>
        <v>0</v>
      </c>
      <c r="Y4720" s="53">
        <f t="shared" si="442"/>
        <v>0</v>
      </c>
      <c r="Z4720" s="64">
        <f t="shared" si="443"/>
        <v>0</v>
      </c>
    </row>
    <row r="4721" spans="1:26">
      <c r="A4721" s="89" t="str">
        <f t="shared" si="438"/>
        <v/>
      </c>
      <c r="B4721" s="89" t="str">
        <f t="shared" si="439"/>
        <v/>
      </c>
      <c r="S4721" s="89" t="str">
        <f t="shared" si="440"/>
        <v/>
      </c>
      <c r="X4721" s="64">
        <f t="shared" si="441"/>
        <v>0</v>
      </c>
      <c r="Y4721" s="53">
        <f t="shared" si="442"/>
        <v>0</v>
      </c>
      <c r="Z4721" s="64">
        <f t="shared" si="443"/>
        <v>0</v>
      </c>
    </row>
    <row r="4722" spans="1:26">
      <c r="A4722" s="89" t="str">
        <f t="shared" si="438"/>
        <v/>
      </c>
      <c r="B4722" s="89" t="str">
        <f t="shared" si="439"/>
        <v/>
      </c>
      <c r="S4722" s="89" t="str">
        <f t="shared" si="440"/>
        <v/>
      </c>
      <c r="X4722" s="64">
        <f t="shared" si="441"/>
        <v>0</v>
      </c>
      <c r="Y4722" s="53">
        <f t="shared" si="442"/>
        <v>0</v>
      </c>
      <c r="Z4722" s="64">
        <f t="shared" si="443"/>
        <v>0</v>
      </c>
    </row>
    <row r="4723" spans="1:26">
      <c r="A4723" s="89" t="str">
        <f t="shared" si="438"/>
        <v/>
      </c>
      <c r="B4723" s="89" t="str">
        <f t="shared" si="439"/>
        <v/>
      </c>
      <c r="S4723" s="89" t="str">
        <f t="shared" si="440"/>
        <v/>
      </c>
      <c r="X4723" s="64">
        <f t="shared" si="441"/>
        <v>0</v>
      </c>
      <c r="Y4723" s="53">
        <f t="shared" si="442"/>
        <v>0</v>
      </c>
      <c r="Z4723" s="64">
        <f t="shared" si="443"/>
        <v>0</v>
      </c>
    </row>
    <row r="4724" spans="1:26">
      <c r="A4724" s="89" t="str">
        <f t="shared" si="438"/>
        <v/>
      </c>
      <c r="B4724" s="89" t="str">
        <f t="shared" si="439"/>
        <v/>
      </c>
      <c r="S4724" s="89" t="str">
        <f t="shared" si="440"/>
        <v/>
      </c>
      <c r="X4724" s="64">
        <f t="shared" si="441"/>
        <v>0</v>
      </c>
      <c r="Y4724" s="53">
        <f t="shared" si="442"/>
        <v>0</v>
      </c>
      <c r="Z4724" s="64">
        <f t="shared" si="443"/>
        <v>0</v>
      </c>
    </row>
    <row r="4725" spans="1:26">
      <c r="A4725" s="89" t="str">
        <f t="shared" si="438"/>
        <v/>
      </c>
      <c r="B4725" s="89" t="str">
        <f t="shared" si="439"/>
        <v/>
      </c>
      <c r="S4725" s="89" t="str">
        <f t="shared" si="440"/>
        <v/>
      </c>
      <c r="X4725" s="64">
        <f t="shared" si="441"/>
        <v>0</v>
      </c>
      <c r="Y4725" s="53">
        <f t="shared" si="442"/>
        <v>0</v>
      </c>
      <c r="Z4725" s="64">
        <f t="shared" si="443"/>
        <v>0</v>
      </c>
    </row>
    <row r="4726" spans="1:26">
      <c r="A4726" s="89" t="str">
        <f t="shared" si="438"/>
        <v/>
      </c>
      <c r="B4726" s="89" t="str">
        <f t="shared" si="439"/>
        <v/>
      </c>
      <c r="S4726" s="89" t="str">
        <f t="shared" si="440"/>
        <v/>
      </c>
      <c r="X4726" s="64">
        <f t="shared" si="441"/>
        <v>0</v>
      </c>
      <c r="Y4726" s="53">
        <f t="shared" si="442"/>
        <v>0</v>
      </c>
      <c r="Z4726" s="64">
        <f t="shared" si="443"/>
        <v>0</v>
      </c>
    </row>
    <row r="4727" spans="1:26">
      <c r="A4727" s="89" t="str">
        <f t="shared" si="438"/>
        <v/>
      </c>
      <c r="B4727" s="89" t="str">
        <f t="shared" si="439"/>
        <v/>
      </c>
      <c r="S4727" s="89" t="str">
        <f t="shared" si="440"/>
        <v/>
      </c>
      <c r="X4727" s="64">
        <f t="shared" si="441"/>
        <v>0</v>
      </c>
      <c r="Y4727" s="53">
        <f t="shared" si="442"/>
        <v>0</v>
      </c>
      <c r="Z4727" s="64">
        <f t="shared" si="443"/>
        <v>0</v>
      </c>
    </row>
    <row r="4728" spans="1:26">
      <c r="A4728" s="89" t="str">
        <f t="shared" si="438"/>
        <v/>
      </c>
      <c r="B4728" s="89" t="str">
        <f t="shared" si="439"/>
        <v/>
      </c>
      <c r="S4728" s="89" t="str">
        <f t="shared" si="440"/>
        <v/>
      </c>
      <c r="X4728" s="64">
        <f t="shared" si="441"/>
        <v>0</v>
      </c>
      <c r="Y4728" s="53">
        <f t="shared" si="442"/>
        <v>0</v>
      </c>
      <c r="Z4728" s="64">
        <f t="shared" si="443"/>
        <v>0</v>
      </c>
    </row>
    <row r="4729" spans="1:26">
      <c r="A4729" s="89" t="str">
        <f t="shared" si="438"/>
        <v/>
      </c>
      <c r="B4729" s="89" t="str">
        <f t="shared" si="439"/>
        <v/>
      </c>
      <c r="S4729" s="89" t="str">
        <f t="shared" si="440"/>
        <v/>
      </c>
      <c r="X4729" s="64">
        <f t="shared" si="441"/>
        <v>0</v>
      </c>
      <c r="Y4729" s="53">
        <f t="shared" si="442"/>
        <v>0</v>
      </c>
      <c r="Z4729" s="64">
        <f t="shared" si="443"/>
        <v>0</v>
      </c>
    </row>
    <row r="4730" spans="1:26">
      <c r="A4730" s="89" t="str">
        <f t="shared" si="438"/>
        <v/>
      </c>
      <c r="B4730" s="89" t="str">
        <f t="shared" si="439"/>
        <v/>
      </c>
      <c r="S4730" s="89" t="str">
        <f t="shared" si="440"/>
        <v/>
      </c>
      <c r="X4730" s="64">
        <f t="shared" si="441"/>
        <v>0</v>
      </c>
      <c r="Y4730" s="53">
        <f t="shared" si="442"/>
        <v>0</v>
      </c>
      <c r="Z4730" s="64">
        <f t="shared" si="443"/>
        <v>0</v>
      </c>
    </row>
    <row r="4731" spans="1:26">
      <c r="A4731" s="89" t="str">
        <f t="shared" si="438"/>
        <v/>
      </c>
      <c r="B4731" s="89" t="str">
        <f t="shared" si="439"/>
        <v/>
      </c>
      <c r="S4731" s="89" t="str">
        <f t="shared" si="440"/>
        <v/>
      </c>
      <c r="X4731" s="64">
        <f t="shared" si="441"/>
        <v>0</v>
      </c>
      <c r="Y4731" s="53">
        <f t="shared" si="442"/>
        <v>0</v>
      </c>
      <c r="Z4731" s="64">
        <f t="shared" si="443"/>
        <v>0</v>
      </c>
    </row>
    <row r="4732" spans="1:26">
      <c r="A4732" s="89" t="str">
        <f t="shared" si="438"/>
        <v/>
      </c>
      <c r="B4732" s="89" t="str">
        <f t="shared" si="439"/>
        <v/>
      </c>
      <c r="S4732" s="89" t="str">
        <f t="shared" si="440"/>
        <v/>
      </c>
      <c r="X4732" s="64">
        <f t="shared" si="441"/>
        <v>0</v>
      </c>
      <c r="Y4732" s="53">
        <f t="shared" si="442"/>
        <v>0</v>
      </c>
      <c r="Z4732" s="64">
        <f t="shared" si="443"/>
        <v>0</v>
      </c>
    </row>
    <row r="4733" spans="1:26">
      <c r="A4733" s="89" t="str">
        <f t="shared" si="438"/>
        <v/>
      </c>
      <c r="B4733" s="89" t="str">
        <f t="shared" si="439"/>
        <v/>
      </c>
      <c r="S4733" s="89" t="str">
        <f t="shared" si="440"/>
        <v/>
      </c>
      <c r="X4733" s="64">
        <f t="shared" si="441"/>
        <v>0</v>
      </c>
      <c r="Y4733" s="53">
        <f t="shared" si="442"/>
        <v>0</v>
      </c>
      <c r="Z4733" s="64">
        <f t="shared" si="443"/>
        <v>0</v>
      </c>
    </row>
    <row r="4734" spans="1:26">
      <c r="A4734" s="89" t="str">
        <f t="shared" si="438"/>
        <v/>
      </c>
      <c r="B4734" s="89" t="str">
        <f t="shared" si="439"/>
        <v/>
      </c>
      <c r="S4734" s="89" t="str">
        <f t="shared" si="440"/>
        <v/>
      </c>
      <c r="X4734" s="64">
        <f t="shared" si="441"/>
        <v>0</v>
      </c>
      <c r="Y4734" s="53">
        <f t="shared" si="442"/>
        <v>0</v>
      </c>
      <c r="Z4734" s="64">
        <f t="shared" si="443"/>
        <v>0</v>
      </c>
    </row>
    <row r="4735" spans="1:26">
      <c r="A4735" s="89" t="str">
        <f t="shared" si="438"/>
        <v/>
      </c>
      <c r="B4735" s="89" t="str">
        <f t="shared" si="439"/>
        <v/>
      </c>
      <c r="S4735" s="89" t="str">
        <f t="shared" si="440"/>
        <v/>
      </c>
      <c r="X4735" s="64">
        <f t="shared" si="441"/>
        <v>0</v>
      </c>
      <c r="Y4735" s="53">
        <f t="shared" si="442"/>
        <v>0</v>
      </c>
      <c r="Z4735" s="64">
        <f t="shared" si="443"/>
        <v>0</v>
      </c>
    </row>
    <row r="4736" spans="1:26">
      <c r="A4736" s="89" t="str">
        <f t="shared" si="438"/>
        <v/>
      </c>
      <c r="B4736" s="89" t="str">
        <f t="shared" si="439"/>
        <v/>
      </c>
      <c r="S4736" s="89" t="str">
        <f t="shared" si="440"/>
        <v/>
      </c>
      <c r="X4736" s="64">
        <f t="shared" si="441"/>
        <v>0</v>
      </c>
      <c r="Y4736" s="53">
        <f t="shared" si="442"/>
        <v>0</v>
      </c>
      <c r="Z4736" s="64">
        <f t="shared" si="443"/>
        <v>0</v>
      </c>
    </row>
    <row r="4737" spans="1:26">
      <c r="A4737" s="89" t="str">
        <f t="shared" si="438"/>
        <v/>
      </c>
      <c r="B4737" s="89" t="str">
        <f t="shared" si="439"/>
        <v/>
      </c>
      <c r="S4737" s="89" t="str">
        <f t="shared" si="440"/>
        <v/>
      </c>
      <c r="X4737" s="64">
        <f t="shared" si="441"/>
        <v>0</v>
      </c>
      <c r="Y4737" s="53">
        <f t="shared" si="442"/>
        <v>0</v>
      </c>
      <c r="Z4737" s="64">
        <f t="shared" si="443"/>
        <v>0</v>
      </c>
    </row>
    <row r="4738" spans="1:26">
      <c r="A4738" s="89" t="str">
        <f t="shared" si="438"/>
        <v/>
      </c>
      <c r="B4738" s="89" t="str">
        <f t="shared" si="439"/>
        <v/>
      </c>
      <c r="S4738" s="89" t="str">
        <f t="shared" si="440"/>
        <v/>
      </c>
      <c r="X4738" s="64">
        <f t="shared" si="441"/>
        <v>0</v>
      </c>
      <c r="Y4738" s="53">
        <f t="shared" si="442"/>
        <v>0</v>
      </c>
      <c r="Z4738" s="64">
        <f t="shared" si="443"/>
        <v>0</v>
      </c>
    </row>
    <row r="4739" spans="1:26">
      <c r="A4739" s="89" t="str">
        <f t="shared" ref="A4739:A4802" si="444">IF(G4739&amp;Q4739&lt;&gt;"",G4739&amp;Q4739,"")</f>
        <v/>
      </c>
      <c r="B4739" s="89" t="str">
        <f t="shared" ref="B4739:B4802" si="445">IF(C4739&lt;&gt;"",LEFT(C4739,9),"")</f>
        <v/>
      </c>
      <c r="S4739" s="89" t="str">
        <f t="shared" ref="S4739:S4802" si="446">IF(H4739&lt;&gt;"",H4739,"")</f>
        <v/>
      </c>
      <c r="X4739" s="64">
        <f t="shared" ref="X4739:X4802" si="447">IFERROR(VALUE(MID($C4739,1,2)),0)</f>
        <v>0</v>
      </c>
      <c r="Y4739" s="53">
        <f t="shared" ref="Y4739:Y4802" si="448">IFERROR(VALUE(MID($C4739,4,3)),0)</f>
        <v>0</v>
      </c>
      <c r="Z4739" s="64">
        <f t="shared" ref="Z4739:Z4802" si="449">VALUE(RIGHT("00"&amp;X4739,2)&amp;RIGHT("000"&amp;Y4739,3))</f>
        <v>0</v>
      </c>
    </row>
    <row r="4740" spans="1:26">
      <c r="A4740" s="89" t="str">
        <f t="shared" si="444"/>
        <v/>
      </c>
      <c r="B4740" s="89" t="str">
        <f t="shared" si="445"/>
        <v/>
      </c>
      <c r="S4740" s="89" t="str">
        <f t="shared" si="446"/>
        <v/>
      </c>
      <c r="X4740" s="64">
        <f t="shared" si="447"/>
        <v>0</v>
      </c>
      <c r="Y4740" s="53">
        <f t="shared" si="448"/>
        <v>0</v>
      </c>
      <c r="Z4740" s="64">
        <f t="shared" si="449"/>
        <v>0</v>
      </c>
    </row>
    <row r="4741" spans="1:26">
      <c r="A4741" s="89" t="str">
        <f t="shared" si="444"/>
        <v/>
      </c>
      <c r="B4741" s="89" t="str">
        <f t="shared" si="445"/>
        <v/>
      </c>
      <c r="S4741" s="89" t="str">
        <f t="shared" si="446"/>
        <v/>
      </c>
      <c r="X4741" s="64">
        <f t="shared" si="447"/>
        <v>0</v>
      </c>
      <c r="Y4741" s="53">
        <f t="shared" si="448"/>
        <v>0</v>
      </c>
      <c r="Z4741" s="64">
        <f t="shared" si="449"/>
        <v>0</v>
      </c>
    </row>
    <row r="4742" spans="1:26">
      <c r="A4742" s="89" t="str">
        <f t="shared" si="444"/>
        <v/>
      </c>
      <c r="B4742" s="89" t="str">
        <f t="shared" si="445"/>
        <v/>
      </c>
      <c r="S4742" s="89" t="str">
        <f t="shared" si="446"/>
        <v/>
      </c>
      <c r="X4742" s="64">
        <f t="shared" si="447"/>
        <v>0</v>
      </c>
      <c r="Y4742" s="53">
        <f t="shared" si="448"/>
        <v>0</v>
      </c>
      <c r="Z4742" s="64">
        <f t="shared" si="449"/>
        <v>0</v>
      </c>
    </row>
    <row r="4743" spans="1:26">
      <c r="A4743" s="89" t="str">
        <f t="shared" si="444"/>
        <v/>
      </c>
      <c r="B4743" s="89" t="str">
        <f t="shared" si="445"/>
        <v/>
      </c>
      <c r="S4743" s="89" t="str">
        <f t="shared" si="446"/>
        <v/>
      </c>
      <c r="X4743" s="64">
        <f t="shared" si="447"/>
        <v>0</v>
      </c>
      <c r="Y4743" s="53">
        <f t="shared" si="448"/>
        <v>0</v>
      </c>
      <c r="Z4743" s="64">
        <f t="shared" si="449"/>
        <v>0</v>
      </c>
    </row>
    <row r="4744" spans="1:26">
      <c r="A4744" s="89" t="str">
        <f t="shared" si="444"/>
        <v/>
      </c>
      <c r="B4744" s="89" t="str">
        <f t="shared" si="445"/>
        <v/>
      </c>
      <c r="S4744" s="89" t="str">
        <f t="shared" si="446"/>
        <v/>
      </c>
      <c r="X4744" s="64">
        <f t="shared" si="447"/>
        <v>0</v>
      </c>
      <c r="Y4744" s="53">
        <f t="shared" si="448"/>
        <v>0</v>
      </c>
      <c r="Z4744" s="64">
        <f t="shared" si="449"/>
        <v>0</v>
      </c>
    </row>
    <row r="4745" spans="1:26">
      <c r="A4745" s="89" t="str">
        <f t="shared" si="444"/>
        <v/>
      </c>
      <c r="B4745" s="89" t="str">
        <f t="shared" si="445"/>
        <v/>
      </c>
      <c r="S4745" s="89" t="str">
        <f t="shared" si="446"/>
        <v/>
      </c>
      <c r="X4745" s="64">
        <f t="shared" si="447"/>
        <v>0</v>
      </c>
      <c r="Y4745" s="53">
        <f t="shared" si="448"/>
        <v>0</v>
      </c>
      <c r="Z4745" s="64">
        <f t="shared" si="449"/>
        <v>0</v>
      </c>
    </row>
    <row r="4746" spans="1:26">
      <c r="A4746" s="89" t="str">
        <f t="shared" si="444"/>
        <v/>
      </c>
      <c r="B4746" s="89" t="str">
        <f t="shared" si="445"/>
        <v/>
      </c>
      <c r="S4746" s="89" t="str">
        <f t="shared" si="446"/>
        <v/>
      </c>
      <c r="X4746" s="64">
        <f t="shared" si="447"/>
        <v>0</v>
      </c>
      <c r="Y4746" s="53">
        <f t="shared" si="448"/>
        <v>0</v>
      </c>
      <c r="Z4746" s="64">
        <f t="shared" si="449"/>
        <v>0</v>
      </c>
    </row>
    <row r="4747" spans="1:26">
      <c r="A4747" s="89" t="str">
        <f t="shared" si="444"/>
        <v/>
      </c>
      <c r="B4747" s="89" t="str">
        <f t="shared" si="445"/>
        <v/>
      </c>
      <c r="S4747" s="89" t="str">
        <f t="shared" si="446"/>
        <v/>
      </c>
      <c r="X4747" s="64">
        <f t="shared" si="447"/>
        <v>0</v>
      </c>
      <c r="Y4747" s="53">
        <f t="shared" si="448"/>
        <v>0</v>
      </c>
      <c r="Z4747" s="64">
        <f t="shared" si="449"/>
        <v>0</v>
      </c>
    </row>
    <row r="4748" spans="1:26">
      <c r="A4748" s="89" t="str">
        <f t="shared" si="444"/>
        <v/>
      </c>
      <c r="B4748" s="89" t="str">
        <f t="shared" si="445"/>
        <v/>
      </c>
      <c r="S4748" s="89" t="str">
        <f t="shared" si="446"/>
        <v/>
      </c>
      <c r="X4748" s="64">
        <f t="shared" si="447"/>
        <v>0</v>
      </c>
      <c r="Y4748" s="53">
        <f t="shared" si="448"/>
        <v>0</v>
      </c>
      <c r="Z4748" s="64">
        <f t="shared" si="449"/>
        <v>0</v>
      </c>
    </row>
    <row r="4749" spans="1:26">
      <c r="A4749" s="89" t="str">
        <f t="shared" si="444"/>
        <v/>
      </c>
      <c r="B4749" s="89" t="str">
        <f t="shared" si="445"/>
        <v/>
      </c>
      <c r="S4749" s="89" t="str">
        <f t="shared" si="446"/>
        <v/>
      </c>
      <c r="X4749" s="64">
        <f t="shared" si="447"/>
        <v>0</v>
      </c>
      <c r="Y4749" s="53">
        <f t="shared" si="448"/>
        <v>0</v>
      </c>
      <c r="Z4749" s="64">
        <f t="shared" si="449"/>
        <v>0</v>
      </c>
    </row>
    <row r="4750" spans="1:26">
      <c r="A4750" s="89" t="str">
        <f t="shared" si="444"/>
        <v/>
      </c>
      <c r="B4750" s="89" t="str">
        <f t="shared" si="445"/>
        <v/>
      </c>
      <c r="S4750" s="89" t="str">
        <f t="shared" si="446"/>
        <v/>
      </c>
      <c r="X4750" s="64">
        <f t="shared" si="447"/>
        <v>0</v>
      </c>
      <c r="Y4750" s="53">
        <f t="shared" si="448"/>
        <v>0</v>
      </c>
      <c r="Z4750" s="64">
        <f t="shared" si="449"/>
        <v>0</v>
      </c>
    </row>
    <row r="4751" spans="1:26">
      <c r="A4751" s="89" t="str">
        <f t="shared" si="444"/>
        <v/>
      </c>
      <c r="B4751" s="89" t="str">
        <f t="shared" si="445"/>
        <v/>
      </c>
      <c r="S4751" s="89" t="str">
        <f t="shared" si="446"/>
        <v/>
      </c>
      <c r="X4751" s="64">
        <f t="shared" si="447"/>
        <v>0</v>
      </c>
      <c r="Y4751" s="53">
        <f t="shared" si="448"/>
        <v>0</v>
      </c>
      <c r="Z4751" s="64">
        <f t="shared" si="449"/>
        <v>0</v>
      </c>
    </row>
    <row r="4752" spans="1:26">
      <c r="A4752" s="89" t="str">
        <f t="shared" si="444"/>
        <v/>
      </c>
      <c r="B4752" s="89" t="str">
        <f t="shared" si="445"/>
        <v/>
      </c>
      <c r="S4752" s="89" t="str">
        <f t="shared" si="446"/>
        <v/>
      </c>
      <c r="X4752" s="64">
        <f t="shared" si="447"/>
        <v>0</v>
      </c>
      <c r="Y4752" s="53">
        <f t="shared" si="448"/>
        <v>0</v>
      </c>
      <c r="Z4752" s="64">
        <f t="shared" si="449"/>
        <v>0</v>
      </c>
    </row>
    <row r="4753" spans="1:26">
      <c r="A4753" s="89" t="str">
        <f t="shared" si="444"/>
        <v/>
      </c>
      <c r="B4753" s="89" t="str">
        <f t="shared" si="445"/>
        <v/>
      </c>
      <c r="S4753" s="89" t="str">
        <f t="shared" si="446"/>
        <v/>
      </c>
      <c r="X4753" s="64">
        <f t="shared" si="447"/>
        <v>0</v>
      </c>
      <c r="Y4753" s="53">
        <f t="shared" si="448"/>
        <v>0</v>
      </c>
      <c r="Z4753" s="64">
        <f t="shared" si="449"/>
        <v>0</v>
      </c>
    </row>
    <row r="4754" spans="1:26">
      <c r="A4754" s="89" t="str">
        <f t="shared" si="444"/>
        <v/>
      </c>
      <c r="B4754" s="89" t="str">
        <f t="shared" si="445"/>
        <v/>
      </c>
      <c r="S4754" s="89" t="str">
        <f t="shared" si="446"/>
        <v/>
      </c>
      <c r="X4754" s="64">
        <f t="shared" si="447"/>
        <v>0</v>
      </c>
      <c r="Y4754" s="53">
        <f t="shared" si="448"/>
        <v>0</v>
      </c>
      <c r="Z4754" s="64">
        <f t="shared" si="449"/>
        <v>0</v>
      </c>
    </row>
    <row r="4755" spans="1:26">
      <c r="A4755" s="89" t="str">
        <f t="shared" si="444"/>
        <v/>
      </c>
      <c r="B4755" s="89" t="str">
        <f t="shared" si="445"/>
        <v/>
      </c>
      <c r="S4755" s="89" t="str">
        <f t="shared" si="446"/>
        <v/>
      </c>
      <c r="X4755" s="64">
        <f t="shared" si="447"/>
        <v>0</v>
      </c>
      <c r="Y4755" s="53">
        <f t="shared" si="448"/>
        <v>0</v>
      </c>
      <c r="Z4755" s="64">
        <f t="shared" si="449"/>
        <v>0</v>
      </c>
    </row>
    <row r="4756" spans="1:26">
      <c r="A4756" s="89" t="str">
        <f t="shared" si="444"/>
        <v/>
      </c>
      <c r="B4756" s="89" t="str">
        <f t="shared" si="445"/>
        <v/>
      </c>
      <c r="S4756" s="89" t="str">
        <f t="shared" si="446"/>
        <v/>
      </c>
      <c r="X4756" s="64">
        <f t="shared" si="447"/>
        <v>0</v>
      </c>
      <c r="Y4756" s="53">
        <f t="shared" si="448"/>
        <v>0</v>
      </c>
      <c r="Z4756" s="64">
        <f t="shared" si="449"/>
        <v>0</v>
      </c>
    </row>
    <row r="4757" spans="1:26">
      <c r="A4757" s="89" t="str">
        <f t="shared" si="444"/>
        <v/>
      </c>
      <c r="B4757" s="89" t="str">
        <f t="shared" si="445"/>
        <v/>
      </c>
      <c r="S4757" s="89" t="str">
        <f t="shared" si="446"/>
        <v/>
      </c>
      <c r="X4757" s="64">
        <f t="shared" si="447"/>
        <v>0</v>
      </c>
      <c r="Y4757" s="53">
        <f t="shared" si="448"/>
        <v>0</v>
      </c>
      <c r="Z4757" s="64">
        <f t="shared" si="449"/>
        <v>0</v>
      </c>
    </row>
    <row r="4758" spans="1:26">
      <c r="A4758" s="89" t="str">
        <f t="shared" si="444"/>
        <v/>
      </c>
      <c r="B4758" s="89" t="str">
        <f t="shared" si="445"/>
        <v/>
      </c>
      <c r="S4758" s="89" t="str">
        <f t="shared" si="446"/>
        <v/>
      </c>
      <c r="X4758" s="64">
        <f t="shared" si="447"/>
        <v>0</v>
      </c>
      <c r="Y4758" s="53">
        <f t="shared" si="448"/>
        <v>0</v>
      </c>
      <c r="Z4758" s="64">
        <f t="shared" si="449"/>
        <v>0</v>
      </c>
    </row>
    <row r="4759" spans="1:26">
      <c r="A4759" s="89" t="str">
        <f t="shared" si="444"/>
        <v/>
      </c>
      <c r="B4759" s="89" t="str">
        <f t="shared" si="445"/>
        <v/>
      </c>
      <c r="S4759" s="89" t="str">
        <f t="shared" si="446"/>
        <v/>
      </c>
      <c r="X4759" s="64">
        <f t="shared" si="447"/>
        <v>0</v>
      </c>
      <c r="Y4759" s="53">
        <f t="shared" si="448"/>
        <v>0</v>
      </c>
      <c r="Z4759" s="64">
        <f t="shared" si="449"/>
        <v>0</v>
      </c>
    </row>
    <row r="4760" spans="1:26">
      <c r="A4760" s="89" t="str">
        <f t="shared" si="444"/>
        <v/>
      </c>
      <c r="B4760" s="89" t="str">
        <f t="shared" si="445"/>
        <v/>
      </c>
      <c r="S4760" s="89" t="str">
        <f t="shared" si="446"/>
        <v/>
      </c>
      <c r="X4760" s="64">
        <f t="shared" si="447"/>
        <v>0</v>
      </c>
      <c r="Y4760" s="53">
        <f t="shared" si="448"/>
        <v>0</v>
      </c>
      <c r="Z4760" s="64">
        <f t="shared" si="449"/>
        <v>0</v>
      </c>
    </row>
    <row r="4761" spans="1:26">
      <c r="A4761" s="89" t="str">
        <f t="shared" si="444"/>
        <v/>
      </c>
      <c r="B4761" s="89" t="str">
        <f t="shared" si="445"/>
        <v/>
      </c>
      <c r="S4761" s="89" t="str">
        <f t="shared" si="446"/>
        <v/>
      </c>
      <c r="X4761" s="64">
        <f t="shared" si="447"/>
        <v>0</v>
      </c>
      <c r="Y4761" s="53">
        <f t="shared" si="448"/>
        <v>0</v>
      </c>
      <c r="Z4761" s="64">
        <f t="shared" si="449"/>
        <v>0</v>
      </c>
    </row>
    <row r="4762" spans="1:26">
      <c r="A4762" s="89" t="str">
        <f t="shared" si="444"/>
        <v/>
      </c>
      <c r="B4762" s="89" t="str">
        <f t="shared" si="445"/>
        <v/>
      </c>
      <c r="S4762" s="89" t="str">
        <f t="shared" si="446"/>
        <v/>
      </c>
      <c r="X4762" s="64">
        <f t="shared" si="447"/>
        <v>0</v>
      </c>
      <c r="Y4762" s="53">
        <f t="shared" si="448"/>
        <v>0</v>
      </c>
      <c r="Z4762" s="64">
        <f t="shared" si="449"/>
        <v>0</v>
      </c>
    </row>
    <row r="4763" spans="1:26">
      <c r="A4763" s="89" t="str">
        <f t="shared" si="444"/>
        <v/>
      </c>
      <c r="B4763" s="89" t="str">
        <f t="shared" si="445"/>
        <v/>
      </c>
      <c r="S4763" s="89" t="str">
        <f t="shared" si="446"/>
        <v/>
      </c>
      <c r="X4763" s="64">
        <f t="shared" si="447"/>
        <v>0</v>
      </c>
      <c r="Y4763" s="53">
        <f t="shared" si="448"/>
        <v>0</v>
      </c>
      <c r="Z4763" s="64">
        <f t="shared" si="449"/>
        <v>0</v>
      </c>
    </row>
    <row r="4764" spans="1:26">
      <c r="A4764" s="89" t="str">
        <f t="shared" si="444"/>
        <v/>
      </c>
      <c r="B4764" s="89" t="str">
        <f t="shared" si="445"/>
        <v/>
      </c>
      <c r="S4764" s="89" t="str">
        <f t="shared" si="446"/>
        <v/>
      </c>
      <c r="X4764" s="64">
        <f t="shared" si="447"/>
        <v>0</v>
      </c>
      <c r="Y4764" s="53">
        <f t="shared" si="448"/>
        <v>0</v>
      </c>
      <c r="Z4764" s="64">
        <f t="shared" si="449"/>
        <v>0</v>
      </c>
    </row>
    <row r="4765" spans="1:26">
      <c r="A4765" s="89" t="str">
        <f t="shared" si="444"/>
        <v/>
      </c>
      <c r="B4765" s="89" t="str">
        <f t="shared" si="445"/>
        <v/>
      </c>
      <c r="S4765" s="89" t="str">
        <f t="shared" si="446"/>
        <v/>
      </c>
      <c r="X4765" s="64">
        <f t="shared" si="447"/>
        <v>0</v>
      </c>
      <c r="Y4765" s="53">
        <f t="shared" si="448"/>
        <v>0</v>
      </c>
      <c r="Z4765" s="64">
        <f t="shared" si="449"/>
        <v>0</v>
      </c>
    </row>
    <row r="4766" spans="1:26">
      <c r="A4766" s="89" t="str">
        <f t="shared" si="444"/>
        <v/>
      </c>
      <c r="B4766" s="89" t="str">
        <f t="shared" si="445"/>
        <v/>
      </c>
      <c r="S4766" s="89" t="str">
        <f t="shared" si="446"/>
        <v/>
      </c>
      <c r="X4766" s="64">
        <f t="shared" si="447"/>
        <v>0</v>
      </c>
      <c r="Y4766" s="53">
        <f t="shared" si="448"/>
        <v>0</v>
      </c>
      <c r="Z4766" s="64">
        <f t="shared" si="449"/>
        <v>0</v>
      </c>
    </row>
    <row r="4767" spans="1:26">
      <c r="A4767" s="89" t="str">
        <f t="shared" si="444"/>
        <v/>
      </c>
      <c r="B4767" s="89" t="str">
        <f t="shared" si="445"/>
        <v/>
      </c>
      <c r="S4767" s="89" t="str">
        <f t="shared" si="446"/>
        <v/>
      </c>
      <c r="X4767" s="64">
        <f t="shared" si="447"/>
        <v>0</v>
      </c>
      <c r="Y4767" s="53">
        <f t="shared" si="448"/>
        <v>0</v>
      </c>
      <c r="Z4767" s="64">
        <f t="shared" si="449"/>
        <v>0</v>
      </c>
    </row>
    <row r="4768" spans="1:26">
      <c r="A4768" s="89" t="str">
        <f t="shared" si="444"/>
        <v/>
      </c>
      <c r="B4768" s="89" t="str">
        <f t="shared" si="445"/>
        <v/>
      </c>
      <c r="S4768" s="89" t="str">
        <f t="shared" si="446"/>
        <v/>
      </c>
      <c r="X4768" s="64">
        <f t="shared" si="447"/>
        <v>0</v>
      </c>
      <c r="Y4768" s="53">
        <f t="shared" si="448"/>
        <v>0</v>
      </c>
      <c r="Z4768" s="64">
        <f t="shared" si="449"/>
        <v>0</v>
      </c>
    </row>
    <row r="4769" spans="1:26">
      <c r="A4769" s="89" t="str">
        <f t="shared" si="444"/>
        <v/>
      </c>
      <c r="B4769" s="89" t="str">
        <f t="shared" si="445"/>
        <v/>
      </c>
      <c r="S4769" s="89" t="str">
        <f t="shared" si="446"/>
        <v/>
      </c>
      <c r="X4769" s="64">
        <f t="shared" si="447"/>
        <v>0</v>
      </c>
      <c r="Y4769" s="53">
        <f t="shared" si="448"/>
        <v>0</v>
      </c>
      <c r="Z4769" s="64">
        <f t="shared" si="449"/>
        <v>0</v>
      </c>
    </row>
    <row r="4770" spans="1:26">
      <c r="A4770" s="89" t="str">
        <f t="shared" si="444"/>
        <v/>
      </c>
      <c r="B4770" s="89" t="str">
        <f t="shared" si="445"/>
        <v/>
      </c>
      <c r="S4770" s="89" t="str">
        <f t="shared" si="446"/>
        <v/>
      </c>
      <c r="X4770" s="64">
        <f t="shared" si="447"/>
        <v>0</v>
      </c>
      <c r="Y4770" s="53">
        <f t="shared" si="448"/>
        <v>0</v>
      </c>
      <c r="Z4770" s="64">
        <f t="shared" si="449"/>
        <v>0</v>
      </c>
    </row>
    <row r="4771" spans="1:26">
      <c r="A4771" s="89" t="str">
        <f t="shared" si="444"/>
        <v/>
      </c>
      <c r="B4771" s="89" t="str">
        <f t="shared" si="445"/>
        <v/>
      </c>
      <c r="S4771" s="89" t="str">
        <f t="shared" si="446"/>
        <v/>
      </c>
      <c r="X4771" s="64">
        <f t="shared" si="447"/>
        <v>0</v>
      </c>
      <c r="Y4771" s="53">
        <f t="shared" si="448"/>
        <v>0</v>
      </c>
      <c r="Z4771" s="64">
        <f t="shared" si="449"/>
        <v>0</v>
      </c>
    </row>
    <row r="4772" spans="1:26">
      <c r="A4772" s="89" t="str">
        <f t="shared" si="444"/>
        <v/>
      </c>
      <c r="B4772" s="89" t="str">
        <f t="shared" si="445"/>
        <v/>
      </c>
      <c r="S4772" s="89" t="str">
        <f t="shared" si="446"/>
        <v/>
      </c>
      <c r="X4772" s="64">
        <f t="shared" si="447"/>
        <v>0</v>
      </c>
      <c r="Y4772" s="53">
        <f t="shared" si="448"/>
        <v>0</v>
      </c>
      <c r="Z4772" s="64">
        <f t="shared" si="449"/>
        <v>0</v>
      </c>
    </row>
    <row r="4773" spans="1:26">
      <c r="A4773" s="89" t="str">
        <f t="shared" si="444"/>
        <v/>
      </c>
      <c r="B4773" s="89" t="str">
        <f t="shared" si="445"/>
        <v/>
      </c>
      <c r="S4773" s="89" t="str">
        <f t="shared" si="446"/>
        <v/>
      </c>
      <c r="X4773" s="64">
        <f t="shared" si="447"/>
        <v>0</v>
      </c>
      <c r="Y4773" s="53">
        <f t="shared" si="448"/>
        <v>0</v>
      </c>
      <c r="Z4773" s="64">
        <f t="shared" si="449"/>
        <v>0</v>
      </c>
    </row>
    <row r="4774" spans="1:26">
      <c r="A4774" s="89" t="str">
        <f t="shared" si="444"/>
        <v/>
      </c>
      <c r="B4774" s="89" t="str">
        <f t="shared" si="445"/>
        <v/>
      </c>
      <c r="S4774" s="89" t="str">
        <f t="shared" si="446"/>
        <v/>
      </c>
      <c r="X4774" s="64">
        <f t="shared" si="447"/>
        <v>0</v>
      </c>
      <c r="Y4774" s="53">
        <f t="shared" si="448"/>
        <v>0</v>
      </c>
      <c r="Z4774" s="64">
        <f t="shared" si="449"/>
        <v>0</v>
      </c>
    </row>
    <row r="4775" spans="1:26">
      <c r="A4775" s="89" t="str">
        <f t="shared" si="444"/>
        <v/>
      </c>
      <c r="B4775" s="89" t="str">
        <f t="shared" si="445"/>
        <v/>
      </c>
      <c r="S4775" s="89" t="str">
        <f t="shared" si="446"/>
        <v/>
      </c>
      <c r="X4775" s="64">
        <f t="shared" si="447"/>
        <v>0</v>
      </c>
      <c r="Y4775" s="53">
        <f t="shared" si="448"/>
        <v>0</v>
      </c>
      <c r="Z4775" s="64">
        <f t="shared" si="449"/>
        <v>0</v>
      </c>
    </row>
    <row r="4776" spans="1:26">
      <c r="A4776" s="89" t="str">
        <f t="shared" si="444"/>
        <v/>
      </c>
      <c r="B4776" s="89" t="str">
        <f t="shared" si="445"/>
        <v/>
      </c>
      <c r="S4776" s="89" t="str">
        <f t="shared" si="446"/>
        <v/>
      </c>
      <c r="X4776" s="64">
        <f t="shared" si="447"/>
        <v>0</v>
      </c>
      <c r="Y4776" s="53">
        <f t="shared" si="448"/>
        <v>0</v>
      </c>
      <c r="Z4776" s="64">
        <f t="shared" si="449"/>
        <v>0</v>
      </c>
    </row>
    <row r="4777" spans="1:26">
      <c r="A4777" s="89" t="str">
        <f t="shared" si="444"/>
        <v/>
      </c>
      <c r="B4777" s="89" t="str">
        <f t="shared" si="445"/>
        <v/>
      </c>
      <c r="S4777" s="89" t="str">
        <f t="shared" si="446"/>
        <v/>
      </c>
      <c r="X4777" s="64">
        <f t="shared" si="447"/>
        <v>0</v>
      </c>
      <c r="Y4777" s="53">
        <f t="shared" si="448"/>
        <v>0</v>
      </c>
      <c r="Z4777" s="64">
        <f t="shared" si="449"/>
        <v>0</v>
      </c>
    </row>
    <row r="4778" spans="1:26">
      <c r="A4778" s="89" t="str">
        <f t="shared" si="444"/>
        <v/>
      </c>
      <c r="B4778" s="89" t="str">
        <f t="shared" si="445"/>
        <v/>
      </c>
      <c r="S4778" s="89" t="str">
        <f t="shared" si="446"/>
        <v/>
      </c>
      <c r="X4778" s="64">
        <f t="shared" si="447"/>
        <v>0</v>
      </c>
      <c r="Y4778" s="53">
        <f t="shared" si="448"/>
        <v>0</v>
      </c>
      <c r="Z4778" s="64">
        <f t="shared" si="449"/>
        <v>0</v>
      </c>
    </row>
    <row r="4779" spans="1:26">
      <c r="A4779" s="89" t="str">
        <f t="shared" si="444"/>
        <v/>
      </c>
      <c r="B4779" s="89" t="str">
        <f t="shared" si="445"/>
        <v/>
      </c>
      <c r="S4779" s="89" t="str">
        <f t="shared" si="446"/>
        <v/>
      </c>
      <c r="X4779" s="64">
        <f t="shared" si="447"/>
        <v>0</v>
      </c>
      <c r="Y4779" s="53">
        <f t="shared" si="448"/>
        <v>0</v>
      </c>
      <c r="Z4779" s="64">
        <f t="shared" si="449"/>
        <v>0</v>
      </c>
    </row>
    <row r="4780" spans="1:26">
      <c r="A4780" s="89" t="str">
        <f t="shared" si="444"/>
        <v/>
      </c>
      <c r="B4780" s="89" t="str">
        <f t="shared" si="445"/>
        <v/>
      </c>
      <c r="S4780" s="89" t="str">
        <f t="shared" si="446"/>
        <v/>
      </c>
      <c r="X4780" s="64">
        <f t="shared" si="447"/>
        <v>0</v>
      </c>
      <c r="Y4780" s="53">
        <f t="shared" si="448"/>
        <v>0</v>
      </c>
      <c r="Z4780" s="64">
        <f t="shared" si="449"/>
        <v>0</v>
      </c>
    </row>
    <row r="4781" spans="1:26">
      <c r="A4781" s="89" t="str">
        <f t="shared" si="444"/>
        <v/>
      </c>
      <c r="B4781" s="89" t="str">
        <f t="shared" si="445"/>
        <v/>
      </c>
      <c r="S4781" s="89" t="str">
        <f t="shared" si="446"/>
        <v/>
      </c>
      <c r="X4781" s="64">
        <f t="shared" si="447"/>
        <v>0</v>
      </c>
      <c r="Y4781" s="53">
        <f t="shared" si="448"/>
        <v>0</v>
      </c>
      <c r="Z4781" s="64">
        <f t="shared" si="449"/>
        <v>0</v>
      </c>
    </row>
    <row r="4782" spans="1:26">
      <c r="A4782" s="89" t="str">
        <f t="shared" si="444"/>
        <v/>
      </c>
      <c r="B4782" s="89" t="str">
        <f t="shared" si="445"/>
        <v/>
      </c>
      <c r="S4782" s="89" t="str">
        <f t="shared" si="446"/>
        <v/>
      </c>
      <c r="X4782" s="64">
        <f t="shared" si="447"/>
        <v>0</v>
      </c>
      <c r="Y4782" s="53">
        <f t="shared" si="448"/>
        <v>0</v>
      </c>
      <c r="Z4782" s="64">
        <f t="shared" si="449"/>
        <v>0</v>
      </c>
    </row>
    <row r="4783" spans="1:26">
      <c r="A4783" s="89" t="str">
        <f t="shared" si="444"/>
        <v/>
      </c>
      <c r="B4783" s="89" t="str">
        <f t="shared" si="445"/>
        <v/>
      </c>
      <c r="S4783" s="89" t="str">
        <f t="shared" si="446"/>
        <v/>
      </c>
      <c r="X4783" s="64">
        <f t="shared" si="447"/>
        <v>0</v>
      </c>
      <c r="Y4783" s="53">
        <f t="shared" si="448"/>
        <v>0</v>
      </c>
      <c r="Z4783" s="64">
        <f t="shared" si="449"/>
        <v>0</v>
      </c>
    </row>
    <row r="4784" spans="1:26">
      <c r="A4784" s="89" t="str">
        <f t="shared" si="444"/>
        <v/>
      </c>
      <c r="B4784" s="89" t="str">
        <f t="shared" si="445"/>
        <v/>
      </c>
      <c r="S4784" s="89" t="str">
        <f t="shared" si="446"/>
        <v/>
      </c>
      <c r="X4784" s="64">
        <f t="shared" si="447"/>
        <v>0</v>
      </c>
      <c r="Y4784" s="53">
        <f t="shared" si="448"/>
        <v>0</v>
      </c>
      <c r="Z4784" s="64">
        <f t="shared" si="449"/>
        <v>0</v>
      </c>
    </row>
    <row r="4785" spans="1:26">
      <c r="A4785" s="89" t="str">
        <f t="shared" si="444"/>
        <v/>
      </c>
      <c r="B4785" s="89" t="str">
        <f t="shared" si="445"/>
        <v/>
      </c>
      <c r="S4785" s="89" t="str">
        <f t="shared" si="446"/>
        <v/>
      </c>
      <c r="X4785" s="64">
        <f t="shared" si="447"/>
        <v>0</v>
      </c>
      <c r="Y4785" s="53">
        <f t="shared" si="448"/>
        <v>0</v>
      </c>
      <c r="Z4785" s="64">
        <f t="shared" si="449"/>
        <v>0</v>
      </c>
    </row>
    <row r="4786" spans="1:26">
      <c r="A4786" s="89" t="str">
        <f t="shared" si="444"/>
        <v/>
      </c>
      <c r="B4786" s="89" t="str">
        <f t="shared" si="445"/>
        <v/>
      </c>
      <c r="S4786" s="89" t="str">
        <f t="shared" si="446"/>
        <v/>
      </c>
      <c r="X4786" s="64">
        <f t="shared" si="447"/>
        <v>0</v>
      </c>
      <c r="Y4786" s="53">
        <f t="shared" si="448"/>
        <v>0</v>
      </c>
      <c r="Z4786" s="64">
        <f t="shared" si="449"/>
        <v>0</v>
      </c>
    </row>
    <row r="4787" spans="1:26">
      <c r="A4787" s="89" t="str">
        <f t="shared" si="444"/>
        <v/>
      </c>
      <c r="B4787" s="89" t="str">
        <f t="shared" si="445"/>
        <v/>
      </c>
      <c r="S4787" s="89" t="str">
        <f t="shared" si="446"/>
        <v/>
      </c>
      <c r="X4787" s="64">
        <f t="shared" si="447"/>
        <v>0</v>
      </c>
      <c r="Y4787" s="53">
        <f t="shared" si="448"/>
        <v>0</v>
      </c>
      <c r="Z4787" s="64">
        <f t="shared" si="449"/>
        <v>0</v>
      </c>
    </row>
    <row r="4788" spans="1:26">
      <c r="A4788" s="89" t="str">
        <f t="shared" si="444"/>
        <v/>
      </c>
      <c r="B4788" s="89" t="str">
        <f t="shared" si="445"/>
        <v/>
      </c>
      <c r="S4788" s="89" t="str">
        <f t="shared" si="446"/>
        <v/>
      </c>
      <c r="X4788" s="64">
        <f t="shared" si="447"/>
        <v>0</v>
      </c>
      <c r="Y4788" s="53">
        <f t="shared" si="448"/>
        <v>0</v>
      </c>
      <c r="Z4788" s="64">
        <f t="shared" si="449"/>
        <v>0</v>
      </c>
    </row>
    <row r="4789" spans="1:26">
      <c r="A4789" s="89" t="str">
        <f t="shared" si="444"/>
        <v/>
      </c>
      <c r="B4789" s="89" t="str">
        <f t="shared" si="445"/>
        <v/>
      </c>
      <c r="S4789" s="89" t="str">
        <f t="shared" si="446"/>
        <v/>
      </c>
      <c r="X4789" s="64">
        <f t="shared" si="447"/>
        <v>0</v>
      </c>
      <c r="Y4789" s="53">
        <f t="shared" si="448"/>
        <v>0</v>
      </c>
      <c r="Z4789" s="64">
        <f t="shared" si="449"/>
        <v>0</v>
      </c>
    </row>
    <row r="4790" spans="1:26">
      <c r="A4790" s="89" t="str">
        <f t="shared" si="444"/>
        <v/>
      </c>
      <c r="B4790" s="89" t="str">
        <f t="shared" si="445"/>
        <v/>
      </c>
      <c r="S4790" s="89" t="str">
        <f t="shared" si="446"/>
        <v/>
      </c>
      <c r="X4790" s="64">
        <f t="shared" si="447"/>
        <v>0</v>
      </c>
      <c r="Y4790" s="53">
        <f t="shared" si="448"/>
        <v>0</v>
      </c>
      <c r="Z4790" s="64">
        <f t="shared" si="449"/>
        <v>0</v>
      </c>
    </row>
    <row r="4791" spans="1:26">
      <c r="A4791" s="89" t="str">
        <f t="shared" si="444"/>
        <v/>
      </c>
      <c r="B4791" s="89" t="str">
        <f t="shared" si="445"/>
        <v/>
      </c>
      <c r="S4791" s="89" t="str">
        <f t="shared" si="446"/>
        <v/>
      </c>
      <c r="X4791" s="64">
        <f t="shared" si="447"/>
        <v>0</v>
      </c>
      <c r="Y4791" s="53">
        <f t="shared" si="448"/>
        <v>0</v>
      </c>
      <c r="Z4791" s="64">
        <f t="shared" si="449"/>
        <v>0</v>
      </c>
    </row>
    <row r="4792" spans="1:26">
      <c r="A4792" s="89" t="str">
        <f t="shared" si="444"/>
        <v/>
      </c>
      <c r="B4792" s="89" t="str">
        <f t="shared" si="445"/>
        <v/>
      </c>
      <c r="S4792" s="89" t="str">
        <f t="shared" si="446"/>
        <v/>
      </c>
      <c r="X4792" s="64">
        <f t="shared" si="447"/>
        <v>0</v>
      </c>
      <c r="Y4792" s="53">
        <f t="shared" si="448"/>
        <v>0</v>
      </c>
      <c r="Z4792" s="64">
        <f t="shared" si="449"/>
        <v>0</v>
      </c>
    </row>
    <row r="4793" spans="1:26">
      <c r="A4793" s="89" t="str">
        <f t="shared" si="444"/>
        <v/>
      </c>
      <c r="B4793" s="89" t="str">
        <f t="shared" si="445"/>
        <v/>
      </c>
      <c r="S4793" s="89" t="str">
        <f t="shared" si="446"/>
        <v/>
      </c>
      <c r="X4793" s="64">
        <f t="shared" si="447"/>
        <v>0</v>
      </c>
      <c r="Y4793" s="53">
        <f t="shared" si="448"/>
        <v>0</v>
      </c>
      <c r="Z4793" s="64">
        <f t="shared" si="449"/>
        <v>0</v>
      </c>
    </row>
    <row r="4794" spans="1:26">
      <c r="A4794" s="89" t="str">
        <f t="shared" si="444"/>
        <v/>
      </c>
      <c r="B4794" s="89" t="str">
        <f t="shared" si="445"/>
        <v/>
      </c>
      <c r="S4794" s="89" t="str">
        <f t="shared" si="446"/>
        <v/>
      </c>
      <c r="X4794" s="64">
        <f t="shared" si="447"/>
        <v>0</v>
      </c>
      <c r="Y4794" s="53">
        <f t="shared" si="448"/>
        <v>0</v>
      </c>
      <c r="Z4794" s="64">
        <f t="shared" si="449"/>
        <v>0</v>
      </c>
    </row>
    <row r="4795" spans="1:26">
      <c r="A4795" s="89" t="str">
        <f t="shared" si="444"/>
        <v/>
      </c>
      <c r="B4795" s="89" t="str">
        <f t="shared" si="445"/>
        <v/>
      </c>
      <c r="S4795" s="89" t="str">
        <f t="shared" si="446"/>
        <v/>
      </c>
      <c r="X4795" s="64">
        <f t="shared" si="447"/>
        <v>0</v>
      </c>
      <c r="Y4795" s="53">
        <f t="shared" si="448"/>
        <v>0</v>
      </c>
      <c r="Z4795" s="64">
        <f t="shared" si="449"/>
        <v>0</v>
      </c>
    </row>
    <row r="4796" spans="1:26">
      <c r="A4796" s="89" t="str">
        <f t="shared" si="444"/>
        <v/>
      </c>
      <c r="B4796" s="89" t="str">
        <f t="shared" si="445"/>
        <v/>
      </c>
      <c r="S4796" s="89" t="str">
        <f t="shared" si="446"/>
        <v/>
      </c>
      <c r="X4796" s="64">
        <f t="shared" si="447"/>
        <v>0</v>
      </c>
      <c r="Y4796" s="53">
        <f t="shared" si="448"/>
        <v>0</v>
      </c>
      <c r="Z4796" s="64">
        <f t="shared" si="449"/>
        <v>0</v>
      </c>
    </row>
    <row r="4797" spans="1:26">
      <c r="A4797" s="89" t="str">
        <f t="shared" si="444"/>
        <v/>
      </c>
      <c r="B4797" s="89" t="str">
        <f t="shared" si="445"/>
        <v/>
      </c>
      <c r="S4797" s="89" t="str">
        <f t="shared" si="446"/>
        <v/>
      </c>
      <c r="X4797" s="64">
        <f t="shared" si="447"/>
        <v>0</v>
      </c>
      <c r="Y4797" s="53">
        <f t="shared" si="448"/>
        <v>0</v>
      </c>
      <c r="Z4797" s="64">
        <f t="shared" si="449"/>
        <v>0</v>
      </c>
    </row>
    <row r="4798" spans="1:26">
      <c r="A4798" s="89" t="str">
        <f t="shared" si="444"/>
        <v/>
      </c>
      <c r="B4798" s="89" t="str">
        <f t="shared" si="445"/>
        <v/>
      </c>
      <c r="S4798" s="89" t="str">
        <f t="shared" si="446"/>
        <v/>
      </c>
      <c r="X4798" s="64">
        <f t="shared" si="447"/>
        <v>0</v>
      </c>
      <c r="Y4798" s="53">
        <f t="shared" si="448"/>
        <v>0</v>
      </c>
      <c r="Z4798" s="64">
        <f t="shared" si="449"/>
        <v>0</v>
      </c>
    </row>
    <row r="4799" spans="1:26">
      <c r="A4799" s="89" t="str">
        <f t="shared" si="444"/>
        <v/>
      </c>
      <c r="B4799" s="89" t="str">
        <f t="shared" si="445"/>
        <v/>
      </c>
      <c r="S4799" s="89" t="str">
        <f t="shared" si="446"/>
        <v/>
      </c>
      <c r="X4799" s="64">
        <f t="shared" si="447"/>
        <v>0</v>
      </c>
      <c r="Y4799" s="53">
        <f t="shared" si="448"/>
        <v>0</v>
      </c>
      <c r="Z4799" s="64">
        <f t="shared" si="449"/>
        <v>0</v>
      </c>
    </row>
    <row r="4800" spans="1:26">
      <c r="A4800" s="89" t="str">
        <f t="shared" si="444"/>
        <v/>
      </c>
      <c r="B4800" s="89" t="str">
        <f t="shared" si="445"/>
        <v/>
      </c>
      <c r="S4800" s="89" t="str">
        <f t="shared" si="446"/>
        <v/>
      </c>
      <c r="X4800" s="64">
        <f t="shared" si="447"/>
        <v>0</v>
      </c>
      <c r="Y4800" s="53">
        <f t="shared" si="448"/>
        <v>0</v>
      </c>
      <c r="Z4800" s="64">
        <f t="shared" si="449"/>
        <v>0</v>
      </c>
    </row>
    <row r="4801" spans="1:26">
      <c r="A4801" s="89" t="str">
        <f t="shared" si="444"/>
        <v/>
      </c>
      <c r="B4801" s="89" t="str">
        <f t="shared" si="445"/>
        <v/>
      </c>
      <c r="S4801" s="89" t="str">
        <f t="shared" si="446"/>
        <v/>
      </c>
      <c r="X4801" s="64">
        <f t="shared" si="447"/>
        <v>0</v>
      </c>
      <c r="Y4801" s="53">
        <f t="shared" si="448"/>
        <v>0</v>
      </c>
      <c r="Z4801" s="64">
        <f t="shared" si="449"/>
        <v>0</v>
      </c>
    </row>
    <row r="4802" spans="1:26">
      <c r="A4802" s="89" t="str">
        <f t="shared" si="444"/>
        <v/>
      </c>
      <c r="B4802" s="89" t="str">
        <f t="shared" si="445"/>
        <v/>
      </c>
      <c r="S4802" s="89" t="str">
        <f t="shared" si="446"/>
        <v/>
      </c>
      <c r="X4802" s="64">
        <f t="shared" si="447"/>
        <v>0</v>
      </c>
      <c r="Y4802" s="53">
        <f t="shared" si="448"/>
        <v>0</v>
      </c>
      <c r="Z4802" s="64">
        <f t="shared" si="449"/>
        <v>0</v>
      </c>
    </row>
    <row r="4803" spans="1:26">
      <c r="A4803" s="89" t="str">
        <f t="shared" ref="A4803:A4866" si="450">IF(G4803&amp;Q4803&lt;&gt;"",G4803&amp;Q4803,"")</f>
        <v/>
      </c>
      <c r="B4803" s="89" t="str">
        <f t="shared" ref="B4803:B4866" si="451">IF(C4803&lt;&gt;"",LEFT(C4803,9),"")</f>
        <v/>
      </c>
      <c r="S4803" s="89" t="str">
        <f t="shared" ref="S4803:S4866" si="452">IF(H4803&lt;&gt;"",H4803,"")</f>
        <v/>
      </c>
      <c r="X4803" s="64">
        <f t="shared" ref="X4803:X4866" si="453">IFERROR(VALUE(MID($C4803,1,2)),0)</f>
        <v>0</v>
      </c>
      <c r="Y4803" s="53">
        <f t="shared" ref="Y4803:Y4866" si="454">IFERROR(VALUE(MID($C4803,4,3)),0)</f>
        <v>0</v>
      </c>
      <c r="Z4803" s="64">
        <f t="shared" ref="Z4803:Z4866" si="455">VALUE(RIGHT("00"&amp;X4803,2)&amp;RIGHT("000"&amp;Y4803,3))</f>
        <v>0</v>
      </c>
    </row>
    <row r="4804" spans="1:26">
      <c r="A4804" s="89" t="str">
        <f t="shared" si="450"/>
        <v/>
      </c>
      <c r="B4804" s="89" t="str">
        <f t="shared" si="451"/>
        <v/>
      </c>
      <c r="S4804" s="89" t="str">
        <f t="shared" si="452"/>
        <v/>
      </c>
      <c r="X4804" s="64">
        <f t="shared" si="453"/>
        <v>0</v>
      </c>
      <c r="Y4804" s="53">
        <f t="shared" si="454"/>
        <v>0</v>
      </c>
      <c r="Z4804" s="64">
        <f t="shared" si="455"/>
        <v>0</v>
      </c>
    </row>
    <row r="4805" spans="1:26">
      <c r="A4805" s="89" t="str">
        <f t="shared" si="450"/>
        <v/>
      </c>
      <c r="B4805" s="89" t="str">
        <f t="shared" si="451"/>
        <v/>
      </c>
      <c r="S4805" s="89" t="str">
        <f t="shared" si="452"/>
        <v/>
      </c>
      <c r="X4805" s="64">
        <f t="shared" si="453"/>
        <v>0</v>
      </c>
      <c r="Y4805" s="53">
        <f t="shared" si="454"/>
        <v>0</v>
      </c>
      <c r="Z4805" s="64">
        <f t="shared" si="455"/>
        <v>0</v>
      </c>
    </row>
    <row r="4806" spans="1:26">
      <c r="A4806" s="89" t="str">
        <f t="shared" si="450"/>
        <v/>
      </c>
      <c r="B4806" s="89" t="str">
        <f t="shared" si="451"/>
        <v/>
      </c>
      <c r="S4806" s="89" t="str">
        <f t="shared" si="452"/>
        <v/>
      </c>
      <c r="X4806" s="64">
        <f t="shared" si="453"/>
        <v>0</v>
      </c>
      <c r="Y4806" s="53">
        <f t="shared" si="454"/>
        <v>0</v>
      </c>
      <c r="Z4806" s="64">
        <f t="shared" si="455"/>
        <v>0</v>
      </c>
    </row>
    <row r="4807" spans="1:26">
      <c r="A4807" s="89" t="str">
        <f t="shared" si="450"/>
        <v/>
      </c>
      <c r="B4807" s="89" t="str">
        <f t="shared" si="451"/>
        <v/>
      </c>
      <c r="S4807" s="89" t="str">
        <f t="shared" si="452"/>
        <v/>
      </c>
      <c r="X4807" s="64">
        <f t="shared" si="453"/>
        <v>0</v>
      </c>
      <c r="Y4807" s="53">
        <f t="shared" si="454"/>
        <v>0</v>
      </c>
      <c r="Z4807" s="64">
        <f t="shared" si="455"/>
        <v>0</v>
      </c>
    </row>
    <row r="4808" spans="1:26">
      <c r="A4808" s="89" t="str">
        <f t="shared" si="450"/>
        <v/>
      </c>
      <c r="B4808" s="89" t="str">
        <f t="shared" si="451"/>
        <v/>
      </c>
      <c r="S4808" s="89" t="str">
        <f t="shared" si="452"/>
        <v/>
      </c>
      <c r="X4808" s="64">
        <f t="shared" si="453"/>
        <v>0</v>
      </c>
      <c r="Y4808" s="53">
        <f t="shared" si="454"/>
        <v>0</v>
      </c>
      <c r="Z4808" s="64">
        <f t="shared" si="455"/>
        <v>0</v>
      </c>
    </row>
    <row r="4809" spans="1:26">
      <c r="A4809" s="89" t="str">
        <f t="shared" si="450"/>
        <v/>
      </c>
      <c r="B4809" s="89" t="str">
        <f t="shared" si="451"/>
        <v/>
      </c>
      <c r="S4809" s="89" t="str">
        <f t="shared" si="452"/>
        <v/>
      </c>
      <c r="X4809" s="64">
        <f t="shared" si="453"/>
        <v>0</v>
      </c>
      <c r="Y4809" s="53">
        <f t="shared" si="454"/>
        <v>0</v>
      </c>
      <c r="Z4809" s="64">
        <f t="shared" si="455"/>
        <v>0</v>
      </c>
    </row>
    <row r="4810" spans="1:26">
      <c r="A4810" s="89" t="str">
        <f t="shared" si="450"/>
        <v/>
      </c>
      <c r="B4810" s="89" t="str">
        <f t="shared" si="451"/>
        <v/>
      </c>
      <c r="S4810" s="89" t="str">
        <f t="shared" si="452"/>
        <v/>
      </c>
      <c r="X4810" s="64">
        <f t="shared" si="453"/>
        <v>0</v>
      </c>
      <c r="Y4810" s="53">
        <f t="shared" si="454"/>
        <v>0</v>
      </c>
      <c r="Z4810" s="64">
        <f t="shared" si="455"/>
        <v>0</v>
      </c>
    </row>
    <row r="4811" spans="1:26">
      <c r="A4811" s="89" t="str">
        <f t="shared" si="450"/>
        <v/>
      </c>
      <c r="B4811" s="89" t="str">
        <f t="shared" si="451"/>
        <v/>
      </c>
      <c r="S4811" s="89" t="str">
        <f t="shared" si="452"/>
        <v/>
      </c>
      <c r="X4811" s="64">
        <f t="shared" si="453"/>
        <v>0</v>
      </c>
      <c r="Y4811" s="53">
        <f t="shared" si="454"/>
        <v>0</v>
      </c>
      <c r="Z4811" s="64">
        <f t="shared" si="455"/>
        <v>0</v>
      </c>
    </row>
    <row r="4812" spans="1:26">
      <c r="A4812" s="89" t="str">
        <f t="shared" si="450"/>
        <v/>
      </c>
      <c r="B4812" s="89" t="str">
        <f t="shared" si="451"/>
        <v/>
      </c>
      <c r="S4812" s="89" t="str">
        <f t="shared" si="452"/>
        <v/>
      </c>
      <c r="X4812" s="64">
        <f t="shared" si="453"/>
        <v>0</v>
      </c>
      <c r="Y4812" s="53">
        <f t="shared" si="454"/>
        <v>0</v>
      </c>
      <c r="Z4812" s="64">
        <f t="shared" si="455"/>
        <v>0</v>
      </c>
    </row>
    <row r="4813" spans="1:26">
      <c r="A4813" s="89" t="str">
        <f t="shared" si="450"/>
        <v/>
      </c>
      <c r="B4813" s="89" t="str">
        <f t="shared" si="451"/>
        <v/>
      </c>
      <c r="S4813" s="89" t="str">
        <f t="shared" si="452"/>
        <v/>
      </c>
      <c r="X4813" s="64">
        <f t="shared" si="453"/>
        <v>0</v>
      </c>
      <c r="Y4813" s="53">
        <f t="shared" si="454"/>
        <v>0</v>
      </c>
      <c r="Z4813" s="64">
        <f t="shared" si="455"/>
        <v>0</v>
      </c>
    </row>
    <row r="4814" spans="1:26">
      <c r="A4814" s="89" t="str">
        <f t="shared" si="450"/>
        <v/>
      </c>
      <c r="B4814" s="89" t="str">
        <f t="shared" si="451"/>
        <v/>
      </c>
      <c r="S4814" s="89" t="str">
        <f t="shared" si="452"/>
        <v/>
      </c>
      <c r="X4814" s="64">
        <f t="shared" si="453"/>
        <v>0</v>
      </c>
      <c r="Y4814" s="53">
        <f t="shared" si="454"/>
        <v>0</v>
      </c>
      <c r="Z4814" s="64">
        <f t="shared" si="455"/>
        <v>0</v>
      </c>
    </row>
    <row r="4815" spans="1:26">
      <c r="A4815" s="89" t="str">
        <f t="shared" si="450"/>
        <v/>
      </c>
      <c r="B4815" s="89" t="str">
        <f t="shared" si="451"/>
        <v/>
      </c>
      <c r="S4815" s="89" t="str">
        <f t="shared" si="452"/>
        <v/>
      </c>
      <c r="X4815" s="64">
        <f t="shared" si="453"/>
        <v>0</v>
      </c>
      <c r="Y4815" s="53">
        <f t="shared" si="454"/>
        <v>0</v>
      </c>
      <c r="Z4815" s="64">
        <f t="shared" si="455"/>
        <v>0</v>
      </c>
    </row>
    <row r="4816" spans="1:26">
      <c r="A4816" s="89" t="str">
        <f t="shared" si="450"/>
        <v/>
      </c>
      <c r="B4816" s="89" t="str">
        <f t="shared" si="451"/>
        <v/>
      </c>
      <c r="S4816" s="89" t="str">
        <f t="shared" si="452"/>
        <v/>
      </c>
      <c r="X4816" s="64">
        <f t="shared" si="453"/>
        <v>0</v>
      </c>
      <c r="Y4816" s="53">
        <f t="shared" si="454"/>
        <v>0</v>
      </c>
      <c r="Z4816" s="64">
        <f t="shared" si="455"/>
        <v>0</v>
      </c>
    </row>
    <row r="4817" spans="1:26">
      <c r="A4817" s="89" t="str">
        <f t="shared" si="450"/>
        <v/>
      </c>
      <c r="B4817" s="89" t="str">
        <f t="shared" si="451"/>
        <v/>
      </c>
      <c r="S4817" s="89" t="str">
        <f t="shared" si="452"/>
        <v/>
      </c>
      <c r="X4817" s="64">
        <f t="shared" si="453"/>
        <v>0</v>
      </c>
      <c r="Y4817" s="53">
        <f t="shared" si="454"/>
        <v>0</v>
      </c>
      <c r="Z4817" s="64">
        <f t="shared" si="455"/>
        <v>0</v>
      </c>
    </row>
    <row r="4818" spans="1:26">
      <c r="A4818" s="89" t="str">
        <f t="shared" si="450"/>
        <v/>
      </c>
      <c r="B4818" s="89" t="str">
        <f t="shared" si="451"/>
        <v/>
      </c>
      <c r="S4818" s="89" t="str">
        <f t="shared" si="452"/>
        <v/>
      </c>
      <c r="X4818" s="64">
        <f t="shared" si="453"/>
        <v>0</v>
      </c>
      <c r="Y4818" s="53">
        <f t="shared" si="454"/>
        <v>0</v>
      </c>
      <c r="Z4818" s="64">
        <f t="shared" si="455"/>
        <v>0</v>
      </c>
    </row>
    <row r="4819" spans="1:26">
      <c r="A4819" s="89" t="str">
        <f t="shared" si="450"/>
        <v/>
      </c>
      <c r="B4819" s="89" t="str">
        <f t="shared" si="451"/>
        <v/>
      </c>
      <c r="S4819" s="89" t="str">
        <f t="shared" si="452"/>
        <v/>
      </c>
      <c r="X4819" s="64">
        <f t="shared" si="453"/>
        <v>0</v>
      </c>
      <c r="Y4819" s="53">
        <f t="shared" si="454"/>
        <v>0</v>
      </c>
      <c r="Z4819" s="64">
        <f t="shared" si="455"/>
        <v>0</v>
      </c>
    </row>
    <row r="4820" spans="1:26">
      <c r="A4820" s="89" t="str">
        <f t="shared" si="450"/>
        <v/>
      </c>
      <c r="B4820" s="89" t="str">
        <f t="shared" si="451"/>
        <v/>
      </c>
      <c r="S4820" s="89" t="str">
        <f t="shared" si="452"/>
        <v/>
      </c>
      <c r="X4820" s="64">
        <f t="shared" si="453"/>
        <v>0</v>
      </c>
      <c r="Y4820" s="53">
        <f t="shared" si="454"/>
        <v>0</v>
      </c>
      <c r="Z4820" s="64">
        <f t="shared" si="455"/>
        <v>0</v>
      </c>
    </row>
    <row r="4821" spans="1:26">
      <c r="A4821" s="89" t="str">
        <f t="shared" si="450"/>
        <v/>
      </c>
      <c r="B4821" s="89" t="str">
        <f t="shared" si="451"/>
        <v/>
      </c>
      <c r="S4821" s="89" t="str">
        <f t="shared" si="452"/>
        <v/>
      </c>
      <c r="X4821" s="64">
        <f t="shared" si="453"/>
        <v>0</v>
      </c>
      <c r="Y4821" s="53">
        <f t="shared" si="454"/>
        <v>0</v>
      </c>
      <c r="Z4821" s="64">
        <f t="shared" si="455"/>
        <v>0</v>
      </c>
    </row>
    <row r="4822" spans="1:26">
      <c r="A4822" s="89" t="str">
        <f t="shared" si="450"/>
        <v/>
      </c>
      <c r="B4822" s="89" t="str">
        <f t="shared" si="451"/>
        <v/>
      </c>
      <c r="S4822" s="89" t="str">
        <f t="shared" si="452"/>
        <v/>
      </c>
      <c r="X4822" s="64">
        <f t="shared" si="453"/>
        <v>0</v>
      </c>
      <c r="Y4822" s="53">
        <f t="shared" si="454"/>
        <v>0</v>
      </c>
      <c r="Z4822" s="64">
        <f t="shared" si="455"/>
        <v>0</v>
      </c>
    </row>
    <row r="4823" spans="1:26">
      <c r="A4823" s="89" t="str">
        <f t="shared" si="450"/>
        <v/>
      </c>
      <c r="B4823" s="89" t="str">
        <f t="shared" si="451"/>
        <v/>
      </c>
      <c r="S4823" s="89" t="str">
        <f t="shared" si="452"/>
        <v/>
      </c>
      <c r="X4823" s="64">
        <f t="shared" si="453"/>
        <v>0</v>
      </c>
      <c r="Y4823" s="53">
        <f t="shared" si="454"/>
        <v>0</v>
      </c>
      <c r="Z4823" s="64">
        <f t="shared" si="455"/>
        <v>0</v>
      </c>
    </row>
    <row r="4824" spans="1:26">
      <c r="A4824" s="89" t="str">
        <f t="shared" si="450"/>
        <v/>
      </c>
      <c r="B4824" s="89" t="str">
        <f t="shared" si="451"/>
        <v/>
      </c>
      <c r="S4824" s="89" t="str">
        <f t="shared" si="452"/>
        <v/>
      </c>
      <c r="X4824" s="64">
        <f t="shared" si="453"/>
        <v>0</v>
      </c>
      <c r="Y4824" s="53">
        <f t="shared" si="454"/>
        <v>0</v>
      </c>
      <c r="Z4824" s="64">
        <f t="shared" si="455"/>
        <v>0</v>
      </c>
    </row>
    <row r="4825" spans="1:26">
      <c r="A4825" s="89" t="str">
        <f t="shared" si="450"/>
        <v/>
      </c>
      <c r="B4825" s="89" t="str">
        <f t="shared" si="451"/>
        <v/>
      </c>
      <c r="S4825" s="89" t="str">
        <f t="shared" si="452"/>
        <v/>
      </c>
      <c r="X4825" s="64">
        <f t="shared" si="453"/>
        <v>0</v>
      </c>
      <c r="Y4825" s="53">
        <f t="shared" si="454"/>
        <v>0</v>
      </c>
      <c r="Z4825" s="64">
        <f t="shared" si="455"/>
        <v>0</v>
      </c>
    </row>
    <row r="4826" spans="1:26">
      <c r="A4826" s="89" t="str">
        <f t="shared" si="450"/>
        <v/>
      </c>
      <c r="B4826" s="89" t="str">
        <f t="shared" si="451"/>
        <v/>
      </c>
      <c r="S4826" s="89" t="str">
        <f t="shared" si="452"/>
        <v/>
      </c>
      <c r="X4826" s="64">
        <f t="shared" si="453"/>
        <v>0</v>
      </c>
      <c r="Y4826" s="53">
        <f t="shared" si="454"/>
        <v>0</v>
      </c>
      <c r="Z4826" s="64">
        <f t="shared" si="455"/>
        <v>0</v>
      </c>
    </row>
    <row r="4827" spans="1:26">
      <c r="A4827" s="89" t="str">
        <f t="shared" si="450"/>
        <v/>
      </c>
      <c r="B4827" s="89" t="str">
        <f t="shared" si="451"/>
        <v/>
      </c>
      <c r="S4827" s="89" t="str">
        <f t="shared" si="452"/>
        <v/>
      </c>
      <c r="X4827" s="64">
        <f t="shared" si="453"/>
        <v>0</v>
      </c>
      <c r="Y4827" s="53">
        <f t="shared" si="454"/>
        <v>0</v>
      </c>
      <c r="Z4827" s="64">
        <f t="shared" si="455"/>
        <v>0</v>
      </c>
    </row>
    <row r="4828" spans="1:26">
      <c r="A4828" s="89" t="str">
        <f t="shared" si="450"/>
        <v/>
      </c>
      <c r="B4828" s="89" t="str">
        <f t="shared" si="451"/>
        <v/>
      </c>
      <c r="S4828" s="89" t="str">
        <f t="shared" si="452"/>
        <v/>
      </c>
      <c r="X4828" s="64">
        <f t="shared" si="453"/>
        <v>0</v>
      </c>
      <c r="Y4828" s="53">
        <f t="shared" si="454"/>
        <v>0</v>
      </c>
      <c r="Z4828" s="64">
        <f t="shared" si="455"/>
        <v>0</v>
      </c>
    </row>
    <row r="4829" spans="1:26">
      <c r="A4829" s="89" t="str">
        <f t="shared" si="450"/>
        <v/>
      </c>
      <c r="B4829" s="89" t="str">
        <f t="shared" si="451"/>
        <v/>
      </c>
      <c r="S4829" s="89" t="str">
        <f t="shared" si="452"/>
        <v/>
      </c>
      <c r="X4829" s="64">
        <f t="shared" si="453"/>
        <v>0</v>
      </c>
      <c r="Y4829" s="53">
        <f t="shared" si="454"/>
        <v>0</v>
      </c>
      <c r="Z4829" s="64">
        <f t="shared" si="455"/>
        <v>0</v>
      </c>
    </row>
    <row r="4830" spans="1:26">
      <c r="A4830" s="89" t="str">
        <f t="shared" si="450"/>
        <v/>
      </c>
      <c r="B4830" s="89" t="str">
        <f t="shared" si="451"/>
        <v/>
      </c>
      <c r="S4830" s="89" t="str">
        <f t="shared" si="452"/>
        <v/>
      </c>
      <c r="X4830" s="64">
        <f t="shared" si="453"/>
        <v>0</v>
      </c>
      <c r="Y4830" s="53">
        <f t="shared" si="454"/>
        <v>0</v>
      </c>
      <c r="Z4830" s="64">
        <f t="shared" si="455"/>
        <v>0</v>
      </c>
    </row>
    <row r="4831" spans="1:26">
      <c r="A4831" s="89" t="str">
        <f t="shared" si="450"/>
        <v/>
      </c>
      <c r="B4831" s="89" t="str">
        <f t="shared" si="451"/>
        <v/>
      </c>
      <c r="S4831" s="89" t="str">
        <f t="shared" si="452"/>
        <v/>
      </c>
      <c r="X4831" s="64">
        <f t="shared" si="453"/>
        <v>0</v>
      </c>
      <c r="Y4831" s="53">
        <f t="shared" si="454"/>
        <v>0</v>
      </c>
      <c r="Z4831" s="64">
        <f t="shared" si="455"/>
        <v>0</v>
      </c>
    </row>
    <row r="4832" spans="1:26">
      <c r="A4832" s="89" t="str">
        <f t="shared" si="450"/>
        <v/>
      </c>
      <c r="B4832" s="89" t="str">
        <f t="shared" si="451"/>
        <v/>
      </c>
      <c r="S4832" s="89" t="str">
        <f t="shared" si="452"/>
        <v/>
      </c>
      <c r="X4832" s="64">
        <f t="shared" si="453"/>
        <v>0</v>
      </c>
      <c r="Y4832" s="53">
        <f t="shared" si="454"/>
        <v>0</v>
      </c>
      <c r="Z4832" s="64">
        <f t="shared" si="455"/>
        <v>0</v>
      </c>
    </row>
    <row r="4833" spans="1:26">
      <c r="A4833" s="89" t="str">
        <f t="shared" si="450"/>
        <v/>
      </c>
      <c r="B4833" s="89" t="str">
        <f t="shared" si="451"/>
        <v/>
      </c>
      <c r="S4833" s="89" t="str">
        <f t="shared" si="452"/>
        <v/>
      </c>
      <c r="X4833" s="64">
        <f t="shared" si="453"/>
        <v>0</v>
      </c>
      <c r="Y4833" s="53">
        <f t="shared" si="454"/>
        <v>0</v>
      </c>
      <c r="Z4833" s="64">
        <f t="shared" si="455"/>
        <v>0</v>
      </c>
    </row>
    <row r="4834" spans="1:26">
      <c r="A4834" s="89" t="str">
        <f t="shared" si="450"/>
        <v/>
      </c>
      <c r="B4834" s="89" t="str">
        <f t="shared" si="451"/>
        <v/>
      </c>
      <c r="S4834" s="89" t="str">
        <f t="shared" si="452"/>
        <v/>
      </c>
      <c r="X4834" s="64">
        <f t="shared" si="453"/>
        <v>0</v>
      </c>
      <c r="Y4834" s="53">
        <f t="shared" si="454"/>
        <v>0</v>
      </c>
      <c r="Z4834" s="64">
        <f t="shared" si="455"/>
        <v>0</v>
      </c>
    </row>
    <row r="4835" spans="1:26">
      <c r="A4835" s="89" t="str">
        <f t="shared" si="450"/>
        <v/>
      </c>
      <c r="B4835" s="89" t="str">
        <f t="shared" si="451"/>
        <v/>
      </c>
      <c r="S4835" s="89" t="str">
        <f t="shared" si="452"/>
        <v/>
      </c>
      <c r="X4835" s="64">
        <f t="shared" si="453"/>
        <v>0</v>
      </c>
      <c r="Y4835" s="53">
        <f t="shared" si="454"/>
        <v>0</v>
      </c>
      <c r="Z4835" s="64">
        <f t="shared" si="455"/>
        <v>0</v>
      </c>
    </row>
    <row r="4836" spans="1:26">
      <c r="A4836" s="89" t="str">
        <f t="shared" si="450"/>
        <v/>
      </c>
      <c r="B4836" s="89" t="str">
        <f t="shared" si="451"/>
        <v/>
      </c>
      <c r="S4836" s="89" t="str">
        <f t="shared" si="452"/>
        <v/>
      </c>
      <c r="X4836" s="64">
        <f t="shared" si="453"/>
        <v>0</v>
      </c>
      <c r="Y4836" s="53">
        <f t="shared" si="454"/>
        <v>0</v>
      </c>
      <c r="Z4836" s="64">
        <f t="shared" si="455"/>
        <v>0</v>
      </c>
    </row>
    <row r="4837" spans="1:26">
      <c r="A4837" s="89" t="str">
        <f t="shared" si="450"/>
        <v/>
      </c>
      <c r="B4837" s="89" t="str">
        <f t="shared" si="451"/>
        <v/>
      </c>
      <c r="S4837" s="89" t="str">
        <f t="shared" si="452"/>
        <v/>
      </c>
      <c r="X4837" s="64">
        <f t="shared" si="453"/>
        <v>0</v>
      </c>
      <c r="Y4837" s="53">
        <f t="shared" si="454"/>
        <v>0</v>
      </c>
      <c r="Z4837" s="64">
        <f t="shared" si="455"/>
        <v>0</v>
      </c>
    </row>
    <row r="4838" spans="1:26">
      <c r="A4838" s="89" t="str">
        <f t="shared" si="450"/>
        <v/>
      </c>
      <c r="B4838" s="89" t="str">
        <f t="shared" si="451"/>
        <v/>
      </c>
      <c r="S4838" s="89" t="str">
        <f t="shared" si="452"/>
        <v/>
      </c>
      <c r="X4838" s="64">
        <f t="shared" si="453"/>
        <v>0</v>
      </c>
      <c r="Y4838" s="53">
        <f t="shared" si="454"/>
        <v>0</v>
      </c>
      <c r="Z4838" s="64">
        <f t="shared" si="455"/>
        <v>0</v>
      </c>
    </row>
    <row r="4839" spans="1:26">
      <c r="A4839" s="89" t="str">
        <f t="shared" si="450"/>
        <v/>
      </c>
      <c r="B4839" s="89" t="str">
        <f t="shared" si="451"/>
        <v/>
      </c>
      <c r="S4839" s="89" t="str">
        <f t="shared" si="452"/>
        <v/>
      </c>
      <c r="X4839" s="64">
        <f t="shared" si="453"/>
        <v>0</v>
      </c>
      <c r="Y4839" s="53">
        <f t="shared" si="454"/>
        <v>0</v>
      </c>
      <c r="Z4839" s="64">
        <f t="shared" si="455"/>
        <v>0</v>
      </c>
    </row>
    <row r="4840" spans="1:26">
      <c r="A4840" s="89" t="str">
        <f t="shared" si="450"/>
        <v/>
      </c>
      <c r="B4840" s="89" t="str">
        <f t="shared" si="451"/>
        <v/>
      </c>
      <c r="S4840" s="89" t="str">
        <f t="shared" si="452"/>
        <v/>
      </c>
      <c r="X4840" s="64">
        <f t="shared" si="453"/>
        <v>0</v>
      </c>
      <c r="Y4840" s="53">
        <f t="shared" si="454"/>
        <v>0</v>
      </c>
      <c r="Z4840" s="64">
        <f t="shared" si="455"/>
        <v>0</v>
      </c>
    </row>
    <row r="4841" spans="1:26">
      <c r="A4841" s="89" t="str">
        <f t="shared" si="450"/>
        <v/>
      </c>
      <c r="B4841" s="89" t="str">
        <f t="shared" si="451"/>
        <v/>
      </c>
      <c r="S4841" s="89" t="str">
        <f t="shared" si="452"/>
        <v/>
      </c>
      <c r="X4841" s="64">
        <f t="shared" si="453"/>
        <v>0</v>
      </c>
      <c r="Y4841" s="53">
        <f t="shared" si="454"/>
        <v>0</v>
      </c>
      <c r="Z4841" s="64">
        <f t="shared" si="455"/>
        <v>0</v>
      </c>
    </row>
    <row r="4842" spans="1:26">
      <c r="A4842" s="89" t="str">
        <f t="shared" si="450"/>
        <v/>
      </c>
      <c r="B4842" s="89" t="str">
        <f t="shared" si="451"/>
        <v/>
      </c>
      <c r="S4842" s="89" t="str">
        <f t="shared" si="452"/>
        <v/>
      </c>
      <c r="X4842" s="64">
        <f t="shared" si="453"/>
        <v>0</v>
      </c>
      <c r="Y4842" s="53">
        <f t="shared" si="454"/>
        <v>0</v>
      </c>
      <c r="Z4842" s="64">
        <f t="shared" si="455"/>
        <v>0</v>
      </c>
    </row>
    <row r="4843" spans="1:26">
      <c r="A4843" s="89" t="str">
        <f t="shared" si="450"/>
        <v/>
      </c>
      <c r="B4843" s="89" t="str">
        <f t="shared" si="451"/>
        <v/>
      </c>
      <c r="S4843" s="89" t="str">
        <f t="shared" si="452"/>
        <v/>
      </c>
      <c r="X4843" s="64">
        <f t="shared" si="453"/>
        <v>0</v>
      </c>
      <c r="Y4843" s="53">
        <f t="shared" si="454"/>
        <v>0</v>
      </c>
      <c r="Z4843" s="64">
        <f t="shared" si="455"/>
        <v>0</v>
      </c>
    </row>
    <row r="4844" spans="1:26">
      <c r="A4844" s="89" t="str">
        <f t="shared" si="450"/>
        <v/>
      </c>
      <c r="B4844" s="89" t="str">
        <f t="shared" si="451"/>
        <v/>
      </c>
      <c r="S4844" s="89" t="str">
        <f t="shared" si="452"/>
        <v/>
      </c>
      <c r="X4844" s="64">
        <f t="shared" si="453"/>
        <v>0</v>
      </c>
      <c r="Y4844" s="53">
        <f t="shared" si="454"/>
        <v>0</v>
      </c>
      <c r="Z4844" s="64">
        <f t="shared" si="455"/>
        <v>0</v>
      </c>
    </row>
    <row r="4845" spans="1:26">
      <c r="A4845" s="89" t="str">
        <f t="shared" si="450"/>
        <v/>
      </c>
      <c r="B4845" s="89" t="str">
        <f t="shared" si="451"/>
        <v/>
      </c>
      <c r="S4845" s="89" t="str">
        <f t="shared" si="452"/>
        <v/>
      </c>
      <c r="X4845" s="64">
        <f t="shared" si="453"/>
        <v>0</v>
      </c>
      <c r="Y4845" s="53">
        <f t="shared" si="454"/>
        <v>0</v>
      </c>
      <c r="Z4845" s="64">
        <f t="shared" si="455"/>
        <v>0</v>
      </c>
    </row>
    <row r="4846" spans="1:26">
      <c r="A4846" s="89" t="str">
        <f t="shared" si="450"/>
        <v/>
      </c>
      <c r="B4846" s="89" t="str">
        <f t="shared" si="451"/>
        <v/>
      </c>
      <c r="S4846" s="89" t="str">
        <f t="shared" si="452"/>
        <v/>
      </c>
      <c r="X4846" s="64">
        <f t="shared" si="453"/>
        <v>0</v>
      </c>
      <c r="Y4846" s="53">
        <f t="shared" si="454"/>
        <v>0</v>
      </c>
      <c r="Z4846" s="64">
        <f t="shared" si="455"/>
        <v>0</v>
      </c>
    </row>
    <row r="4847" spans="1:26">
      <c r="A4847" s="89" t="str">
        <f t="shared" si="450"/>
        <v/>
      </c>
      <c r="B4847" s="89" t="str">
        <f t="shared" si="451"/>
        <v/>
      </c>
      <c r="S4847" s="89" t="str">
        <f t="shared" si="452"/>
        <v/>
      </c>
      <c r="X4847" s="64">
        <f t="shared" si="453"/>
        <v>0</v>
      </c>
      <c r="Y4847" s="53">
        <f t="shared" si="454"/>
        <v>0</v>
      </c>
      <c r="Z4847" s="64">
        <f t="shared" si="455"/>
        <v>0</v>
      </c>
    </row>
    <row r="4848" spans="1:26">
      <c r="A4848" s="89" t="str">
        <f t="shared" si="450"/>
        <v/>
      </c>
      <c r="B4848" s="89" t="str">
        <f t="shared" si="451"/>
        <v/>
      </c>
      <c r="S4848" s="89" t="str">
        <f t="shared" si="452"/>
        <v/>
      </c>
      <c r="X4848" s="64">
        <f t="shared" si="453"/>
        <v>0</v>
      </c>
      <c r="Y4848" s="53">
        <f t="shared" si="454"/>
        <v>0</v>
      </c>
      <c r="Z4848" s="64">
        <f t="shared" si="455"/>
        <v>0</v>
      </c>
    </row>
    <row r="4849" spans="1:26">
      <c r="A4849" s="89" t="str">
        <f t="shared" si="450"/>
        <v/>
      </c>
      <c r="B4849" s="89" t="str">
        <f t="shared" si="451"/>
        <v/>
      </c>
      <c r="S4849" s="89" t="str">
        <f t="shared" si="452"/>
        <v/>
      </c>
      <c r="X4849" s="64">
        <f t="shared" si="453"/>
        <v>0</v>
      </c>
      <c r="Y4849" s="53">
        <f t="shared" si="454"/>
        <v>0</v>
      </c>
      <c r="Z4849" s="64">
        <f t="shared" si="455"/>
        <v>0</v>
      </c>
    </row>
    <row r="4850" spans="1:26">
      <c r="A4850" s="89" t="str">
        <f t="shared" si="450"/>
        <v/>
      </c>
      <c r="B4850" s="89" t="str">
        <f t="shared" si="451"/>
        <v/>
      </c>
      <c r="S4850" s="89" t="str">
        <f t="shared" si="452"/>
        <v/>
      </c>
      <c r="X4850" s="64">
        <f t="shared" si="453"/>
        <v>0</v>
      </c>
      <c r="Y4850" s="53">
        <f t="shared" si="454"/>
        <v>0</v>
      </c>
      <c r="Z4850" s="64">
        <f t="shared" si="455"/>
        <v>0</v>
      </c>
    </row>
    <row r="4851" spans="1:26">
      <c r="A4851" s="89" t="str">
        <f t="shared" si="450"/>
        <v/>
      </c>
      <c r="B4851" s="89" t="str">
        <f t="shared" si="451"/>
        <v/>
      </c>
      <c r="S4851" s="89" t="str">
        <f t="shared" si="452"/>
        <v/>
      </c>
      <c r="X4851" s="64">
        <f t="shared" si="453"/>
        <v>0</v>
      </c>
      <c r="Y4851" s="53">
        <f t="shared" si="454"/>
        <v>0</v>
      </c>
      <c r="Z4851" s="64">
        <f t="shared" si="455"/>
        <v>0</v>
      </c>
    </row>
    <row r="4852" spans="1:26">
      <c r="A4852" s="89" t="str">
        <f t="shared" si="450"/>
        <v/>
      </c>
      <c r="B4852" s="89" t="str">
        <f t="shared" si="451"/>
        <v/>
      </c>
      <c r="S4852" s="89" t="str">
        <f t="shared" si="452"/>
        <v/>
      </c>
      <c r="X4852" s="64">
        <f t="shared" si="453"/>
        <v>0</v>
      </c>
      <c r="Y4852" s="53">
        <f t="shared" si="454"/>
        <v>0</v>
      </c>
      <c r="Z4852" s="64">
        <f t="shared" si="455"/>
        <v>0</v>
      </c>
    </row>
    <row r="4853" spans="1:26">
      <c r="A4853" s="89" t="str">
        <f t="shared" si="450"/>
        <v/>
      </c>
      <c r="B4853" s="89" t="str">
        <f t="shared" si="451"/>
        <v/>
      </c>
      <c r="S4853" s="89" t="str">
        <f t="shared" si="452"/>
        <v/>
      </c>
      <c r="X4853" s="64">
        <f t="shared" si="453"/>
        <v>0</v>
      </c>
      <c r="Y4853" s="53">
        <f t="shared" si="454"/>
        <v>0</v>
      </c>
      <c r="Z4853" s="64">
        <f t="shared" si="455"/>
        <v>0</v>
      </c>
    </row>
    <row r="4854" spans="1:26">
      <c r="A4854" s="89" t="str">
        <f t="shared" si="450"/>
        <v/>
      </c>
      <c r="B4854" s="89" t="str">
        <f t="shared" si="451"/>
        <v/>
      </c>
      <c r="S4854" s="89" t="str">
        <f t="shared" si="452"/>
        <v/>
      </c>
      <c r="X4854" s="64">
        <f t="shared" si="453"/>
        <v>0</v>
      </c>
      <c r="Y4854" s="53">
        <f t="shared" si="454"/>
        <v>0</v>
      </c>
      <c r="Z4854" s="64">
        <f t="shared" si="455"/>
        <v>0</v>
      </c>
    </row>
    <row r="4855" spans="1:26">
      <c r="A4855" s="89" t="str">
        <f t="shared" si="450"/>
        <v/>
      </c>
      <c r="B4855" s="89" t="str">
        <f t="shared" si="451"/>
        <v/>
      </c>
      <c r="S4855" s="89" t="str">
        <f t="shared" si="452"/>
        <v/>
      </c>
      <c r="X4855" s="64">
        <f t="shared" si="453"/>
        <v>0</v>
      </c>
      <c r="Y4855" s="53">
        <f t="shared" si="454"/>
        <v>0</v>
      </c>
      <c r="Z4855" s="64">
        <f t="shared" si="455"/>
        <v>0</v>
      </c>
    </row>
    <row r="4856" spans="1:26">
      <c r="A4856" s="89" t="str">
        <f t="shared" si="450"/>
        <v/>
      </c>
      <c r="B4856" s="89" t="str">
        <f t="shared" si="451"/>
        <v/>
      </c>
      <c r="S4856" s="89" t="str">
        <f t="shared" si="452"/>
        <v/>
      </c>
      <c r="X4856" s="64">
        <f t="shared" si="453"/>
        <v>0</v>
      </c>
      <c r="Y4856" s="53">
        <f t="shared" si="454"/>
        <v>0</v>
      </c>
      <c r="Z4856" s="64">
        <f t="shared" si="455"/>
        <v>0</v>
      </c>
    </row>
    <row r="4857" spans="1:26">
      <c r="A4857" s="89" t="str">
        <f t="shared" si="450"/>
        <v/>
      </c>
      <c r="B4857" s="89" t="str">
        <f t="shared" si="451"/>
        <v/>
      </c>
      <c r="S4857" s="89" t="str">
        <f t="shared" si="452"/>
        <v/>
      </c>
      <c r="X4857" s="64">
        <f t="shared" si="453"/>
        <v>0</v>
      </c>
      <c r="Y4857" s="53">
        <f t="shared" si="454"/>
        <v>0</v>
      </c>
      <c r="Z4857" s="64">
        <f t="shared" si="455"/>
        <v>0</v>
      </c>
    </row>
    <row r="4858" spans="1:26">
      <c r="A4858" s="89" t="str">
        <f t="shared" si="450"/>
        <v/>
      </c>
      <c r="B4858" s="89" t="str">
        <f t="shared" si="451"/>
        <v/>
      </c>
      <c r="S4858" s="89" t="str">
        <f t="shared" si="452"/>
        <v/>
      </c>
      <c r="X4858" s="64">
        <f t="shared" si="453"/>
        <v>0</v>
      </c>
      <c r="Y4858" s="53">
        <f t="shared" si="454"/>
        <v>0</v>
      </c>
      <c r="Z4858" s="64">
        <f t="shared" si="455"/>
        <v>0</v>
      </c>
    </row>
    <row r="4859" spans="1:26">
      <c r="A4859" s="89" t="str">
        <f t="shared" si="450"/>
        <v/>
      </c>
      <c r="B4859" s="89" t="str">
        <f t="shared" si="451"/>
        <v/>
      </c>
      <c r="S4859" s="89" t="str">
        <f t="shared" si="452"/>
        <v/>
      </c>
      <c r="X4859" s="64">
        <f t="shared" si="453"/>
        <v>0</v>
      </c>
      <c r="Y4859" s="53">
        <f t="shared" si="454"/>
        <v>0</v>
      </c>
      <c r="Z4859" s="64">
        <f t="shared" si="455"/>
        <v>0</v>
      </c>
    </row>
    <row r="4860" spans="1:26">
      <c r="A4860" s="89" t="str">
        <f t="shared" si="450"/>
        <v/>
      </c>
      <c r="B4860" s="89" t="str">
        <f t="shared" si="451"/>
        <v/>
      </c>
      <c r="S4860" s="89" t="str">
        <f t="shared" si="452"/>
        <v/>
      </c>
      <c r="X4860" s="64">
        <f t="shared" si="453"/>
        <v>0</v>
      </c>
      <c r="Y4860" s="53">
        <f t="shared" si="454"/>
        <v>0</v>
      </c>
      <c r="Z4860" s="64">
        <f t="shared" si="455"/>
        <v>0</v>
      </c>
    </row>
    <row r="4861" spans="1:26">
      <c r="A4861" s="89" t="str">
        <f t="shared" si="450"/>
        <v/>
      </c>
      <c r="B4861" s="89" t="str">
        <f t="shared" si="451"/>
        <v/>
      </c>
      <c r="S4861" s="89" t="str">
        <f t="shared" si="452"/>
        <v/>
      </c>
      <c r="X4861" s="64">
        <f t="shared" si="453"/>
        <v>0</v>
      </c>
      <c r="Y4861" s="53">
        <f t="shared" si="454"/>
        <v>0</v>
      </c>
      <c r="Z4861" s="64">
        <f t="shared" si="455"/>
        <v>0</v>
      </c>
    </row>
    <row r="4862" spans="1:26">
      <c r="A4862" s="89" t="str">
        <f t="shared" si="450"/>
        <v/>
      </c>
      <c r="B4862" s="89" t="str">
        <f t="shared" si="451"/>
        <v/>
      </c>
      <c r="S4862" s="89" t="str">
        <f t="shared" si="452"/>
        <v/>
      </c>
      <c r="X4862" s="64">
        <f t="shared" si="453"/>
        <v>0</v>
      </c>
      <c r="Y4862" s="53">
        <f t="shared" si="454"/>
        <v>0</v>
      </c>
      <c r="Z4862" s="64">
        <f t="shared" si="455"/>
        <v>0</v>
      </c>
    </row>
    <row r="4863" spans="1:26">
      <c r="A4863" s="89" t="str">
        <f t="shared" si="450"/>
        <v/>
      </c>
      <c r="B4863" s="89" t="str">
        <f t="shared" si="451"/>
        <v/>
      </c>
      <c r="S4863" s="89" t="str">
        <f t="shared" si="452"/>
        <v/>
      </c>
      <c r="X4863" s="64">
        <f t="shared" si="453"/>
        <v>0</v>
      </c>
      <c r="Y4863" s="53">
        <f t="shared" si="454"/>
        <v>0</v>
      </c>
      <c r="Z4863" s="64">
        <f t="shared" si="455"/>
        <v>0</v>
      </c>
    </row>
    <row r="4864" spans="1:26">
      <c r="A4864" s="89" t="str">
        <f t="shared" si="450"/>
        <v/>
      </c>
      <c r="B4864" s="89" t="str">
        <f t="shared" si="451"/>
        <v/>
      </c>
      <c r="S4864" s="89" t="str">
        <f t="shared" si="452"/>
        <v/>
      </c>
      <c r="X4864" s="64">
        <f t="shared" si="453"/>
        <v>0</v>
      </c>
      <c r="Y4864" s="53">
        <f t="shared" si="454"/>
        <v>0</v>
      </c>
      <c r="Z4864" s="64">
        <f t="shared" si="455"/>
        <v>0</v>
      </c>
    </row>
    <row r="4865" spans="1:26">
      <c r="A4865" s="89" t="str">
        <f t="shared" si="450"/>
        <v/>
      </c>
      <c r="B4865" s="89" t="str">
        <f t="shared" si="451"/>
        <v/>
      </c>
      <c r="S4865" s="89" t="str">
        <f t="shared" si="452"/>
        <v/>
      </c>
      <c r="X4865" s="64">
        <f t="shared" si="453"/>
        <v>0</v>
      </c>
      <c r="Y4865" s="53">
        <f t="shared" si="454"/>
        <v>0</v>
      </c>
      <c r="Z4865" s="64">
        <f t="shared" si="455"/>
        <v>0</v>
      </c>
    </row>
    <row r="4866" spans="1:26">
      <c r="A4866" s="89" t="str">
        <f t="shared" si="450"/>
        <v/>
      </c>
      <c r="B4866" s="89" t="str">
        <f t="shared" si="451"/>
        <v/>
      </c>
      <c r="S4866" s="89" t="str">
        <f t="shared" si="452"/>
        <v/>
      </c>
      <c r="X4866" s="64">
        <f t="shared" si="453"/>
        <v>0</v>
      </c>
      <c r="Y4866" s="53">
        <f t="shared" si="454"/>
        <v>0</v>
      </c>
      <c r="Z4866" s="64">
        <f t="shared" si="455"/>
        <v>0</v>
      </c>
    </row>
    <row r="4867" spans="1:26">
      <c r="A4867" s="89" t="str">
        <f t="shared" ref="A4867:A4930" si="456">IF(G4867&amp;Q4867&lt;&gt;"",G4867&amp;Q4867,"")</f>
        <v/>
      </c>
      <c r="B4867" s="89" t="str">
        <f t="shared" ref="B4867:B4930" si="457">IF(C4867&lt;&gt;"",LEFT(C4867,9),"")</f>
        <v/>
      </c>
      <c r="S4867" s="89" t="str">
        <f t="shared" ref="S4867:S4930" si="458">IF(H4867&lt;&gt;"",H4867,"")</f>
        <v/>
      </c>
      <c r="X4867" s="64">
        <f t="shared" ref="X4867:X4930" si="459">IFERROR(VALUE(MID($C4867,1,2)),0)</f>
        <v>0</v>
      </c>
      <c r="Y4867" s="53">
        <f t="shared" ref="Y4867:Y4930" si="460">IFERROR(VALUE(MID($C4867,4,3)),0)</f>
        <v>0</v>
      </c>
      <c r="Z4867" s="64">
        <f t="shared" ref="Z4867:Z4930" si="461">VALUE(RIGHT("00"&amp;X4867,2)&amp;RIGHT("000"&amp;Y4867,3))</f>
        <v>0</v>
      </c>
    </row>
    <row r="4868" spans="1:26">
      <c r="A4868" s="89" t="str">
        <f t="shared" si="456"/>
        <v/>
      </c>
      <c r="B4868" s="89" t="str">
        <f t="shared" si="457"/>
        <v/>
      </c>
      <c r="S4868" s="89" t="str">
        <f t="shared" si="458"/>
        <v/>
      </c>
      <c r="X4868" s="64">
        <f t="shared" si="459"/>
        <v>0</v>
      </c>
      <c r="Y4868" s="53">
        <f t="shared" si="460"/>
        <v>0</v>
      </c>
      <c r="Z4868" s="64">
        <f t="shared" si="461"/>
        <v>0</v>
      </c>
    </row>
    <row r="4869" spans="1:26">
      <c r="A4869" s="89" t="str">
        <f t="shared" si="456"/>
        <v/>
      </c>
      <c r="B4869" s="89" t="str">
        <f t="shared" si="457"/>
        <v/>
      </c>
      <c r="S4869" s="89" t="str">
        <f t="shared" si="458"/>
        <v/>
      </c>
      <c r="X4869" s="64">
        <f t="shared" si="459"/>
        <v>0</v>
      </c>
      <c r="Y4869" s="53">
        <f t="shared" si="460"/>
        <v>0</v>
      </c>
      <c r="Z4869" s="64">
        <f t="shared" si="461"/>
        <v>0</v>
      </c>
    </row>
    <row r="4870" spans="1:26">
      <c r="A4870" s="89" t="str">
        <f t="shared" si="456"/>
        <v/>
      </c>
      <c r="B4870" s="89" t="str">
        <f t="shared" si="457"/>
        <v/>
      </c>
      <c r="S4870" s="89" t="str">
        <f t="shared" si="458"/>
        <v/>
      </c>
      <c r="X4870" s="64">
        <f t="shared" si="459"/>
        <v>0</v>
      </c>
      <c r="Y4870" s="53">
        <f t="shared" si="460"/>
        <v>0</v>
      </c>
      <c r="Z4870" s="64">
        <f t="shared" si="461"/>
        <v>0</v>
      </c>
    </row>
    <row r="4871" spans="1:26">
      <c r="A4871" s="89" t="str">
        <f t="shared" si="456"/>
        <v/>
      </c>
      <c r="B4871" s="89" t="str">
        <f t="shared" si="457"/>
        <v/>
      </c>
      <c r="S4871" s="89" t="str">
        <f t="shared" si="458"/>
        <v/>
      </c>
      <c r="X4871" s="64">
        <f t="shared" si="459"/>
        <v>0</v>
      </c>
      <c r="Y4871" s="53">
        <f t="shared" si="460"/>
        <v>0</v>
      </c>
      <c r="Z4871" s="64">
        <f t="shared" si="461"/>
        <v>0</v>
      </c>
    </row>
    <row r="4872" spans="1:26">
      <c r="A4872" s="89" t="str">
        <f t="shared" si="456"/>
        <v/>
      </c>
      <c r="B4872" s="89" t="str">
        <f t="shared" si="457"/>
        <v/>
      </c>
      <c r="S4872" s="89" t="str">
        <f t="shared" si="458"/>
        <v/>
      </c>
      <c r="X4872" s="64">
        <f t="shared" si="459"/>
        <v>0</v>
      </c>
      <c r="Y4872" s="53">
        <f t="shared" si="460"/>
        <v>0</v>
      </c>
      <c r="Z4872" s="64">
        <f t="shared" si="461"/>
        <v>0</v>
      </c>
    </row>
    <row r="4873" spans="1:26">
      <c r="A4873" s="89" t="str">
        <f t="shared" si="456"/>
        <v/>
      </c>
      <c r="B4873" s="89" t="str">
        <f t="shared" si="457"/>
        <v/>
      </c>
      <c r="S4873" s="89" t="str">
        <f t="shared" si="458"/>
        <v/>
      </c>
      <c r="X4873" s="64">
        <f t="shared" si="459"/>
        <v>0</v>
      </c>
      <c r="Y4873" s="53">
        <f t="shared" si="460"/>
        <v>0</v>
      </c>
      <c r="Z4873" s="64">
        <f t="shared" si="461"/>
        <v>0</v>
      </c>
    </row>
    <row r="4874" spans="1:26">
      <c r="A4874" s="89" t="str">
        <f t="shared" si="456"/>
        <v/>
      </c>
      <c r="B4874" s="89" t="str">
        <f t="shared" si="457"/>
        <v/>
      </c>
      <c r="S4874" s="89" t="str">
        <f t="shared" si="458"/>
        <v/>
      </c>
      <c r="X4874" s="64">
        <f t="shared" si="459"/>
        <v>0</v>
      </c>
      <c r="Y4874" s="53">
        <f t="shared" si="460"/>
        <v>0</v>
      </c>
      <c r="Z4874" s="64">
        <f t="shared" si="461"/>
        <v>0</v>
      </c>
    </row>
    <row r="4875" spans="1:26">
      <c r="A4875" s="89" t="str">
        <f t="shared" si="456"/>
        <v/>
      </c>
      <c r="B4875" s="89" t="str">
        <f t="shared" si="457"/>
        <v/>
      </c>
      <c r="S4875" s="89" t="str">
        <f t="shared" si="458"/>
        <v/>
      </c>
      <c r="X4875" s="64">
        <f t="shared" si="459"/>
        <v>0</v>
      </c>
      <c r="Y4875" s="53">
        <f t="shared" si="460"/>
        <v>0</v>
      </c>
      <c r="Z4875" s="64">
        <f t="shared" si="461"/>
        <v>0</v>
      </c>
    </row>
    <row r="4876" spans="1:26">
      <c r="A4876" s="89" t="str">
        <f t="shared" si="456"/>
        <v/>
      </c>
      <c r="B4876" s="89" t="str">
        <f t="shared" si="457"/>
        <v/>
      </c>
      <c r="S4876" s="89" t="str">
        <f t="shared" si="458"/>
        <v/>
      </c>
      <c r="X4876" s="64">
        <f t="shared" si="459"/>
        <v>0</v>
      </c>
      <c r="Y4876" s="53">
        <f t="shared" si="460"/>
        <v>0</v>
      </c>
      <c r="Z4876" s="64">
        <f t="shared" si="461"/>
        <v>0</v>
      </c>
    </row>
    <row r="4877" spans="1:26">
      <c r="A4877" s="89" t="str">
        <f t="shared" si="456"/>
        <v/>
      </c>
      <c r="B4877" s="89" t="str">
        <f t="shared" si="457"/>
        <v/>
      </c>
      <c r="S4877" s="89" t="str">
        <f t="shared" si="458"/>
        <v/>
      </c>
      <c r="X4877" s="64">
        <f t="shared" si="459"/>
        <v>0</v>
      </c>
      <c r="Y4877" s="53">
        <f t="shared" si="460"/>
        <v>0</v>
      </c>
      <c r="Z4877" s="64">
        <f t="shared" si="461"/>
        <v>0</v>
      </c>
    </row>
    <row r="4878" spans="1:26">
      <c r="A4878" s="89" t="str">
        <f t="shared" si="456"/>
        <v/>
      </c>
      <c r="B4878" s="89" t="str">
        <f t="shared" si="457"/>
        <v/>
      </c>
      <c r="S4878" s="89" t="str">
        <f t="shared" si="458"/>
        <v/>
      </c>
      <c r="X4878" s="64">
        <f t="shared" si="459"/>
        <v>0</v>
      </c>
      <c r="Y4878" s="53">
        <f t="shared" si="460"/>
        <v>0</v>
      </c>
      <c r="Z4878" s="64">
        <f t="shared" si="461"/>
        <v>0</v>
      </c>
    </row>
    <row r="4879" spans="1:26">
      <c r="A4879" s="89" t="str">
        <f t="shared" si="456"/>
        <v/>
      </c>
      <c r="B4879" s="89" t="str">
        <f t="shared" si="457"/>
        <v/>
      </c>
      <c r="S4879" s="89" t="str">
        <f t="shared" si="458"/>
        <v/>
      </c>
      <c r="X4879" s="64">
        <f t="shared" si="459"/>
        <v>0</v>
      </c>
      <c r="Y4879" s="53">
        <f t="shared" si="460"/>
        <v>0</v>
      </c>
      <c r="Z4879" s="64">
        <f t="shared" si="461"/>
        <v>0</v>
      </c>
    </row>
    <row r="4880" spans="1:26">
      <c r="A4880" s="89" t="str">
        <f t="shared" si="456"/>
        <v/>
      </c>
      <c r="B4880" s="89" t="str">
        <f t="shared" si="457"/>
        <v/>
      </c>
      <c r="S4880" s="89" t="str">
        <f t="shared" si="458"/>
        <v/>
      </c>
      <c r="X4880" s="64">
        <f t="shared" si="459"/>
        <v>0</v>
      </c>
      <c r="Y4880" s="53">
        <f t="shared" si="460"/>
        <v>0</v>
      </c>
      <c r="Z4880" s="64">
        <f t="shared" si="461"/>
        <v>0</v>
      </c>
    </row>
    <row r="4881" spans="1:26">
      <c r="A4881" s="89" t="str">
        <f t="shared" si="456"/>
        <v/>
      </c>
      <c r="B4881" s="89" t="str">
        <f t="shared" si="457"/>
        <v/>
      </c>
      <c r="S4881" s="89" t="str">
        <f t="shared" si="458"/>
        <v/>
      </c>
      <c r="X4881" s="64">
        <f t="shared" si="459"/>
        <v>0</v>
      </c>
      <c r="Y4881" s="53">
        <f t="shared" si="460"/>
        <v>0</v>
      </c>
      <c r="Z4881" s="64">
        <f t="shared" si="461"/>
        <v>0</v>
      </c>
    </row>
    <row r="4882" spans="1:26">
      <c r="A4882" s="89" t="str">
        <f t="shared" si="456"/>
        <v/>
      </c>
      <c r="B4882" s="89" t="str">
        <f t="shared" si="457"/>
        <v/>
      </c>
      <c r="S4882" s="89" t="str">
        <f t="shared" si="458"/>
        <v/>
      </c>
      <c r="X4882" s="64">
        <f t="shared" si="459"/>
        <v>0</v>
      </c>
      <c r="Y4882" s="53">
        <f t="shared" si="460"/>
        <v>0</v>
      </c>
      <c r="Z4882" s="64">
        <f t="shared" si="461"/>
        <v>0</v>
      </c>
    </row>
    <row r="4883" spans="1:26">
      <c r="A4883" s="89" t="str">
        <f t="shared" si="456"/>
        <v/>
      </c>
      <c r="B4883" s="89" t="str">
        <f t="shared" si="457"/>
        <v/>
      </c>
      <c r="S4883" s="89" t="str">
        <f t="shared" si="458"/>
        <v/>
      </c>
      <c r="X4883" s="64">
        <f t="shared" si="459"/>
        <v>0</v>
      </c>
      <c r="Y4883" s="53">
        <f t="shared" si="460"/>
        <v>0</v>
      </c>
      <c r="Z4883" s="64">
        <f t="shared" si="461"/>
        <v>0</v>
      </c>
    </row>
    <row r="4884" spans="1:26">
      <c r="A4884" s="89" t="str">
        <f t="shared" si="456"/>
        <v/>
      </c>
      <c r="B4884" s="89" t="str">
        <f t="shared" si="457"/>
        <v/>
      </c>
      <c r="S4884" s="89" t="str">
        <f t="shared" si="458"/>
        <v/>
      </c>
      <c r="X4884" s="64">
        <f t="shared" si="459"/>
        <v>0</v>
      </c>
      <c r="Y4884" s="53">
        <f t="shared" si="460"/>
        <v>0</v>
      </c>
      <c r="Z4884" s="64">
        <f t="shared" si="461"/>
        <v>0</v>
      </c>
    </row>
    <row r="4885" spans="1:26">
      <c r="A4885" s="89" t="str">
        <f t="shared" si="456"/>
        <v/>
      </c>
      <c r="B4885" s="89" t="str">
        <f t="shared" si="457"/>
        <v/>
      </c>
      <c r="S4885" s="89" t="str">
        <f t="shared" si="458"/>
        <v/>
      </c>
      <c r="X4885" s="64">
        <f t="shared" si="459"/>
        <v>0</v>
      </c>
      <c r="Y4885" s="53">
        <f t="shared" si="460"/>
        <v>0</v>
      </c>
      <c r="Z4885" s="64">
        <f t="shared" si="461"/>
        <v>0</v>
      </c>
    </row>
    <row r="4886" spans="1:26">
      <c r="A4886" s="89" t="str">
        <f t="shared" si="456"/>
        <v/>
      </c>
      <c r="B4886" s="89" t="str">
        <f t="shared" si="457"/>
        <v/>
      </c>
      <c r="S4886" s="89" t="str">
        <f t="shared" si="458"/>
        <v/>
      </c>
      <c r="X4886" s="64">
        <f t="shared" si="459"/>
        <v>0</v>
      </c>
      <c r="Y4886" s="53">
        <f t="shared" si="460"/>
        <v>0</v>
      </c>
      <c r="Z4886" s="64">
        <f t="shared" si="461"/>
        <v>0</v>
      </c>
    </row>
    <row r="4887" spans="1:26">
      <c r="A4887" s="89" t="str">
        <f t="shared" si="456"/>
        <v/>
      </c>
      <c r="B4887" s="89" t="str">
        <f t="shared" si="457"/>
        <v/>
      </c>
      <c r="S4887" s="89" t="str">
        <f t="shared" si="458"/>
        <v/>
      </c>
      <c r="X4887" s="64">
        <f t="shared" si="459"/>
        <v>0</v>
      </c>
      <c r="Y4887" s="53">
        <f t="shared" si="460"/>
        <v>0</v>
      </c>
      <c r="Z4887" s="64">
        <f t="shared" si="461"/>
        <v>0</v>
      </c>
    </row>
    <row r="4888" spans="1:26">
      <c r="A4888" s="89" t="str">
        <f t="shared" si="456"/>
        <v/>
      </c>
      <c r="B4888" s="89" t="str">
        <f t="shared" si="457"/>
        <v/>
      </c>
      <c r="S4888" s="89" t="str">
        <f t="shared" si="458"/>
        <v/>
      </c>
      <c r="X4888" s="64">
        <f t="shared" si="459"/>
        <v>0</v>
      </c>
      <c r="Y4888" s="53">
        <f t="shared" si="460"/>
        <v>0</v>
      </c>
      <c r="Z4888" s="64">
        <f t="shared" si="461"/>
        <v>0</v>
      </c>
    </row>
    <row r="4889" spans="1:26">
      <c r="A4889" s="89" t="str">
        <f t="shared" si="456"/>
        <v/>
      </c>
      <c r="B4889" s="89" t="str">
        <f t="shared" si="457"/>
        <v/>
      </c>
      <c r="S4889" s="89" t="str">
        <f t="shared" si="458"/>
        <v/>
      </c>
      <c r="X4889" s="64">
        <f t="shared" si="459"/>
        <v>0</v>
      </c>
      <c r="Y4889" s="53">
        <f t="shared" si="460"/>
        <v>0</v>
      </c>
      <c r="Z4889" s="64">
        <f t="shared" si="461"/>
        <v>0</v>
      </c>
    </row>
    <row r="4890" spans="1:26">
      <c r="A4890" s="89" t="str">
        <f t="shared" si="456"/>
        <v/>
      </c>
      <c r="B4890" s="89" t="str">
        <f t="shared" si="457"/>
        <v/>
      </c>
      <c r="S4890" s="89" t="str">
        <f t="shared" si="458"/>
        <v/>
      </c>
      <c r="X4890" s="64">
        <f t="shared" si="459"/>
        <v>0</v>
      </c>
      <c r="Y4890" s="53">
        <f t="shared" si="460"/>
        <v>0</v>
      </c>
      <c r="Z4890" s="64">
        <f t="shared" si="461"/>
        <v>0</v>
      </c>
    </row>
    <row r="4891" spans="1:26">
      <c r="A4891" s="89" t="str">
        <f t="shared" si="456"/>
        <v/>
      </c>
      <c r="B4891" s="89" t="str">
        <f t="shared" si="457"/>
        <v/>
      </c>
      <c r="S4891" s="89" t="str">
        <f t="shared" si="458"/>
        <v/>
      </c>
      <c r="X4891" s="64">
        <f t="shared" si="459"/>
        <v>0</v>
      </c>
      <c r="Y4891" s="53">
        <f t="shared" si="460"/>
        <v>0</v>
      </c>
      <c r="Z4891" s="64">
        <f t="shared" si="461"/>
        <v>0</v>
      </c>
    </row>
    <row r="4892" spans="1:26">
      <c r="A4892" s="89" t="str">
        <f t="shared" si="456"/>
        <v/>
      </c>
      <c r="B4892" s="89" t="str">
        <f t="shared" si="457"/>
        <v/>
      </c>
      <c r="S4892" s="89" t="str">
        <f t="shared" si="458"/>
        <v/>
      </c>
      <c r="X4892" s="64">
        <f t="shared" si="459"/>
        <v>0</v>
      </c>
      <c r="Y4892" s="53">
        <f t="shared" si="460"/>
        <v>0</v>
      </c>
      <c r="Z4892" s="64">
        <f t="shared" si="461"/>
        <v>0</v>
      </c>
    </row>
    <row r="4893" spans="1:26">
      <c r="A4893" s="89" t="str">
        <f t="shared" si="456"/>
        <v/>
      </c>
      <c r="B4893" s="89" t="str">
        <f t="shared" si="457"/>
        <v/>
      </c>
      <c r="S4893" s="89" t="str">
        <f t="shared" si="458"/>
        <v/>
      </c>
      <c r="X4893" s="64">
        <f t="shared" si="459"/>
        <v>0</v>
      </c>
      <c r="Y4893" s="53">
        <f t="shared" si="460"/>
        <v>0</v>
      </c>
      <c r="Z4893" s="64">
        <f t="shared" si="461"/>
        <v>0</v>
      </c>
    </row>
    <row r="4894" spans="1:26">
      <c r="A4894" s="89" t="str">
        <f t="shared" si="456"/>
        <v/>
      </c>
      <c r="B4894" s="89" t="str">
        <f t="shared" si="457"/>
        <v/>
      </c>
      <c r="S4894" s="89" t="str">
        <f t="shared" si="458"/>
        <v/>
      </c>
      <c r="X4894" s="64">
        <f t="shared" si="459"/>
        <v>0</v>
      </c>
      <c r="Y4894" s="53">
        <f t="shared" si="460"/>
        <v>0</v>
      </c>
      <c r="Z4894" s="64">
        <f t="shared" si="461"/>
        <v>0</v>
      </c>
    </row>
    <row r="4895" spans="1:26">
      <c r="A4895" s="89" t="str">
        <f t="shared" si="456"/>
        <v/>
      </c>
      <c r="B4895" s="89" t="str">
        <f t="shared" si="457"/>
        <v/>
      </c>
      <c r="S4895" s="89" t="str">
        <f t="shared" si="458"/>
        <v/>
      </c>
      <c r="X4895" s="64">
        <f t="shared" si="459"/>
        <v>0</v>
      </c>
      <c r="Y4895" s="53">
        <f t="shared" si="460"/>
        <v>0</v>
      </c>
      <c r="Z4895" s="64">
        <f t="shared" si="461"/>
        <v>0</v>
      </c>
    </row>
    <row r="4896" spans="1:26">
      <c r="A4896" s="89" t="str">
        <f t="shared" si="456"/>
        <v/>
      </c>
      <c r="B4896" s="89" t="str">
        <f t="shared" si="457"/>
        <v/>
      </c>
      <c r="S4896" s="89" t="str">
        <f t="shared" si="458"/>
        <v/>
      </c>
      <c r="X4896" s="64">
        <f t="shared" si="459"/>
        <v>0</v>
      </c>
      <c r="Y4896" s="53">
        <f t="shared" si="460"/>
        <v>0</v>
      </c>
      <c r="Z4896" s="64">
        <f t="shared" si="461"/>
        <v>0</v>
      </c>
    </row>
    <row r="4897" spans="1:26">
      <c r="A4897" s="89" t="str">
        <f t="shared" si="456"/>
        <v/>
      </c>
      <c r="B4897" s="89" t="str">
        <f t="shared" si="457"/>
        <v/>
      </c>
      <c r="S4897" s="89" t="str">
        <f t="shared" si="458"/>
        <v/>
      </c>
      <c r="X4897" s="64">
        <f t="shared" si="459"/>
        <v>0</v>
      </c>
      <c r="Y4897" s="53">
        <f t="shared" si="460"/>
        <v>0</v>
      </c>
      <c r="Z4897" s="64">
        <f t="shared" si="461"/>
        <v>0</v>
      </c>
    </row>
    <row r="4898" spans="1:26">
      <c r="A4898" s="89" t="str">
        <f t="shared" si="456"/>
        <v/>
      </c>
      <c r="B4898" s="89" t="str">
        <f t="shared" si="457"/>
        <v/>
      </c>
      <c r="S4898" s="89" t="str">
        <f t="shared" si="458"/>
        <v/>
      </c>
      <c r="X4898" s="64">
        <f t="shared" si="459"/>
        <v>0</v>
      </c>
      <c r="Y4898" s="53">
        <f t="shared" si="460"/>
        <v>0</v>
      </c>
      <c r="Z4898" s="64">
        <f t="shared" si="461"/>
        <v>0</v>
      </c>
    </row>
    <row r="4899" spans="1:26">
      <c r="A4899" s="89" t="str">
        <f t="shared" si="456"/>
        <v/>
      </c>
      <c r="B4899" s="89" t="str">
        <f t="shared" si="457"/>
        <v/>
      </c>
      <c r="S4899" s="89" t="str">
        <f t="shared" si="458"/>
        <v/>
      </c>
      <c r="X4899" s="64">
        <f t="shared" si="459"/>
        <v>0</v>
      </c>
      <c r="Y4899" s="53">
        <f t="shared" si="460"/>
        <v>0</v>
      </c>
      <c r="Z4899" s="64">
        <f t="shared" si="461"/>
        <v>0</v>
      </c>
    </row>
    <row r="4900" spans="1:26">
      <c r="A4900" s="89" t="str">
        <f t="shared" si="456"/>
        <v/>
      </c>
      <c r="B4900" s="89" t="str">
        <f t="shared" si="457"/>
        <v/>
      </c>
      <c r="S4900" s="89" t="str">
        <f t="shared" si="458"/>
        <v/>
      </c>
      <c r="X4900" s="64">
        <f t="shared" si="459"/>
        <v>0</v>
      </c>
      <c r="Y4900" s="53">
        <f t="shared" si="460"/>
        <v>0</v>
      </c>
      <c r="Z4900" s="64">
        <f t="shared" si="461"/>
        <v>0</v>
      </c>
    </row>
    <row r="4901" spans="1:26">
      <c r="A4901" s="89" t="str">
        <f t="shared" si="456"/>
        <v/>
      </c>
      <c r="B4901" s="89" t="str">
        <f t="shared" si="457"/>
        <v/>
      </c>
      <c r="S4901" s="89" t="str">
        <f t="shared" si="458"/>
        <v/>
      </c>
      <c r="X4901" s="64">
        <f t="shared" si="459"/>
        <v>0</v>
      </c>
      <c r="Y4901" s="53">
        <f t="shared" si="460"/>
        <v>0</v>
      </c>
      <c r="Z4901" s="64">
        <f t="shared" si="461"/>
        <v>0</v>
      </c>
    </row>
    <row r="4902" spans="1:26">
      <c r="A4902" s="89" t="str">
        <f t="shared" si="456"/>
        <v/>
      </c>
      <c r="B4902" s="89" t="str">
        <f t="shared" si="457"/>
        <v/>
      </c>
      <c r="S4902" s="89" t="str">
        <f t="shared" si="458"/>
        <v/>
      </c>
      <c r="X4902" s="64">
        <f t="shared" si="459"/>
        <v>0</v>
      </c>
      <c r="Y4902" s="53">
        <f t="shared" si="460"/>
        <v>0</v>
      </c>
      <c r="Z4902" s="64">
        <f t="shared" si="461"/>
        <v>0</v>
      </c>
    </row>
    <row r="4903" spans="1:26">
      <c r="A4903" s="89" t="str">
        <f t="shared" si="456"/>
        <v/>
      </c>
      <c r="B4903" s="89" t="str">
        <f t="shared" si="457"/>
        <v/>
      </c>
      <c r="S4903" s="89" t="str">
        <f t="shared" si="458"/>
        <v/>
      </c>
      <c r="X4903" s="64">
        <f t="shared" si="459"/>
        <v>0</v>
      </c>
      <c r="Y4903" s="53">
        <f t="shared" si="460"/>
        <v>0</v>
      </c>
      <c r="Z4903" s="64">
        <f t="shared" si="461"/>
        <v>0</v>
      </c>
    </row>
    <row r="4904" spans="1:26">
      <c r="A4904" s="89" t="str">
        <f t="shared" si="456"/>
        <v/>
      </c>
      <c r="B4904" s="89" t="str">
        <f t="shared" si="457"/>
        <v/>
      </c>
      <c r="S4904" s="89" t="str">
        <f t="shared" si="458"/>
        <v/>
      </c>
      <c r="X4904" s="64">
        <f t="shared" si="459"/>
        <v>0</v>
      </c>
      <c r="Y4904" s="53">
        <f t="shared" si="460"/>
        <v>0</v>
      </c>
      <c r="Z4904" s="64">
        <f t="shared" si="461"/>
        <v>0</v>
      </c>
    </row>
    <row r="4905" spans="1:26">
      <c r="A4905" s="89" t="str">
        <f t="shared" si="456"/>
        <v/>
      </c>
      <c r="B4905" s="89" t="str">
        <f t="shared" si="457"/>
        <v/>
      </c>
      <c r="S4905" s="89" t="str">
        <f t="shared" si="458"/>
        <v/>
      </c>
      <c r="X4905" s="64">
        <f t="shared" si="459"/>
        <v>0</v>
      </c>
      <c r="Y4905" s="53">
        <f t="shared" si="460"/>
        <v>0</v>
      </c>
      <c r="Z4905" s="64">
        <f t="shared" si="461"/>
        <v>0</v>
      </c>
    </row>
    <row r="4906" spans="1:26">
      <c r="A4906" s="89" t="str">
        <f t="shared" si="456"/>
        <v/>
      </c>
      <c r="B4906" s="89" t="str">
        <f t="shared" si="457"/>
        <v/>
      </c>
      <c r="S4906" s="89" t="str">
        <f t="shared" si="458"/>
        <v/>
      </c>
      <c r="X4906" s="64">
        <f t="shared" si="459"/>
        <v>0</v>
      </c>
      <c r="Y4906" s="53">
        <f t="shared" si="460"/>
        <v>0</v>
      </c>
      <c r="Z4906" s="64">
        <f t="shared" si="461"/>
        <v>0</v>
      </c>
    </row>
    <row r="4907" spans="1:26">
      <c r="A4907" s="89" t="str">
        <f t="shared" si="456"/>
        <v/>
      </c>
      <c r="B4907" s="89" t="str">
        <f t="shared" si="457"/>
        <v/>
      </c>
      <c r="S4907" s="89" t="str">
        <f t="shared" si="458"/>
        <v/>
      </c>
      <c r="X4907" s="64">
        <f t="shared" si="459"/>
        <v>0</v>
      </c>
      <c r="Y4907" s="53">
        <f t="shared" si="460"/>
        <v>0</v>
      </c>
      <c r="Z4907" s="64">
        <f t="shared" si="461"/>
        <v>0</v>
      </c>
    </row>
    <row r="4908" spans="1:26">
      <c r="A4908" s="89" t="str">
        <f t="shared" si="456"/>
        <v/>
      </c>
      <c r="B4908" s="89" t="str">
        <f t="shared" si="457"/>
        <v/>
      </c>
      <c r="S4908" s="89" t="str">
        <f t="shared" si="458"/>
        <v/>
      </c>
      <c r="X4908" s="64">
        <f t="shared" si="459"/>
        <v>0</v>
      </c>
      <c r="Y4908" s="53">
        <f t="shared" si="460"/>
        <v>0</v>
      </c>
      <c r="Z4908" s="64">
        <f t="shared" si="461"/>
        <v>0</v>
      </c>
    </row>
    <row r="4909" spans="1:26">
      <c r="A4909" s="89" t="str">
        <f t="shared" si="456"/>
        <v/>
      </c>
      <c r="B4909" s="89" t="str">
        <f t="shared" si="457"/>
        <v/>
      </c>
      <c r="S4909" s="89" t="str">
        <f t="shared" si="458"/>
        <v/>
      </c>
      <c r="X4909" s="64">
        <f t="shared" si="459"/>
        <v>0</v>
      </c>
      <c r="Y4909" s="53">
        <f t="shared" si="460"/>
        <v>0</v>
      </c>
      <c r="Z4909" s="64">
        <f t="shared" si="461"/>
        <v>0</v>
      </c>
    </row>
    <row r="4910" spans="1:26">
      <c r="A4910" s="89" t="str">
        <f t="shared" si="456"/>
        <v/>
      </c>
      <c r="B4910" s="89" t="str">
        <f t="shared" si="457"/>
        <v/>
      </c>
      <c r="S4910" s="89" t="str">
        <f t="shared" si="458"/>
        <v/>
      </c>
      <c r="X4910" s="64">
        <f t="shared" si="459"/>
        <v>0</v>
      </c>
      <c r="Y4910" s="53">
        <f t="shared" si="460"/>
        <v>0</v>
      </c>
      <c r="Z4910" s="64">
        <f t="shared" si="461"/>
        <v>0</v>
      </c>
    </row>
    <row r="4911" spans="1:26">
      <c r="A4911" s="89" t="str">
        <f t="shared" si="456"/>
        <v/>
      </c>
      <c r="B4911" s="89" t="str">
        <f t="shared" si="457"/>
        <v/>
      </c>
      <c r="S4911" s="89" t="str">
        <f t="shared" si="458"/>
        <v/>
      </c>
      <c r="X4911" s="64">
        <f t="shared" si="459"/>
        <v>0</v>
      </c>
      <c r="Y4911" s="53">
        <f t="shared" si="460"/>
        <v>0</v>
      </c>
      <c r="Z4911" s="64">
        <f t="shared" si="461"/>
        <v>0</v>
      </c>
    </row>
    <row r="4912" spans="1:26">
      <c r="A4912" s="89" t="str">
        <f t="shared" si="456"/>
        <v/>
      </c>
      <c r="B4912" s="89" t="str">
        <f t="shared" si="457"/>
        <v/>
      </c>
      <c r="S4912" s="89" t="str">
        <f t="shared" si="458"/>
        <v/>
      </c>
      <c r="X4912" s="64">
        <f t="shared" si="459"/>
        <v>0</v>
      </c>
      <c r="Y4912" s="53">
        <f t="shared" si="460"/>
        <v>0</v>
      </c>
      <c r="Z4912" s="64">
        <f t="shared" si="461"/>
        <v>0</v>
      </c>
    </row>
    <row r="4913" spans="1:26">
      <c r="A4913" s="89" t="str">
        <f t="shared" si="456"/>
        <v/>
      </c>
      <c r="B4913" s="89" t="str">
        <f t="shared" si="457"/>
        <v/>
      </c>
      <c r="S4913" s="89" t="str">
        <f t="shared" si="458"/>
        <v/>
      </c>
      <c r="X4913" s="64">
        <f t="shared" si="459"/>
        <v>0</v>
      </c>
      <c r="Y4913" s="53">
        <f t="shared" si="460"/>
        <v>0</v>
      </c>
      <c r="Z4913" s="64">
        <f t="shared" si="461"/>
        <v>0</v>
      </c>
    </row>
    <row r="4914" spans="1:26">
      <c r="A4914" s="89" t="str">
        <f t="shared" si="456"/>
        <v/>
      </c>
      <c r="B4914" s="89" t="str">
        <f t="shared" si="457"/>
        <v/>
      </c>
      <c r="S4914" s="89" t="str">
        <f t="shared" si="458"/>
        <v/>
      </c>
      <c r="X4914" s="64">
        <f t="shared" si="459"/>
        <v>0</v>
      </c>
      <c r="Y4914" s="53">
        <f t="shared" si="460"/>
        <v>0</v>
      </c>
      <c r="Z4914" s="64">
        <f t="shared" si="461"/>
        <v>0</v>
      </c>
    </row>
    <row r="4915" spans="1:26">
      <c r="A4915" s="89" t="str">
        <f t="shared" si="456"/>
        <v/>
      </c>
      <c r="B4915" s="89" t="str">
        <f t="shared" si="457"/>
        <v/>
      </c>
      <c r="S4915" s="89" t="str">
        <f t="shared" si="458"/>
        <v/>
      </c>
      <c r="X4915" s="64">
        <f t="shared" si="459"/>
        <v>0</v>
      </c>
      <c r="Y4915" s="53">
        <f t="shared" si="460"/>
        <v>0</v>
      </c>
      <c r="Z4915" s="64">
        <f t="shared" si="461"/>
        <v>0</v>
      </c>
    </row>
    <row r="4916" spans="1:26">
      <c r="A4916" s="89" t="str">
        <f t="shared" si="456"/>
        <v/>
      </c>
      <c r="B4916" s="89" t="str">
        <f t="shared" si="457"/>
        <v/>
      </c>
      <c r="S4916" s="89" t="str">
        <f t="shared" si="458"/>
        <v/>
      </c>
      <c r="X4916" s="64">
        <f t="shared" si="459"/>
        <v>0</v>
      </c>
      <c r="Y4916" s="53">
        <f t="shared" si="460"/>
        <v>0</v>
      </c>
      <c r="Z4916" s="64">
        <f t="shared" si="461"/>
        <v>0</v>
      </c>
    </row>
    <row r="4917" spans="1:26">
      <c r="A4917" s="89" t="str">
        <f t="shared" si="456"/>
        <v/>
      </c>
      <c r="B4917" s="89" t="str">
        <f t="shared" si="457"/>
        <v/>
      </c>
      <c r="S4917" s="89" t="str">
        <f t="shared" si="458"/>
        <v/>
      </c>
      <c r="X4917" s="64">
        <f t="shared" si="459"/>
        <v>0</v>
      </c>
      <c r="Y4917" s="53">
        <f t="shared" si="460"/>
        <v>0</v>
      </c>
      <c r="Z4917" s="64">
        <f t="shared" si="461"/>
        <v>0</v>
      </c>
    </row>
    <row r="4918" spans="1:26">
      <c r="A4918" s="89" t="str">
        <f t="shared" si="456"/>
        <v/>
      </c>
      <c r="B4918" s="89" t="str">
        <f t="shared" si="457"/>
        <v/>
      </c>
      <c r="S4918" s="89" t="str">
        <f t="shared" si="458"/>
        <v/>
      </c>
      <c r="X4918" s="64">
        <f t="shared" si="459"/>
        <v>0</v>
      </c>
      <c r="Y4918" s="53">
        <f t="shared" si="460"/>
        <v>0</v>
      </c>
      <c r="Z4918" s="64">
        <f t="shared" si="461"/>
        <v>0</v>
      </c>
    </row>
    <row r="4919" spans="1:26">
      <c r="A4919" s="89" t="str">
        <f t="shared" si="456"/>
        <v/>
      </c>
      <c r="B4919" s="89" t="str">
        <f t="shared" si="457"/>
        <v/>
      </c>
      <c r="S4919" s="89" t="str">
        <f t="shared" si="458"/>
        <v/>
      </c>
      <c r="X4919" s="64">
        <f t="shared" si="459"/>
        <v>0</v>
      </c>
      <c r="Y4919" s="53">
        <f t="shared" si="460"/>
        <v>0</v>
      </c>
      <c r="Z4919" s="64">
        <f t="shared" si="461"/>
        <v>0</v>
      </c>
    </row>
    <row r="4920" spans="1:26">
      <c r="A4920" s="89" t="str">
        <f t="shared" si="456"/>
        <v/>
      </c>
      <c r="B4920" s="89" t="str">
        <f t="shared" si="457"/>
        <v/>
      </c>
      <c r="S4920" s="89" t="str">
        <f t="shared" si="458"/>
        <v/>
      </c>
      <c r="X4920" s="64">
        <f t="shared" si="459"/>
        <v>0</v>
      </c>
      <c r="Y4920" s="53">
        <f t="shared" si="460"/>
        <v>0</v>
      </c>
      <c r="Z4920" s="64">
        <f t="shared" si="461"/>
        <v>0</v>
      </c>
    </row>
    <row r="4921" spans="1:26">
      <c r="A4921" s="89" t="str">
        <f t="shared" si="456"/>
        <v/>
      </c>
      <c r="B4921" s="89" t="str">
        <f t="shared" si="457"/>
        <v/>
      </c>
      <c r="S4921" s="89" t="str">
        <f t="shared" si="458"/>
        <v/>
      </c>
      <c r="X4921" s="64">
        <f t="shared" si="459"/>
        <v>0</v>
      </c>
      <c r="Y4921" s="53">
        <f t="shared" si="460"/>
        <v>0</v>
      </c>
      <c r="Z4921" s="64">
        <f t="shared" si="461"/>
        <v>0</v>
      </c>
    </row>
    <row r="4922" spans="1:26">
      <c r="A4922" s="89" t="str">
        <f t="shared" si="456"/>
        <v/>
      </c>
      <c r="B4922" s="89" t="str">
        <f t="shared" si="457"/>
        <v/>
      </c>
      <c r="S4922" s="89" t="str">
        <f t="shared" si="458"/>
        <v/>
      </c>
      <c r="X4922" s="64">
        <f t="shared" si="459"/>
        <v>0</v>
      </c>
      <c r="Y4922" s="53">
        <f t="shared" si="460"/>
        <v>0</v>
      </c>
      <c r="Z4922" s="64">
        <f t="shared" si="461"/>
        <v>0</v>
      </c>
    </row>
    <row r="4923" spans="1:26">
      <c r="A4923" s="89" t="str">
        <f t="shared" si="456"/>
        <v/>
      </c>
      <c r="B4923" s="89" t="str">
        <f t="shared" si="457"/>
        <v/>
      </c>
      <c r="S4923" s="89" t="str">
        <f t="shared" si="458"/>
        <v/>
      </c>
      <c r="X4923" s="64">
        <f t="shared" si="459"/>
        <v>0</v>
      </c>
      <c r="Y4923" s="53">
        <f t="shared" si="460"/>
        <v>0</v>
      </c>
      <c r="Z4923" s="64">
        <f t="shared" si="461"/>
        <v>0</v>
      </c>
    </row>
    <row r="4924" spans="1:26">
      <c r="A4924" s="89" t="str">
        <f t="shared" si="456"/>
        <v/>
      </c>
      <c r="B4924" s="89" t="str">
        <f t="shared" si="457"/>
        <v/>
      </c>
      <c r="S4924" s="89" t="str">
        <f t="shared" si="458"/>
        <v/>
      </c>
      <c r="X4924" s="64">
        <f t="shared" si="459"/>
        <v>0</v>
      </c>
      <c r="Y4924" s="53">
        <f t="shared" si="460"/>
        <v>0</v>
      </c>
      <c r="Z4924" s="64">
        <f t="shared" si="461"/>
        <v>0</v>
      </c>
    </row>
    <row r="4925" spans="1:26">
      <c r="A4925" s="89" t="str">
        <f t="shared" si="456"/>
        <v/>
      </c>
      <c r="B4925" s="89" t="str">
        <f t="shared" si="457"/>
        <v/>
      </c>
      <c r="S4925" s="89" t="str">
        <f t="shared" si="458"/>
        <v/>
      </c>
      <c r="X4925" s="64">
        <f t="shared" si="459"/>
        <v>0</v>
      </c>
      <c r="Y4925" s="53">
        <f t="shared" si="460"/>
        <v>0</v>
      </c>
      <c r="Z4925" s="64">
        <f t="shared" si="461"/>
        <v>0</v>
      </c>
    </row>
    <row r="4926" spans="1:26">
      <c r="A4926" s="89" t="str">
        <f t="shared" si="456"/>
        <v/>
      </c>
      <c r="B4926" s="89" t="str">
        <f t="shared" si="457"/>
        <v/>
      </c>
      <c r="S4926" s="89" t="str">
        <f t="shared" si="458"/>
        <v/>
      </c>
      <c r="X4926" s="64">
        <f t="shared" si="459"/>
        <v>0</v>
      </c>
      <c r="Y4926" s="53">
        <f t="shared" si="460"/>
        <v>0</v>
      </c>
      <c r="Z4926" s="64">
        <f t="shared" si="461"/>
        <v>0</v>
      </c>
    </row>
    <row r="4927" spans="1:26">
      <c r="A4927" s="89" t="str">
        <f t="shared" si="456"/>
        <v/>
      </c>
      <c r="B4927" s="89" t="str">
        <f t="shared" si="457"/>
        <v/>
      </c>
      <c r="S4927" s="89" t="str">
        <f t="shared" si="458"/>
        <v/>
      </c>
      <c r="X4927" s="64">
        <f t="shared" si="459"/>
        <v>0</v>
      </c>
      <c r="Y4927" s="53">
        <f t="shared" si="460"/>
        <v>0</v>
      </c>
      <c r="Z4927" s="64">
        <f t="shared" si="461"/>
        <v>0</v>
      </c>
    </row>
    <row r="4928" spans="1:26">
      <c r="A4928" s="89" t="str">
        <f t="shared" si="456"/>
        <v/>
      </c>
      <c r="B4928" s="89" t="str">
        <f t="shared" si="457"/>
        <v/>
      </c>
      <c r="S4928" s="89" t="str">
        <f t="shared" si="458"/>
        <v/>
      </c>
      <c r="X4928" s="64">
        <f t="shared" si="459"/>
        <v>0</v>
      </c>
      <c r="Y4928" s="53">
        <f t="shared" si="460"/>
        <v>0</v>
      </c>
      <c r="Z4928" s="64">
        <f t="shared" si="461"/>
        <v>0</v>
      </c>
    </row>
    <row r="4929" spans="1:26">
      <c r="A4929" s="89" t="str">
        <f t="shared" si="456"/>
        <v/>
      </c>
      <c r="B4929" s="89" t="str">
        <f t="shared" si="457"/>
        <v/>
      </c>
      <c r="S4929" s="89" t="str">
        <f t="shared" si="458"/>
        <v/>
      </c>
      <c r="X4929" s="64">
        <f t="shared" si="459"/>
        <v>0</v>
      </c>
      <c r="Y4929" s="53">
        <f t="shared" si="460"/>
        <v>0</v>
      </c>
      <c r="Z4929" s="64">
        <f t="shared" si="461"/>
        <v>0</v>
      </c>
    </row>
    <row r="4930" spans="1:26">
      <c r="A4930" s="89" t="str">
        <f t="shared" si="456"/>
        <v/>
      </c>
      <c r="B4930" s="89" t="str">
        <f t="shared" si="457"/>
        <v/>
      </c>
      <c r="S4930" s="89" t="str">
        <f t="shared" si="458"/>
        <v/>
      </c>
      <c r="X4930" s="64">
        <f t="shared" si="459"/>
        <v>0</v>
      </c>
      <c r="Y4930" s="53">
        <f t="shared" si="460"/>
        <v>0</v>
      </c>
      <c r="Z4930" s="64">
        <f t="shared" si="461"/>
        <v>0</v>
      </c>
    </row>
    <row r="4931" spans="1:26">
      <c r="A4931" s="89" t="str">
        <f t="shared" ref="A4931:A4994" si="462">IF(G4931&amp;Q4931&lt;&gt;"",G4931&amp;Q4931,"")</f>
        <v/>
      </c>
      <c r="B4931" s="89" t="str">
        <f t="shared" ref="B4931:B4994" si="463">IF(C4931&lt;&gt;"",LEFT(C4931,9),"")</f>
        <v/>
      </c>
      <c r="S4931" s="89" t="str">
        <f t="shared" ref="S4931:S4994" si="464">IF(H4931&lt;&gt;"",H4931,"")</f>
        <v/>
      </c>
      <c r="X4931" s="64">
        <f t="shared" ref="X4931:X4994" si="465">IFERROR(VALUE(MID($C4931,1,2)),0)</f>
        <v>0</v>
      </c>
      <c r="Y4931" s="53">
        <f t="shared" ref="Y4931:Y4994" si="466">IFERROR(VALUE(MID($C4931,4,3)),0)</f>
        <v>0</v>
      </c>
      <c r="Z4931" s="64">
        <f t="shared" ref="Z4931:Z4994" si="467">VALUE(RIGHT("00"&amp;X4931,2)&amp;RIGHT("000"&amp;Y4931,3))</f>
        <v>0</v>
      </c>
    </row>
    <row r="4932" spans="1:26">
      <c r="A4932" s="89" t="str">
        <f t="shared" si="462"/>
        <v/>
      </c>
      <c r="B4932" s="89" t="str">
        <f t="shared" si="463"/>
        <v/>
      </c>
      <c r="S4932" s="89" t="str">
        <f t="shared" si="464"/>
        <v/>
      </c>
      <c r="X4932" s="64">
        <f t="shared" si="465"/>
        <v>0</v>
      </c>
      <c r="Y4932" s="53">
        <f t="shared" si="466"/>
        <v>0</v>
      </c>
      <c r="Z4932" s="64">
        <f t="shared" si="467"/>
        <v>0</v>
      </c>
    </row>
    <row r="4933" spans="1:26">
      <c r="A4933" s="89" t="str">
        <f t="shared" si="462"/>
        <v/>
      </c>
      <c r="B4933" s="89" t="str">
        <f t="shared" si="463"/>
        <v/>
      </c>
      <c r="S4933" s="89" t="str">
        <f t="shared" si="464"/>
        <v/>
      </c>
      <c r="X4933" s="64">
        <f t="shared" si="465"/>
        <v>0</v>
      </c>
      <c r="Y4933" s="53">
        <f t="shared" si="466"/>
        <v>0</v>
      </c>
      <c r="Z4933" s="64">
        <f t="shared" si="467"/>
        <v>0</v>
      </c>
    </row>
    <row r="4934" spans="1:26">
      <c r="A4934" s="89" t="str">
        <f t="shared" si="462"/>
        <v/>
      </c>
      <c r="B4934" s="89" t="str">
        <f t="shared" si="463"/>
        <v/>
      </c>
      <c r="S4934" s="89" t="str">
        <f t="shared" si="464"/>
        <v/>
      </c>
      <c r="X4934" s="64">
        <f t="shared" si="465"/>
        <v>0</v>
      </c>
      <c r="Y4934" s="53">
        <f t="shared" si="466"/>
        <v>0</v>
      </c>
      <c r="Z4934" s="64">
        <f t="shared" si="467"/>
        <v>0</v>
      </c>
    </row>
    <row r="4935" spans="1:26">
      <c r="A4935" s="89" t="str">
        <f t="shared" si="462"/>
        <v/>
      </c>
      <c r="B4935" s="89" t="str">
        <f t="shared" si="463"/>
        <v/>
      </c>
      <c r="S4935" s="89" t="str">
        <f t="shared" si="464"/>
        <v/>
      </c>
      <c r="X4935" s="64">
        <f t="shared" si="465"/>
        <v>0</v>
      </c>
      <c r="Y4935" s="53">
        <f t="shared" si="466"/>
        <v>0</v>
      </c>
      <c r="Z4935" s="64">
        <f t="shared" si="467"/>
        <v>0</v>
      </c>
    </row>
    <row r="4936" spans="1:26">
      <c r="A4936" s="89" t="str">
        <f t="shared" si="462"/>
        <v/>
      </c>
      <c r="B4936" s="89" t="str">
        <f t="shared" si="463"/>
        <v/>
      </c>
      <c r="S4936" s="89" t="str">
        <f t="shared" si="464"/>
        <v/>
      </c>
      <c r="X4936" s="64">
        <f t="shared" si="465"/>
        <v>0</v>
      </c>
      <c r="Y4936" s="53">
        <f t="shared" si="466"/>
        <v>0</v>
      </c>
      <c r="Z4936" s="64">
        <f t="shared" si="467"/>
        <v>0</v>
      </c>
    </row>
    <row r="4937" spans="1:26">
      <c r="A4937" s="89" t="str">
        <f t="shared" si="462"/>
        <v/>
      </c>
      <c r="B4937" s="89" t="str">
        <f t="shared" si="463"/>
        <v/>
      </c>
      <c r="S4937" s="89" t="str">
        <f t="shared" si="464"/>
        <v/>
      </c>
      <c r="X4937" s="64">
        <f t="shared" si="465"/>
        <v>0</v>
      </c>
      <c r="Y4937" s="53">
        <f t="shared" si="466"/>
        <v>0</v>
      </c>
      <c r="Z4937" s="64">
        <f t="shared" si="467"/>
        <v>0</v>
      </c>
    </row>
    <row r="4938" spans="1:26">
      <c r="A4938" s="89" t="str">
        <f t="shared" si="462"/>
        <v/>
      </c>
      <c r="B4938" s="89" t="str">
        <f t="shared" si="463"/>
        <v/>
      </c>
      <c r="S4938" s="89" t="str">
        <f t="shared" si="464"/>
        <v/>
      </c>
      <c r="X4938" s="64">
        <f t="shared" si="465"/>
        <v>0</v>
      </c>
      <c r="Y4938" s="53">
        <f t="shared" si="466"/>
        <v>0</v>
      </c>
      <c r="Z4938" s="64">
        <f t="shared" si="467"/>
        <v>0</v>
      </c>
    </row>
    <row r="4939" spans="1:26">
      <c r="A4939" s="89" t="str">
        <f t="shared" si="462"/>
        <v/>
      </c>
      <c r="B4939" s="89" t="str">
        <f t="shared" si="463"/>
        <v/>
      </c>
      <c r="S4939" s="89" t="str">
        <f t="shared" si="464"/>
        <v/>
      </c>
      <c r="X4939" s="64">
        <f t="shared" si="465"/>
        <v>0</v>
      </c>
      <c r="Y4939" s="53">
        <f t="shared" si="466"/>
        <v>0</v>
      </c>
      <c r="Z4939" s="64">
        <f t="shared" si="467"/>
        <v>0</v>
      </c>
    </row>
    <row r="4940" spans="1:26">
      <c r="A4940" s="89" t="str">
        <f t="shared" si="462"/>
        <v/>
      </c>
      <c r="B4940" s="89" t="str">
        <f t="shared" si="463"/>
        <v/>
      </c>
      <c r="S4940" s="89" t="str">
        <f t="shared" si="464"/>
        <v/>
      </c>
      <c r="X4940" s="64">
        <f t="shared" si="465"/>
        <v>0</v>
      </c>
      <c r="Y4940" s="53">
        <f t="shared" si="466"/>
        <v>0</v>
      </c>
      <c r="Z4940" s="64">
        <f t="shared" si="467"/>
        <v>0</v>
      </c>
    </row>
    <row r="4941" spans="1:26">
      <c r="A4941" s="89" t="str">
        <f t="shared" si="462"/>
        <v/>
      </c>
      <c r="B4941" s="89" t="str">
        <f t="shared" si="463"/>
        <v/>
      </c>
      <c r="S4941" s="89" t="str">
        <f t="shared" si="464"/>
        <v/>
      </c>
      <c r="X4941" s="64">
        <f t="shared" si="465"/>
        <v>0</v>
      </c>
      <c r="Y4941" s="53">
        <f t="shared" si="466"/>
        <v>0</v>
      </c>
      <c r="Z4941" s="64">
        <f t="shared" si="467"/>
        <v>0</v>
      </c>
    </row>
    <row r="4942" spans="1:26">
      <c r="A4942" s="89" t="str">
        <f t="shared" si="462"/>
        <v/>
      </c>
      <c r="B4942" s="89" t="str">
        <f t="shared" si="463"/>
        <v/>
      </c>
      <c r="S4942" s="89" t="str">
        <f t="shared" si="464"/>
        <v/>
      </c>
      <c r="X4942" s="64">
        <f t="shared" si="465"/>
        <v>0</v>
      </c>
      <c r="Y4942" s="53">
        <f t="shared" si="466"/>
        <v>0</v>
      </c>
      <c r="Z4942" s="64">
        <f t="shared" si="467"/>
        <v>0</v>
      </c>
    </row>
    <row r="4943" spans="1:26">
      <c r="A4943" s="89" t="str">
        <f t="shared" si="462"/>
        <v/>
      </c>
      <c r="B4943" s="89" t="str">
        <f t="shared" si="463"/>
        <v/>
      </c>
      <c r="S4943" s="89" t="str">
        <f t="shared" si="464"/>
        <v/>
      </c>
      <c r="X4943" s="64">
        <f t="shared" si="465"/>
        <v>0</v>
      </c>
      <c r="Y4943" s="53">
        <f t="shared" si="466"/>
        <v>0</v>
      </c>
      <c r="Z4943" s="64">
        <f t="shared" si="467"/>
        <v>0</v>
      </c>
    </row>
    <row r="4944" spans="1:26">
      <c r="A4944" s="89" t="str">
        <f t="shared" si="462"/>
        <v/>
      </c>
      <c r="B4944" s="89" t="str">
        <f t="shared" si="463"/>
        <v/>
      </c>
      <c r="S4944" s="89" t="str">
        <f t="shared" si="464"/>
        <v/>
      </c>
      <c r="X4944" s="64">
        <f t="shared" si="465"/>
        <v>0</v>
      </c>
      <c r="Y4944" s="53">
        <f t="shared" si="466"/>
        <v>0</v>
      </c>
      <c r="Z4944" s="64">
        <f t="shared" si="467"/>
        <v>0</v>
      </c>
    </row>
    <row r="4945" spans="1:26">
      <c r="A4945" s="89" t="str">
        <f t="shared" si="462"/>
        <v/>
      </c>
      <c r="B4945" s="89" t="str">
        <f t="shared" si="463"/>
        <v/>
      </c>
      <c r="S4945" s="89" t="str">
        <f t="shared" si="464"/>
        <v/>
      </c>
      <c r="X4945" s="64">
        <f t="shared" si="465"/>
        <v>0</v>
      </c>
      <c r="Y4945" s="53">
        <f t="shared" si="466"/>
        <v>0</v>
      </c>
      <c r="Z4945" s="64">
        <f t="shared" si="467"/>
        <v>0</v>
      </c>
    </row>
    <row r="4946" spans="1:26">
      <c r="A4946" s="89" t="str">
        <f t="shared" si="462"/>
        <v/>
      </c>
      <c r="B4946" s="89" t="str">
        <f t="shared" si="463"/>
        <v/>
      </c>
      <c r="S4946" s="89" t="str">
        <f t="shared" si="464"/>
        <v/>
      </c>
      <c r="X4946" s="64">
        <f t="shared" si="465"/>
        <v>0</v>
      </c>
      <c r="Y4946" s="53">
        <f t="shared" si="466"/>
        <v>0</v>
      </c>
      <c r="Z4946" s="64">
        <f t="shared" si="467"/>
        <v>0</v>
      </c>
    </row>
    <row r="4947" spans="1:26">
      <c r="A4947" s="89" t="str">
        <f t="shared" si="462"/>
        <v/>
      </c>
      <c r="B4947" s="89" t="str">
        <f t="shared" si="463"/>
        <v/>
      </c>
      <c r="S4947" s="89" t="str">
        <f t="shared" si="464"/>
        <v/>
      </c>
      <c r="X4947" s="64">
        <f t="shared" si="465"/>
        <v>0</v>
      </c>
      <c r="Y4947" s="53">
        <f t="shared" si="466"/>
        <v>0</v>
      </c>
      <c r="Z4947" s="64">
        <f t="shared" si="467"/>
        <v>0</v>
      </c>
    </row>
    <row r="4948" spans="1:26">
      <c r="A4948" s="89" t="str">
        <f t="shared" si="462"/>
        <v/>
      </c>
      <c r="B4948" s="89" t="str">
        <f t="shared" si="463"/>
        <v/>
      </c>
      <c r="S4948" s="89" t="str">
        <f t="shared" si="464"/>
        <v/>
      </c>
      <c r="X4948" s="64">
        <f t="shared" si="465"/>
        <v>0</v>
      </c>
      <c r="Y4948" s="53">
        <f t="shared" si="466"/>
        <v>0</v>
      </c>
      <c r="Z4948" s="64">
        <f t="shared" si="467"/>
        <v>0</v>
      </c>
    </row>
    <row r="4949" spans="1:26">
      <c r="A4949" s="89" t="str">
        <f t="shared" si="462"/>
        <v/>
      </c>
      <c r="B4949" s="89" t="str">
        <f t="shared" si="463"/>
        <v/>
      </c>
      <c r="S4949" s="89" t="str">
        <f t="shared" si="464"/>
        <v/>
      </c>
      <c r="X4949" s="64">
        <f t="shared" si="465"/>
        <v>0</v>
      </c>
      <c r="Y4949" s="53">
        <f t="shared" si="466"/>
        <v>0</v>
      </c>
      <c r="Z4949" s="64">
        <f t="shared" si="467"/>
        <v>0</v>
      </c>
    </row>
    <row r="4950" spans="1:26">
      <c r="A4950" s="89" t="str">
        <f t="shared" si="462"/>
        <v/>
      </c>
      <c r="B4950" s="89" t="str">
        <f t="shared" si="463"/>
        <v/>
      </c>
      <c r="S4950" s="89" t="str">
        <f t="shared" si="464"/>
        <v/>
      </c>
      <c r="X4950" s="64">
        <f t="shared" si="465"/>
        <v>0</v>
      </c>
      <c r="Y4950" s="53">
        <f t="shared" si="466"/>
        <v>0</v>
      </c>
      <c r="Z4950" s="64">
        <f t="shared" si="467"/>
        <v>0</v>
      </c>
    </row>
    <row r="4951" spans="1:26">
      <c r="A4951" s="89" t="str">
        <f t="shared" si="462"/>
        <v/>
      </c>
      <c r="B4951" s="89" t="str">
        <f t="shared" si="463"/>
        <v/>
      </c>
      <c r="S4951" s="89" t="str">
        <f t="shared" si="464"/>
        <v/>
      </c>
      <c r="X4951" s="64">
        <f t="shared" si="465"/>
        <v>0</v>
      </c>
      <c r="Y4951" s="53">
        <f t="shared" si="466"/>
        <v>0</v>
      </c>
      <c r="Z4951" s="64">
        <f t="shared" si="467"/>
        <v>0</v>
      </c>
    </row>
    <row r="4952" spans="1:26">
      <c r="A4952" s="89" t="str">
        <f t="shared" si="462"/>
        <v/>
      </c>
      <c r="B4952" s="89" t="str">
        <f t="shared" si="463"/>
        <v/>
      </c>
      <c r="S4952" s="89" t="str">
        <f t="shared" si="464"/>
        <v/>
      </c>
      <c r="X4952" s="64">
        <f t="shared" si="465"/>
        <v>0</v>
      </c>
      <c r="Y4952" s="53">
        <f t="shared" si="466"/>
        <v>0</v>
      </c>
      <c r="Z4952" s="64">
        <f t="shared" si="467"/>
        <v>0</v>
      </c>
    </row>
    <row r="4953" spans="1:26">
      <c r="A4953" s="89" t="str">
        <f t="shared" si="462"/>
        <v/>
      </c>
      <c r="B4953" s="89" t="str">
        <f t="shared" si="463"/>
        <v/>
      </c>
      <c r="S4953" s="89" t="str">
        <f t="shared" si="464"/>
        <v/>
      </c>
      <c r="X4953" s="64">
        <f t="shared" si="465"/>
        <v>0</v>
      </c>
      <c r="Y4953" s="53">
        <f t="shared" si="466"/>
        <v>0</v>
      </c>
      <c r="Z4953" s="64">
        <f t="shared" si="467"/>
        <v>0</v>
      </c>
    </row>
    <row r="4954" spans="1:26">
      <c r="A4954" s="89" t="str">
        <f t="shared" si="462"/>
        <v/>
      </c>
      <c r="B4954" s="89" t="str">
        <f t="shared" si="463"/>
        <v/>
      </c>
      <c r="S4954" s="89" t="str">
        <f t="shared" si="464"/>
        <v/>
      </c>
      <c r="X4954" s="64">
        <f t="shared" si="465"/>
        <v>0</v>
      </c>
      <c r="Y4954" s="53">
        <f t="shared" si="466"/>
        <v>0</v>
      </c>
      <c r="Z4954" s="64">
        <f t="shared" si="467"/>
        <v>0</v>
      </c>
    </row>
    <row r="4955" spans="1:26">
      <c r="A4955" s="89" t="str">
        <f t="shared" si="462"/>
        <v/>
      </c>
      <c r="B4955" s="89" t="str">
        <f t="shared" si="463"/>
        <v/>
      </c>
      <c r="S4955" s="89" t="str">
        <f t="shared" si="464"/>
        <v/>
      </c>
      <c r="X4955" s="64">
        <f t="shared" si="465"/>
        <v>0</v>
      </c>
      <c r="Y4955" s="53">
        <f t="shared" si="466"/>
        <v>0</v>
      </c>
      <c r="Z4955" s="64">
        <f t="shared" si="467"/>
        <v>0</v>
      </c>
    </row>
    <row r="4956" spans="1:26">
      <c r="A4956" s="89" t="str">
        <f t="shared" si="462"/>
        <v/>
      </c>
      <c r="B4956" s="89" t="str">
        <f t="shared" si="463"/>
        <v/>
      </c>
      <c r="S4956" s="89" t="str">
        <f t="shared" si="464"/>
        <v/>
      </c>
      <c r="X4956" s="64">
        <f t="shared" si="465"/>
        <v>0</v>
      </c>
      <c r="Y4956" s="53">
        <f t="shared" si="466"/>
        <v>0</v>
      </c>
      <c r="Z4956" s="64">
        <f t="shared" si="467"/>
        <v>0</v>
      </c>
    </row>
    <row r="4957" spans="1:26">
      <c r="A4957" s="89" t="str">
        <f t="shared" si="462"/>
        <v/>
      </c>
      <c r="B4957" s="89" t="str">
        <f t="shared" si="463"/>
        <v/>
      </c>
      <c r="S4957" s="89" t="str">
        <f t="shared" si="464"/>
        <v/>
      </c>
      <c r="X4957" s="64">
        <f t="shared" si="465"/>
        <v>0</v>
      </c>
      <c r="Y4957" s="53">
        <f t="shared" si="466"/>
        <v>0</v>
      </c>
      <c r="Z4957" s="64">
        <f t="shared" si="467"/>
        <v>0</v>
      </c>
    </row>
    <row r="4958" spans="1:26">
      <c r="A4958" s="89" t="str">
        <f t="shared" si="462"/>
        <v/>
      </c>
      <c r="B4958" s="89" t="str">
        <f t="shared" si="463"/>
        <v/>
      </c>
      <c r="S4958" s="89" t="str">
        <f t="shared" si="464"/>
        <v/>
      </c>
      <c r="X4958" s="64">
        <f t="shared" si="465"/>
        <v>0</v>
      </c>
      <c r="Y4958" s="53">
        <f t="shared" si="466"/>
        <v>0</v>
      </c>
      <c r="Z4958" s="64">
        <f t="shared" si="467"/>
        <v>0</v>
      </c>
    </row>
    <row r="4959" spans="1:26">
      <c r="A4959" s="89" t="str">
        <f t="shared" si="462"/>
        <v/>
      </c>
      <c r="B4959" s="89" t="str">
        <f t="shared" si="463"/>
        <v/>
      </c>
      <c r="S4959" s="89" t="str">
        <f t="shared" si="464"/>
        <v/>
      </c>
      <c r="X4959" s="64">
        <f t="shared" si="465"/>
        <v>0</v>
      </c>
      <c r="Y4959" s="53">
        <f t="shared" si="466"/>
        <v>0</v>
      </c>
      <c r="Z4959" s="64">
        <f t="shared" si="467"/>
        <v>0</v>
      </c>
    </row>
    <row r="4960" spans="1:26">
      <c r="A4960" s="89" t="str">
        <f t="shared" si="462"/>
        <v/>
      </c>
      <c r="B4960" s="89" t="str">
        <f t="shared" si="463"/>
        <v/>
      </c>
      <c r="S4960" s="89" t="str">
        <f t="shared" si="464"/>
        <v/>
      </c>
      <c r="X4960" s="64">
        <f t="shared" si="465"/>
        <v>0</v>
      </c>
      <c r="Y4960" s="53">
        <f t="shared" si="466"/>
        <v>0</v>
      </c>
      <c r="Z4960" s="64">
        <f t="shared" si="467"/>
        <v>0</v>
      </c>
    </row>
    <row r="4961" spans="1:26">
      <c r="A4961" s="89" t="str">
        <f t="shared" si="462"/>
        <v/>
      </c>
      <c r="B4961" s="89" t="str">
        <f t="shared" si="463"/>
        <v/>
      </c>
      <c r="S4961" s="89" t="str">
        <f t="shared" si="464"/>
        <v/>
      </c>
      <c r="X4961" s="64">
        <f t="shared" si="465"/>
        <v>0</v>
      </c>
      <c r="Y4961" s="53">
        <f t="shared" si="466"/>
        <v>0</v>
      </c>
      <c r="Z4961" s="64">
        <f t="shared" si="467"/>
        <v>0</v>
      </c>
    </row>
    <row r="4962" spans="1:26">
      <c r="A4962" s="89" t="str">
        <f t="shared" si="462"/>
        <v/>
      </c>
      <c r="B4962" s="89" t="str">
        <f t="shared" si="463"/>
        <v/>
      </c>
      <c r="S4962" s="89" t="str">
        <f t="shared" si="464"/>
        <v/>
      </c>
      <c r="X4962" s="64">
        <f t="shared" si="465"/>
        <v>0</v>
      </c>
      <c r="Y4962" s="53">
        <f t="shared" si="466"/>
        <v>0</v>
      </c>
      <c r="Z4962" s="64">
        <f t="shared" si="467"/>
        <v>0</v>
      </c>
    </row>
    <row r="4963" spans="1:26">
      <c r="A4963" s="89" t="str">
        <f t="shared" si="462"/>
        <v/>
      </c>
      <c r="B4963" s="89" t="str">
        <f t="shared" si="463"/>
        <v/>
      </c>
      <c r="S4963" s="89" t="str">
        <f t="shared" si="464"/>
        <v/>
      </c>
      <c r="X4963" s="64">
        <f t="shared" si="465"/>
        <v>0</v>
      </c>
      <c r="Y4963" s="53">
        <f t="shared" si="466"/>
        <v>0</v>
      </c>
      <c r="Z4963" s="64">
        <f t="shared" si="467"/>
        <v>0</v>
      </c>
    </row>
    <row r="4964" spans="1:26">
      <c r="A4964" s="89" t="str">
        <f t="shared" si="462"/>
        <v/>
      </c>
      <c r="B4964" s="89" t="str">
        <f t="shared" si="463"/>
        <v/>
      </c>
      <c r="S4964" s="89" t="str">
        <f t="shared" si="464"/>
        <v/>
      </c>
      <c r="X4964" s="64">
        <f t="shared" si="465"/>
        <v>0</v>
      </c>
      <c r="Y4964" s="53">
        <f t="shared" si="466"/>
        <v>0</v>
      </c>
      <c r="Z4964" s="64">
        <f t="shared" si="467"/>
        <v>0</v>
      </c>
    </row>
    <row r="4965" spans="1:26">
      <c r="A4965" s="89" t="str">
        <f t="shared" si="462"/>
        <v/>
      </c>
      <c r="B4965" s="89" t="str">
        <f t="shared" si="463"/>
        <v/>
      </c>
      <c r="S4965" s="89" t="str">
        <f t="shared" si="464"/>
        <v/>
      </c>
      <c r="X4965" s="64">
        <f t="shared" si="465"/>
        <v>0</v>
      </c>
      <c r="Y4965" s="53">
        <f t="shared" si="466"/>
        <v>0</v>
      </c>
      <c r="Z4965" s="64">
        <f t="shared" si="467"/>
        <v>0</v>
      </c>
    </row>
    <row r="4966" spans="1:26">
      <c r="A4966" s="89" t="str">
        <f t="shared" si="462"/>
        <v/>
      </c>
      <c r="B4966" s="89" t="str">
        <f t="shared" si="463"/>
        <v/>
      </c>
      <c r="S4966" s="89" t="str">
        <f t="shared" si="464"/>
        <v/>
      </c>
      <c r="X4966" s="64">
        <f t="shared" si="465"/>
        <v>0</v>
      </c>
      <c r="Y4966" s="53">
        <f t="shared" si="466"/>
        <v>0</v>
      </c>
      <c r="Z4966" s="64">
        <f t="shared" si="467"/>
        <v>0</v>
      </c>
    </row>
    <row r="4967" spans="1:26">
      <c r="A4967" s="89" t="str">
        <f t="shared" si="462"/>
        <v/>
      </c>
      <c r="B4967" s="89" t="str">
        <f t="shared" si="463"/>
        <v/>
      </c>
      <c r="S4967" s="89" t="str">
        <f t="shared" si="464"/>
        <v/>
      </c>
      <c r="X4967" s="64">
        <f t="shared" si="465"/>
        <v>0</v>
      </c>
      <c r="Y4967" s="53">
        <f t="shared" si="466"/>
        <v>0</v>
      </c>
      <c r="Z4967" s="64">
        <f t="shared" si="467"/>
        <v>0</v>
      </c>
    </row>
    <row r="4968" spans="1:26">
      <c r="A4968" s="89" t="str">
        <f t="shared" si="462"/>
        <v/>
      </c>
      <c r="B4968" s="89" t="str">
        <f t="shared" si="463"/>
        <v/>
      </c>
      <c r="S4968" s="89" t="str">
        <f t="shared" si="464"/>
        <v/>
      </c>
      <c r="X4968" s="64">
        <f t="shared" si="465"/>
        <v>0</v>
      </c>
      <c r="Y4968" s="53">
        <f t="shared" si="466"/>
        <v>0</v>
      </c>
      <c r="Z4968" s="64">
        <f t="shared" si="467"/>
        <v>0</v>
      </c>
    </row>
    <row r="4969" spans="1:26">
      <c r="A4969" s="89" t="str">
        <f t="shared" si="462"/>
        <v/>
      </c>
      <c r="B4969" s="89" t="str">
        <f t="shared" si="463"/>
        <v/>
      </c>
      <c r="S4969" s="89" t="str">
        <f t="shared" si="464"/>
        <v/>
      </c>
      <c r="X4969" s="64">
        <f t="shared" si="465"/>
        <v>0</v>
      </c>
      <c r="Y4969" s="53">
        <f t="shared" si="466"/>
        <v>0</v>
      </c>
      <c r="Z4969" s="64">
        <f t="shared" si="467"/>
        <v>0</v>
      </c>
    </row>
    <row r="4970" spans="1:26">
      <c r="A4970" s="89" t="str">
        <f t="shared" si="462"/>
        <v/>
      </c>
      <c r="B4970" s="89" t="str">
        <f t="shared" si="463"/>
        <v/>
      </c>
      <c r="S4970" s="89" t="str">
        <f t="shared" si="464"/>
        <v/>
      </c>
      <c r="X4970" s="64">
        <f t="shared" si="465"/>
        <v>0</v>
      </c>
      <c r="Y4970" s="53">
        <f t="shared" si="466"/>
        <v>0</v>
      </c>
      <c r="Z4970" s="64">
        <f t="shared" si="467"/>
        <v>0</v>
      </c>
    </row>
    <row r="4971" spans="1:26">
      <c r="A4971" s="89" t="str">
        <f t="shared" si="462"/>
        <v/>
      </c>
      <c r="B4971" s="89" t="str">
        <f t="shared" si="463"/>
        <v/>
      </c>
      <c r="S4971" s="89" t="str">
        <f t="shared" si="464"/>
        <v/>
      </c>
      <c r="X4971" s="64">
        <f t="shared" si="465"/>
        <v>0</v>
      </c>
      <c r="Y4971" s="53">
        <f t="shared" si="466"/>
        <v>0</v>
      </c>
      <c r="Z4971" s="64">
        <f t="shared" si="467"/>
        <v>0</v>
      </c>
    </row>
    <row r="4972" spans="1:26">
      <c r="A4972" s="89" t="str">
        <f t="shared" si="462"/>
        <v/>
      </c>
      <c r="B4972" s="89" t="str">
        <f t="shared" si="463"/>
        <v/>
      </c>
      <c r="S4972" s="89" t="str">
        <f t="shared" si="464"/>
        <v/>
      </c>
      <c r="X4972" s="64">
        <f t="shared" si="465"/>
        <v>0</v>
      </c>
      <c r="Y4972" s="53">
        <f t="shared" si="466"/>
        <v>0</v>
      </c>
      <c r="Z4972" s="64">
        <f t="shared" si="467"/>
        <v>0</v>
      </c>
    </row>
    <row r="4973" spans="1:26">
      <c r="A4973" s="89" t="str">
        <f t="shared" si="462"/>
        <v/>
      </c>
      <c r="B4973" s="89" t="str">
        <f t="shared" si="463"/>
        <v/>
      </c>
      <c r="S4973" s="89" t="str">
        <f t="shared" si="464"/>
        <v/>
      </c>
      <c r="X4973" s="64">
        <f t="shared" si="465"/>
        <v>0</v>
      </c>
      <c r="Y4973" s="53">
        <f t="shared" si="466"/>
        <v>0</v>
      </c>
      <c r="Z4973" s="64">
        <f t="shared" si="467"/>
        <v>0</v>
      </c>
    </row>
    <row r="4974" spans="1:26">
      <c r="A4974" s="89" t="str">
        <f t="shared" si="462"/>
        <v/>
      </c>
      <c r="B4974" s="89" t="str">
        <f t="shared" si="463"/>
        <v/>
      </c>
      <c r="S4974" s="89" t="str">
        <f t="shared" si="464"/>
        <v/>
      </c>
      <c r="X4974" s="64">
        <f t="shared" si="465"/>
        <v>0</v>
      </c>
      <c r="Y4974" s="53">
        <f t="shared" si="466"/>
        <v>0</v>
      </c>
      <c r="Z4974" s="64">
        <f t="shared" si="467"/>
        <v>0</v>
      </c>
    </row>
    <row r="4975" spans="1:26">
      <c r="A4975" s="89" t="str">
        <f t="shared" si="462"/>
        <v/>
      </c>
      <c r="B4975" s="89" t="str">
        <f t="shared" si="463"/>
        <v/>
      </c>
      <c r="S4975" s="89" t="str">
        <f t="shared" si="464"/>
        <v/>
      </c>
      <c r="X4975" s="64">
        <f t="shared" si="465"/>
        <v>0</v>
      </c>
      <c r="Y4975" s="53">
        <f t="shared" si="466"/>
        <v>0</v>
      </c>
      <c r="Z4975" s="64">
        <f t="shared" si="467"/>
        <v>0</v>
      </c>
    </row>
    <row r="4976" spans="1:26">
      <c r="A4976" s="89" t="str">
        <f t="shared" si="462"/>
        <v/>
      </c>
      <c r="B4976" s="89" t="str">
        <f t="shared" si="463"/>
        <v/>
      </c>
      <c r="S4976" s="89" t="str">
        <f t="shared" si="464"/>
        <v/>
      </c>
      <c r="X4976" s="64">
        <f t="shared" si="465"/>
        <v>0</v>
      </c>
      <c r="Y4976" s="53">
        <f t="shared" si="466"/>
        <v>0</v>
      </c>
      <c r="Z4976" s="64">
        <f t="shared" si="467"/>
        <v>0</v>
      </c>
    </row>
    <row r="4977" spans="1:26">
      <c r="A4977" s="89" t="str">
        <f t="shared" si="462"/>
        <v/>
      </c>
      <c r="B4977" s="89" t="str">
        <f t="shared" si="463"/>
        <v/>
      </c>
      <c r="S4977" s="89" t="str">
        <f t="shared" si="464"/>
        <v/>
      </c>
      <c r="X4977" s="64">
        <f t="shared" si="465"/>
        <v>0</v>
      </c>
      <c r="Y4977" s="53">
        <f t="shared" si="466"/>
        <v>0</v>
      </c>
      <c r="Z4977" s="64">
        <f t="shared" si="467"/>
        <v>0</v>
      </c>
    </row>
    <row r="4978" spans="1:26">
      <c r="A4978" s="89" t="str">
        <f t="shared" si="462"/>
        <v/>
      </c>
      <c r="B4978" s="89" t="str">
        <f t="shared" si="463"/>
        <v/>
      </c>
      <c r="S4978" s="89" t="str">
        <f t="shared" si="464"/>
        <v/>
      </c>
      <c r="X4978" s="64">
        <f t="shared" si="465"/>
        <v>0</v>
      </c>
      <c r="Y4978" s="53">
        <f t="shared" si="466"/>
        <v>0</v>
      </c>
      <c r="Z4978" s="64">
        <f t="shared" si="467"/>
        <v>0</v>
      </c>
    </row>
    <row r="4979" spans="1:26">
      <c r="A4979" s="89" t="str">
        <f t="shared" si="462"/>
        <v/>
      </c>
      <c r="B4979" s="89" t="str">
        <f t="shared" si="463"/>
        <v/>
      </c>
      <c r="S4979" s="89" t="str">
        <f t="shared" si="464"/>
        <v/>
      </c>
      <c r="X4979" s="64">
        <f t="shared" si="465"/>
        <v>0</v>
      </c>
      <c r="Y4979" s="53">
        <f t="shared" si="466"/>
        <v>0</v>
      </c>
      <c r="Z4979" s="64">
        <f t="shared" si="467"/>
        <v>0</v>
      </c>
    </row>
    <row r="4980" spans="1:26">
      <c r="A4980" s="89" t="str">
        <f t="shared" si="462"/>
        <v/>
      </c>
      <c r="B4980" s="89" t="str">
        <f t="shared" si="463"/>
        <v/>
      </c>
      <c r="S4980" s="89" t="str">
        <f t="shared" si="464"/>
        <v/>
      </c>
      <c r="X4980" s="64">
        <f t="shared" si="465"/>
        <v>0</v>
      </c>
      <c r="Y4980" s="53">
        <f t="shared" si="466"/>
        <v>0</v>
      </c>
      <c r="Z4980" s="64">
        <f t="shared" si="467"/>
        <v>0</v>
      </c>
    </row>
    <row r="4981" spans="1:26">
      <c r="A4981" s="89" t="str">
        <f t="shared" si="462"/>
        <v/>
      </c>
      <c r="B4981" s="89" t="str">
        <f t="shared" si="463"/>
        <v/>
      </c>
      <c r="S4981" s="89" t="str">
        <f t="shared" si="464"/>
        <v/>
      </c>
      <c r="X4981" s="64">
        <f t="shared" si="465"/>
        <v>0</v>
      </c>
      <c r="Y4981" s="53">
        <f t="shared" si="466"/>
        <v>0</v>
      </c>
      <c r="Z4981" s="64">
        <f t="shared" si="467"/>
        <v>0</v>
      </c>
    </row>
    <row r="4982" spans="1:26">
      <c r="A4982" s="89" t="str">
        <f t="shared" si="462"/>
        <v/>
      </c>
      <c r="B4982" s="89" t="str">
        <f t="shared" si="463"/>
        <v/>
      </c>
      <c r="S4982" s="89" t="str">
        <f t="shared" si="464"/>
        <v/>
      </c>
      <c r="X4982" s="64">
        <f t="shared" si="465"/>
        <v>0</v>
      </c>
      <c r="Y4982" s="53">
        <f t="shared" si="466"/>
        <v>0</v>
      </c>
      <c r="Z4982" s="64">
        <f t="shared" si="467"/>
        <v>0</v>
      </c>
    </row>
    <row r="4983" spans="1:26">
      <c r="A4983" s="89" t="str">
        <f t="shared" si="462"/>
        <v/>
      </c>
      <c r="B4983" s="89" t="str">
        <f t="shared" si="463"/>
        <v/>
      </c>
      <c r="S4983" s="89" t="str">
        <f t="shared" si="464"/>
        <v/>
      </c>
      <c r="X4983" s="64">
        <f t="shared" si="465"/>
        <v>0</v>
      </c>
      <c r="Y4983" s="53">
        <f t="shared" si="466"/>
        <v>0</v>
      </c>
      <c r="Z4983" s="64">
        <f t="shared" si="467"/>
        <v>0</v>
      </c>
    </row>
    <row r="4984" spans="1:26">
      <c r="A4984" s="89" t="str">
        <f t="shared" si="462"/>
        <v/>
      </c>
      <c r="B4984" s="89" t="str">
        <f t="shared" si="463"/>
        <v/>
      </c>
      <c r="S4984" s="89" t="str">
        <f t="shared" si="464"/>
        <v/>
      </c>
      <c r="X4984" s="64">
        <f t="shared" si="465"/>
        <v>0</v>
      </c>
      <c r="Y4984" s="53">
        <f t="shared" si="466"/>
        <v>0</v>
      </c>
      <c r="Z4984" s="64">
        <f t="shared" si="467"/>
        <v>0</v>
      </c>
    </row>
    <row r="4985" spans="1:26">
      <c r="A4985" s="89" t="str">
        <f t="shared" si="462"/>
        <v/>
      </c>
      <c r="B4985" s="89" t="str">
        <f t="shared" si="463"/>
        <v/>
      </c>
      <c r="S4985" s="89" t="str">
        <f t="shared" si="464"/>
        <v/>
      </c>
      <c r="X4985" s="64">
        <f t="shared" si="465"/>
        <v>0</v>
      </c>
      <c r="Y4985" s="53">
        <f t="shared" si="466"/>
        <v>0</v>
      </c>
      <c r="Z4985" s="64">
        <f t="shared" si="467"/>
        <v>0</v>
      </c>
    </row>
    <row r="4986" spans="1:26">
      <c r="A4986" s="89" t="str">
        <f t="shared" si="462"/>
        <v/>
      </c>
      <c r="B4986" s="89" t="str">
        <f t="shared" si="463"/>
        <v/>
      </c>
      <c r="S4986" s="89" t="str">
        <f t="shared" si="464"/>
        <v/>
      </c>
      <c r="X4986" s="64">
        <f t="shared" si="465"/>
        <v>0</v>
      </c>
      <c r="Y4986" s="53">
        <f t="shared" si="466"/>
        <v>0</v>
      </c>
      <c r="Z4986" s="64">
        <f t="shared" si="467"/>
        <v>0</v>
      </c>
    </row>
    <row r="4987" spans="1:26">
      <c r="A4987" s="89" t="str">
        <f t="shared" si="462"/>
        <v/>
      </c>
      <c r="B4987" s="89" t="str">
        <f t="shared" si="463"/>
        <v/>
      </c>
      <c r="S4987" s="89" t="str">
        <f t="shared" si="464"/>
        <v/>
      </c>
      <c r="X4987" s="64">
        <f t="shared" si="465"/>
        <v>0</v>
      </c>
      <c r="Y4987" s="53">
        <f t="shared" si="466"/>
        <v>0</v>
      </c>
      <c r="Z4987" s="64">
        <f t="shared" si="467"/>
        <v>0</v>
      </c>
    </row>
    <row r="4988" spans="1:26">
      <c r="A4988" s="89" t="str">
        <f t="shared" si="462"/>
        <v/>
      </c>
      <c r="B4988" s="89" t="str">
        <f t="shared" si="463"/>
        <v/>
      </c>
      <c r="S4988" s="89" t="str">
        <f t="shared" si="464"/>
        <v/>
      </c>
      <c r="X4988" s="64">
        <f t="shared" si="465"/>
        <v>0</v>
      </c>
      <c r="Y4988" s="53">
        <f t="shared" si="466"/>
        <v>0</v>
      </c>
      <c r="Z4988" s="64">
        <f t="shared" si="467"/>
        <v>0</v>
      </c>
    </row>
    <row r="4989" spans="1:26">
      <c r="A4989" s="89" t="str">
        <f t="shared" si="462"/>
        <v/>
      </c>
      <c r="B4989" s="89" t="str">
        <f t="shared" si="463"/>
        <v/>
      </c>
      <c r="S4989" s="89" t="str">
        <f t="shared" si="464"/>
        <v/>
      </c>
      <c r="X4989" s="64">
        <f t="shared" si="465"/>
        <v>0</v>
      </c>
      <c r="Y4989" s="53">
        <f t="shared" si="466"/>
        <v>0</v>
      </c>
      <c r="Z4989" s="64">
        <f t="shared" si="467"/>
        <v>0</v>
      </c>
    </row>
    <row r="4990" spans="1:26">
      <c r="A4990" s="89" t="str">
        <f t="shared" si="462"/>
        <v/>
      </c>
      <c r="B4990" s="89" t="str">
        <f t="shared" si="463"/>
        <v/>
      </c>
      <c r="S4990" s="89" t="str">
        <f t="shared" si="464"/>
        <v/>
      </c>
      <c r="X4990" s="64">
        <f t="shared" si="465"/>
        <v>0</v>
      </c>
      <c r="Y4990" s="53">
        <f t="shared" si="466"/>
        <v>0</v>
      </c>
      <c r="Z4990" s="64">
        <f t="shared" si="467"/>
        <v>0</v>
      </c>
    </row>
    <row r="4991" spans="1:26">
      <c r="A4991" s="89" t="str">
        <f t="shared" si="462"/>
        <v/>
      </c>
      <c r="B4991" s="89" t="str">
        <f t="shared" si="463"/>
        <v/>
      </c>
      <c r="S4991" s="89" t="str">
        <f t="shared" si="464"/>
        <v/>
      </c>
      <c r="X4991" s="64">
        <f t="shared" si="465"/>
        <v>0</v>
      </c>
      <c r="Y4991" s="53">
        <f t="shared" si="466"/>
        <v>0</v>
      </c>
      <c r="Z4991" s="64">
        <f t="shared" si="467"/>
        <v>0</v>
      </c>
    </row>
    <row r="4992" spans="1:26">
      <c r="A4992" s="89" t="str">
        <f t="shared" si="462"/>
        <v/>
      </c>
      <c r="B4992" s="89" t="str">
        <f t="shared" si="463"/>
        <v/>
      </c>
      <c r="S4992" s="89" t="str">
        <f t="shared" si="464"/>
        <v/>
      </c>
      <c r="X4992" s="64">
        <f t="shared" si="465"/>
        <v>0</v>
      </c>
      <c r="Y4992" s="53">
        <f t="shared" si="466"/>
        <v>0</v>
      </c>
      <c r="Z4992" s="64">
        <f t="shared" si="467"/>
        <v>0</v>
      </c>
    </row>
    <row r="4993" spans="1:26">
      <c r="A4993" s="89" t="str">
        <f t="shared" si="462"/>
        <v/>
      </c>
      <c r="B4993" s="89" t="str">
        <f t="shared" si="463"/>
        <v/>
      </c>
      <c r="S4993" s="89" t="str">
        <f t="shared" si="464"/>
        <v/>
      </c>
      <c r="X4993" s="64">
        <f t="shared" si="465"/>
        <v>0</v>
      </c>
      <c r="Y4993" s="53">
        <f t="shared" si="466"/>
        <v>0</v>
      </c>
      <c r="Z4993" s="64">
        <f t="shared" si="467"/>
        <v>0</v>
      </c>
    </row>
    <row r="4994" spans="1:26">
      <c r="A4994" s="89" t="str">
        <f t="shared" si="462"/>
        <v/>
      </c>
      <c r="B4994" s="89" t="str">
        <f t="shared" si="463"/>
        <v/>
      </c>
      <c r="S4994" s="89" t="str">
        <f t="shared" si="464"/>
        <v/>
      </c>
      <c r="X4994" s="64">
        <f t="shared" si="465"/>
        <v>0</v>
      </c>
      <c r="Y4994" s="53">
        <f t="shared" si="466"/>
        <v>0</v>
      </c>
      <c r="Z4994" s="64">
        <f t="shared" si="467"/>
        <v>0</v>
      </c>
    </row>
    <row r="4995" spans="1:26">
      <c r="A4995" s="89" t="str">
        <f t="shared" ref="A4995:A5058" si="468">IF(G4995&amp;Q4995&lt;&gt;"",G4995&amp;Q4995,"")</f>
        <v/>
      </c>
      <c r="B4995" s="89" t="str">
        <f t="shared" ref="B4995:B5058" si="469">IF(C4995&lt;&gt;"",LEFT(C4995,9),"")</f>
        <v/>
      </c>
      <c r="S4995" s="89" t="str">
        <f t="shared" ref="S4995:S5058" si="470">IF(H4995&lt;&gt;"",H4995,"")</f>
        <v/>
      </c>
      <c r="X4995" s="64">
        <f t="shared" ref="X4995:X5058" si="471">IFERROR(VALUE(MID($C4995,1,2)),0)</f>
        <v>0</v>
      </c>
      <c r="Y4995" s="53">
        <f t="shared" ref="Y4995:Y5058" si="472">IFERROR(VALUE(MID($C4995,4,3)),0)</f>
        <v>0</v>
      </c>
      <c r="Z4995" s="64">
        <f t="shared" ref="Z4995:Z5058" si="473">VALUE(RIGHT("00"&amp;X4995,2)&amp;RIGHT("000"&amp;Y4995,3))</f>
        <v>0</v>
      </c>
    </row>
    <row r="4996" spans="1:26">
      <c r="A4996" s="89" t="str">
        <f t="shared" si="468"/>
        <v/>
      </c>
      <c r="B4996" s="89" t="str">
        <f t="shared" si="469"/>
        <v/>
      </c>
      <c r="S4996" s="89" t="str">
        <f t="shared" si="470"/>
        <v/>
      </c>
      <c r="X4996" s="64">
        <f t="shared" si="471"/>
        <v>0</v>
      </c>
      <c r="Y4996" s="53">
        <f t="shared" si="472"/>
        <v>0</v>
      </c>
      <c r="Z4996" s="64">
        <f t="shared" si="473"/>
        <v>0</v>
      </c>
    </row>
    <row r="4997" spans="1:26">
      <c r="A4997" s="89" t="str">
        <f t="shared" si="468"/>
        <v/>
      </c>
      <c r="B4997" s="89" t="str">
        <f t="shared" si="469"/>
        <v/>
      </c>
      <c r="S4997" s="89" t="str">
        <f t="shared" si="470"/>
        <v/>
      </c>
      <c r="X4997" s="64">
        <f t="shared" si="471"/>
        <v>0</v>
      </c>
      <c r="Y4997" s="53">
        <f t="shared" si="472"/>
        <v>0</v>
      </c>
      <c r="Z4997" s="64">
        <f t="shared" si="473"/>
        <v>0</v>
      </c>
    </row>
    <row r="4998" spans="1:26">
      <c r="A4998" s="89" t="str">
        <f t="shared" si="468"/>
        <v/>
      </c>
      <c r="B4998" s="89" t="str">
        <f t="shared" si="469"/>
        <v/>
      </c>
      <c r="S4998" s="89" t="str">
        <f t="shared" si="470"/>
        <v/>
      </c>
      <c r="X4998" s="64">
        <f t="shared" si="471"/>
        <v>0</v>
      </c>
      <c r="Y4998" s="53">
        <f t="shared" si="472"/>
        <v>0</v>
      </c>
      <c r="Z4998" s="64">
        <f t="shared" si="473"/>
        <v>0</v>
      </c>
    </row>
    <row r="4999" spans="1:26">
      <c r="A4999" s="89" t="str">
        <f t="shared" si="468"/>
        <v/>
      </c>
      <c r="B4999" s="89" t="str">
        <f t="shared" si="469"/>
        <v/>
      </c>
      <c r="S4999" s="89" t="str">
        <f t="shared" si="470"/>
        <v/>
      </c>
      <c r="X4999" s="64">
        <f t="shared" si="471"/>
        <v>0</v>
      </c>
      <c r="Y4999" s="53">
        <f t="shared" si="472"/>
        <v>0</v>
      </c>
      <c r="Z4999" s="64">
        <f t="shared" si="473"/>
        <v>0</v>
      </c>
    </row>
    <row r="5000" spans="1:26">
      <c r="A5000" s="89" t="str">
        <f t="shared" si="468"/>
        <v/>
      </c>
      <c r="B5000" s="89" t="str">
        <f t="shared" si="469"/>
        <v/>
      </c>
      <c r="S5000" s="89" t="str">
        <f t="shared" si="470"/>
        <v/>
      </c>
      <c r="X5000" s="64">
        <f t="shared" si="471"/>
        <v>0</v>
      </c>
      <c r="Y5000" s="53">
        <f t="shared" si="472"/>
        <v>0</v>
      </c>
      <c r="Z5000" s="64">
        <f t="shared" si="473"/>
        <v>0</v>
      </c>
    </row>
    <row r="5001" spans="1:26">
      <c r="A5001" s="89" t="str">
        <f t="shared" si="468"/>
        <v/>
      </c>
      <c r="B5001" s="89" t="str">
        <f t="shared" si="469"/>
        <v/>
      </c>
      <c r="S5001" s="89" t="str">
        <f t="shared" si="470"/>
        <v/>
      </c>
      <c r="X5001" s="64">
        <f t="shared" si="471"/>
        <v>0</v>
      </c>
      <c r="Y5001" s="53">
        <f t="shared" si="472"/>
        <v>0</v>
      </c>
      <c r="Z5001" s="64">
        <f t="shared" si="473"/>
        <v>0</v>
      </c>
    </row>
    <row r="5002" spans="1:26">
      <c r="A5002" s="89" t="str">
        <f t="shared" si="468"/>
        <v/>
      </c>
      <c r="B5002" s="89" t="str">
        <f t="shared" si="469"/>
        <v/>
      </c>
      <c r="S5002" s="89" t="str">
        <f t="shared" si="470"/>
        <v/>
      </c>
      <c r="X5002" s="64">
        <f t="shared" si="471"/>
        <v>0</v>
      </c>
      <c r="Y5002" s="53">
        <f t="shared" si="472"/>
        <v>0</v>
      </c>
      <c r="Z5002" s="64">
        <f t="shared" si="473"/>
        <v>0</v>
      </c>
    </row>
    <row r="5003" spans="1:26">
      <c r="A5003" s="89" t="str">
        <f t="shared" si="468"/>
        <v/>
      </c>
      <c r="B5003" s="89" t="str">
        <f t="shared" si="469"/>
        <v/>
      </c>
      <c r="S5003" s="89" t="str">
        <f t="shared" si="470"/>
        <v/>
      </c>
      <c r="X5003" s="64">
        <f t="shared" si="471"/>
        <v>0</v>
      </c>
      <c r="Y5003" s="53">
        <f t="shared" si="472"/>
        <v>0</v>
      </c>
      <c r="Z5003" s="64">
        <f t="shared" si="473"/>
        <v>0</v>
      </c>
    </row>
    <row r="5004" spans="1:26">
      <c r="A5004" s="89" t="str">
        <f t="shared" si="468"/>
        <v/>
      </c>
      <c r="B5004" s="89" t="str">
        <f t="shared" si="469"/>
        <v/>
      </c>
      <c r="S5004" s="89" t="str">
        <f t="shared" si="470"/>
        <v/>
      </c>
      <c r="X5004" s="64">
        <f t="shared" si="471"/>
        <v>0</v>
      </c>
      <c r="Y5004" s="53">
        <f t="shared" si="472"/>
        <v>0</v>
      </c>
      <c r="Z5004" s="64">
        <f t="shared" si="473"/>
        <v>0</v>
      </c>
    </row>
    <row r="5005" spans="1:26">
      <c r="A5005" s="89" t="str">
        <f t="shared" si="468"/>
        <v/>
      </c>
      <c r="B5005" s="89" t="str">
        <f t="shared" si="469"/>
        <v/>
      </c>
      <c r="S5005" s="89" t="str">
        <f t="shared" si="470"/>
        <v/>
      </c>
      <c r="X5005" s="64">
        <f t="shared" si="471"/>
        <v>0</v>
      </c>
      <c r="Y5005" s="53">
        <f t="shared" si="472"/>
        <v>0</v>
      </c>
      <c r="Z5005" s="64">
        <f t="shared" si="473"/>
        <v>0</v>
      </c>
    </row>
    <row r="5006" spans="1:26">
      <c r="A5006" s="89" t="str">
        <f t="shared" si="468"/>
        <v/>
      </c>
      <c r="B5006" s="89" t="str">
        <f t="shared" si="469"/>
        <v/>
      </c>
      <c r="S5006" s="89" t="str">
        <f t="shared" si="470"/>
        <v/>
      </c>
      <c r="X5006" s="64">
        <f t="shared" si="471"/>
        <v>0</v>
      </c>
      <c r="Y5006" s="53">
        <f t="shared" si="472"/>
        <v>0</v>
      </c>
      <c r="Z5006" s="64">
        <f t="shared" si="473"/>
        <v>0</v>
      </c>
    </row>
    <row r="5007" spans="1:26">
      <c r="A5007" s="89" t="str">
        <f t="shared" si="468"/>
        <v/>
      </c>
      <c r="B5007" s="89" t="str">
        <f t="shared" si="469"/>
        <v/>
      </c>
      <c r="S5007" s="89" t="str">
        <f t="shared" si="470"/>
        <v/>
      </c>
      <c r="X5007" s="64">
        <f t="shared" si="471"/>
        <v>0</v>
      </c>
      <c r="Y5007" s="53">
        <f t="shared" si="472"/>
        <v>0</v>
      </c>
      <c r="Z5007" s="64">
        <f t="shared" si="473"/>
        <v>0</v>
      </c>
    </row>
    <row r="5008" spans="1:26">
      <c r="A5008" s="89" t="str">
        <f t="shared" si="468"/>
        <v/>
      </c>
      <c r="B5008" s="89" t="str">
        <f t="shared" si="469"/>
        <v/>
      </c>
      <c r="S5008" s="89" t="str">
        <f t="shared" si="470"/>
        <v/>
      </c>
      <c r="X5008" s="64">
        <f t="shared" si="471"/>
        <v>0</v>
      </c>
      <c r="Y5008" s="53">
        <f t="shared" si="472"/>
        <v>0</v>
      </c>
      <c r="Z5008" s="64">
        <f t="shared" si="473"/>
        <v>0</v>
      </c>
    </row>
    <row r="5009" spans="1:26">
      <c r="A5009" s="89" t="str">
        <f t="shared" si="468"/>
        <v/>
      </c>
      <c r="B5009" s="89" t="str">
        <f t="shared" si="469"/>
        <v/>
      </c>
      <c r="S5009" s="89" t="str">
        <f t="shared" si="470"/>
        <v/>
      </c>
      <c r="X5009" s="64">
        <f t="shared" si="471"/>
        <v>0</v>
      </c>
      <c r="Y5009" s="53">
        <f t="shared" si="472"/>
        <v>0</v>
      </c>
      <c r="Z5009" s="64">
        <f t="shared" si="473"/>
        <v>0</v>
      </c>
    </row>
    <row r="5010" spans="1:26">
      <c r="A5010" s="89" t="str">
        <f t="shared" si="468"/>
        <v/>
      </c>
      <c r="B5010" s="89" t="str">
        <f t="shared" si="469"/>
        <v/>
      </c>
      <c r="S5010" s="89" t="str">
        <f t="shared" si="470"/>
        <v/>
      </c>
      <c r="X5010" s="64">
        <f t="shared" si="471"/>
        <v>0</v>
      </c>
      <c r="Y5010" s="53">
        <f t="shared" si="472"/>
        <v>0</v>
      </c>
      <c r="Z5010" s="64">
        <f t="shared" si="473"/>
        <v>0</v>
      </c>
    </row>
    <row r="5011" spans="1:26">
      <c r="A5011" s="89" t="str">
        <f t="shared" si="468"/>
        <v/>
      </c>
      <c r="B5011" s="89" t="str">
        <f t="shared" si="469"/>
        <v/>
      </c>
      <c r="S5011" s="89" t="str">
        <f t="shared" si="470"/>
        <v/>
      </c>
      <c r="X5011" s="64">
        <f t="shared" si="471"/>
        <v>0</v>
      </c>
      <c r="Y5011" s="53">
        <f t="shared" si="472"/>
        <v>0</v>
      </c>
      <c r="Z5011" s="64">
        <f t="shared" si="473"/>
        <v>0</v>
      </c>
    </row>
    <row r="5012" spans="1:26">
      <c r="A5012" s="89" t="str">
        <f t="shared" si="468"/>
        <v/>
      </c>
      <c r="B5012" s="89" t="str">
        <f t="shared" si="469"/>
        <v/>
      </c>
      <c r="S5012" s="89" t="str">
        <f t="shared" si="470"/>
        <v/>
      </c>
      <c r="X5012" s="64">
        <f t="shared" si="471"/>
        <v>0</v>
      </c>
      <c r="Y5012" s="53">
        <f t="shared" si="472"/>
        <v>0</v>
      </c>
      <c r="Z5012" s="64">
        <f t="shared" si="473"/>
        <v>0</v>
      </c>
    </row>
    <row r="5013" spans="1:26">
      <c r="A5013" s="89" t="str">
        <f t="shared" si="468"/>
        <v/>
      </c>
      <c r="B5013" s="89" t="str">
        <f t="shared" si="469"/>
        <v/>
      </c>
      <c r="S5013" s="89" t="str">
        <f t="shared" si="470"/>
        <v/>
      </c>
      <c r="X5013" s="64">
        <f t="shared" si="471"/>
        <v>0</v>
      </c>
      <c r="Y5013" s="53">
        <f t="shared" si="472"/>
        <v>0</v>
      </c>
      <c r="Z5013" s="64">
        <f t="shared" si="473"/>
        <v>0</v>
      </c>
    </row>
    <row r="5014" spans="1:26">
      <c r="A5014" s="89" t="str">
        <f t="shared" si="468"/>
        <v/>
      </c>
      <c r="B5014" s="89" t="str">
        <f t="shared" si="469"/>
        <v/>
      </c>
      <c r="S5014" s="89" t="str">
        <f t="shared" si="470"/>
        <v/>
      </c>
      <c r="X5014" s="64">
        <f t="shared" si="471"/>
        <v>0</v>
      </c>
      <c r="Y5014" s="53">
        <f t="shared" si="472"/>
        <v>0</v>
      </c>
      <c r="Z5014" s="64">
        <f t="shared" si="473"/>
        <v>0</v>
      </c>
    </row>
    <row r="5015" spans="1:26">
      <c r="A5015" s="89" t="str">
        <f t="shared" si="468"/>
        <v/>
      </c>
      <c r="B5015" s="89" t="str">
        <f t="shared" si="469"/>
        <v/>
      </c>
      <c r="S5015" s="89" t="str">
        <f t="shared" si="470"/>
        <v/>
      </c>
      <c r="X5015" s="64">
        <f t="shared" si="471"/>
        <v>0</v>
      </c>
      <c r="Y5015" s="53">
        <f t="shared" si="472"/>
        <v>0</v>
      </c>
      <c r="Z5015" s="64">
        <f t="shared" si="473"/>
        <v>0</v>
      </c>
    </row>
    <row r="5016" spans="1:26">
      <c r="A5016" s="89" t="str">
        <f t="shared" si="468"/>
        <v/>
      </c>
      <c r="B5016" s="89" t="str">
        <f t="shared" si="469"/>
        <v/>
      </c>
      <c r="S5016" s="89" t="str">
        <f t="shared" si="470"/>
        <v/>
      </c>
      <c r="X5016" s="64">
        <f t="shared" si="471"/>
        <v>0</v>
      </c>
      <c r="Y5016" s="53">
        <f t="shared" si="472"/>
        <v>0</v>
      </c>
      <c r="Z5016" s="64">
        <f t="shared" si="473"/>
        <v>0</v>
      </c>
    </row>
    <row r="5017" spans="1:26">
      <c r="A5017" s="89" t="str">
        <f t="shared" si="468"/>
        <v/>
      </c>
      <c r="B5017" s="89" t="str">
        <f t="shared" si="469"/>
        <v/>
      </c>
      <c r="S5017" s="89" t="str">
        <f t="shared" si="470"/>
        <v/>
      </c>
      <c r="X5017" s="64">
        <f t="shared" si="471"/>
        <v>0</v>
      </c>
      <c r="Y5017" s="53">
        <f t="shared" si="472"/>
        <v>0</v>
      </c>
      <c r="Z5017" s="64">
        <f t="shared" si="473"/>
        <v>0</v>
      </c>
    </row>
    <row r="5018" spans="1:26">
      <c r="A5018" s="89" t="str">
        <f t="shared" si="468"/>
        <v/>
      </c>
      <c r="B5018" s="89" t="str">
        <f t="shared" si="469"/>
        <v/>
      </c>
      <c r="S5018" s="89" t="str">
        <f t="shared" si="470"/>
        <v/>
      </c>
      <c r="X5018" s="64">
        <f t="shared" si="471"/>
        <v>0</v>
      </c>
      <c r="Y5018" s="53">
        <f t="shared" si="472"/>
        <v>0</v>
      </c>
      <c r="Z5018" s="64">
        <f t="shared" si="473"/>
        <v>0</v>
      </c>
    </row>
    <row r="5019" spans="1:26">
      <c r="A5019" s="89" t="str">
        <f t="shared" si="468"/>
        <v/>
      </c>
      <c r="B5019" s="89" t="str">
        <f t="shared" si="469"/>
        <v/>
      </c>
      <c r="S5019" s="89" t="str">
        <f t="shared" si="470"/>
        <v/>
      </c>
      <c r="X5019" s="64">
        <f t="shared" si="471"/>
        <v>0</v>
      </c>
      <c r="Y5019" s="53">
        <f t="shared" si="472"/>
        <v>0</v>
      </c>
      <c r="Z5019" s="64">
        <f t="shared" si="473"/>
        <v>0</v>
      </c>
    </row>
    <row r="5020" spans="1:26">
      <c r="A5020" s="89" t="str">
        <f t="shared" si="468"/>
        <v/>
      </c>
      <c r="B5020" s="89" t="str">
        <f t="shared" si="469"/>
        <v/>
      </c>
      <c r="S5020" s="89" t="str">
        <f t="shared" si="470"/>
        <v/>
      </c>
      <c r="X5020" s="64">
        <f t="shared" si="471"/>
        <v>0</v>
      </c>
      <c r="Y5020" s="53">
        <f t="shared" si="472"/>
        <v>0</v>
      </c>
      <c r="Z5020" s="64">
        <f t="shared" si="473"/>
        <v>0</v>
      </c>
    </row>
    <row r="5021" spans="1:26">
      <c r="A5021" s="89" t="str">
        <f t="shared" si="468"/>
        <v/>
      </c>
      <c r="B5021" s="89" t="str">
        <f t="shared" si="469"/>
        <v/>
      </c>
      <c r="S5021" s="89" t="str">
        <f t="shared" si="470"/>
        <v/>
      </c>
      <c r="X5021" s="64">
        <f t="shared" si="471"/>
        <v>0</v>
      </c>
      <c r="Y5021" s="53">
        <f t="shared" si="472"/>
        <v>0</v>
      </c>
      <c r="Z5021" s="64">
        <f t="shared" si="473"/>
        <v>0</v>
      </c>
    </row>
    <row r="5022" spans="1:26">
      <c r="A5022" s="89" t="str">
        <f t="shared" si="468"/>
        <v/>
      </c>
      <c r="B5022" s="89" t="str">
        <f t="shared" si="469"/>
        <v/>
      </c>
      <c r="S5022" s="89" t="str">
        <f t="shared" si="470"/>
        <v/>
      </c>
      <c r="X5022" s="64">
        <f t="shared" si="471"/>
        <v>0</v>
      </c>
      <c r="Y5022" s="53">
        <f t="shared" si="472"/>
        <v>0</v>
      </c>
      <c r="Z5022" s="64">
        <f t="shared" si="473"/>
        <v>0</v>
      </c>
    </row>
    <row r="5023" spans="1:26">
      <c r="A5023" s="89" t="str">
        <f t="shared" si="468"/>
        <v/>
      </c>
      <c r="B5023" s="89" t="str">
        <f t="shared" si="469"/>
        <v/>
      </c>
      <c r="S5023" s="89" t="str">
        <f t="shared" si="470"/>
        <v/>
      </c>
      <c r="X5023" s="64">
        <f t="shared" si="471"/>
        <v>0</v>
      </c>
      <c r="Y5023" s="53">
        <f t="shared" si="472"/>
        <v>0</v>
      </c>
      <c r="Z5023" s="64">
        <f t="shared" si="473"/>
        <v>0</v>
      </c>
    </row>
    <row r="5024" spans="1:26">
      <c r="A5024" s="89" t="str">
        <f t="shared" si="468"/>
        <v/>
      </c>
      <c r="B5024" s="89" t="str">
        <f t="shared" si="469"/>
        <v/>
      </c>
      <c r="S5024" s="89" t="str">
        <f t="shared" si="470"/>
        <v/>
      </c>
      <c r="X5024" s="64">
        <f t="shared" si="471"/>
        <v>0</v>
      </c>
      <c r="Y5024" s="53">
        <f t="shared" si="472"/>
        <v>0</v>
      </c>
      <c r="Z5024" s="64">
        <f t="shared" si="473"/>
        <v>0</v>
      </c>
    </row>
    <row r="5025" spans="1:26">
      <c r="A5025" s="89" t="str">
        <f t="shared" si="468"/>
        <v/>
      </c>
      <c r="B5025" s="89" t="str">
        <f t="shared" si="469"/>
        <v/>
      </c>
      <c r="S5025" s="89" t="str">
        <f t="shared" si="470"/>
        <v/>
      </c>
      <c r="X5025" s="64">
        <f t="shared" si="471"/>
        <v>0</v>
      </c>
      <c r="Y5025" s="53">
        <f t="shared" si="472"/>
        <v>0</v>
      </c>
      <c r="Z5025" s="64">
        <f t="shared" si="473"/>
        <v>0</v>
      </c>
    </row>
    <row r="5026" spans="1:26">
      <c r="A5026" s="89" t="str">
        <f t="shared" si="468"/>
        <v/>
      </c>
      <c r="B5026" s="89" t="str">
        <f t="shared" si="469"/>
        <v/>
      </c>
      <c r="S5026" s="89" t="str">
        <f t="shared" si="470"/>
        <v/>
      </c>
      <c r="X5026" s="64">
        <f t="shared" si="471"/>
        <v>0</v>
      </c>
      <c r="Y5026" s="53">
        <f t="shared" si="472"/>
        <v>0</v>
      </c>
      <c r="Z5026" s="64">
        <f t="shared" si="473"/>
        <v>0</v>
      </c>
    </row>
    <row r="5027" spans="1:26">
      <c r="A5027" s="89" t="str">
        <f t="shared" si="468"/>
        <v/>
      </c>
      <c r="B5027" s="89" t="str">
        <f t="shared" si="469"/>
        <v/>
      </c>
      <c r="S5027" s="89" t="str">
        <f t="shared" si="470"/>
        <v/>
      </c>
      <c r="X5027" s="64">
        <f t="shared" si="471"/>
        <v>0</v>
      </c>
      <c r="Y5027" s="53">
        <f t="shared" si="472"/>
        <v>0</v>
      </c>
      <c r="Z5027" s="64">
        <f t="shared" si="473"/>
        <v>0</v>
      </c>
    </row>
    <row r="5028" spans="1:26">
      <c r="A5028" s="89" t="str">
        <f t="shared" si="468"/>
        <v/>
      </c>
      <c r="B5028" s="89" t="str">
        <f t="shared" si="469"/>
        <v/>
      </c>
      <c r="S5028" s="89" t="str">
        <f t="shared" si="470"/>
        <v/>
      </c>
      <c r="X5028" s="64">
        <f t="shared" si="471"/>
        <v>0</v>
      </c>
      <c r="Y5028" s="53">
        <f t="shared" si="472"/>
        <v>0</v>
      </c>
      <c r="Z5028" s="64">
        <f t="shared" si="473"/>
        <v>0</v>
      </c>
    </row>
    <row r="5029" spans="1:26">
      <c r="A5029" s="89" t="str">
        <f t="shared" si="468"/>
        <v/>
      </c>
      <c r="B5029" s="89" t="str">
        <f t="shared" si="469"/>
        <v/>
      </c>
      <c r="S5029" s="89" t="str">
        <f t="shared" si="470"/>
        <v/>
      </c>
      <c r="X5029" s="64">
        <f t="shared" si="471"/>
        <v>0</v>
      </c>
      <c r="Y5029" s="53">
        <f t="shared" si="472"/>
        <v>0</v>
      </c>
      <c r="Z5029" s="64">
        <f t="shared" si="473"/>
        <v>0</v>
      </c>
    </row>
    <row r="5030" spans="1:26">
      <c r="A5030" s="89" t="str">
        <f t="shared" si="468"/>
        <v/>
      </c>
      <c r="B5030" s="89" t="str">
        <f t="shared" si="469"/>
        <v/>
      </c>
      <c r="S5030" s="89" t="str">
        <f t="shared" si="470"/>
        <v/>
      </c>
      <c r="X5030" s="64">
        <f t="shared" si="471"/>
        <v>0</v>
      </c>
      <c r="Y5030" s="53">
        <f t="shared" si="472"/>
        <v>0</v>
      </c>
      <c r="Z5030" s="64">
        <f t="shared" si="473"/>
        <v>0</v>
      </c>
    </row>
    <row r="5031" spans="1:26">
      <c r="A5031" s="89" t="str">
        <f t="shared" si="468"/>
        <v/>
      </c>
      <c r="B5031" s="89" t="str">
        <f t="shared" si="469"/>
        <v/>
      </c>
      <c r="S5031" s="89" t="str">
        <f t="shared" si="470"/>
        <v/>
      </c>
      <c r="X5031" s="64">
        <f t="shared" si="471"/>
        <v>0</v>
      </c>
      <c r="Y5031" s="53">
        <f t="shared" si="472"/>
        <v>0</v>
      </c>
      <c r="Z5031" s="64">
        <f t="shared" si="473"/>
        <v>0</v>
      </c>
    </row>
    <row r="5032" spans="1:26">
      <c r="A5032" s="89" t="str">
        <f t="shared" si="468"/>
        <v/>
      </c>
      <c r="B5032" s="89" t="str">
        <f t="shared" si="469"/>
        <v/>
      </c>
      <c r="S5032" s="89" t="str">
        <f t="shared" si="470"/>
        <v/>
      </c>
      <c r="X5032" s="64">
        <f t="shared" si="471"/>
        <v>0</v>
      </c>
      <c r="Y5032" s="53">
        <f t="shared" si="472"/>
        <v>0</v>
      </c>
      <c r="Z5032" s="64">
        <f t="shared" si="473"/>
        <v>0</v>
      </c>
    </row>
    <row r="5033" spans="1:26">
      <c r="A5033" s="89" t="str">
        <f t="shared" si="468"/>
        <v/>
      </c>
      <c r="B5033" s="89" t="str">
        <f t="shared" si="469"/>
        <v/>
      </c>
      <c r="S5033" s="89" t="str">
        <f t="shared" si="470"/>
        <v/>
      </c>
      <c r="X5033" s="64">
        <f t="shared" si="471"/>
        <v>0</v>
      </c>
      <c r="Y5033" s="53">
        <f t="shared" si="472"/>
        <v>0</v>
      </c>
      <c r="Z5033" s="64">
        <f t="shared" si="473"/>
        <v>0</v>
      </c>
    </row>
    <row r="5034" spans="1:26">
      <c r="A5034" s="89" t="str">
        <f t="shared" si="468"/>
        <v/>
      </c>
      <c r="B5034" s="89" t="str">
        <f t="shared" si="469"/>
        <v/>
      </c>
      <c r="S5034" s="89" t="str">
        <f t="shared" si="470"/>
        <v/>
      </c>
      <c r="X5034" s="64">
        <f t="shared" si="471"/>
        <v>0</v>
      </c>
      <c r="Y5034" s="53">
        <f t="shared" si="472"/>
        <v>0</v>
      </c>
      <c r="Z5034" s="64">
        <f t="shared" si="473"/>
        <v>0</v>
      </c>
    </row>
    <row r="5035" spans="1:26">
      <c r="A5035" s="89" t="str">
        <f t="shared" si="468"/>
        <v/>
      </c>
      <c r="B5035" s="89" t="str">
        <f t="shared" si="469"/>
        <v/>
      </c>
      <c r="S5035" s="89" t="str">
        <f t="shared" si="470"/>
        <v/>
      </c>
      <c r="X5035" s="64">
        <f t="shared" si="471"/>
        <v>0</v>
      </c>
      <c r="Y5035" s="53">
        <f t="shared" si="472"/>
        <v>0</v>
      </c>
      <c r="Z5035" s="64">
        <f t="shared" si="473"/>
        <v>0</v>
      </c>
    </row>
    <row r="5036" spans="1:26">
      <c r="A5036" s="89" t="str">
        <f t="shared" si="468"/>
        <v/>
      </c>
      <c r="B5036" s="89" t="str">
        <f t="shared" si="469"/>
        <v/>
      </c>
      <c r="S5036" s="89" t="str">
        <f t="shared" si="470"/>
        <v/>
      </c>
      <c r="X5036" s="64">
        <f t="shared" si="471"/>
        <v>0</v>
      </c>
      <c r="Y5036" s="53">
        <f t="shared" si="472"/>
        <v>0</v>
      </c>
      <c r="Z5036" s="64">
        <f t="shared" si="473"/>
        <v>0</v>
      </c>
    </row>
    <row r="5037" spans="1:26">
      <c r="A5037" s="89" t="str">
        <f t="shared" si="468"/>
        <v/>
      </c>
      <c r="B5037" s="89" t="str">
        <f t="shared" si="469"/>
        <v/>
      </c>
      <c r="S5037" s="89" t="str">
        <f t="shared" si="470"/>
        <v/>
      </c>
      <c r="X5037" s="64">
        <f t="shared" si="471"/>
        <v>0</v>
      </c>
      <c r="Y5037" s="53">
        <f t="shared" si="472"/>
        <v>0</v>
      </c>
      <c r="Z5037" s="64">
        <f t="shared" si="473"/>
        <v>0</v>
      </c>
    </row>
    <row r="5038" spans="1:26">
      <c r="A5038" s="89" t="str">
        <f t="shared" si="468"/>
        <v/>
      </c>
      <c r="B5038" s="89" t="str">
        <f t="shared" si="469"/>
        <v/>
      </c>
      <c r="S5038" s="89" t="str">
        <f t="shared" si="470"/>
        <v/>
      </c>
      <c r="X5038" s="64">
        <f t="shared" si="471"/>
        <v>0</v>
      </c>
      <c r="Y5038" s="53">
        <f t="shared" si="472"/>
        <v>0</v>
      </c>
      <c r="Z5038" s="64">
        <f t="shared" si="473"/>
        <v>0</v>
      </c>
    </row>
    <row r="5039" spans="1:26">
      <c r="A5039" s="89" t="str">
        <f t="shared" si="468"/>
        <v/>
      </c>
      <c r="B5039" s="89" t="str">
        <f t="shared" si="469"/>
        <v/>
      </c>
      <c r="S5039" s="89" t="str">
        <f t="shared" si="470"/>
        <v/>
      </c>
      <c r="X5039" s="64">
        <f t="shared" si="471"/>
        <v>0</v>
      </c>
      <c r="Y5039" s="53">
        <f t="shared" si="472"/>
        <v>0</v>
      </c>
      <c r="Z5039" s="64">
        <f t="shared" si="473"/>
        <v>0</v>
      </c>
    </row>
    <row r="5040" spans="1:26">
      <c r="A5040" s="89" t="str">
        <f t="shared" si="468"/>
        <v/>
      </c>
      <c r="B5040" s="89" t="str">
        <f t="shared" si="469"/>
        <v/>
      </c>
      <c r="S5040" s="89" t="str">
        <f t="shared" si="470"/>
        <v/>
      </c>
      <c r="X5040" s="64">
        <f t="shared" si="471"/>
        <v>0</v>
      </c>
      <c r="Y5040" s="53">
        <f t="shared" si="472"/>
        <v>0</v>
      </c>
      <c r="Z5040" s="64">
        <f t="shared" si="473"/>
        <v>0</v>
      </c>
    </row>
    <row r="5041" spans="1:26">
      <c r="A5041" s="89" t="str">
        <f t="shared" si="468"/>
        <v/>
      </c>
      <c r="B5041" s="89" t="str">
        <f t="shared" si="469"/>
        <v/>
      </c>
      <c r="S5041" s="89" t="str">
        <f t="shared" si="470"/>
        <v/>
      </c>
      <c r="X5041" s="64">
        <f t="shared" si="471"/>
        <v>0</v>
      </c>
      <c r="Y5041" s="53">
        <f t="shared" si="472"/>
        <v>0</v>
      </c>
      <c r="Z5041" s="64">
        <f t="shared" si="473"/>
        <v>0</v>
      </c>
    </row>
    <row r="5042" spans="1:26">
      <c r="A5042" s="89" t="str">
        <f t="shared" si="468"/>
        <v/>
      </c>
      <c r="B5042" s="89" t="str">
        <f t="shared" si="469"/>
        <v/>
      </c>
      <c r="S5042" s="89" t="str">
        <f t="shared" si="470"/>
        <v/>
      </c>
      <c r="X5042" s="64">
        <f t="shared" si="471"/>
        <v>0</v>
      </c>
      <c r="Y5042" s="53">
        <f t="shared" si="472"/>
        <v>0</v>
      </c>
      <c r="Z5042" s="64">
        <f t="shared" si="473"/>
        <v>0</v>
      </c>
    </row>
    <row r="5043" spans="1:26">
      <c r="A5043" s="89" t="str">
        <f t="shared" si="468"/>
        <v/>
      </c>
      <c r="B5043" s="89" t="str">
        <f t="shared" si="469"/>
        <v/>
      </c>
      <c r="S5043" s="89" t="str">
        <f t="shared" si="470"/>
        <v/>
      </c>
      <c r="X5043" s="64">
        <f t="shared" si="471"/>
        <v>0</v>
      </c>
      <c r="Y5043" s="53">
        <f t="shared" si="472"/>
        <v>0</v>
      </c>
      <c r="Z5043" s="64">
        <f t="shared" si="473"/>
        <v>0</v>
      </c>
    </row>
    <row r="5044" spans="1:26">
      <c r="A5044" s="89" t="str">
        <f t="shared" si="468"/>
        <v/>
      </c>
      <c r="B5044" s="89" t="str">
        <f t="shared" si="469"/>
        <v/>
      </c>
      <c r="S5044" s="89" t="str">
        <f t="shared" si="470"/>
        <v/>
      </c>
      <c r="X5044" s="64">
        <f t="shared" si="471"/>
        <v>0</v>
      </c>
      <c r="Y5044" s="53">
        <f t="shared" si="472"/>
        <v>0</v>
      </c>
      <c r="Z5044" s="64">
        <f t="shared" si="473"/>
        <v>0</v>
      </c>
    </row>
    <row r="5045" spans="1:26">
      <c r="A5045" s="89" t="str">
        <f t="shared" si="468"/>
        <v/>
      </c>
      <c r="B5045" s="89" t="str">
        <f t="shared" si="469"/>
        <v/>
      </c>
      <c r="S5045" s="89" t="str">
        <f t="shared" si="470"/>
        <v/>
      </c>
      <c r="X5045" s="64">
        <f t="shared" si="471"/>
        <v>0</v>
      </c>
      <c r="Y5045" s="53">
        <f t="shared" si="472"/>
        <v>0</v>
      </c>
      <c r="Z5045" s="64">
        <f t="shared" si="473"/>
        <v>0</v>
      </c>
    </row>
    <row r="5046" spans="1:26">
      <c r="A5046" s="89" t="str">
        <f t="shared" si="468"/>
        <v/>
      </c>
      <c r="B5046" s="89" t="str">
        <f t="shared" si="469"/>
        <v/>
      </c>
      <c r="S5046" s="89" t="str">
        <f t="shared" si="470"/>
        <v/>
      </c>
      <c r="X5046" s="64">
        <f t="shared" si="471"/>
        <v>0</v>
      </c>
      <c r="Y5046" s="53">
        <f t="shared" si="472"/>
        <v>0</v>
      </c>
      <c r="Z5046" s="64">
        <f t="shared" si="473"/>
        <v>0</v>
      </c>
    </row>
    <row r="5047" spans="1:26">
      <c r="A5047" s="89" t="str">
        <f t="shared" si="468"/>
        <v/>
      </c>
      <c r="B5047" s="89" t="str">
        <f t="shared" si="469"/>
        <v/>
      </c>
      <c r="S5047" s="89" t="str">
        <f t="shared" si="470"/>
        <v/>
      </c>
      <c r="X5047" s="64">
        <f t="shared" si="471"/>
        <v>0</v>
      </c>
      <c r="Y5047" s="53">
        <f t="shared" si="472"/>
        <v>0</v>
      </c>
      <c r="Z5047" s="64">
        <f t="shared" si="473"/>
        <v>0</v>
      </c>
    </row>
    <row r="5048" spans="1:26">
      <c r="A5048" s="89" t="str">
        <f t="shared" si="468"/>
        <v/>
      </c>
      <c r="B5048" s="89" t="str">
        <f t="shared" si="469"/>
        <v/>
      </c>
      <c r="S5048" s="89" t="str">
        <f t="shared" si="470"/>
        <v/>
      </c>
      <c r="X5048" s="64">
        <f t="shared" si="471"/>
        <v>0</v>
      </c>
      <c r="Y5048" s="53">
        <f t="shared" si="472"/>
        <v>0</v>
      </c>
      <c r="Z5048" s="64">
        <f t="shared" si="473"/>
        <v>0</v>
      </c>
    </row>
    <row r="5049" spans="1:26">
      <c r="A5049" s="89" t="str">
        <f t="shared" si="468"/>
        <v/>
      </c>
      <c r="B5049" s="89" t="str">
        <f t="shared" si="469"/>
        <v/>
      </c>
      <c r="S5049" s="89" t="str">
        <f t="shared" si="470"/>
        <v/>
      </c>
      <c r="X5049" s="64">
        <f t="shared" si="471"/>
        <v>0</v>
      </c>
      <c r="Y5049" s="53">
        <f t="shared" si="472"/>
        <v>0</v>
      </c>
      <c r="Z5049" s="64">
        <f t="shared" si="473"/>
        <v>0</v>
      </c>
    </row>
    <row r="5050" spans="1:26">
      <c r="A5050" s="89" t="str">
        <f t="shared" si="468"/>
        <v/>
      </c>
      <c r="B5050" s="89" t="str">
        <f t="shared" si="469"/>
        <v/>
      </c>
      <c r="S5050" s="89" t="str">
        <f t="shared" si="470"/>
        <v/>
      </c>
      <c r="X5050" s="64">
        <f t="shared" si="471"/>
        <v>0</v>
      </c>
      <c r="Y5050" s="53">
        <f t="shared" si="472"/>
        <v>0</v>
      </c>
      <c r="Z5050" s="64">
        <f t="shared" si="473"/>
        <v>0</v>
      </c>
    </row>
    <row r="5051" spans="1:26">
      <c r="A5051" s="89" t="str">
        <f t="shared" si="468"/>
        <v/>
      </c>
      <c r="B5051" s="89" t="str">
        <f t="shared" si="469"/>
        <v/>
      </c>
      <c r="S5051" s="89" t="str">
        <f t="shared" si="470"/>
        <v/>
      </c>
      <c r="X5051" s="64">
        <f t="shared" si="471"/>
        <v>0</v>
      </c>
      <c r="Y5051" s="53">
        <f t="shared" si="472"/>
        <v>0</v>
      </c>
      <c r="Z5051" s="64">
        <f t="shared" si="473"/>
        <v>0</v>
      </c>
    </row>
    <row r="5052" spans="1:26">
      <c r="A5052" s="89" t="str">
        <f t="shared" si="468"/>
        <v/>
      </c>
      <c r="B5052" s="89" t="str">
        <f t="shared" si="469"/>
        <v/>
      </c>
      <c r="S5052" s="89" t="str">
        <f t="shared" si="470"/>
        <v/>
      </c>
      <c r="X5052" s="64">
        <f t="shared" si="471"/>
        <v>0</v>
      </c>
      <c r="Y5052" s="53">
        <f t="shared" si="472"/>
        <v>0</v>
      </c>
      <c r="Z5052" s="64">
        <f t="shared" si="473"/>
        <v>0</v>
      </c>
    </row>
    <row r="5053" spans="1:26">
      <c r="A5053" s="89" t="str">
        <f t="shared" si="468"/>
        <v/>
      </c>
      <c r="B5053" s="89" t="str">
        <f t="shared" si="469"/>
        <v/>
      </c>
      <c r="S5053" s="89" t="str">
        <f t="shared" si="470"/>
        <v/>
      </c>
      <c r="X5053" s="64">
        <f t="shared" si="471"/>
        <v>0</v>
      </c>
      <c r="Y5053" s="53">
        <f t="shared" si="472"/>
        <v>0</v>
      </c>
      <c r="Z5053" s="64">
        <f t="shared" si="473"/>
        <v>0</v>
      </c>
    </row>
    <row r="5054" spans="1:26">
      <c r="A5054" s="89" t="str">
        <f t="shared" si="468"/>
        <v/>
      </c>
      <c r="B5054" s="89" t="str">
        <f t="shared" si="469"/>
        <v/>
      </c>
      <c r="S5054" s="89" t="str">
        <f t="shared" si="470"/>
        <v/>
      </c>
      <c r="X5054" s="64">
        <f t="shared" si="471"/>
        <v>0</v>
      </c>
      <c r="Y5054" s="53">
        <f t="shared" si="472"/>
        <v>0</v>
      </c>
      <c r="Z5054" s="64">
        <f t="shared" si="473"/>
        <v>0</v>
      </c>
    </row>
    <row r="5055" spans="1:26">
      <c r="A5055" s="89" t="str">
        <f t="shared" si="468"/>
        <v/>
      </c>
      <c r="B5055" s="89" t="str">
        <f t="shared" si="469"/>
        <v/>
      </c>
      <c r="S5055" s="89" t="str">
        <f t="shared" si="470"/>
        <v/>
      </c>
      <c r="X5055" s="64">
        <f t="shared" si="471"/>
        <v>0</v>
      </c>
      <c r="Y5055" s="53">
        <f t="shared" si="472"/>
        <v>0</v>
      </c>
      <c r="Z5055" s="64">
        <f t="shared" si="473"/>
        <v>0</v>
      </c>
    </row>
    <row r="5056" spans="1:26">
      <c r="A5056" s="89" t="str">
        <f t="shared" si="468"/>
        <v/>
      </c>
      <c r="B5056" s="89" t="str">
        <f t="shared" si="469"/>
        <v/>
      </c>
      <c r="S5056" s="89" t="str">
        <f t="shared" si="470"/>
        <v/>
      </c>
      <c r="X5056" s="64">
        <f t="shared" si="471"/>
        <v>0</v>
      </c>
      <c r="Y5056" s="53">
        <f t="shared" si="472"/>
        <v>0</v>
      </c>
      <c r="Z5056" s="64">
        <f t="shared" si="473"/>
        <v>0</v>
      </c>
    </row>
    <row r="5057" spans="1:26">
      <c r="A5057" s="89" t="str">
        <f t="shared" si="468"/>
        <v/>
      </c>
      <c r="B5057" s="89" t="str">
        <f t="shared" si="469"/>
        <v/>
      </c>
      <c r="S5057" s="89" t="str">
        <f t="shared" si="470"/>
        <v/>
      </c>
      <c r="X5057" s="64">
        <f t="shared" si="471"/>
        <v>0</v>
      </c>
      <c r="Y5057" s="53">
        <f t="shared" si="472"/>
        <v>0</v>
      </c>
      <c r="Z5057" s="64">
        <f t="shared" si="473"/>
        <v>0</v>
      </c>
    </row>
    <row r="5058" spans="1:26">
      <c r="A5058" s="89" t="str">
        <f t="shared" si="468"/>
        <v/>
      </c>
      <c r="B5058" s="89" t="str">
        <f t="shared" si="469"/>
        <v/>
      </c>
      <c r="S5058" s="89" t="str">
        <f t="shared" si="470"/>
        <v/>
      </c>
      <c r="X5058" s="64">
        <f t="shared" si="471"/>
        <v>0</v>
      </c>
      <c r="Y5058" s="53">
        <f t="shared" si="472"/>
        <v>0</v>
      </c>
      <c r="Z5058" s="64">
        <f t="shared" si="473"/>
        <v>0</v>
      </c>
    </row>
    <row r="5059" spans="1:26">
      <c r="A5059" s="89" t="str">
        <f t="shared" ref="A5059:A5122" si="474">IF(G5059&amp;Q5059&lt;&gt;"",G5059&amp;Q5059,"")</f>
        <v/>
      </c>
      <c r="B5059" s="89" t="str">
        <f t="shared" ref="B5059:B5122" si="475">IF(C5059&lt;&gt;"",LEFT(C5059,9),"")</f>
        <v/>
      </c>
      <c r="S5059" s="89" t="str">
        <f t="shared" ref="S5059:S5122" si="476">IF(H5059&lt;&gt;"",H5059,"")</f>
        <v/>
      </c>
      <c r="X5059" s="64">
        <f t="shared" ref="X5059:X5122" si="477">IFERROR(VALUE(MID($C5059,1,2)),0)</f>
        <v>0</v>
      </c>
      <c r="Y5059" s="53">
        <f t="shared" ref="Y5059:Y5122" si="478">IFERROR(VALUE(MID($C5059,4,3)),0)</f>
        <v>0</v>
      </c>
      <c r="Z5059" s="64">
        <f t="shared" ref="Z5059:Z5122" si="479">VALUE(RIGHT("00"&amp;X5059,2)&amp;RIGHT("000"&amp;Y5059,3))</f>
        <v>0</v>
      </c>
    </row>
    <row r="5060" spans="1:26">
      <c r="A5060" s="89" t="str">
        <f t="shared" si="474"/>
        <v/>
      </c>
      <c r="B5060" s="89" t="str">
        <f t="shared" si="475"/>
        <v/>
      </c>
      <c r="S5060" s="89" t="str">
        <f t="shared" si="476"/>
        <v/>
      </c>
      <c r="X5060" s="64">
        <f t="shared" si="477"/>
        <v>0</v>
      </c>
      <c r="Y5060" s="53">
        <f t="shared" si="478"/>
        <v>0</v>
      </c>
      <c r="Z5060" s="64">
        <f t="shared" si="479"/>
        <v>0</v>
      </c>
    </row>
    <row r="5061" spans="1:26">
      <c r="A5061" s="89" t="str">
        <f t="shared" si="474"/>
        <v/>
      </c>
      <c r="B5061" s="89" t="str">
        <f t="shared" si="475"/>
        <v/>
      </c>
      <c r="S5061" s="89" t="str">
        <f t="shared" si="476"/>
        <v/>
      </c>
      <c r="X5061" s="64">
        <f t="shared" si="477"/>
        <v>0</v>
      </c>
      <c r="Y5061" s="53">
        <f t="shared" si="478"/>
        <v>0</v>
      </c>
      <c r="Z5061" s="64">
        <f t="shared" si="479"/>
        <v>0</v>
      </c>
    </row>
    <row r="5062" spans="1:26">
      <c r="A5062" s="89" t="str">
        <f t="shared" si="474"/>
        <v/>
      </c>
      <c r="B5062" s="89" t="str">
        <f t="shared" si="475"/>
        <v/>
      </c>
      <c r="S5062" s="89" t="str">
        <f t="shared" si="476"/>
        <v/>
      </c>
      <c r="X5062" s="64">
        <f t="shared" si="477"/>
        <v>0</v>
      </c>
      <c r="Y5062" s="53">
        <f t="shared" si="478"/>
        <v>0</v>
      </c>
      <c r="Z5062" s="64">
        <f t="shared" si="479"/>
        <v>0</v>
      </c>
    </row>
    <row r="5063" spans="1:26">
      <c r="A5063" s="89" t="str">
        <f t="shared" si="474"/>
        <v/>
      </c>
      <c r="B5063" s="89" t="str">
        <f t="shared" si="475"/>
        <v/>
      </c>
      <c r="S5063" s="89" t="str">
        <f t="shared" si="476"/>
        <v/>
      </c>
      <c r="X5063" s="64">
        <f t="shared" si="477"/>
        <v>0</v>
      </c>
      <c r="Y5063" s="53">
        <f t="shared" si="478"/>
        <v>0</v>
      </c>
      <c r="Z5063" s="64">
        <f t="shared" si="479"/>
        <v>0</v>
      </c>
    </row>
    <row r="5064" spans="1:26">
      <c r="A5064" s="89" t="str">
        <f t="shared" si="474"/>
        <v/>
      </c>
      <c r="B5064" s="89" t="str">
        <f t="shared" si="475"/>
        <v/>
      </c>
      <c r="S5064" s="89" t="str">
        <f t="shared" si="476"/>
        <v/>
      </c>
      <c r="X5064" s="64">
        <f t="shared" si="477"/>
        <v>0</v>
      </c>
      <c r="Y5064" s="53">
        <f t="shared" si="478"/>
        <v>0</v>
      </c>
      <c r="Z5064" s="64">
        <f t="shared" si="479"/>
        <v>0</v>
      </c>
    </row>
    <row r="5065" spans="1:26">
      <c r="A5065" s="89" t="str">
        <f t="shared" si="474"/>
        <v/>
      </c>
      <c r="B5065" s="89" t="str">
        <f t="shared" si="475"/>
        <v/>
      </c>
      <c r="S5065" s="89" t="str">
        <f t="shared" si="476"/>
        <v/>
      </c>
      <c r="X5065" s="64">
        <f t="shared" si="477"/>
        <v>0</v>
      </c>
      <c r="Y5065" s="53">
        <f t="shared" si="478"/>
        <v>0</v>
      </c>
      <c r="Z5065" s="64">
        <f t="shared" si="479"/>
        <v>0</v>
      </c>
    </row>
    <row r="5066" spans="1:26">
      <c r="A5066" s="89" t="str">
        <f t="shared" si="474"/>
        <v/>
      </c>
      <c r="B5066" s="89" t="str">
        <f t="shared" si="475"/>
        <v/>
      </c>
      <c r="S5066" s="89" t="str">
        <f t="shared" si="476"/>
        <v/>
      </c>
      <c r="X5066" s="64">
        <f t="shared" si="477"/>
        <v>0</v>
      </c>
      <c r="Y5066" s="53">
        <f t="shared" si="478"/>
        <v>0</v>
      </c>
      <c r="Z5066" s="64">
        <f t="shared" si="479"/>
        <v>0</v>
      </c>
    </row>
    <row r="5067" spans="1:26">
      <c r="A5067" s="89" t="str">
        <f t="shared" si="474"/>
        <v/>
      </c>
      <c r="B5067" s="89" t="str">
        <f t="shared" si="475"/>
        <v/>
      </c>
      <c r="S5067" s="89" t="str">
        <f t="shared" si="476"/>
        <v/>
      </c>
      <c r="X5067" s="64">
        <f t="shared" si="477"/>
        <v>0</v>
      </c>
      <c r="Y5067" s="53">
        <f t="shared" si="478"/>
        <v>0</v>
      </c>
      <c r="Z5067" s="64">
        <f t="shared" si="479"/>
        <v>0</v>
      </c>
    </row>
    <row r="5068" spans="1:26">
      <c r="A5068" s="89" t="str">
        <f t="shared" si="474"/>
        <v/>
      </c>
      <c r="B5068" s="89" t="str">
        <f t="shared" si="475"/>
        <v/>
      </c>
      <c r="S5068" s="89" t="str">
        <f t="shared" si="476"/>
        <v/>
      </c>
      <c r="X5068" s="64">
        <f t="shared" si="477"/>
        <v>0</v>
      </c>
      <c r="Y5068" s="53">
        <f t="shared" si="478"/>
        <v>0</v>
      </c>
      <c r="Z5068" s="64">
        <f t="shared" si="479"/>
        <v>0</v>
      </c>
    </row>
    <row r="5069" spans="1:26">
      <c r="A5069" s="89" t="str">
        <f t="shared" si="474"/>
        <v/>
      </c>
      <c r="B5069" s="89" t="str">
        <f t="shared" si="475"/>
        <v/>
      </c>
      <c r="S5069" s="89" t="str">
        <f t="shared" si="476"/>
        <v/>
      </c>
      <c r="X5069" s="64">
        <f t="shared" si="477"/>
        <v>0</v>
      </c>
      <c r="Y5069" s="53">
        <f t="shared" si="478"/>
        <v>0</v>
      </c>
      <c r="Z5069" s="64">
        <f t="shared" si="479"/>
        <v>0</v>
      </c>
    </row>
    <row r="5070" spans="1:26">
      <c r="A5070" s="89" t="str">
        <f t="shared" si="474"/>
        <v/>
      </c>
      <c r="B5070" s="89" t="str">
        <f t="shared" si="475"/>
        <v/>
      </c>
      <c r="S5070" s="89" t="str">
        <f t="shared" si="476"/>
        <v/>
      </c>
      <c r="X5070" s="64">
        <f t="shared" si="477"/>
        <v>0</v>
      </c>
      <c r="Y5070" s="53">
        <f t="shared" si="478"/>
        <v>0</v>
      </c>
      <c r="Z5070" s="64">
        <f t="shared" si="479"/>
        <v>0</v>
      </c>
    </row>
    <row r="5071" spans="1:26">
      <c r="A5071" s="89" t="str">
        <f t="shared" si="474"/>
        <v/>
      </c>
      <c r="B5071" s="89" t="str">
        <f t="shared" si="475"/>
        <v/>
      </c>
      <c r="S5071" s="89" t="str">
        <f t="shared" si="476"/>
        <v/>
      </c>
      <c r="X5071" s="64">
        <f t="shared" si="477"/>
        <v>0</v>
      </c>
      <c r="Y5071" s="53">
        <f t="shared" si="478"/>
        <v>0</v>
      </c>
      <c r="Z5071" s="64">
        <f t="shared" si="479"/>
        <v>0</v>
      </c>
    </row>
    <row r="5072" spans="1:26">
      <c r="A5072" s="89" t="str">
        <f t="shared" si="474"/>
        <v/>
      </c>
      <c r="B5072" s="89" t="str">
        <f t="shared" si="475"/>
        <v/>
      </c>
      <c r="S5072" s="89" t="str">
        <f t="shared" si="476"/>
        <v/>
      </c>
      <c r="X5072" s="64">
        <f t="shared" si="477"/>
        <v>0</v>
      </c>
      <c r="Y5072" s="53">
        <f t="shared" si="478"/>
        <v>0</v>
      </c>
      <c r="Z5072" s="64">
        <f t="shared" si="479"/>
        <v>0</v>
      </c>
    </row>
    <row r="5073" spans="1:26">
      <c r="A5073" s="89" t="str">
        <f t="shared" si="474"/>
        <v/>
      </c>
      <c r="B5073" s="89" t="str">
        <f t="shared" si="475"/>
        <v/>
      </c>
      <c r="S5073" s="89" t="str">
        <f t="shared" si="476"/>
        <v/>
      </c>
      <c r="X5073" s="64">
        <f t="shared" si="477"/>
        <v>0</v>
      </c>
      <c r="Y5073" s="53">
        <f t="shared" si="478"/>
        <v>0</v>
      </c>
      <c r="Z5073" s="64">
        <f t="shared" si="479"/>
        <v>0</v>
      </c>
    </row>
    <row r="5074" spans="1:26">
      <c r="A5074" s="89" t="str">
        <f t="shared" si="474"/>
        <v/>
      </c>
      <c r="B5074" s="89" t="str">
        <f t="shared" si="475"/>
        <v/>
      </c>
      <c r="S5074" s="89" t="str">
        <f t="shared" si="476"/>
        <v/>
      </c>
      <c r="X5074" s="64">
        <f t="shared" si="477"/>
        <v>0</v>
      </c>
      <c r="Y5074" s="53">
        <f t="shared" si="478"/>
        <v>0</v>
      </c>
      <c r="Z5074" s="64">
        <f t="shared" si="479"/>
        <v>0</v>
      </c>
    </row>
    <row r="5075" spans="1:26">
      <c r="A5075" s="89" t="str">
        <f t="shared" si="474"/>
        <v/>
      </c>
      <c r="B5075" s="89" t="str">
        <f t="shared" si="475"/>
        <v/>
      </c>
      <c r="S5075" s="89" t="str">
        <f t="shared" si="476"/>
        <v/>
      </c>
      <c r="X5075" s="64">
        <f t="shared" si="477"/>
        <v>0</v>
      </c>
      <c r="Y5075" s="53">
        <f t="shared" si="478"/>
        <v>0</v>
      </c>
      <c r="Z5075" s="64">
        <f t="shared" si="479"/>
        <v>0</v>
      </c>
    </row>
    <row r="5076" spans="1:26">
      <c r="A5076" s="89" t="str">
        <f t="shared" si="474"/>
        <v/>
      </c>
      <c r="B5076" s="89" t="str">
        <f t="shared" si="475"/>
        <v/>
      </c>
      <c r="S5076" s="89" t="str">
        <f t="shared" si="476"/>
        <v/>
      </c>
      <c r="X5076" s="64">
        <f t="shared" si="477"/>
        <v>0</v>
      </c>
      <c r="Y5076" s="53">
        <f t="shared" si="478"/>
        <v>0</v>
      </c>
      <c r="Z5076" s="64">
        <f t="shared" si="479"/>
        <v>0</v>
      </c>
    </row>
    <row r="5077" spans="1:26">
      <c r="A5077" s="89" t="str">
        <f t="shared" si="474"/>
        <v/>
      </c>
      <c r="B5077" s="89" t="str">
        <f t="shared" si="475"/>
        <v/>
      </c>
      <c r="S5077" s="89" t="str">
        <f t="shared" si="476"/>
        <v/>
      </c>
      <c r="X5077" s="64">
        <f t="shared" si="477"/>
        <v>0</v>
      </c>
      <c r="Y5077" s="53">
        <f t="shared" si="478"/>
        <v>0</v>
      </c>
      <c r="Z5077" s="64">
        <f t="shared" si="479"/>
        <v>0</v>
      </c>
    </row>
    <row r="5078" spans="1:26">
      <c r="A5078" s="89" t="str">
        <f t="shared" si="474"/>
        <v/>
      </c>
      <c r="B5078" s="89" t="str">
        <f t="shared" si="475"/>
        <v/>
      </c>
      <c r="S5078" s="89" t="str">
        <f t="shared" si="476"/>
        <v/>
      </c>
      <c r="X5078" s="64">
        <f t="shared" si="477"/>
        <v>0</v>
      </c>
      <c r="Y5078" s="53">
        <f t="shared" si="478"/>
        <v>0</v>
      </c>
      <c r="Z5078" s="64">
        <f t="shared" si="479"/>
        <v>0</v>
      </c>
    </row>
    <row r="5079" spans="1:26">
      <c r="A5079" s="89" t="str">
        <f t="shared" si="474"/>
        <v/>
      </c>
      <c r="B5079" s="89" t="str">
        <f t="shared" si="475"/>
        <v/>
      </c>
      <c r="S5079" s="89" t="str">
        <f t="shared" si="476"/>
        <v/>
      </c>
      <c r="X5079" s="64">
        <f t="shared" si="477"/>
        <v>0</v>
      </c>
      <c r="Y5079" s="53">
        <f t="shared" si="478"/>
        <v>0</v>
      </c>
      <c r="Z5079" s="64">
        <f t="shared" si="479"/>
        <v>0</v>
      </c>
    </row>
    <row r="5080" spans="1:26">
      <c r="A5080" s="89" t="str">
        <f t="shared" si="474"/>
        <v/>
      </c>
      <c r="B5080" s="89" t="str">
        <f t="shared" si="475"/>
        <v/>
      </c>
      <c r="S5080" s="89" t="str">
        <f t="shared" si="476"/>
        <v/>
      </c>
      <c r="X5080" s="64">
        <f t="shared" si="477"/>
        <v>0</v>
      </c>
      <c r="Y5080" s="53">
        <f t="shared" si="478"/>
        <v>0</v>
      </c>
      <c r="Z5080" s="64">
        <f t="shared" si="479"/>
        <v>0</v>
      </c>
    </row>
    <row r="5081" spans="1:26">
      <c r="A5081" s="89" t="str">
        <f t="shared" si="474"/>
        <v/>
      </c>
      <c r="B5081" s="89" t="str">
        <f t="shared" si="475"/>
        <v/>
      </c>
      <c r="S5081" s="89" t="str">
        <f t="shared" si="476"/>
        <v/>
      </c>
      <c r="X5081" s="64">
        <f t="shared" si="477"/>
        <v>0</v>
      </c>
      <c r="Y5081" s="53">
        <f t="shared" si="478"/>
        <v>0</v>
      </c>
      <c r="Z5081" s="64">
        <f t="shared" si="479"/>
        <v>0</v>
      </c>
    </row>
    <row r="5082" spans="1:26">
      <c r="A5082" s="89" t="str">
        <f t="shared" si="474"/>
        <v/>
      </c>
      <c r="B5082" s="89" t="str">
        <f t="shared" si="475"/>
        <v/>
      </c>
      <c r="S5082" s="89" t="str">
        <f t="shared" si="476"/>
        <v/>
      </c>
      <c r="X5082" s="64">
        <f t="shared" si="477"/>
        <v>0</v>
      </c>
      <c r="Y5082" s="53">
        <f t="shared" si="478"/>
        <v>0</v>
      </c>
      <c r="Z5082" s="64">
        <f t="shared" si="479"/>
        <v>0</v>
      </c>
    </row>
    <row r="5083" spans="1:26">
      <c r="A5083" s="89" t="str">
        <f t="shared" si="474"/>
        <v/>
      </c>
      <c r="B5083" s="89" t="str">
        <f t="shared" si="475"/>
        <v/>
      </c>
      <c r="S5083" s="89" t="str">
        <f t="shared" si="476"/>
        <v/>
      </c>
      <c r="X5083" s="64">
        <f t="shared" si="477"/>
        <v>0</v>
      </c>
      <c r="Y5083" s="53">
        <f t="shared" si="478"/>
        <v>0</v>
      </c>
      <c r="Z5083" s="64">
        <f t="shared" si="479"/>
        <v>0</v>
      </c>
    </row>
    <row r="5084" spans="1:26">
      <c r="A5084" s="89" t="str">
        <f t="shared" si="474"/>
        <v/>
      </c>
      <c r="B5084" s="89" t="str">
        <f t="shared" si="475"/>
        <v/>
      </c>
      <c r="S5084" s="89" t="str">
        <f t="shared" si="476"/>
        <v/>
      </c>
      <c r="X5084" s="64">
        <f t="shared" si="477"/>
        <v>0</v>
      </c>
      <c r="Y5084" s="53">
        <f t="shared" si="478"/>
        <v>0</v>
      </c>
      <c r="Z5084" s="64">
        <f t="shared" si="479"/>
        <v>0</v>
      </c>
    </row>
    <row r="5085" spans="1:26">
      <c r="A5085" s="89" t="str">
        <f t="shared" si="474"/>
        <v/>
      </c>
      <c r="B5085" s="89" t="str">
        <f t="shared" si="475"/>
        <v/>
      </c>
      <c r="S5085" s="89" t="str">
        <f t="shared" si="476"/>
        <v/>
      </c>
      <c r="X5085" s="64">
        <f t="shared" si="477"/>
        <v>0</v>
      </c>
      <c r="Y5085" s="53">
        <f t="shared" si="478"/>
        <v>0</v>
      </c>
      <c r="Z5085" s="64">
        <f t="shared" si="479"/>
        <v>0</v>
      </c>
    </row>
    <row r="5086" spans="1:26">
      <c r="A5086" s="89" t="str">
        <f t="shared" si="474"/>
        <v/>
      </c>
      <c r="B5086" s="89" t="str">
        <f t="shared" si="475"/>
        <v/>
      </c>
      <c r="S5086" s="89" t="str">
        <f t="shared" si="476"/>
        <v/>
      </c>
      <c r="X5086" s="64">
        <f t="shared" si="477"/>
        <v>0</v>
      </c>
      <c r="Y5086" s="53">
        <f t="shared" si="478"/>
        <v>0</v>
      </c>
      <c r="Z5086" s="64">
        <f t="shared" si="479"/>
        <v>0</v>
      </c>
    </row>
    <row r="5087" spans="1:26">
      <c r="A5087" s="89" t="str">
        <f t="shared" si="474"/>
        <v/>
      </c>
      <c r="B5087" s="89" t="str">
        <f t="shared" si="475"/>
        <v/>
      </c>
      <c r="S5087" s="89" t="str">
        <f t="shared" si="476"/>
        <v/>
      </c>
      <c r="X5087" s="64">
        <f t="shared" si="477"/>
        <v>0</v>
      </c>
      <c r="Y5087" s="53">
        <f t="shared" si="478"/>
        <v>0</v>
      </c>
      <c r="Z5087" s="64">
        <f t="shared" si="479"/>
        <v>0</v>
      </c>
    </row>
    <row r="5088" spans="1:26">
      <c r="A5088" s="89" t="str">
        <f t="shared" si="474"/>
        <v/>
      </c>
      <c r="B5088" s="89" t="str">
        <f t="shared" si="475"/>
        <v/>
      </c>
      <c r="S5088" s="89" t="str">
        <f t="shared" si="476"/>
        <v/>
      </c>
      <c r="X5088" s="64">
        <f t="shared" si="477"/>
        <v>0</v>
      </c>
      <c r="Y5088" s="53">
        <f t="shared" si="478"/>
        <v>0</v>
      </c>
      <c r="Z5088" s="64">
        <f t="shared" si="479"/>
        <v>0</v>
      </c>
    </row>
    <row r="5089" spans="1:26">
      <c r="A5089" s="89" t="str">
        <f t="shared" si="474"/>
        <v/>
      </c>
      <c r="B5089" s="89" t="str">
        <f t="shared" si="475"/>
        <v/>
      </c>
      <c r="S5089" s="89" t="str">
        <f t="shared" si="476"/>
        <v/>
      </c>
      <c r="X5089" s="64">
        <f t="shared" si="477"/>
        <v>0</v>
      </c>
      <c r="Y5089" s="53">
        <f t="shared" si="478"/>
        <v>0</v>
      </c>
      <c r="Z5089" s="64">
        <f t="shared" si="479"/>
        <v>0</v>
      </c>
    </row>
    <row r="5090" spans="1:26">
      <c r="A5090" s="89" t="str">
        <f t="shared" si="474"/>
        <v/>
      </c>
      <c r="B5090" s="89" t="str">
        <f t="shared" si="475"/>
        <v/>
      </c>
      <c r="S5090" s="89" t="str">
        <f t="shared" si="476"/>
        <v/>
      </c>
      <c r="X5090" s="64">
        <f t="shared" si="477"/>
        <v>0</v>
      </c>
      <c r="Y5090" s="53">
        <f t="shared" si="478"/>
        <v>0</v>
      </c>
      <c r="Z5090" s="64">
        <f t="shared" si="479"/>
        <v>0</v>
      </c>
    </row>
    <row r="5091" spans="1:26">
      <c r="A5091" s="89" t="str">
        <f t="shared" si="474"/>
        <v/>
      </c>
      <c r="B5091" s="89" t="str">
        <f t="shared" si="475"/>
        <v/>
      </c>
      <c r="S5091" s="89" t="str">
        <f t="shared" si="476"/>
        <v/>
      </c>
      <c r="X5091" s="64">
        <f t="shared" si="477"/>
        <v>0</v>
      </c>
      <c r="Y5091" s="53">
        <f t="shared" si="478"/>
        <v>0</v>
      </c>
      <c r="Z5091" s="64">
        <f t="shared" si="479"/>
        <v>0</v>
      </c>
    </row>
    <row r="5092" spans="1:26">
      <c r="A5092" s="89" t="str">
        <f t="shared" si="474"/>
        <v/>
      </c>
      <c r="B5092" s="89" t="str">
        <f t="shared" si="475"/>
        <v/>
      </c>
      <c r="S5092" s="89" t="str">
        <f t="shared" si="476"/>
        <v/>
      </c>
      <c r="X5092" s="64">
        <f t="shared" si="477"/>
        <v>0</v>
      </c>
      <c r="Y5092" s="53">
        <f t="shared" si="478"/>
        <v>0</v>
      </c>
      <c r="Z5092" s="64">
        <f t="shared" si="479"/>
        <v>0</v>
      </c>
    </row>
    <row r="5093" spans="1:26">
      <c r="A5093" s="89" t="str">
        <f t="shared" si="474"/>
        <v/>
      </c>
      <c r="B5093" s="89" t="str">
        <f t="shared" si="475"/>
        <v/>
      </c>
      <c r="S5093" s="89" t="str">
        <f t="shared" si="476"/>
        <v/>
      </c>
      <c r="X5093" s="64">
        <f t="shared" si="477"/>
        <v>0</v>
      </c>
      <c r="Y5093" s="53">
        <f t="shared" si="478"/>
        <v>0</v>
      </c>
      <c r="Z5093" s="64">
        <f t="shared" si="479"/>
        <v>0</v>
      </c>
    </row>
    <row r="5094" spans="1:26">
      <c r="A5094" s="89" t="str">
        <f t="shared" si="474"/>
        <v/>
      </c>
      <c r="B5094" s="89" t="str">
        <f t="shared" si="475"/>
        <v/>
      </c>
      <c r="S5094" s="89" t="str">
        <f t="shared" si="476"/>
        <v/>
      </c>
      <c r="X5094" s="64">
        <f t="shared" si="477"/>
        <v>0</v>
      </c>
      <c r="Y5094" s="53">
        <f t="shared" si="478"/>
        <v>0</v>
      </c>
      <c r="Z5094" s="64">
        <f t="shared" si="479"/>
        <v>0</v>
      </c>
    </row>
    <row r="5095" spans="1:26">
      <c r="A5095" s="89" t="str">
        <f t="shared" si="474"/>
        <v/>
      </c>
      <c r="B5095" s="89" t="str">
        <f t="shared" si="475"/>
        <v/>
      </c>
      <c r="S5095" s="89" t="str">
        <f t="shared" si="476"/>
        <v/>
      </c>
      <c r="X5095" s="64">
        <f t="shared" si="477"/>
        <v>0</v>
      </c>
      <c r="Y5095" s="53">
        <f t="shared" si="478"/>
        <v>0</v>
      </c>
      <c r="Z5095" s="64">
        <f t="shared" si="479"/>
        <v>0</v>
      </c>
    </row>
    <row r="5096" spans="1:26">
      <c r="A5096" s="89" t="str">
        <f t="shared" si="474"/>
        <v/>
      </c>
      <c r="B5096" s="89" t="str">
        <f t="shared" si="475"/>
        <v/>
      </c>
      <c r="S5096" s="89" t="str">
        <f t="shared" si="476"/>
        <v/>
      </c>
      <c r="X5096" s="64">
        <f t="shared" si="477"/>
        <v>0</v>
      </c>
      <c r="Y5096" s="53">
        <f t="shared" si="478"/>
        <v>0</v>
      </c>
      <c r="Z5096" s="64">
        <f t="shared" si="479"/>
        <v>0</v>
      </c>
    </row>
    <row r="5097" spans="1:26">
      <c r="A5097" s="89" t="str">
        <f t="shared" si="474"/>
        <v/>
      </c>
      <c r="B5097" s="89" t="str">
        <f t="shared" si="475"/>
        <v/>
      </c>
      <c r="S5097" s="89" t="str">
        <f t="shared" si="476"/>
        <v/>
      </c>
      <c r="X5097" s="64">
        <f t="shared" si="477"/>
        <v>0</v>
      </c>
      <c r="Y5097" s="53">
        <f t="shared" si="478"/>
        <v>0</v>
      </c>
      <c r="Z5097" s="64">
        <f t="shared" si="479"/>
        <v>0</v>
      </c>
    </row>
    <row r="5098" spans="1:26">
      <c r="A5098" s="89" t="str">
        <f t="shared" si="474"/>
        <v/>
      </c>
      <c r="B5098" s="89" t="str">
        <f t="shared" si="475"/>
        <v/>
      </c>
      <c r="S5098" s="89" t="str">
        <f t="shared" si="476"/>
        <v/>
      </c>
      <c r="X5098" s="64">
        <f t="shared" si="477"/>
        <v>0</v>
      </c>
      <c r="Y5098" s="53">
        <f t="shared" si="478"/>
        <v>0</v>
      </c>
      <c r="Z5098" s="64">
        <f t="shared" si="479"/>
        <v>0</v>
      </c>
    </row>
    <row r="5099" spans="1:26">
      <c r="A5099" s="89" t="str">
        <f t="shared" si="474"/>
        <v/>
      </c>
      <c r="B5099" s="89" t="str">
        <f t="shared" si="475"/>
        <v/>
      </c>
      <c r="S5099" s="89" t="str">
        <f t="shared" si="476"/>
        <v/>
      </c>
      <c r="X5099" s="64">
        <f t="shared" si="477"/>
        <v>0</v>
      </c>
      <c r="Y5099" s="53">
        <f t="shared" si="478"/>
        <v>0</v>
      </c>
      <c r="Z5099" s="64">
        <f t="shared" si="479"/>
        <v>0</v>
      </c>
    </row>
    <row r="5100" spans="1:26">
      <c r="A5100" s="89" t="str">
        <f t="shared" si="474"/>
        <v/>
      </c>
      <c r="B5100" s="89" t="str">
        <f t="shared" si="475"/>
        <v/>
      </c>
      <c r="S5100" s="89" t="str">
        <f t="shared" si="476"/>
        <v/>
      </c>
      <c r="X5100" s="64">
        <f t="shared" si="477"/>
        <v>0</v>
      </c>
      <c r="Y5100" s="53">
        <f t="shared" si="478"/>
        <v>0</v>
      </c>
      <c r="Z5100" s="64">
        <f t="shared" si="479"/>
        <v>0</v>
      </c>
    </row>
    <row r="5101" spans="1:26">
      <c r="A5101" s="89" t="str">
        <f t="shared" si="474"/>
        <v/>
      </c>
      <c r="B5101" s="89" t="str">
        <f t="shared" si="475"/>
        <v/>
      </c>
      <c r="S5101" s="89" t="str">
        <f t="shared" si="476"/>
        <v/>
      </c>
      <c r="X5101" s="64">
        <f t="shared" si="477"/>
        <v>0</v>
      </c>
      <c r="Y5101" s="53">
        <f t="shared" si="478"/>
        <v>0</v>
      </c>
      <c r="Z5101" s="64">
        <f t="shared" si="479"/>
        <v>0</v>
      </c>
    </row>
    <row r="5102" spans="1:26">
      <c r="A5102" s="89" t="str">
        <f t="shared" si="474"/>
        <v/>
      </c>
      <c r="B5102" s="89" t="str">
        <f t="shared" si="475"/>
        <v/>
      </c>
      <c r="S5102" s="89" t="str">
        <f t="shared" si="476"/>
        <v/>
      </c>
      <c r="X5102" s="64">
        <f t="shared" si="477"/>
        <v>0</v>
      </c>
      <c r="Y5102" s="53">
        <f t="shared" si="478"/>
        <v>0</v>
      </c>
      <c r="Z5102" s="64">
        <f t="shared" si="479"/>
        <v>0</v>
      </c>
    </row>
    <row r="5103" spans="1:26">
      <c r="A5103" s="89" t="str">
        <f t="shared" si="474"/>
        <v/>
      </c>
      <c r="B5103" s="89" t="str">
        <f t="shared" si="475"/>
        <v/>
      </c>
      <c r="S5103" s="89" t="str">
        <f t="shared" si="476"/>
        <v/>
      </c>
      <c r="X5103" s="64">
        <f t="shared" si="477"/>
        <v>0</v>
      </c>
      <c r="Y5103" s="53">
        <f t="shared" si="478"/>
        <v>0</v>
      </c>
      <c r="Z5103" s="64">
        <f t="shared" si="479"/>
        <v>0</v>
      </c>
    </row>
    <row r="5104" spans="1:26">
      <c r="A5104" s="89" t="str">
        <f t="shared" si="474"/>
        <v/>
      </c>
      <c r="B5104" s="89" t="str">
        <f t="shared" si="475"/>
        <v/>
      </c>
      <c r="S5104" s="89" t="str">
        <f t="shared" si="476"/>
        <v/>
      </c>
      <c r="X5104" s="64">
        <f t="shared" si="477"/>
        <v>0</v>
      </c>
      <c r="Y5104" s="53">
        <f t="shared" si="478"/>
        <v>0</v>
      </c>
      <c r="Z5104" s="64">
        <f t="shared" si="479"/>
        <v>0</v>
      </c>
    </row>
    <row r="5105" spans="1:26">
      <c r="A5105" s="89" t="str">
        <f t="shared" si="474"/>
        <v/>
      </c>
      <c r="B5105" s="89" t="str">
        <f t="shared" si="475"/>
        <v/>
      </c>
      <c r="S5105" s="89" t="str">
        <f t="shared" si="476"/>
        <v/>
      </c>
      <c r="X5105" s="64">
        <f t="shared" si="477"/>
        <v>0</v>
      </c>
      <c r="Y5105" s="53">
        <f t="shared" si="478"/>
        <v>0</v>
      </c>
      <c r="Z5105" s="64">
        <f t="shared" si="479"/>
        <v>0</v>
      </c>
    </row>
    <row r="5106" spans="1:26">
      <c r="A5106" s="89" t="str">
        <f t="shared" si="474"/>
        <v/>
      </c>
      <c r="B5106" s="89" t="str">
        <f t="shared" si="475"/>
        <v/>
      </c>
      <c r="S5106" s="89" t="str">
        <f t="shared" si="476"/>
        <v/>
      </c>
      <c r="X5106" s="64">
        <f t="shared" si="477"/>
        <v>0</v>
      </c>
      <c r="Y5106" s="53">
        <f t="shared" si="478"/>
        <v>0</v>
      </c>
      <c r="Z5106" s="64">
        <f t="shared" si="479"/>
        <v>0</v>
      </c>
    </row>
    <row r="5107" spans="1:26">
      <c r="A5107" s="89" t="str">
        <f t="shared" si="474"/>
        <v/>
      </c>
      <c r="B5107" s="89" t="str">
        <f t="shared" si="475"/>
        <v/>
      </c>
      <c r="S5107" s="89" t="str">
        <f t="shared" si="476"/>
        <v/>
      </c>
      <c r="X5107" s="64">
        <f t="shared" si="477"/>
        <v>0</v>
      </c>
      <c r="Y5107" s="53">
        <f t="shared" si="478"/>
        <v>0</v>
      </c>
      <c r="Z5107" s="64">
        <f t="shared" si="479"/>
        <v>0</v>
      </c>
    </row>
    <row r="5108" spans="1:26">
      <c r="A5108" s="89" t="str">
        <f t="shared" si="474"/>
        <v/>
      </c>
      <c r="B5108" s="89" t="str">
        <f t="shared" si="475"/>
        <v/>
      </c>
      <c r="S5108" s="89" t="str">
        <f t="shared" si="476"/>
        <v/>
      </c>
      <c r="X5108" s="64">
        <f t="shared" si="477"/>
        <v>0</v>
      </c>
      <c r="Y5108" s="53">
        <f t="shared" si="478"/>
        <v>0</v>
      </c>
      <c r="Z5108" s="64">
        <f t="shared" si="479"/>
        <v>0</v>
      </c>
    </row>
    <row r="5109" spans="1:26">
      <c r="A5109" s="89" t="str">
        <f t="shared" si="474"/>
        <v/>
      </c>
      <c r="B5109" s="89" t="str">
        <f t="shared" si="475"/>
        <v/>
      </c>
      <c r="S5109" s="89" t="str">
        <f t="shared" si="476"/>
        <v/>
      </c>
      <c r="X5109" s="64">
        <f t="shared" si="477"/>
        <v>0</v>
      </c>
      <c r="Y5109" s="53">
        <f t="shared" si="478"/>
        <v>0</v>
      </c>
      <c r="Z5109" s="64">
        <f t="shared" si="479"/>
        <v>0</v>
      </c>
    </row>
    <row r="5110" spans="1:26">
      <c r="A5110" s="89" t="str">
        <f t="shared" si="474"/>
        <v/>
      </c>
      <c r="B5110" s="89" t="str">
        <f t="shared" si="475"/>
        <v/>
      </c>
      <c r="S5110" s="89" t="str">
        <f t="shared" si="476"/>
        <v/>
      </c>
      <c r="X5110" s="64">
        <f t="shared" si="477"/>
        <v>0</v>
      </c>
      <c r="Y5110" s="53">
        <f t="shared" si="478"/>
        <v>0</v>
      </c>
      <c r="Z5110" s="64">
        <f t="shared" si="479"/>
        <v>0</v>
      </c>
    </row>
    <row r="5111" spans="1:26">
      <c r="A5111" s="89" t="str">
        <f t="shared" si="474"/>
        <v/>
      </c>
      <c r="B5111" s="89" t="str">
        <f t="shared" si="475"/>
        <v/>
      </c>
      <c r="S5111" s="89" t="str">
        <f t="shared" si="476"/>
        <v/>
      </c>
      <c r="X5111" s="64">
        <f t="shared" si="477"/>
        <v>0</v>
      </c>
      <c r="Y5111" s="53">
        <f t="shared" si="478"/>
        <v>0</v>
      </c>
      <c r="Z5111" s="64">
        <f t="shared" si="479"/>
        <v>0</v>
      </c>
    </row>
    <row r="5112" spans="1:26">
      <c r="A5112" s="89" t="str">
        <f t="shared" si="474"/>
        <v/>
      </c>
      <c r="B5112" s="89" t="str">
        <f t="shared" si="475"/>
        <v/>
      </c>
      <c r="S5112" s="89" t="str">
        <f t="shared" si="476"/>
        <v/>
      </c>
      <c r="X5112" s="64">
        <f t="shared" si="477"/>
        <v>0</v>
      </c>
      <c r="Y5112" s="53">
        <f t="shared" si="478"/>
        <v>0</v>
      </c>
      <c r="Z5112" s="64">
        <f t="shared" si="479"/>
        <v>0</v>
      </c>
    </row>
    <row r="5113" spans="1:26">
      <c r="A5113" s="89" t="str">
        <f t="shared" si="474"/>
        <v/>
      </c>
      <c r="B5113" s="89" t="str">
        <f t="shared" si="475"/>
        <v/>
      </c>
      <c r="S5113" s="89" t="str">
        <f t="shared" si="476"/>
        <v/>
      </c>
      <c r="X5113" s="64">
        <f t="shared" si="477"/>
        <v>0</v>
      </c>
      <c r="Y5113" s="53">
        <f t="shared" si="478"/>
        <v>0</v>
      </c>
      <c r="Z5113" s="64">
        <f t="shared" si="479"/>
        <v>0</v>
      </c>
    </row>
    <row r="5114" spans="1:26">
      <c r="A5114" s="89" t="str">
        <f t="shared" si="474"/>
        <v/>
      </c>
      <c r="B5114" s="89" t="str">
        <f t="shared" si="475"/>
        <v/>
      </c>
      <c r="S5114" s="89" t="str">
        <f t="shared" si="476"/>
        <v/>
      </c>
      <c r="X5114" s="64">
        <f t="shared" si="477"/>
        <v>0</v>
      </c>
      <c r="Y5114" s="53">
        <f t="shared" si="478"/>
        <v>0</v>
      </c>
      <c r="Z5114" s="64">
        <f t="shared" si="479"/>
        <v>0</v>
      </c>
    </row>
    <row r="5115" spans="1:26">
      <c r="A5115" s="89" t="str">
        <f t="shared" si="474"/>
        <v/>
      </c>
      <c r="B5115" s="89" t="str">
        <f t="shared" si="475"/>
        <v/>
      </c>
      <c r="S5115" s="89" t="str">
        <f t="shared" si="476"/>
        <v/>
      </c>
      <c r="X5115" s="64">
        <f t="shared" si="477"/>
        <v>0</v>
      </c>
      <c r="Y5115" s="53">
        <f t="shared" si="478"/>
        <v>0</v>
      </c>
      <c r="Z5115" s="64">
        <f t="shared" si="479"/>
        <v>0</v>
      </c>
    </row>
    <row r="5116" spans="1:26">
      <c r="A5116" s="89" t="str">
        <f t="shared" si="474"/>
        <v/>
      </c>
      <c r="B5116" s="89" t="str">
        <f t="shared" si="475"/>
        <v/>
      </c>
      <c r="S5116" s="89" t="str">
        <f t="shared" si="476"/>
        <v/>
      </c>
      <c r="X5116" s="64">
        <f t="shared" si="477"/>
        <v>0</v>
      </c>
      <c r="Y5116" s="53">
        <f t="shared" si="478"/>
        <v>0</v>
      </c>
      <c r="Z5116" s="64">
        <f t="shared" si="479"/>
        <v>0</v>
      </c>
    </row>
    <row r="5117" spans="1:26">
      <c r="A5117" s="89" t="str">
        <f t="shared" si="474"/>
        <v/>
      </c>
      <c r="B5117" s="89" t="str">
        <f t="shared" si="475"/>
        <v/>
      </c>
      <c r="S5117" s="89" t="str">
        <f t="shared" si="476"/>
        <v/>
      </c>
      <c r="X5117" s="64">
        <f t="shared" si="477"/>
        <v>0</v>
      </c>
      <c r="Y5117" s="53">
        <f t="shared" si="478"/>
        <v>0</v>
      </c>
      <c r="Z5117" s="64">
        <f t="shared" si="479"/>
        <v>0</v>
      </c>
    </row>
    <row r="5118" spans="1:26">
      <c r="A5118" s="89" t="str">
        <f t="shared" si="474"/>
        <v/>
      </c>
      <c r="B5118" s="89" t="str">
        <f t="shared" si="475"/>
        <v/>
      </c>
      <c r="S5118" s="89" t="str">
        <f t="shared" si="476"/>
        <v/>
      </c>
      <c r="X5118" s="64">
        <f t="shared" si="477"/>
        <v>0</v>
      </c>
      <c r="Y5118" s="53">
        <f t="shared" si="478"/>
        <v>0</v>
      </c>
      <c r="Z5118" s="64">
        <f t="shared" si="479"/>
        <v>0</v>
      </c>
    </row>
    <row r="5119" spans="1:26">
      <c r="A5119" s="89" t="str">
        <f t="shared" si="474"/>
        <v/>
      </c>
      <c r="B5119" s="89" t="str">
        <f t="shared" si="475"/>
        <v/>
      </c>
      <c r="S5119" s="89" t="str">
        <f t="shared" si="476"/>
        <v/>
      </c>
      <c r="X5119" s="64">
        <f t="shared" si="477"/>
        <v>0</v>
      </c>
      <c r="Y5119" s="53">
        <f t="shared" si="478"/>
        <v>0</v>
      </c>
      <c r="Z5119" s="64">
        <f t="shared" si="479"/>
        <v>0</v>
      </c>
    </row>
    <row r="5120" spans="1:26">
      <c r="A5120" s="89" t="str">
        <f t="shared" si="474"/>
        <v/>
      </c>
      <c r="B5120" s="89" t="str">
        <f t="shared" si="475"/>
        <v/>
      </c>
      <c r="S5120" s="89" t="str">
        <f t="shared" si="476"/>
        <v/>
      </c>
      <c r="X5120" s="64">
        <f t="shared" si="477"/>
        <v>0</v>
      </c>
      <c r="Y5120" s="53">
        <f t="shared" si="478"/>
        <v>0</v>
      </c>
      <c r="Z5120" s="64">
        <f t="shared" si="479"/>
        <v>0</v>
      </c>
    </row>
    <row r="5121" spans="1:26">
      <c r="A5121" s="89" t="str">
        <f t="shared" si="474"/>
        <v/>
      </c>
      <c r="B5121" s="89" t="str">
        <f t="shared" si="475"/>
        <v/>
      </c>
      <c r="S5121" s="89" t="str">
        <f t="shared" si="476"/>
        <v/>
      </c>
      <c r="X5121" s="64">
        <f t="shared" si="477"/>
        <v>0</v>
      </c>
      <c r="Y5121" s="53">
        <f t="shared" si="478"/>
        <v>0</v>
      </c>
      <c r="Z5121" s="64">
        <f t="shared" si="479"/>
        <v>0</v>
      </c>
    </row>
    <row r="5122" spans="1:26">
      <c r="A5122" s="89" t="str">
        <f t="shared" si="474"/>
        <v/>
      </c>
      <c r="B5122" s="89" t="str">
        <f t="shared" si="475"/>
        <v/>
      </c>
      <c r="S5122" s="89" t="str">
        <f t="shared" si="476"/>
        <v/>
      </c>
      <c r="X5122" s="64">
        <f t="shared" si="477"/>
        <v>0</v>
      </c>
      <c r="Y5122" s="53">
        <f t="shared" si="478"/>
        <v>0</v>
      </c>
      <c r="Z5122" s="64">
        <f t="shared" si="479"/>
        <v>0</v>
      </c>
    </row>
    <row r="5123" spans="1:26">
      <c r="A5123" s="89" t="str">
        <f t="shared" ref="A5123:A5186" si="480">IF(G5123&amp;Q5123&lt;&gt;"",G5123&amp;Q5123,"")</f>
        <v/>
      </c>
      <c r="B5123" s="89" t="str">
        <f t="shared" ref="B5123:B5186" si="481">IF(C5123&lt;&gt;"",LEFT(C5123,9),"")</f>
        <v/>
      </c>
      <c r="S5123" s="89" t="str">
        <f t="shared" ref="S5123:S5186" si="482">IF(H5123&lt;&gt;"",H5123,"")</f>
        <v/>
      </c>
      <c r="X5123" s="64">
        <f t="shared" ref="X5123:X5186" si="483">IFERROR(VALUE(MID($C5123,1,2)),0)</f>
        <v>0</v>
      </c>
      <c r="Y5123" s="53">
        <f t="shared" ref="Y5123:Y5186" si="484">IFERROR(VALUE(MID($C5123,4,3)),0)</f>
        <v>0</v>
      </c>
      <c r="Z5123" s="64">
        <f t="shared" ref="Z5123:Z5186" si="485">VALUE(RIGHT("00"&amp;X5123,2)&amp;RIGHT("000"&amp;Y5123,3))</f>
        <v>0</v>
      </c>
    </row>
    <row r="5124" spans="1:26">
      <c r="A5124" s="89" t="str">
        <f t="shared" si="480"/>
        <v/>
      </c>
      <c r="B5124" s="89" t="str">
        <f t="shared" si="481"/>
        <v/>
      </c>
      <c r="S5124" s="89" t="str">
        <f t="shared" si="482"/>
        <v/>
      </c>
      <c r="X5124" s="64">
        <f t="shared" si="483"/>
        <v>0</v>
      </c>
      <c r="Y5124" s="53">
        <f t="shared" si="484"/>
        <v>0</v>
      </c>
      <c r="Z5124" s="64">
        <f t="shared" si="485"/>
        <v>0</v>
      </c>
    </row>
    <row r="5125" spans="1:26">
      <c r="A5125" s="89" t="str">
        <f t="shared" si="480"/>
        <v/>
      </c>
      <c r="B5125" s="89" t="str">
        <f t="shared" si="481"/>
        <v/>
      </c>
      <c r="S5125" s="89" t="str">
        <f t="shared" si="482"/>
        <v/>
      </c>
      <c r="X5125" s="64">
        <f t="shared" si="483"/>
        <v>0</v>
      </c>
      <c r="Y5125" s="53">
        <f t="shared" si="484"/>
        <v>0</v>
      </c>
      <c r="Z5125" s="64">
        <f t="shared" si="485"/>
        <v>0</v>
      </c>
    </row>
    <row r="5126" spans="1:26">
      <c r="A5126" s="89" t="str">
        <f t="shared" si="480"/>
        <v/>
      </c>
      <c r="B5126" s="89" t="str">
        <f t="shared" si="481"/>
        <v/>
      </c>
      <c r="S5126" s="89" t="str">
        <f t="shared" si="482"/>
        <v/>
      </c>
      <c r="X5126" s="64">
        <f t="shared" si="483"/>
        <v>0</v>
      </c>
      <c r="Y5126" s="53">
        <f t="shared" si="484"/>
        <v>0</v>
      </c>
      <c r="Z5126" s="64">
        <f t="shared" si="485"/>
        <v>0</v>
      </c>
    </row>
    <row r="5127" spans="1:26">
      <c r="A5127" s="89" t="str">
        <f t="shared" si="480"/>
        <v/>
      </c>
      <c r="B5127" s="89" t="str">
        <f t="shared" si="481"/>
        <v/>
      </c>
      <c r="S5127" s="89" t="str">
        <f t="shared" si="482"/>
        <v/>
      </c>
      <c r="X5127" s="64">
        <f t="shared" si="483"/>
        <v>0</v>
      </c>
      <c r="Y5127" s="53">
        <f t="shared" si="484"/>
        <v>0</v>
      </c>
      <c r="Z5127" s="64">
        <f t="shared" si="485"/>
        <v>0</v>
      </c>
    </row>
    <row r="5128" spans="1:26">
      <c r="A5128" s="89" t="str">
        <f t="shared" si="480"/>
        <v/>
      </c>
      <c r="B5128" s="89" t="str">
        <f t="shared" si="481"/>
        <v/>
      </c>
      <c r="S5128" s="89" t="str">
        <f t="shared" si="482"/>
        <v/>
      </c>
      <c r="X5128" s="64">
        <f t="shared" si="483"/>
        <v>0</v>
      </c>
      <c r="Y5128" s="53">
        <f t="shared" si="484"/>
        <v>0</v>
      </c>
      <c r="Z5128" s="64">
        <f t="shared" si="485"/>
        <v>0</v>
      </c>
    </row>
    <row r="5129" spans="1:26">
      <c r="A5129" s="89" t="str">
        <f t="shared" si="480"/>
        <v/>
      </c>
      <c r="B5129" s="89" t="str">
        <f t="shared" si="481"/>
        <v/>
      </c>
      <c r="S5129" s="89" t="str">
        <f t="shared" si="482"/>
        <v/>
      </c>
      <c r="X5129" s="64">
        <f t="shared" si="483"/>
        <v>0</v>
      </c>
      <c r="Y5129" s="53">
        <f t="shared" si="484"/>
        <v>0</v>
      </c>
      <c r="Z5129" s="64">
        <f t="shared" si="485"/>
        <v>0</v>
      </c>
    </row>
    <row r="5130" spans="1:26">
      <c r="A5130" s="89" t="str">
        <f t="shared" si="480"/>
        <v/>
      </c>
      <c r="B5130" s="89" t="str">
        <f t="shared" si="481"/>
        <v/>
      </c>
      <c r="S5130" s="89" t="str">
        <f t="shared" si="482"/>
        <v/>
      </c>
      <c r="X5130" s="64">
        <f t="shared" si="483"/>
        <v>0</v>
      </c>
      <c r="Y5130" s="53">
        <f t="shared" si="484"/>
        <v>0</v>
      </c>
      <c r="Z5130" s="64">
        <f t="shared" si="485"/>
        <v>0</v>
      </c>
    </row>
    <row r="5131" spans="1:26">
      <c r="A5131" s="89" t="str">
        <f t="shared" si="480"/>
        <v/>
      </c>
      <c r="B5131" s="89" t="str">
        <f t="shared" si="481"/>
        <v/>
      </c>
      <c r="S5131" s="89" t="str">
        <f t="shared" si="482"/>
        <v/>
      </c>
      <c r="X5131" s="64">
        <f t="shared" si="483"/>
        <v>0</v>
      </c>
      <c r="Y5131" s="53">
        <f t="shared" si="484"/>
        <v>0</v>
      </c>
      <c r="Z5131" s="64">
        <f t="shared" si="485"/>
        <v>0</v>
      </c>
    </row>
    <row r="5132" spans="1:26">
      <c r="A5132" s="89" t="str">
        <f t="shared" si="480"/>
        <v/>
      </c>
      <c r="B5132" s="89" t="str">
        <f t="shared" si="481"/>
        <v/>
      </c>
      <c r="S5132" s="89" t="str">
        <f t="shared" si="482"/>
        <v/>
      </c>
      <c r="X5132" s="64">
        <f t="shared" si="483"/>
        <v>0</v>
      </c>
      <c r="Y5132" s="53">
        <f t="shared" si="484"/>
        <v>0</v>
      </c>
      <c r="Z5132" s="64">
        <f t="shared" si="485"/>
        <v>0</v>
      </c>
    </row>
    <row r="5133" spans="1:26">
      <c r="A5133" s="89" t="str">
        <f t="shared" si="480"/>
        <v/>
      </c>
      <c r="B5133" s="89" t="str">
        <f t="shared" si="481"/>
        <v/>
      </c>
      <c r="S5133" s="89" t="str">
        <f t="shared" si="482"/>
        <v/>
      </c>
      <c r="X5133" s="64">
        <f t="shared" si="483"/>
        <v>0</v>
      </c>
      <c r="Y5133" s="53">
        <f t="shared" si="484"/>
        <v>0</v>
      </c>
      <c r="Z5133" s="64">
        <f t="shared" si="485"/>
        <v>0</v>
      </c>
    </row>
    <row r="5134" spans="1:26">
      <c r="A5134" s="89" t="str">
        <f t="shared" si="480"/>
        <v/>
      </c>
      <c r="B5134" s="89" t="str">
        <f t="shared" si="481"/>
        <v/>
      </c>
      <c r="S5134" s="89" t="str">
        <f t="shared" si="482"/>
        <v/>
      </c>
      <c r="X5134" s="64">
        <f t="shared" si="483"/>
        <v>0</v>
      </c>
      <c r="Y5134" s="53">
        <f t="shared" si="484"/>
        <v>0</v>
      </c>
      <c r="Z5134" s="64">
        <f t="shared" si="485"/>
        <v>0</v>
      </c>
    </row>
    <row r="5135" spans="1:26">
      <c r="A5135" s="89" t="str">
        <f t="shared" si="480"/>
        <v/>
      </c>
      <c r="B5135" s="89" t="str">
        <f t="shared" si="481"/>
        <v/>
      </c>
      <c r="S5135" s="89" t="str">
        <f t="shared" si="482"/>
        <v/>
      </c>
      <c r="X5135" s="64">
        <f t="shared" si="483"/>
        <v>0</v>
      </c>
      <c r="Y5135" s="53">
        <f t="shared" si="484"/>
        <v>0</v>
      </c>
      <c r="Z5135" s="64">
        <f t="shared" si="485"/>
        <v>0</v>
      </c>
    </row>
    <row r="5136" spans="1:26">
      <c r="A5136" s="89" t="str">
        <f t="shared" si="480"/>
        <v/>
      </c>
      <c r="B5136" s="89" t="str">
        <f t="shared" si="481"/>
        <v/>
      </c>
      <c r="S5136" s="89" t="str">
        <f t="shared" si="482"/>
        <v/>
      </c>
      <c r="X5136" s="64">
        <f t="shared" si="483"/>
        <v>0</v>
      </c>
      <c r="Y5136" s="53">
        <f t="shared" si="484"/>
        <v>0</v>
      </c>
      <c r="Z5136" s="64">
        <f t="shared" si="485"/>
        <v>0</v>
      </c>
    </row>
    <row r="5137" spans="1:26">
      <c r="A5137" s="89" t="str">
        <f t="shared" si="480"/>
        <v/>
      </c>
      <c r="B5137" s="89" t="str">
        <f t="shared" si="481"/>
        <v/>
      </c>
      <c r="S5137" s="89" t="str">
        <f t="shared" si="482"/>
        <v/>
      </c>
      <c r="X5137" s="64">
        <f t="shared" si="483"/>
        <v>0</v>
      </c>
      <c r="Y5137" s="53">
        <f t="shared" si="484"/>
        <v>0</v>
      </c>
      <c r="Z5137" s="64">
        <f t="shared" si="485"/>
        <v>0</v>
      </c>
    </row>
    <row r="5138" spans="1:26">
      <c r="A5138" s="89" t="str">
        <f t="shared" si="480"/>
        <v/>
      </c>
      <c r="B5138" s="89" t="str">
        <f t="shared" si="481"/>
        <v/>
      </c>
      <c r="S5138" s="89" t="str">
        <f t="shared" si="482"/>
        <v/>
      </c>
      <c r="X5138" s="64">
        <f t="shared" si="483"/>
        <v>0</v>
      </c>
      <c r="Y5138" s="53">
        <f t="shared" si="484"/>
        <v>0</v>
      </c>
      <c r="Z5138" s="64">
        <f t="shared" si="485"/>
        <v>0</v>
      </c>
    </row>
    <row r="5139" spans="1:26">
      <c r="A5139" s="89" t="str">
        <f t="shared" si="480"/>
        <v/>
      </c>
      <c r="B5139" s="89" t="str">
        <f t="shared" si="481"/>
        <v/>
      </c>
      <c r="S5139" s="89" t="str">
        <f t="shared" si="482"/>
        <v/>
      </c>
      <c r="X5139" s="64">
        <f t="shared" si="483"/>
        <v>0</v>
      </c>
      <c r="Y5139" s="53">
        <f t="shared" si="484"/>
        <v>0</v>
      </c>
      <c r="Z5139" s="64">
        <f t="shared" si="485"/>
        <v>0</v>
      </c>
    </row>
    <row r="5140" spans="1:26">
      <c r="A5140" s="89" t="str">
        <f t="shared" si="480"/>
        <v/>
      </c>
      <c r="B5140" s="89" t="str">
        <f t="shared" si="481"/>
        <v/>
      </c>
      <c r="S5140" s="89" t="str">
        <f t="shared" si="482"/>
        <v/>
      </c>
      <c r="X5140" s="64">
        <f t="shared" si="483"/>
        <v>0</v>
      </c>
      <c r="Y5140" s="53">
        <f t="shared" si="484"/>
        <v>0</v>
      </c>
      <c r="Z5140" s="64">
        <f t="shared" si="485"/>
        <v>0</v>
      </c>
    </row>
    <row r="5141" spans="1:26">
      <c r="A5141" s="89" t="str">
        <f t="shared" si="480"/>
        <v/>
      </c>
      <c r="B5141" s="89" t="str">
        <f t="shared" si="481"/>
        <v/>
      </c>
      <c r="S5141" s="89" t="str">
        <f t="shared" si="482"/>
        <v/>
      </c>
      <c r="X5141" s="64">
        <f t="shared" si="483"/>
        <v>0</v>
      </c>
      <c r="Y5141" s="53">
        <f t="shared" si="484"/>
        <v>0</v>
      </c>
      <c r="Z5141" s="64">
        <f t="shared" si="485"/>
        <v>0</v>
      </c>
    </row>
    <row r="5142" spans="1:26">
      <c r="A5142" s="89" t="str">
        <f t="shared" si="480"/>
        <v/>
      </c>
      <c r="B5142" s="89" t="str">
        <f t="shared" si="481"/>
        <v/>
      </c>
      <c r="S5142" s="89" t="str">
        <f t="shared" si="482"/>
        <v/>
      </c>
      <c r="X5142" s="64">
        <f t="shared" si="483"/>
        <v>0</v>
      </c>
      <c r="Y5142" s="53">
        <f t="shared" si="484"/>
        <v>0</v>
      </c>
      <c r="Z5142" s="64">
        <f t="shared" si="485"/>
        <v>0</v>
      </c>
    </row>
    <row r="5143" spans="1:26">
      <c r="A5143" s="89" t="str">
        <f t="shared" si="480"/>
        <v/>
      </c>
      <c r="B5143" s="89" t="str">
        <f t="shared" si="481"/>
        <v/>
      </c>
      <c r="S5143" s="89" t="str">
        <f t="shared" si="482"/>
        <v/>
      </c>
      <c r="X5143" s="64">
        <f t="shared" si="483"/>
        <v>0</v>
      </c>
      <c r="Y5143" s="53">
        <f t="shared" si="484"/>
        <v>0</v>
      </c>
      <c r="Z5143" s="64">
        <f t="shared" si="485"/>
        <v>0</v>
      </c>
    </row>
    <row r="5144" spans="1:26">
      <c r="A5144" s="89" t="str">
        <f t="shared" si="480"/>
        <v/>
      </c>
      <c r="B5144" s="89" t="str">
        <f t="shared" si="481"/>
        <v/>
      </c>
      <c r="S5144" s="89" t="str">
        <f t="shared" si="482"/>
        <v/>
      </c>
      <c r="X5144" s="64">
        <f t="shared" si="483"/>
        <v>0</v>
      </c>
      <c r="Y5144" s="53">
        <f t="shared" si="484"/>
        <v>0</v>
      </c>
      <c r="Z5144" s="64">
        <f t="shared" si="485"/>
        <v>0</v>
      </c>
    </row>
    <row r="5145" spans="1:26">
      <c r="A5145" s="89" t="str">
        <f t="shared" si="480"/>
        <v/>
      </c>
      <c r="B5145" s="89" t="str">
        <f t="shared" si="481"/>
        <v/>
      </c>
      <c r="S5145" s="89" t="str">
        <f t="shared" si="482"/>
        <v/>
      </c>
      <c r="X5145" s="64">
        <f t="shared" si="483"/>
        <v>0</v>
      </c>
      <c r="Y5145" s="53">
        <f t="shared" si="484"/>
        <v>0</v>
      </c>
      <c r="Z5145" s="64">
        <f t="shared" si="485"/>
        <v>0</v>
      </c>
    </row>
    <row r="5146" spans="1:26">
      <c r="A5146" s="89" t="str">
        <f t="shared" si="480"/>
        <v/>
      </c>
      <c r="B5146" s="89" t="str">
        <f t="shared" si="481"/>
        <v/>
      </c>
      <c r="S5146" s="89" t="str">
        <f t="shared" si="482"/>
        <v/>
      </c>
      <c r="X5146" s="64">
        <f t="shared" si="483"/>
        <v>0</v>
      </c>
      <c r="Y5146" s="53">
        <f t="shared" si="484"/>
        <v>0</v>
      </c>
      <c r="Z5146" s="64">
        <f t="shared" si="485"/>
        <v>0</v>
      </c>
    </row>
    <row r="5147" spans="1:26">
      <c r="A5147" s="89" t="str">
        <f t="shared" si="480"/>
        <v/>
      </c>
      <c r="B5147" s="89" t="str">
        <f t="shared" si="481"/>
        <v/>
      </c>
      <c r="S5147" s="89" t="str">
        <f t="shared" si="482"/>
        <v/>
      </c>
      <c r="X5147" s="64">
        <f t="shared" si="483"/>
        <v>0</v>
      </c>
      <c r="Y5147" s="53">
        <f t="shared" si="484"/>
        <v>0</v>
      </c>
      <c r="Z5147" s="64">
        <f t="shared" si="485"/>
        <v>0</v>
      </c>
    </row>
    <row r="5148" spans="1:26">
      <c r="A5148" s="89" t="str">
        <f t="shared" si="480"/>
        <v/>
      </c>
      <c r="B5148" s="89" t="str">
        <f t="shared" si="481"/>
        <v/>
      </c>
      <c r="S5148" s="89" t="str">
        <f t="shared" si="482"/>
        <v/>
      </c>
      <c r="X5148" s="64">
        <f t="shared" si="483"/>
        <v>0</v>
      </c>
      <c r="Y5148" s="53">
        <f t="shared" si="484"/>
        <v>0</v>
      </c>
      <c r="Z5148" s="64">
        <f t="shared" si="485"/>
        <v>0</v>
      </c>
    </row>
    <row r="5149" spans="1:26">
      <c r="A5149" s="89" t="str">
        <f t="shared" si="480"/>
        <v/>
      </c>
      <c r="B5149" s="89" t="str">
        <f t="shared" si="481"/>
        <v/>
      </c>
      <c r="S5149" s="89" t="str">
        <f t="shared" si="482"/>
        <v/>
      </c>
      <c r="X5149" s="64">
        <f t="shared" si="483"/>
        <v>0</v>
      </c>
      <c r="Y5149" s="53">
        <f t="shared" si="484"/>
        <v>0</v>
      </c>
      <c r="Z5149" s="64">
        <f t="shared" si="485"/>
        <v>0</v>
      </c>
    </row>
    <row r="5150" spans="1:26">
      <c r="A5150" s="89" t="str">
        <f t="shared" si="480"/>
        <v/>
      </c>
      <c r="B5150" s="89" t="str">
        <f t="shared" si="481"/>
        <v/>
      </c>
      <c r="S5150" s="89" t="str">
        <f t="shared" si="482"/>
        <v/>
      </c>
      <c r="X5150" s="64">
        <f t="shared" si="483"/>
        <v>0</v>
      </c>
      <c r="Y5150" s="53">
        <f t="shared" si="484"/>
        <v>0</v>
      </c>
      <c r="Z5150" s="64">
        <f t="shared" si="485"/>
        <v>0</v>
      </c>
    </row>
    <row r="5151" spans="1:26">
      <c r="A5151" s="89" t="str">
        <f t="shared" si="480"/>
        <v/>
      </c>
      <c r="B5151" s="89" t="str">
        <f t="shared" si="481"/>
        <v/>
      </c>
      <c r="S5151" s="89" t="str">
        <f t="shared" si="482"/>
        <v/>
      </c>
      <c r="X5151" s="64">
        <f t="shared" si="483"/>
        <v>0</v>
      </c>
      <c r="Y5151" s="53">
        <f t="shared" si="484"/>
        <v>0</v>
      </c>
      <c r="Z5151" s="64">
        <f t="shared" si="485"/>
        <v>0</v>
      </c>
    </row>
    <row r="5152" spans="1:26">
      <c r="A5152" s="89" t="str">
        <f t="shared" si="480"/>
        <v/>
      </c>
      <c r="B5152" s="89" t="str">
        <f t="shared" si="481"/>
        <v/>
      </c>
      <c r="S5152" s="89" t="str">
        <f t="shared" si="482"/>
        <v/>
      </c>
      <c r="X5152" s="64">
        <f t="shared" si="483"/>
        <v>0</v>
      </c>
      <c r="Y5152" s="53">
        <f t="shared" si="484"/>
        <v>0</v>
      </c>
      <c r="Z5152" s="64">
        <f t="shared" si="485"/>
        <v>0</v>
      </c>
    </row>
    <row r="5153" spans="1:26">
      <c r="A5153" s="89" t="str">
        <f t="shared" si="480"/>
        <v/>
      </c>
      <c r="B5153" s="89" t="str">
        <f t="shared" si="481"/>
        <v/>
      </c>
      <c r="S5153" s="89" t="str">
        <f t="shared" si="482"/>
        <v/>
      </c>
      <c r="X5153" s="64">
        <f t="shared" si="483"/>
        <v>0</v>
      </c>
      <c r="Y5153" s="53">
        <f t="shared" si="484"/>
        <v>0</v>
      </c>
      <c r="Z5153" s="64">
        <f t="shared" si="485"/>
        <v>0</v>
      </c>
    </row>
    <row r="5154" spans="1:26">
      <c r="A5154" s="89" t="str">
        <f t="shared" si="480"/>
        <v/>
      </c>
      <c r="B5154" s="89" t="str">
        <f t="shared" si="481"/>
        <v/>
      </c>
      <c r="S5154" s="89" t="str">
        <f t="shared" si="482"/>
        <v/>
      </c>
      <c r="X5154" s="64">
        <f t="shared" si="483"/>
        <v>0</v>
      </c>
      <c r="Y5154" s="53">
        <f t="shared" si="484"/>
        <v>0</v>
      </c>
      <c r="Z5154" s="64">
        <f t="shared" si="485"/>
        <v>0</v>
      </c>
    </row>
    <row r="5155" spans="1:26">
      <c r="A5155" s="89" t="str">
        <f t="shared" si="480"/>
        <v/>
      </c>
      <c r="B5155" s="89" t="str">
        <f t="shared" si="481"/>
        <v/>
      </c>
      <c r="S5155" s="89" t="str">
        <f t="shared" si="482"/>
        <v/>
      </c>
      <c r="X5155" s="64">
        <f t="shared" si="483"/>
        <v>0</v>
      </c>
      <c r="Y5155" s="53">
        <f t="shared" si="484"/>
        <v>0</v>
      </c>
      <c r="Z5155" s="64">
        <f t="shared" si="485"/>
        <v>0</v>
      </c>
    </row>
    <row r="5156" spans="1:26">
      <c r="A5156" s="89" t="str">
        <f t="shared" si="480"/>
        <v/>
      </c>
      <c r="B5156" s="89" t="str">
        <f t="shared" si="481"/>
        <v/>
      </c>
      <c r="S5156" s="89" t="str">
        <f t="shared" si="482"/>
        <v/>
      </c>
      <c r="X5156" s="64">
        <f t="shared" si="483"/>
        <v>0</v>
      </c>
      <c r="Y5156" s="53">
        <f t="shared" si="484"/>
        <v>0</v>
      </c>
      <c r="Z5156" s="64">
        <f t="shared" si="485"/>
        <v>0</v>
      </c>
    </row>
    <row r="5157" spans="1:26">
      <c r="A5157" s="89" t="str">
        <f t="shared" si="480"/>
        <v/>
      </c>
      <c r="B5157" s="89" t="str">
        <f t="shared" si="481"/>
        <v/>
      </c>
      <c r="S5157" s="89" t="str">
        <f t="shared" si="482"/>
        <v/>
      </c>
      <c r="X5157" s="64">
        <f t="shared" si="483"/>
        <v>0</v>
      </c>
      <c r="Y5157" s="53">
        <f t="shared" si="484"/>
        <v>0</v>
      </c>
      <c r="Z5157" s="64">
        <f t="shared" si="485"/>
        <v>0</v>
      </c>
    </row>
    <row r="5158" spans="1:26">
      <c r="A5158" s="89" t="str">
        <f t="shared" si="480"/>
        <v/>
      </c>
      <c r="B5158" s="89" t="str">
        <f t="shared" si="481"/>
        <v/>
      </c>
      <c r="S5158" s="89" t="str">
        <f t="shared" si="482"/>
        <v/>
      </c>
      <c r="X5158" s="64">
        <f t="shared" si="483"/>
        <v>0</v>
      </c>
      <c r="Y5158" s="53">
        <f t="shared" si="484"/>
        <v>0</v>
      </c>
      <c r="Z5158" s="64">
        <f t="shared" si="485"/>
        <v>0</v>
      </c>
    </row>
    <row r="5159" spans="1:26">
      <c r="A5159" s="89" t="str">
        <f t="shared" si="480"/>
        <v/>
      </c>
      <c r="B5159" s="89" t="str">
        <f t="shared" si="481"/>
        <v/>
      </c>
      <c r="S5159" s="89" t="str">
        <f t="shared" si="482"/>
        <v/>
      </c>
      <c r="X5159" s="64">
        <f t="shared" si="483"/>
        <v>0</v>
      </c>
      <c r="Y5159" s="53">
        <f t="shared" si="484"/>
        <v>0</v>
      </c>
      <c r="Z5159" s="64">
        <f t="shared" si="485"/>
        <v>0</v>
      </c>
    </row>
    <row r="5160" spans="1:26">
      <c r="A5160" s="89" t="str">
        <f t="shared" si="480"/>
        <v/>
      </c>
      <c r="B5160" s="89" t="str">
        <f t="shared" si="481"/>
        <v/>
      </c>
      <c r="S5160" s="89" t="str">
        <f t="shared" si="482"/>
        <v/>
      </c>
      <c r="X5160" s="64">
        <f t="shared" si="483"/>
        <v>0</v>
      </c>
      <c r="Y5160" s="53">
        <f t="shared" si="484"/>
        <v>0</v>
      </c>
      <c r="Z5160" s="64">
        <f t="shared" si="485"/>
        <v>0</v>
      </c>
    </row>
    <row r="5161" spans="1:26">
      <c r="A5161" s="89" t="str">
        <f t="shared" si="480"/>
        <v/>
      </c>
      <c r="B5161" s="89" t="str">
        <f t="shared" si="481"/>
        <v/>
      </c>
      <c r="S5161" s="89" t="str">
        <f t="shared" si="482"/>
        <v/>
      </c>
      <c r="X5161" s="64">
        <f t="shared" si="483"/>
        <v>0</v>
      </c>
      <c r="Y5161" s="53">
        <f t="shared" si="484"/>
        <v>0</v>
      </c>
      <c r="Z5161" s="64">
        <f t="shared" si="485"/>
        <v>0</v>
      </c>
    </row>
    <row r="5162" spans="1:26">
      <c r="A5162" s="89" t="str">
        <f t="shared" si="480"/>
        <v/>
      </c>
      <c r="B5162" s="89" t="str">
        <f t="shared" si="481"/>
        <v/>
      </c>
      <c r="S5162" s="89" t="str">
        <f t="shared" si="482"/>
        <v/>
      </c>
      <c r="X5162" s="64">
        <f t="shared" si="483"/>
        <v>0</v>
      </c>
      <c r="Y5162" s="53">
        <f t="shared" si="484"/>
        <v>0</v>
      </c>
      <c r="Z5162" s="64">
        <f t="shared" si="485"/>
        <v>0</v>
      </c>
    </row>
    <row r="5163" spans="1:26">
      <c r="A5163" s="89" t="str">
        <f t="shared" si="480"/>
        <v/>
      </c>
      <c r="B5163" s="89" t="str">
        <f t="shared" si="481"/>
        <v/>
      </c>
      <c r="S5163" s="89" t="str">
        <f t="shared" si="482"/>
        <v/>
      </c>
      <c r="X5163" s="64">
        <f t="shared" si="483"/>
        <v>0</v>
      </c>
      <c r="Y5163" s="53">
        <f t="shared" si="484"/>
        <v>0</v>
      </c>
      <c r="Z5163" s="64">
        <f t="shared" si="485"/>
        <v>0</v>
      </c>
    </row>
    <row r="5164" spans="1:26">
      <c r="A5164" s="89" t="str">
        <f t="shared" si="480"/>
        <v/>
      </c>
      <c r="B5164" s="89" t="str">
        <f t="shared" si="481"/>
        <v/>
      </c>
      <c r="S5164" s="89" t="str">
        <f t="shared" si="482"/>
        <v/>
      </c>
      <c r="X5164" s="64">
        <f t="shared" si="483"/>
        <v>0</v>
      </c>
      <c r="Y5164" s="53">
        <f t="shared" si="484"/>
        <v>0</v>
      </c>
      <c r="Z5164" s="64">
        <f t="shared" si="485"/>
        <v>0</v>
      </c>
    </row>
    <row r="5165" spans="1:26">
      <c r="A5165" s="89" t="str">
        <f t="shared" si="480"/>
        <v/>
      </c>
      <c r="B5165" s="89" t="str">
        <f t="shared" si="481"/>
        <v/>
      </c>
      <c r="S5165" s="89" t="str">
        <f t="shared" si="482"/>
        <v/>
      </c>
      <c r="X5165" s="64">
        <f t="shared" si="483"/>
        <v>0</v>
      </c>
      <c r="Y5165" s="53">
        <f t="shared" si="484"/>
        <v>0</v>
      </c>
      <c r="Z5165" s="64">
        <f t="shared" si="485"/>
        <v>0</v>
      </c>
    </row>
    <row r="5166" spans="1:26">
      <c r="A5166" s="89" t="str">
        <f t="shared" si="480"/>
        <v/>
      </c>
      <c r="B5166" s="89" t="str">
        <f t="shared" si="481"/>
        <v/>
      </c>
      <c r="S5166" s="89" t="str">
        <f t="shared" si="482"/>
        <v/>
      </c>
      <c r="X5166" s="64">
        <f t="shared" si="483"/>
        <v>0</v>
      </c>
      <c r="Y5166" s="53">
        <f t="shared" si="484"/>
        <v>0</v>
      </c>
      <c r="Z5166" s="64">
        <f t="shared" si="485"/>
        <v>0</v>
      </c>
    </row>
    <row r="5167" spans="1:26">
      <c r="A5167" s="89" t="str">
        <f t="shared" si="480"/>
        <v/>
      </c>
      <c r="B5167" s="89" t="str">
        <f t="shared" si="481"/>
        <v/>
      </c>
      <c r="S5167" s="89" t="str">
        <f t="shared" si="482"/>
        <v/>
      </c>
      <c r="X5167" s="64">
        <f t="shared" si="483"/>
        <v>0</v>
      </c>
      <c r="Y5167" s="53">
        <f t="shared" si="484"/>
        <v>0</v>
      </c>
      <c r="Z5167" s="64">
        <f t="shared" si="485"/>
        <v>0</v>
      </c>
    </row>
    <row r="5168" spans="1:26">
      <c r="A5168" s="89" t="str">
        <f t="shared" si="480"/>
        <v/>
      </c>
      <c r="B5168" s="89" t="str">
        <f t="shared" si="481"/>
        <v/>
      </c>
      <c r="S5168" s="89" t="str">
        <f t="shared" si="482"/>
        <v/>
      </c>
      <c r="X5168" s="64">
        <f t="shared" si="483"/>
        <v>0</v>
      </c>
      <c r="Y5168" s="53">
        <f t="shared" si="484"/>
        <v>0</v>
      </c>
      <c r="Z5168" s="64">
        <f t="shared" si="485"/>
        <v>0</v>
      </c>
    </row>
    <row r="5169" spans="1:26">
      <c r="A5169" s="89" t="str">
        <f t="shared" si="480"/>
        <v/>
      </c>
      <c r="B5169" s="89" t="str">
        <f t="shared" si="481"/>
        <v/>
      </c>
      <c r="S5169" s="89" t="str">
        <f t="shared" si="482"/>
        <v/>
      </c>
      <c r="X5169" s="64">
        <f t="shared" si="483"/>
        <v>0</v>
      </c>
      <c r="Y5169" s="53">
        <f t="shared" si="484"/>
        <v>0</v>
      </c>
      <c r="Z5169" s="64">
        <f t="shared" si="485"/>
        <v>0</v>
      </c>
    </row>
    <row r="5170" spans="1:26">
      <c r="A5170" s="89" t="str">
        <f t="shared" si="480"/>
        <v/>
      </c>
      <c r="B5170" s="89" t="str">
        <f t="shared" si="481"/>
        <v/>
      </c>
      <c r="S5170" s="89" t="str">
        <f t="shared" si="482"/>
        <v/>
      </c>
      <c r="X5170" s="64">
        <f t="shared" si="483"/>
        <v>0</v>
      </c>
      <c r="Y5170" s="53">
        <f t="shared" si="484"/>
        <v>0</v>
      </c>
      <c r="Z5170" s="64">
        <f t="shared" si="485"/>
        <v>0</v>
      </c>
    </row>
    <row r="5171" spans="1:26">
      <c r="A5171" s="89" t="str">
        <f t="shared" si="480"/>
        <v/>
      </c>
      <c r="B5171" s="89" t="str">
        <f t="shared" si="481"/>
        <v/>
      </c>
      <c r="S5171" s="89" t="str">
        <f t="shared" si="482"/>
        <v/>
      </c>
      <c r="X5171" s="64">
        <f t="shared" si="483"/>
        <v>0</v>
      </c>
      <c r="Y5171" s="53">
        <f t="shared" si="484"/>
        <v>0</v>
      </c>
      <c r="Z5171" s="64">
        <f t="shared" si="485"/>
        <v>0</v>
      </c>
    </row>
    <row r="5172" spans="1:26">
      <c r="A5172" s="89" t="str">
        <f t="shared" si="480"/>
        <v/>
      </c>
      <c r="B5172" s="89" t="str">
        <f t="shared" si="481"/>
        <v/>
      </c>
      <c r="S5172" s="89" t="str">
        <f t="shared" si="482"/>
        <v/>
      </c>
      <c r="X5172" s="64">
        <f t="shared" si="483"/>
        <v>0</v>
      </c>
      <c r="Y5172" s="53">
        <f t="shared" si="484"/>
        <v>0</v>
      </c>
      <c r="Z5172" s="64">
        <f t="shared" si="485"/>
        <v>0</v>
      </c>
    </row>
    <row r="5173" spans="1:26">
      <c r="A5173" s="89" t="str">
        <f t="shared" si="480"/>
        <v/>
      </c>
      <c r="B5173" s="89" t="str">
        <f t="shared" si="481"/>
        <v/>
      </c>
      <c r="S5173" s="89" t="str">
        <f t="shared" si="482"/>
        <v/>
      </c>
      <c r="X5173" s="64">
        <f t="shared" si="483"/>
        <v>0</v>
      </c>
      <c r="Y5173" s="53">
        <f t="shared" si="484"/>
        <v>0</v>
      </c>
      <c r="Z5173" s="64">
        <f t="shared" si="485"/>
        <v>0</v>
      </c>
    </row>
    <row r="5174" spans="1:26">
      <c r="A5174" s="89" t="str">
        <f t="shared" si="480"/>
        <v/>
      </c>
      <c r="B5174" s="89" t="str">
        <f t="shared" si="481"/>
        <v/>
      </c>
      <c r="S5174" s="89" t="str">
        <f t="shared" si="482"/>
        <v/>
      </c>
      <c r="X5174" s="64">
        <f t="shared" si="483"/>
        <v>0</v>
      </c>
      <c r="Y5174" s="53">
        <f t="shared" si="484"/>
        <v>0</v>
      </c>
      <c r="Z5174" s="64">
        <f t="shared" si="485"/>
        <v>0</v>
      </c>
    </row>
    <row r="5175" spans="1:26">
      <c r="A5175" s="89" t="str">
        <f t="shared" si="480"/>
        <v/>
      </c>
      <c r="B5175" s="89" t="str">
        <f t="shared" si="481"/>
        <v/>
      </c>
      <c r="S5175" s="89" t="str">
        <f t="shared" si="482"/>
        <v/>
      </c>
      <c r="X5175" s="64">
        <f t="shared" si="483"/>
        <v>0</v>
      </c>
      <c r="Y5175" s="53">
        <f t="shared" si="484"/>
        <v>0</v>
      </c>
      <c r="Z5175" s="64">
        <f t="shared" si="485"/>
        <v>0</v>
      </c>
    </row>
    <row r="5176" spans="1:26">
      <c r="A5176" s="89" t="str">
        <f t="shared" si="480"/>
        <v/>
      </c>
      <c r="B5176" s="89" t="str">
        <f t="shared" si="481"/>
        <v/>
      </c>
      <c r="S5176" s="89" t="str">
        <f t="shared" si="482"/>
        <v/>
      </c>
      <c r="X5176" s="64">
        <f t="shared" si="483"/>
        <v>0</v>
      </c>
      <c r="Y5176" s="53">
        <f t="shared" si="484"/>
        <v>0</v>
      </c>
      <c r="Z5176" s="64">
        <f t="shared" si="485"/>
        <v>0</v>
      </c>
    </row>
    <row r="5177" spans="1:26">
      <c r="A5177" s="89" t="str">
        <f t="shared" si="480"/>
        <v/>
      </c>
      <c r="B5177" s="89" t="str">
        <f t="shared" si="481"/>
        <v/>
      </c>
      <c r="S5177" s="89" t="str">
        <f t="shared" si="482"/>
        <v/>
      </c>
      <c r="X5177" s="64">
        <f t="shared" si="483"/>
        <v>0</v>
      </c>
      <c r="Y5177" s="53">
        <f t="shared" si="484"/>
        <v>0</v>
      </c>
      <c r="Z5177" s="64">
        <f t="shared" si="485"/>
        <v>0</v>
      </c>
    </row>
    <row r="5178" spans="1:26">
      <c r="A5178" s="89" t="str">
        <f t="shared" si="480"/>
        <v/>
      </c>
      <c r="B5178" s="89" t="str">
        <f t="shared" si="481"/>
        <v/>
      </c>
      <c r="S5178" s="89" t="str">
        <f t="shared" si="482"/>
        <v/>
      </c>
      <c r="X5178" s="64">
        <f t="shared" si="483"/>
        <v>0</v>
      </c>
      <c r="Y5178" s="53">
        <f t="shared" si="484"/>
        <v>0</v>
      </c>
      <c r="Z5178" s="64">
        <f t="shared" si="485"/>
        <v>0</v>
      </c>
    </row>
    <row r="5179" spans="1:26">
      <c r="A5179" s="89" t="str">
        <f t="shared" si="480"/>
        <v/>
      </c>
      <c r="B5179" s="89" t="str">
        <f t="shared" si="481"/>
        <v/>
      </c>
      <c r="S5179" s="89" t="str">
        <f t="shared" si="482"/>
        <v/>
      </c>
      <c r="X5179" s="64">
        <f t="shared" si="483"/>
        <v>0</v>
      </c>
      <c r="Y5179" s="53">
        <f t="shared" si="484"/>
        <v>0</v>
      </c>
      <c r="Z5179" s="64">
        <f t="shared" si="485"/>
        <v>0</v>
      </c>
    </row>
    <row r="5180" spans="1:26">
      <c r="A5180" s="89" t="str">
        <f t="shared" si="480"/>
        <v/>
      </c>
      <c r="B5180" s="89" t="str">
        <f t="shared" si="481"/>
        <v/>
      </c>
      <c r="S5180" s="89" t="str">
        <f t="shared" si="482"/>
        <v/>
      </c>
      <c r="X5180" s="64">
        <f t="shared" si="483"/>
        <v>0</v>
      </c>
      <c r="Y5180" s="53">
        <f t="shared" si="484"/>
        <v>0</v>
      </c>
      <c r="Z5180" s="64">
        <f t="shared" si="485"/>
        <v>0</v>
      </c>
    </row>
    <row r="5181" spans="1:26">
      <c r="A5181" s="89" t="str">
        <f t="shared" si="480"/>
        <v/>
      </c>
      <c r="B5181" s="89" t="str">
        <f t="shared" si="481"/>
        <v/>
      </c>
      <c r="S5181" s="89" t="str">
        <f t="shared" si="482"/>
        <v/>
      </c>
      <c r="X5181" s="64">
        <f t="shared" si="483"/>
        <v>0</v>
      </c>
      <c r="Y5181" s="53">
        <f t="shared" si="484"/>
        <v>0</v>
      </c>
      <c r="Z5181" s="64">
        <f t="shared" si="485"/>
        <v>0</v>
      </c>
    </row>
    <row r="5182" spans="1:26">
      <c r="A5182" s="89" t="str">
        <f t="shared" si="480"/>
        <v/>
      </c>
      <c r="B5182" s="89" t="str">
        <f t="shared" si="481"/>
        <v/>
      </c>
      <c r="S5182" s="89" t="str">
        <f t="shared" si="482"/>
        <v/>
      </c>
      <c r="X5182" s="64">
        <f t="shared" si="483"/>
        <v>0</v>
      </c>
      <c r="Y5182" s="53">
        <f t="shared" si="484"/>
        <v>0</v>
      </c>
      <c r="Z5182" s="64">
        <f t="shared" si="485"/>
        <v>0</v>
      </c>
    </row>
    <row r="5183" spans="1:26">
      <c r="A5183" s="89" t="str">
        <f t="shared" si="480"/>
        <v/>
      </c>
      <c r="B5183" s="89" t="str">
        <f t="shared" si="481"/>
        <v/>
      </c>
      <c r="S5183" s="89" t="str">
        <f t="shared" si="482"/>
        <v/>
      </c>
      <c r="X5183" s="64">
        <f t="shared" si="483"/>
        <v>0</v>
      </c>
      <c r="Y5183" s="53">
        <f t="shared" si="484"/>
        <v>0</v>
      </c>
      <c r="Z5183" s="64">
        <f t="shared" si="485"/>
        <v>0</v>
      </c>
    </row>
    <row r="5184" spans="1:26">
      <c r="A5184" s="89" t="str">
        <f t="shared" si="480"/>
        <v/>
      </c>
      <c r="B5184" s="89" t="str">
        <f t="shared" si="481"/>
        <v/>
      </c>
      <c r="S5184" s="89" t="str">
        <f t="shared" si="482"/>
        <v/>
      </c>
      <c r="X5184" s="64">
        <f t="shared" si="483"/>
        <v>0</v>
      </c>
      <c r="Y5184" s="53">
        <f t="shared" si="484"/>
        <v>0</v>
      </c>
      <c r="Z5184" s="64">
        <f t="shared" si="485"/>
        <v>0</v>
      </c>
    </row>
    <row r="5185" spans="1:26">
      <c r="A5185" s="89" t="str">
        <f t="shared" si="480"/>
        <v/>
      </c>
      <c r="B5185" s="89" t="str">
        <f t="shared" si="481"/>
        <v/>
      </c>
      <c r="S5185" s="89" t="str">
        <f t="shared" si="482"/>
        <v/>
      </c>
      <c r="X5185" s="64">
        <f t="shared" si="483"/>
        <v>0</v>
      </c>
      <c r="Y5185" s="53">
        <f t="shared" si="484"/>
        <v>0</v>
      </c>
      <c r="Z5185" s="64">
        <f t="shared" si="485"/>
        <v>0</v>
      </c>
    </row>
    <row r="5186" spans="1:26">
      <c r="A5186" s="89" t="str">
        <f t="shared" si="480"/>
        <v/>
      </c>
      <c r="B5186" s="89" t="str">
        <f t="shared" si="481"/>
        <v/>
      </c>
      <c r="S5186" s="89" t="str">
        <f t="shared" si="482"/>
        <v/>
      </c>
      <c r="X5186" s="64">
        <f t="shared" si="483"/>
        <v>0</v>
      </c>
      <c r="Y5186" s="53">
        <f t="shared" si="484"/>
        <v>0</v>
      </c>
      <c r="Z5186" s="64">
        <f t="shared" si="485"/>
        <v>0</v>
      </c>
    </row>
    <row r="5187" spans="1:26">
      <c r="A5187" s="89" t="str">
        <f t="shared" ref="A5187:A5250" si="486">IF(G5187&amp;Q5187&lt;&gt;"",G5187&amp;Q5187,"")</f>
        <v/>
      </c>
      <c r="B5187" s="89" t="str">
        <f t="shared" ref="B5187:B5250" si="487">IF(C5187&lt;&gt;"",LEFT(C5187,9),"")</f>
        <v/>
      </c>
      <c r="S5187" s="89" t="str">
        <f t="shared" ref="S5187:S5250" si="488">IF(H5187&lt;&gt;"",H5187,"")</f>
        <v/>
      </c>
      <c r="X5187" s="64">
        <f t="shared" ref="X5187:X5250" si="489">IFERROR(VALUE(MID($C5187,1,2)),0)</f>
        <v>0</v>
      </c>
      <c r="Y5187" s="53">
        <f t="shared" ref="Y5187:Y5250" si="490">IFERROR(VALUE(MID($C5187,4,3)),0)</f>
        <v>0</v>
      </c>
      <c r="Z5187" s="64">
        <f t="shared" ref="Z5187:Z5250" si="491">VALUE(RIGHT("00"&amp;X5187,2)&amp;RIGHT("000"&amp;Y5187,3))</f>
        <v>0</v>
      </c>
    </row>
    <row r="5188" spans="1:26">
      <c r="A5188" s="89" t="str">
        <f t="shared" si="486"/>
        <v/>
      </c>
      <c r="B5188" s="89" t="str">
        <f t="shared" si="487"/>
        <v/>
      </c>
      <c r="S5188" s="89" t="str">
        <f t="shared" si="488"/>
        <v/>
      </c>
      <c r="X5188" s="64">
        <f t="shared" si="489"/>
        <v>0</v>
      </c>
      <c r="Y5188" s="53">
        <f t="shared" si="490"/>
        <v>0</v>
      </c>
      <c r="Z5188" s="64">
        <f t="shared" si="491"/>
        <v>0</v>
      </c>
    </row>
    <row r="5189" spans="1:26">
      <c r="A5189" s="89" t="str">
        <f t="shared" si="486"/>
        <v/>
      </c>
      <c r="B5189" s="89" t="str">
        <f t="shared" si="487"/>
        <v/>
      </c>
      <c r="S5189" s="89" t="str">
        <f t="shared" si="488"/>
        <v/>
      </c>
      <c r="X5189" s="64">
        <f t="shared" si="489"/>
        <v>0</v>
      </c>
      <c r="Y5189" s="53">
        <f t="shared" si="490"/>
        <v>0</v>
      </c>
      <c r="Z5189" s="64">
        <f t="shared" si="491"/>
        <v>0</v>
      </c>
    </row>
    <row r="5190" spans="1:26">
      <c r="A5190" s="89" t="str">
        <f t="shared" si="486"/>
        <v/>
      </c>
      <c r="B5190" s="89" t="str">
        <f t="shared" si="487"/>
        <v/>
      </c>
      <c r="S5190" s="89" t="str">
        <f t="shared" si="488"/>
        <v/>
      </c>
      <c r="X5190" s="64">
        <f t="shared" si="489"/>
        <v>0</v>
      </c>
      <c r="Y5190" s="53">
        <f t="shared" si="490"/>
        <v>0</v>
      </c>
      <c r="Z5190" s="64">
        <f t="shared" si="491"/>
        <v>0</v>
      </c>
    </row>
    <row r="5191" spans="1:26">
      <c r="A5191" s="89" t="str">
        <f t="shared" si="486"/>
        <v/>
      </c>
      <c r="B5191" s="89" t="str">
        <f t="shared" si="487"/>
        <v/>
      </c>
      <c r="S5191" s="89" t="str">
        <f t="shared" si="488"/>
        <v/>
      </c>
      <c r="X5191" s="64">
        <f t="shared" si="489"/>
        <v>0</v>
      </c>
      <c r="Y5191" s="53">
        <f t="shared" si="490"/>
        <v>0</v>
      </c>
      <c r="Z5191" s="64">
        <f t="shared" si="491"/>
        <v>0</v>
      </c>
    </row>
    <row r="5192" spans="1:26">
      <c r="A5192" s="89" t="str">
        <f t="shared" si="486"/>
        <v/>
      </c>
      <c r="B5192" s="89" t="str">
        <f t="shared" si="487"/>
        <v/>
      </c>
      <c r="S5192" s="89" t="str">
        <f t="shared" si="488"/>
        <v/>
      </c>
      <c r="X5192" s="64">
        <f t="shared" si="489"/>
        <v>0</v>
      </c>
      <c r="Y5192" s="53">
        <f t="shared" si="490"/>
        <v>0</v>
      </c>
      <c r="Z5192" s="64">
        <f t="shared" si="491"/>
        <v>0</v>
      </c>
    </row>
    <row r="5193" spans="1:26">
      <c r="A5193" s="89" t="str">
        <f t="shared" si="486"/>
        <v/>
      </c>
      <c r="B5193" s="89" t="str">
        <f t="shared" si="487"/>
        <v/>
      </c>
      <c r="S5193" s="89" t="str">
        <f t="shared" si="488"/>
        <v/>
      </c>
      <c r="X5193" s="64">
        <f t="shared" si="489"/>
        <v>0</v>
      </c>
      <c r="Y5193" s="53">
        <f t="shared" si="490"/>
        <v>0</v>
      </c>
      <c r="Z5193" s="64">
        <f t="shared" si="491"/>
        <v>0</v>
      </c>
    </row>
    <row r="5194" spans="1:26">
      <c r="A5194" s="89" t="str">
        <f t="shared" si="486"/>
        <v/>
      </c>
      <c r="B5194" s="89" t="str">
        <f t="shared" si="487"/>
        <v/>
      </c>
      <c r="S5194" s="89" t="str">
        <f t="shared" si="488"/>
        <v/>
      </c>
      <c r="X5194" s="64">
        <f t="shared" si="489"/>
        <v>0</v>
      </c>
      <c r="Y5194" s="53">
        <f t="shared" si="490"/>
        <v>0</v>
      </c>
      <c r="Z5194" s="64">
        <f t="shared" si="491"/>
        <v>0</v>
      </c>
    </row>
    <row r="5195" spans="1:26">
      <c r="A5195" s="89" t="str">
        <f t="shared" si="486"/>
        <v/>
      </c>
      <c r="B5195" s="89" t="str">
        <f t="shared" si="487"/>
        <v/>
      </c>
      <c r="S5195" s="89" t="str">
        <f t="shared" si="488"/>
        <v/>
      </c>
      <c r="X5195" s="64">
        <f t="shared" si="489"/>
        <v>0</v>
      </c>
      <c r="Y5195" s="53">
        <f t="shared" si="490"/>
        <v>0</v>
      </c>
      <c r="Z5195" s="64">
        <f t="shared" si="491"/>
        <v>0</v>
      </c>
    </row>
    <row r="5196" spans="1:26">
      <c r="A5196" s="89" t="str">
        <f t="shared" si="486"/>
        <v/>
      </c>
      <c r="B5196" s="89" t="str">
        <f t="shared" si="487"/>
        <v/>
      </c>
      <c r="S5196" s="89" t="str">
        <f t="shared" si="488"/>
        <v/>
      </c>
      <c r="X5196" s="64">
        <f t="shared" si="489"/>
        <v>0</v>
      </c>
      <c r="Y5196" s="53">
        <f t="shared" si="490"/>
        <v>0</v>
      </c>
      <c r="Z5196" s="64">
        <f t="shared" si="491"/>
        <v>0</v>
      </c>
    </row>
    <row r="5197" spans="1:26">
      <c r="A5197" s="89" t="str">
        <f t="shared" si="486"/>
        <v/>
      </c>
      <c r="B5197" s="89" t="str">
        <f t="shared" si="487"/>
        <v/>
      </c>
      <c r="S5197" s="89" t="str">
        <f t="shared" si="488"/>
        <v/>
      </c>
      <c r="X5197" s="64">
        <f t="shared" si="489"/>
        <v>0</v>
      </c>
      <c r="Y5197" s="53">
        <f t="shared" si="490"/>
        <v>0</v>
      </c>
      <c r="Z5197" s="64">
        <f t="shared" si="491"/>
        <v>0</v>
      </c>
    </row>
    <row r="5198" spans="1:26">
      <c r="A5198" s="89" t="str">
        <f t="shared" si="486"/>
        <v/>
      </c>
      <c r="B5198" s="89" t="str">
        <f t="shared" si="487"/>
        <v/>
      </c>
      <c r="S5198" s="89" t="str">
        <f t="shared" si="488"/>
        <v/>
      </c>
      <c r="X5198" s="64">
        <f t="shared" si="489"/>
        <v>0</v>
      </c>
      <c r="Y5198" s="53">
        <f t="shared" si="490"/>
        <v>0</v>
      </c>
      <c r="Z5198" s="64">
        <f t="shared" si="491"/>
        <v>0</v>
      </c>
    </row>
    <row r="5199" spans="1:26">
      <c r="A5199" s="89" t="str">
        <f t="shared" si="486"/>
        <v/>
      </c>
      <c r="B5199" s="89" t="str">
        <f t="shared" si="487"/>
        <v/>
      </c>
      <c r="S5199" s="89" t="str">
        <f t="shared" si="488"/>
        <v/>
      </c>
      <c r="X5199" s="64">
        <f t="shared" si="489"/>
        <v>0</v>
      </c>
      <c r="Y5199" s="53">
        <f t="shared" si="490"/>
        <v>0</v>
      </c>
      <c r="Z5199" s="64">
        <f t="shared" si="491"/>
        <v>0</v>
      </c>
    </row>
    <row r="5200" spans="1:26">
      <c r="A5200" s="89" t="str">
        <f t="shared" si="486"/>
        <v/>
      </c>
      <c r="B5200" s="89" t="str">
        <f t="shared" si="487"/>
        <v/>
      </c>
      <c r="S5200" s="89" t="str">
        <f t="shared" si="488"/>
        <v/>
      </c>
      <c r="X5200" s="64">
        <f t="shared" si="489"/>
        <v>0</v>
      </c>
      <c r="Y5200" s="53">
        <f t="shared" si="490"/>
        <v>0</v>
      </c>
      <c r="Z5200" s="64">
        <f t="shared" si="491"/>
        <v>0</v>
      </c>
    </row>
    <row r="5201" spans="1:26">
      <c r="A5201" s="89" t="str">
        <f t="shared" si="486"/>
        <v/>
      </c>
      <c r="B5201" s="89" t="str">
        <f t="shared" si="487"/>
        <v/>
      </c>
      <c r="S5201" s="89" t="str">
        <f t="shared" si="488"/>
        <v/>
      </c>
      <c r="X5201" s="64">
        <f t="shared" si="489"/>
        <v>0</v>
      </c>
      <c r="Y5201" s="53">
        <f t="shared" si="490"/>
        <v>0</v>
      </c>
      <c r="Z5201" s="64">
        <f t="shared" si="491"/>
        <v>0</v>
      </c>
    </row>
    <row r="5202" spans="1:26">
      <c r="A5202" s="89" t="str">
        <f t="shared" si="486"/>
        <v/>
      </c>
      <c r="B5202" s="89" t="str">
        <f t="shared" si="487"/>
        <v/>
      </c>
      <c r="S5202" s="89" t="str">
        <f t="shared" si="488"/>
        <v/>
      </c>
      <c r="X5202" s="64">
        <f t="shared" si="489"/>
        <v>0</v>
      </c>
      <c r="Y5202" s="53">
        <f t="shared" si="490"/>
        <v>0</v>
      </c>
      <c r="Z5202" s="64">
        <f t="shared" si="491"/>
        <v>0</v>
      </c>
    </row>
    <row r="5203" spans="1:26">
      <c r="A5203" s="89" t="str">
        <f t="shared" si="486"/>
        <v/>
      </c>
      <c r="B5203" s="89" t="str">
        <f t="shared" si="487"/>
        <v/>
      </c>
      <c r="S5203" s="89" t="str">
        <f t="shared" si="488"/>
        <v/>
      </c>
      <c r="X5203" s="64">
        <f t="shared" si="489"/>
        <v>0</v>
      </c>
      <c r="Y5203" s="53">
        <f t="shared" si="490"/>
        <v>0</v>
      </c>
      <c r="Z5203" s="64">
        <f t="shared" si="491"/>
        <v>0</v>
      </c>
    </row>
    <row r="5204" spans="1:26">
      <c r="A5204" s="89" t="str">
        <f t="shared" si="486"/>
        <v/>
      </c>
      <c r="B5204" s="89" t="str">
        <f t="shared" si="487"/>
        <v/>
      </c>
      <c r="S5204" s="89" t="str">
        <f t="shared" si="488"/>
        <v/>
      </c>
      <c r="X5204" s="64">
        <f t="shared" si="489"/>
        <v>0</v>
      </c>
      <c r="Y5204" s="53">
        <f t="shared" si="490"/>
        <v>0</v>
      </c>
      <c r="Z5204" s="64">
        <f t="shared" si="491"/>
        <v>0</v>
      </c>
    </row>
    <row r="5205" spans="1:26">
      <c r="A5205" s="89" t="str">
        <f t="shared" si="486"/>
        <v/>
      </c>
      <c r="B5205" s="89" t="str">
        <f t="shared" si="487"/>
        <v/>
      </c>
      <c r="S5205" s="89" t="str">
        <f t="shared" si="488"/>
        <v/>
      </c>
      <c r="X5205" s="64">
        <f t="shared" si="489"/>
        <v>0</v>
      </c>
      <c r="Y5205" s="53">
        <f t="shared" si="490"/>
        <v>0</v>
      </c>
      <c r="Z5205" s="64">
        <f t="shared" si="491"/>
        <v>0</v>
      </c>
    </row>
    <row r="5206" spans="1:26">
      <c r="A5206" s="89" t="str">
        <f t="shared" si="486"/>
        <v/>
      </c>
      <c r="B5206" s="89" t="str">
        <f t="shared" si="487"/>
        <v/>
      </c>
      <c r="S5206" s="89" t="str">
        <f t="shared" si="488"/>
        <v/>
      </c>
      <c r="X5206" s="64">
        <f t="shared" si="489"/>
        <v>0</v>
      </c>
      <c r="Y5206" s="53">
        <f t="shared" si="490"/>
        <v>0</v>
      </c>
      <c r="Z5206" s="64">
        <f t="shared" si="491"/>
        <v>0</v>
      </c>
    </row>
    <row r="5207" spans="1:26">
      <c r="A5207" s="89" t="str">
        <f t="shared" si="486"/>
        <v/>
      </c>
      <c r="B5207" s="89" t="str">
        <f t="shared" si="487"/>
        <v/>
      </c>
      <c r="S5207" s="89" t="str">
        <f t="shared" si="488"/>
        <v/>
      </c>
      <c r="X5207" s="64">
        <f t="shared" si="489"/>
        <v>0</v>
      </c>
      <c r="Y5207" s="53">
        <f t="shared" si="490"/>
        <v>0</v>
      </c>
      <c r="Z5207" s="64">
        <f t="shared" si="491"/>
        <v>0</v>
      </c>
    </row>
    <row r="5208" spans="1:26">
      <c r="A5208" s="89" t="str">
        <f t="shared" si="486"/>
        <v/>
      </c>
      <c r="B5208" s="89" t="str">
        <f t="shared" si="487"/>
        <v/>
      </c>
      <c r="S5208" s="89" t="str">
        <f t="shared" si="488"/>
        <v/>
      </c>
      <c r="X5208" s="64">
        <f t="shared" si="489"/>
        <v>0</v>
      </c>
      <c r="Y5208" s="53">
        <f t="shared" si="490"/>
        <v>0</v>
      </c>
      <c r="Z5208" s="64">
        <f t="shared" si="491"/>
        <v>0</v>
      </c>
    </row>
    <row r="5209" spans="1:26">
      <c r="A5209" s="89" t="str">
        <f t="shared" si="486"/>
        <v/>
      </c>
      <c r="B5209" s="89" t="str">
        <f t="shared" si="487"/>
        <v/>
      </c>
      <c r="S5209" s="89" t="str">
        <f t="shared" si="488"/>
        <v/>
      </c>
      <c r="X5209" s="64">
        <f t="shared" si="489"/>
        <v>0</v>
      </c>
      <c r="Y5209" s="53">
        <f t="shared" si="490"/>
        <v>0</v>
      </c>
      <c r="Z5209" s="64">
        <f t="shared" si="491"/>
        <v>0</v>
      </c>
    </row>
    <row r="5210" spans="1:26">
      <c r="A5210" s="89" t="str">
        <f t="shared" si="486"/>
        <v/>
      </c>
      <c r="B5210" s="89" t="str">
        <f t="shared" si="487"/>
        <v/>
      </c>
      <c r="S5210" s="89" t="str">
        <f t="shared" si="488"/>
        <v/>
      </c>
      <c r="X5210" s="64">
        <f t="shared" si="489"/>
        <v>0</v>
      </c>
      <c r="Y5210" s="53">
        <f t="shared" si="490"/>
        <v>0</v>
      </c>
      <c r="Z5210" s="64">
        <f t="shared" si="491"/>
        <v>0</v>
      </c>
    </row>
    <row r="5211" spans="1:26">
      <c r="A5211" s="89" t="str">
        <f t="shared" si="486"/>
        <v/>
      </c>
      <c r="B5211" s="89" t="str">
        <f t="shared" si="487"/>
        <v/>
      </c>
      <c r="S5211" s="89" t="str">
        <f t="shared" si="488"/>
        <v/>
      </c>
      <c r="X5211" s="64">
        <f t="shared" si="489"/>
        <v>0</v>
      </c>
      <c r="Y5211" s="53">
        <f t="shared" si="490"/>
        <v>0</v>
      </c>
      <c r="Z5211" s="64">
        <f t="shared" si="491"/>
        <v>0</v>
      </c>
    </row>
    <row r="5212" spans="1:26">
      <c r="A5212" s="89" t="str">
        <f t="shared" si="486"/>
        <v/>
      </c>
      <c r="B5212" s="89" t="str">
        <f t="shared" si="487"/>
        <v/>
      </c>
      <c r="S5212" s="89" t="str">
        <f t="shared" si="488"/>
        <v/>
      </c>
      <c r="X5212" s="64">
        <f t="shared" si="489"/>
        <v>0</v>
      </c>
      <c r="Y5212" s="53">
        <f t="shared" si="490"/>
        <v>0</v>
      </c>
      <c r="Z5212" s="64">
        <f t="shared" si="491"/>
        <v>0</v>
      </c>
    </row>
    <row r="5213" spans="1:26">
      <c r="A5213" s="89" t="str">
        <f t="shared" si="486"/>
        <v/>
      </c>
      <c r="B5213" s="89" t="str">
        <f t="shared" si="487"/>
        <v/>
      </c>
      <c r="S5213" s="89" t="str">
        <f t="shared" si="488"/>
        <v/>
      </c>
      <c r="X5213" s="64">
        <f t="shared" si="489"/>
        <v>0</v>
      </c>
      <c r="Y5213" s="53">
        <f t="shared" si="490"/>
        <v>0</v>
      </c>
      <c r="Z5213" s="64">
        <f t="shared" si="491"/>
        <v>0</v>
      </c>
    </row>
    <row r="5214" spans="1:26">
      <c r="A5214" s="89" t="str">
        <f t="shared" si="486"/>
        <v/>
      </c>
      <c r="B5214" s="89" t="str">
        <f t="shared" si="487"/>
        <v/>
      </c>
      <c r="S5214" s="89" t="str">
        <f t="shared" si="488"/>
        <v/>
      </c>
      <c r="X5214" s="64">
        <f t="shared" si="489"/>
        <v>0</v>
      </c>
      <c r="Y5214" s="53">
        <f t="shared" si="490"/>
        <v>0</v>
      </c>
      <c r="Z5214" s="64">
        <f t="shared" si="491"/>
        <v>0</v>
      </c>
    </row>
    <row r="5215" spans="1:26">
      <c r="A5215" s="89" t="str">
        <f t="shared" si="486"/>
        <v/>
      </c>
      <c r="B5215" s="89" t="str">
        <f t="shared" si="487"/>
        <v/>
      </c>
      <c r="S5215" s="89" t="str">
        <f t="shared" si="488"/>
        <v/>
      </c>
      <c r="X5215" s="64">
        <f t="shared" si="489"/>
        <v>0</v>
      </c>
      <c r="Y5215" s="53">
        <f t="shared" si="490"/>
        <v>0</v>
      </c>
      <c r="Z5215" s="64">
        <f t="shared" si="491"/>
        <v>0</v>
      </c>
    </row>
    <row r="5216" spans="1:26">
      <c r="A5216" s="89" t="str">
        <f t="shared" si="486"/>
        <v/>
      </c>
      <c r="B5216" s="89" t="str">
        <f t="shared" si="487"/>
        <v/>
      </c>
      <c r="S5216" s="89" t="str">
        <f t="shared" si="488"/>
        <v/>
      </c>
      <c r="X5216" s="64">
        <f t="shared" si="489"/>
        <v>0</v>
      </c>
      <c r="Y5216" s="53">
        <f t="shared" si="490"/>
        <v>0</v>
      </c>
      <c r="Z5216" s="64">
        <f t="shared" si="491"/>
        <v>0</v>
      </c>
    </row>
    <row r="5217" spans="1:26">
      <c r="A5217" s="89" t="str">
        <f t="shared" si="486"/>
        <v/>
      </c>
      <c r="B5217" s="89" t="str">
        <f t="shared" si="487"/>
        <v/>
      </c>
      <c r="S5217" s="89" t="str">
        <f t="shared" si="488"/>
        <v/>
      </c>
      <c r="X5217" s="64">
        <f t="shared" si="489"/>
        <v>0</v>
      </c>
      <c r="Y5217" s="53">
        <f t="shared" si="490"/>
        <v>0</v>
      </c>
      <c r="Z5217" s="64">
        <f t="shared" si="491"/>
        <v>0</v>
      </c>
    </row>
    <row r="5218" spans="1:26">
      <c r="A5218" s="89" t="str">
        <f t="shared" si="486"/>
        <v/>
      </c>
      <c r="B5218" s="89" t="str">
        <f t="shared" si="487"/>
        <v/>
      </c>
      <c r="S5218" s="89" t="str">
        <f t="shared" si="488"/>
        <v/>
      </c>
      <c r="X5218" s="64">
        <f t="shared" si="489"/>
        <v>0</v>
      </c>
      <c r="Y5218" s="53">
        <f t="shared" si="490"/>
        <v>0</v>
      </c>
      <c r="Z5218" s="64">
        <f t="shared" si="491"/>
        <v>0</v>
      </c>
    </row>
    <row r="5219" spans="1:26">
      <c r="A5219" s="89" t="str">
        <f t="shared" si="486"/>
        <v/>
      </c>
      <c r="B5219" s="89" t="str">
        <f t="shared" si="487"/>
        <v/>
      </c>
      <c r="S5219" s="89" t="str">
        <f t="shared" si="488"/>
        <v/>
      </c>
      <c r="X5219" s="64">
        <f t="shared" si="489"/>
        <v>0</v>
      </c>
      <c r="Y5219" s="53">
        <f t="shared" si="490"/>
        <v>0</v>
      </c>
      <c r="Z5219" s="64">
        <f t="shared" si="491"/>
        <v>0</v>
      </c>
    </row>
    <row r="5220" spans="1:26">
      <c r="A5220" s="89" t="str">
        <f t="shared" si="486"/>
        <v/>
      </c>
      <c r="B5220" s="89" t="str">
        <f t="shared" si="487"/>
        <v/>
      </c>
      <c r="S5220" s="89" t="str">
        <f t="shared" si="488"/>
        <v/>
      </c>
      <c r="X5220" s="64">
        <f t="shared" si="489"/>
        <v>0</v>
      </c>
      <c r="Y5220" s="53">
        <f t="shared" si="490"/>
        <v>0</v>
      </c>
      <c r="Z5220" s="64">
        <f t="shared" si="491"/>
        <v>0</v>
      </c>
    </row>
    <row r="5221" spans="1:26">
      <c r="A5221" s="89" t="str">
        <f t="shared" si="486"/>
        <v/>
      </c>
      <c r="B5221" s="89" t="str">
        <f t="shared" si="487"/>
        <v/>
      </c>
      <c r="S5221" s="89" t="str">
        <f t="shared" si="488"/>
        <v/>
      </c>
      <c r="X5221" s="64">
        <f t="shared" si="489"/>
        <v>0</v>
      </c>
      <c r="Y5221" s="53">
        <f t="shared" si="490"/>
        <v>0</v>
      </c>
      <c r="Z5221" s="64">
        <f t="shared" si="491"/>
        <v>0</v>
      </c>
    </row>
    <row r="5222" spans="1:26">
      <c r="A5222" s="89" t="str">
        <f t="shared" si="486"/>
        <v/>
      </c>
      <c r="B5222" s="89" t="str">
        <f t="shared" si="487"/>
        <v/>
      </c>
      <c r="S5222" s="89" t="str">
        <f t="shared" si="488"/>
        <v/>
      </c>
      <c r="X5222" s="64">
        <f t="shared" si="489"/>
        <v>0</v>
      </c>
      <c r="Y5222" s="53">
        <f t="shared" si="490"/>
        <v>0</v>
      </c>
      <c r="Z5222" s="64">
        <f t="shared" si="491"/>
        <v>0</v>
      </c>
    </row>
    <row r="5223" spans="1:26">
      <c r="A5223" s="89" t="str">
        <f t="shared" si="486"/>
        <v/>
      </c>
      <c r="B5223" s="89" t="str">
        <f t="shared" si="487"/>
        <v/>
      </c>
      <c r="S5223" s="89" t="str">
        <f t="shared" si="488"/>
        <v/>
      </c>
      <c r="X5223" s="64">
        <f t="shared" si="489"/>
        <v>0</v>
      </c>
      <c r="Y5223" s="53">
        <f t="shared" si="490"/>
        <v>0</v>
      </c>
      <c r="Z5223" s="64">
        <f t="shared" si="491"/>
        <v>0</v>
      </c>
    </row>
    <row r="5224" spans="1:26">
      <c r="A5224" s="89" t="str">
        <f t="shared" si="486"/>
        <v/>
      </c>
      <c r="B5224" s="89" t="str">
        <f t="shared" si="487"/>
        <v/>
      </c>
      <c r="S5224" s="89" t="str">
        <f t="shared" si="488"/>
        <v/>
      </c>
      <c r="X5224" s="64">
        <f t="shared" si="489"/>
        <v>0</v>
      </c>
      <c r="Y5224" s="53">
        <f t="shared" si="490"/>
        <v>0</v>
      </c>
      <c r="Z5224" s="64">
        <f t="shared" si="491"/>
        <v>0</v>
      </c>
    </row>
    <row r="5225" spans="1:26">
      <c r="A5225" s="89" t="str">
        <f t="shared" si="486"/>
        <v/>
      </c>
      <c r="B5225" s="89" t="str">
        <f t="shared" si="487"/>
        <v/>
      </c>
      <c r="S5225" s="89" t="str">
        <f t="shared" si="488"/>
        <v/>
      </c>
      <c r="X5225" s="64">
        <f t="shared" si="489"/>
        <v>0</v>
      </c>
      <c r="Y5225" s="53">
        <f t="shared" si="490"/>
        <v>0</v>
      </c>
      <c r="Z5225" s="64">
        <f t="shared" si="491"/>
        <v>0</v>
      </c>
    </row>
    <row r="5226" spans="1:26">
      <c r="A5226" s="89" t="str">
        <f t="shared" si="486"/>
        <v/>
      </c>
      <c r="B5226" s="89" t="str">
        <f t="shared" si="487"/>
        <v/>
      </c>
      <c r="S5226" s="89" t="str">
        <f t="shared" si="488"/>
        <v/>
      </c>
      <c r="X5226" s="64">
        <f t="shared" si="489"/>
        <v>0</v>
      </c>
      <c r="Y5226" s="53">
        <f t="shared" si="490"/>
        <v>0</v>
      </c>
      <c r="Z5226" s="64">
        <f t="shared" si="491"/>
        <v>0</v>
      </c>
    </row>
    <row r="5227" spans="1:26">
      <c r="A5227" s="89" t="str">
        <f t="shared" si="486"/>
        <v/>
      </c>
      <c r="B5227" s="89" t="str">
        <f t="shared" si="487"/>
        <v/>
      </c>
      <c r="S5227" s="89" t="str">
        <f t="shared" si="488"/>
        <v/>
      </c>
      <c r="X5227" s="64">
        <f t="shared" si="489"/>
        <v>0</v>
      </c>
      <c r="Y5227" s="53">
        <f t="shared" si="490"/>
        <v>0</v>
      </c>
      <c r="Z5227" s="64">
        <f t="shared" si="491"/>
        <v>0</v>
      </c>
    </row>
    <row r="5228" spans="1:26">
      <c r="A5228" s="89" t="str">
        <f t="shared" si="486"/>
        <v/>
      </c>
      <c r="B5228" s="89" t="str">
        <f t="shared" si="487"/>
        <v/>
      </c>
      <c r="S5228" s="89" t="str">
        <f t="shared" si="488"/>
        <v/>
      </c>
      <c r="X5228" s="64">
        <f t="shared" si="489"/>
        <v>0</v>
      </c>
      <c r="Y5228" s="53">
        <f t="shared" si="490"/>
        <v>0</v>
      </c>
      <c r="Z5228" s="64">
        <f t="shared" si="491"/>
        <v>0</v>
      </c>
    </row>
    <row r="5229" spans="1:26">
      <c r="A5229" s="89" t="str">
        <f t="shared" si="486"/>
        <v/>
      </c>
      <c r="B5229" s="89" t="str">
        <f t="shared" si="487"/>
        <v/>
      </c>
      <c r="S5229" s="89" t="str">
        <f t="shared" si="488"/>
        <v/>
      </c>
      <c r="X5229" s="64">
        <f t="shared" si="489"/>
        <v>0</v>
      </c>
      <c r="Y5229" s="53">
        <f t="shared" si="490"/>
        <v>0</v>
      </c>
      <c r="Z5229" s="64">
        <f t="shared" si="491"/>
        <v>0</v>
      </c>
    </row>
    <row r="5230" spans="1:26">
      <c r="A5230" s="89" t="str">
        <f t="shared" si="486"/>
        <v/>
      </c>
      <c r="B5230" s="89" t="str">
        <f t="shared" si="487"/>
        <v/>
      </c>
      <c r="S5230" s="89" t="str">
        <f t="shared" si="488"/>
        <v/>
      </c>
      <c r="X5230" s="64">
        <f t="shared" si="489"/>
        <v>0</v>
      </c>
      <c r="Y5230" s="53">
        <f t="shared" si="490"/>
        <v>0</v>
      </c>
      <c r="Z5230" s="64">
        <f t="shared" si="491"/>
        <v>0</v>
      </c>
    </row>
    <row r="5231" spans="1:26">
      <c r="A5231" s="89" t="str">
        <f t="shared" si="486"/>
        <v/>
      </c>
      <c r="B5231" s="89" t="str">
        <f t="shared" si="487"/>
        <v/>
      </c>
      <c r="S5231" s="89" t="str">
        <f t="shared" si="488"/>
        <v/>
      </c>
      <c r="X5231" s="64">
        <f t="shared" si="489"/>
        <v>0</v>
      </c>
      <c r="Y5231" s="53">
        <f t="shared" si="490"/>
        <v>0</v>
      </c>
      <c r="Z5231" s="64">
        <f t="shared" si="491"/>
        <v>0</v>
      </c>
    </row>
    <row r="5232" spans="1:26">
      <c r="A5232" s="89" t="str">
        <f t="shared" si="486"/>
        <v/>
      </c>
      <c r="B5232" s="89" t="str">
        <f t="shared" si="487"/>
        <v/>
      </c>
      <c r="S5232" s="89" t="str">
        <f t="shared" si="488"/>
        <v/>
      </c>
      <c r="X5232" s="64">
        <f t="shared" si="489"/>
        <v>0</v>
      </c>
      <c r="Y5232" s="53">
        <f t="shared" si="490"/>
        <v>0</v>
      </c>
      <c r="Z5232" s="64">
        <f t="shared" si="491"/>
        <v>0</v>
      </c>
    </row>
    <row r="5233" spans="1:26">
      <c r="A5233" s="89" t="str">
        <f t="shared" si="486"/>
        <v/>
      </c>
      <c r="B5233" s="89" t="str">
        <f t="shared" si="487"/>
        <v/>
      </c>
      <c r="S5233" s="89" t="str">
        <f t="shared" si="488"/>
        <v/>
      </c>
      <c r="X5233" s="64">
        <f t="shared" si="489"/>
        <v>0</v>
      </c>
      <c r="Y5233" s="53">
        <f t="shared" si="490"/>
        <v>0</v>
      </c>
      <c r="Z5233" s="64">
        <f t="shared" si="491"/>
        <v>0</v>
      </c>
    </row>
    <row r="5234" spans="1:26">
      <c r="A5234" s="89" t="str">
        <f t="shared" si="486"/>
        <v/>
      </c>
      <c r="B5234" s="89" t="str">
        <f t="shared" si="487"/>
        <v/>
      </c>
      <c r="S5234" s="89" t="str">
        <f t="shared" si="488"/>
        <v/>
      </c>
      <c r="X5234" s="64">
        <f t="shared" si="489"/>
        <v>0</v>
      </c>
      <c r="Y5234" s="53">
        <f t="shared" si="490"/>
        <v>0</v>
      </c>
      <c r="Z5234" s="64">
        <f t="shared" si="491"/>
        <v>0</v>
      </c>
    </row>
    <row r="5235" spans="1:26">
      <c r="A5235" s="89" t="str">
        <f t="shared" si="486"/>
        <v/>
      </c>
      <c r="B5235" s="89" t="str">
        <f t="shared" si="487"/>
        <v/>
      </c>
      <c r="S5235" s="89" t="str">
        <f t="shared" si="488"/>
        <v/>
      </c>
      <c r="X5235" s="64">
        <f t="shared" si="489"/>
        <v>0</v>
      </c>
      <c r="Y5235" s="53">
        <f t="shared" si="490"/>
        <v>0</v>
      </c>
      <c r="Z5235" s="64">
        <f t="shared" si="491"/>
        <v>0</v>
      </c>
    </row>
    <row r="5236" spans="1:26">
      <c r="A5236" s="89" t="str">
        <f t="shared" si="486"/>
        <v/>
      </c>
      <c r="B5236" s="89" t="str">
        <f t="shared" si="487"/>
        <v/>
      </c>
      <c r="S5236" s="89" t="str">
        <f t="shared" si="488"/>
        <v/>
      </c>
      <c r="X5236" s="64">
        <f t="shared" si="489"/>
        <v>0</v>
      </c>
      <c r="Y5236" s="53">
        <f t="shared" si="490"/>
        <v>0</v>
      </c>
      <c r="Z5236" s="64">
        <f t="shared" si="491"/>
        <v>0</v>
      </c>
    </row>
    <row r="5237" spans="1:26">
      <c r="A5237" s="89" t="str">
        <f t="shared" si="486"/>
        <v/>
      </c>
      <c r="B5237" s="89" t="str">
        <f t="shared" si="487"/>
        <v/>
      </c>
      <c r="S5237" s="89" t="str">
        <f t="shared" si="488"/>
        <v/>
      </c>
      <c r="X5237" s="64">
        <f t="shared" si="489"/>
        <v>0</v>
      </c>
      <c r="Y5237" s="53">
        <f t="shared" si="490"/>
        <v>0</v>
      </c>
      <c r="Z5237" s="64">
        <f t="shared" si="491"/>
        <v>0</v>
      </c>
    </row>
    <row r="5238" spans="1:26">
      <c r="A5238" s="89" t="str">
        <f t="shared" si="486"/>
        <v/>
      </c>
      <c r="B5238" s="89" t="str">
        <f t="shared" si="487"/>
        <v/>
      </c>
      <c r="S5238" s="89" t="str">
        <f t="shared" si="488"/>
        <v/>
      </c>
      <c r="X5238" s="64">
        <f t="shared" si="489"/>
        <v>0</v>
      </c>
      <c r="Y5238" s="53">
        <f t="shared" si="490"/>
        <v>0</v>
      </c>
      <c r="Z5238" s="64">
        <f t="shared" si="491"/>
        <v>0</v>
      </c>
    </row>
    <row r="5239" spans="1:26">
      <c r="A5239" s="89" t="str">
        <f t="shared" si="486"/>
        <v/>
      </c>
      <c r="B5239" s="89" t="str">
        <f t="shared" si="487"/>
        <v/>
      </c>
      <c r="S5239" s="89" t="str">
        <f t="shared" si="488"/>
        <v/>
      </c>
      <c r="X5239" s="64">
        <f t="shared" si="489"/>
        <v>0</v>
      </c>
      <c r="Y5239" s="53">
        <f t="shared" si="490"/>
        <v>0</v>
      </c>
      <c r="Z5239" s="64">
        <f t="shared" si="491"/>
        <v>0</v>
      </c>
    </row>
    <row r="5240" spans="1:26">
      <c r="A5240" s="89" t="str">
        <f t="shared" si="486"/>
        <v/>
      </c>
      <c r="B5240" s="89" t="str">
        <f t="shared" si="487"/>
        <v/>
      </c>
      <c r="S5240" s="89" t="str">
        <f t="shared" si="488"/>
        <v/>
      </c>
      <c r="X5240" s="64">
        <f t="shared" si="489"/>
        <v>0</v>
      </c>
      <c r="Y5240" s="53">
        <f t="shared" si="490"/>
        <v>0</v>
      </c>
      <c r="Z5240" s="64">
        <f t="shared" si="491"/>
        <v>0</v>
      </c>
    </row>
    <row r="5241" spans="1:26">
      <c r="A5241" s="89" t="str">
        <f t="shared" si="486"/>
        <v/>
      </c>
      <c r="B5241" s="89" t="str">
        <f t="shared" si="487"/>
        <v/>
      </c>
      <c r="S5241" s="89" t="str">
        <f t="shared" si="488"/>
        <v/>
      </c>
      <c r="X5241" s="64">
        <f t="shared" si="489"/>
        <v>0</v>
      </c>
      <c r="Y5241" s="53">
        <f t="shared" si="490"/>
        <v>0</v>
      </c>
      <c r="Z5241" s="64">
        <f t="shared" si="491"/>
        <v>0</v>
      </c>
    </row>
    <row r="5242" spans="1:26">
      <c r="A5242" s="89" t="str">
        <f t="shared" si="486"/>
        <v/>
      </c>
      <c r="B5242" s="89" t="str">
        <f t="shared" si="487"/>
        <v/>
      </c>
      <c r="S5242" s="89" t="str">
        <f t="shared" si="488"/>
        <v/>
      </c>
      <c r="X5242" s="64">
        <f t="shared" si="489"/>
        <v>0</v>
      </c>
      <c r="Y5242" s="53">
        <f t="shared" si="490"/>
        <v>0</v>
      </c>
      <c r="Z5242" s="64">
        <f t="shared" si="491"/>
        <v>0</v>
      </c>
    </row>
    <row r="5243" spans="1:26">
      <c r="A5243" s="89" t="str">
        <f t="shared" si="486"/>
        <v/>
      </c>
      <c r="B5243" s="89" t="str">
        <f t="shared" si="487"/>
        <v/>
      </c>
      <c r="S5243" s="89" t="str">
        <f t="shared" si="488"/>
        <v/>
      </c>
      <c r="X5243" s="64">
        <f t="shared" si="489"/>
        <v>0</v>
      </c>
      <c r="Y5243" s="53">
        <f t="shared" si="490"/>
        <v>0</v>
      </c>
      <c r="Z5243" s="64">
        <f t="shared" si="491"/>
        <v>0</v>
      </c>
    </row>
    <row r="5244" spans="1:26">
      <c r="A5244" s="89" t="str">
        <f t="shared" si="486"/>
        <v/>
      </c>
      <c r="B5244" s="89" t="str">
        <f t="shared" si="487"/>
        <v/>
      </c>
      <c r="S5244" s="89" t="str">
        <f t="shared" si="488"/>
        <v/>
      </c>
      <c r="X5244" s="64">
        <f t="shared" si="489"/>
        <v>0</v>
      </c>
      <c r="Y5244" s="53">
        <f t="shared" si="490"/>
        <v>0</v>
      </c>
      <c r="Z5244" s="64">
        <f t="shared" si="491"/>
        <v>0</v>
      </c>
    </row>
    <row r="5245" spans="1:26">
      <c r="A5245" s="89" t="str">
        <f t="shared" si="486"/>
        <v/>
      </c>
      <c r="B5245" s="89" t="str">
        <f t="shared" si="487"/>
        <v/>
      </c>
      <c r="S5245" s="89" t="str">
        <f t="shared" si="488"/>
        <v/>
      </c>
      <c r="X5245" s="64">
        <f t="shared" si="489"/>
        <v>0</v>
      </c>
      <c r="Y5245" s="53">
        <f t="shared" si="490"/>
        <v>0</v>
      </c>
      <c r="Z5245" s="64">
        <f t="shared" si="491"/>
        <v>0</v>
      </c>
    </row>
    <row r="5246" spans="1:26">
      <c r="A5246" s="89" t="str">
        <f t="shared" si="486"/>
        <v/>
      </c>
      <c r="B5246" s="89" t="str">
        <f t="shared" si="487"/>
        <v/>
      </c>
      <c r="S5246" s="89" t="str">
        <f t="shared" si="488"/>
        <v/>
      </c>
      <c r="X5246" s="64">
        <f t="shared" si="489"/>
        <v>0</v>
      </c>
      <c r="Y5246" s="53">
        <f t="shared" si="490"/>
        <v>0</v>
      </c>
      <c r="Z5246" s="64">
        <f t="shared" si="491"/>
        <v>0</v>
      </c>
    </row>
    <row r="5247" spans="1:26">
      <c r="A5247" s="89" t="str">
        <f t="shared" si="486"/>
        <v/>
      </c>
      <c r="B5247" s="89" t="str">
        <f t="shared" si="487"/>
        <v/>
      </c>
      <c r="S5247" s="89" t="str">
        <f t="shared" si="488"/>
        <v/>
      </c>
      <c r="X5247" s="64">
        <f t="shared" si="489"/>
        <v>0</v>
      </c>
      <c r="Y5247" s="53">
        <f t="shared" si="490"/>
        <v>0</v>
      </c>
      <c r="Z5247" s="64">
        <f t="shared" si="491"/>
        <v>0</v>
      </c>
    </row>
    <row r="5248" spans="1:26">
      <c r="A5248" s="89" t="str">
        <f t="shared" si="486"/>
        <v/>
      </c>
      <c r="B5248" s="89" t="str">
        <f t="shared" si="487"/>
        <v/>
      </c>
      <c r="S5248" s="89" t="str">
        <f t="shared" si="488"/>
        <v/>
      </c>
      <c r="X5248" s="64">
        <f t="shared" si="489"/>
        <v>0</v>
      </c>
      <c r="Y5248" s="53">
        <f t="shared" si="490"/>
        <v>0</v>
      </c>
      <c r="Z5248" s="64">
        <f t="shared" si="491"/>
        <v>0</v>
      </c>
    </row>
    <row r="5249" spans="1:26">
      <c r="A5249" s="89" t="str">
        <f t="shared" si="486"/>
        <v/>
      </c>
      <c r="B5249" s="89" t="str">
        <f t="shared" si="487"/>
        <v/>
      </c>
      <c r="S5249" s="89" t="str">
        <f t="shared" si="488"/>
        <v/>
      </c>
      <c r="X5249" s="64">
        <f t="shared" si="489"/>
        <v>0</v>
      </c>
      <c r="Y5249" s="53">
        <f t="shared" si="490"/>
        <v>0</v>
      </c>
      <c r="Z5249" s="64">
        <f t="shared" si="491"/>
        <v>0</v>
      </c>
    </row>
    <row r="5250" spans="1:26">
      <c r="A5250" s="89" t="str">
        <f t="shared" si="486"/>
        <v/>
      </c>
      <c r="B5250" s="89" t="str">
        <f t="shared" si="487"/>
        <v/>
      </c>
      <c r="S5250" s="89" t="str">
        <f t="shared" si="488"/>
        <v/>
      </c>
      <c r="X5250" s="64">
        <f t="shared" si="489"/>
        <v>0</v>
      </c>
      <c r="Y5250" s="53">
        <f t="shared" si="490"/>
        <v>0</v>
      </c>
      <c r="Z5250" s="64">
        <f t="shared" si="491"/>
        <v>0</v>
      </c>
    </row>
    <row r="5251" spans="1:26">
      <c r="A5251" s="89" t="str">
        <f t="shared" ref="A5251:A5314" si="492">IF(G5251&amp;Q5251&lt;&gt;"",G5251&amp;Q5251,"")</f>
        <v/>
      </c>
      <c r="B5251" s="89" t="str">
        <f t="shared" ref="B5251:B5314" si="493">IF(C5251&lt;&gt;"",LEFT(C5251,9),"")</f>
        <v/>
      </c>
      <c r="S5251" s="89" t="str">
        <f t="shared" ref="S5251:S5314" si="494">IF(H5251&lt;&gt;"",H5251,"")</f>
        <v/>
      </c>
      <c r="X5251" s="64">
        <f t="shared" ref="X5251:X5314" si="495">IFERROR(VALUE(MID($C5251,1,2)),0)</f>
        <v>0</v>
      </c>
      <c r="Y5251" s="53">
        <f t="shared" ref="Y5251:Y5314" si="496">IFERROR(VALUE(MID($C5251,4,3)),0)</f>
        <v>0</v>
      </c>
      <c r="Z5251" s="64">
        <f t="shared" ref="Z5251:Z5314" si="497">VALUE(RIGHT("00"&amp;X5251,2)&amp;RIGHT("000"&amp;Y5251,3))</f>
        <v>0</v>
      </c>
    </row>
    <row r="5252" spans="1:26">
      <c r="A5252" s="89" t="str">
        <f t="shared" si="492"/>
        <v/>
      </c>
      <c r="B5252" s="89" t="str">
        <f t="shared" si="493"/>
        <v/>
      </c>
      <c r="S5252" s="89" t="str">
        <f t="shared" si="494"/>
        <v/>
      </c>
      <c r="X5252" s="64">
        <f t="shared" si="495"/>
        <v>0</v>
      </c>
      <c r="Y5252" s="53">
        <f t="shared" si="496"/>
        <v>0</v>
      </c>
      <c r="Z5252" s="64">
        <f t="shared" si="497"/>
        <v>0</v>
      </c>
    </row>
    <row r="5253" spans="1:26">
      <c r="A5253" s="89" t="str">
        <f t="shared" si="492"/>
        <v/>
      </c>
      <c r="B5253" s="89" t="str">
        <f t="shared" si="493"/>
        <v/>
      </c>
      <c r="S5253" s="89" t="str">
        <f t="shared" si="494"/>
        <v/>
      </c>
      <c r="X5253" s="64">
        <f t="shared" si="495"/>
        <v>0</v>
      </c>
      <c r="Y5253" s="53">
        <f t="shared" si="496"/>
        <v>0</v>
      </c>
      <c r="Z5253" s="64">
        <f t="shared" si="497"/>
        <v>0</v>
      </c>
    </row>
    <row r="5254" spans="1:26">
      <c r="A5254" s="89" t="str">
        <f t="shared" si="492"/>
        <v/>
      </c>
      <c r="B5254" s="89" t="str">
        <f t="shared" si="493"/>
        <v/>
      </c>
      <c r="S5254" s="89" t="str">
        <f t="shared" si="494"/>
        <v/>
      </c>
      <c r="X5254" s="64">
        <f t="shared" si="495"/>
        <v>0</v>
      </c>
      <c r="Y5254" s="53">
        <f t="shared" si="496"/>
        <v>0</v>
      </c>
      <c r="Z5254" s="64">
        <f t="shared" si="497"/>
        <v>0</v>
      </c>
    </row>
    <row r="5255" spans="1:26">
      <c r="A5255" s="89" t="str">
        <f t="shared" si="492"/>
        <v/>
      </c>
      <c r="B5255" s="89" t="str">
        <f t="shared" si="493"/>
        <v/>
      </c>
      <c r="S5255" s="89" t="str">
        <f t="shared" si="494"/>
        <v/>
      </c>
      <c r="X5255" s="64">
        <f t="shared" si="495"/>
        <v>0</v>
      </c>
      <c r="Y5255" s="53">
        <f t="shared" si="496"/>
        <v>0</v>
      </c>
      <c r="Z5255" s="64">
        <f t="shared" si="497"/>
        <v>0</v>
      </c>
    </row>
    <row r="5256" spans="1:26">
      <c r="A5256" s="89" t="str">
        <f t="shared" si="492"/>
        <v/>
      </c>
      <c r="B5256" s="89" t="str">
        <f t="shared" si="493"/>
        <v/>
      </c>
      <c r="S5256" s="89" t="str">
        <f t="shared" si="494"/>
        <v/>
      </c>
      <c r="X5256" s="64">
        <f t="shared" si="495"/>
        <v>0</v>
      </c>
      <c r="Y5256" s="53">
        <f t="shared" si="496"/>
        <v>0</v>
      </c>
      <c r="Z5256" s="64">
        <f t="shared" si="497"/>
        <v>0</v>
      </c>
    </row>
    <row r="5257" spans="1:26">
      <c r="A5257" s="89" t="str">
        <f t="shared" si="492"/>
        <v/>
      </c>
      <c r="B5257" s="89" t="str">
        <f t="shared" si="493"/>
        <v/>
      </c>
      <c r="S5257" s="89" t="str">
        <f t="shared" si="494"/>
        <v/>
      </c>
      <c r="X5257" s="64">
        <f t="shared" si="495"/>
        <v>0</v>
      </c>
      <c r="Y5257" s="53">
        <f t="shared" si="496"/>
        <v>0</v>
      </c>
      <c r="Z5257" s="64">
        <f t="shared" si="497"/>
        <v>0</v>
      </c>
    </row>
    <row r="5258" spans="1:26">
      <c r="A5258" s="89" t="str">
        <f t="shared" si="492"/>
        <v/>
      </c>
      <c r="B5258" s="89" t="str">
        <f t="shared" si="493"/>
        <v/>
      </c>
      <c r="S5258" s="89" t="str">
        <f t="shared" si="494"/>
        <v/>
      </c>
      <c r="X5258" s="64">
        <f t="shared" si="495"/>
        <v>0</v>
      </c>
      <c r="Y5258" s="53">
        <f t="shared" si="496"/>
        <v>0</v>
      </c>
      <c r="Z5258" s="64">
        <f t="shared" si="497"/>
        <v>0</v>
      </c>
    </row>
    <row r="5259" spans="1:26">
      <c r="A5259" s="89" t="str">
        <f t="shared" si="492"/>
        <v/>
      </c>
      <c r="B5259" s="89" t="str">
        <f t="shared" si="493"/>
        <v/>
      </c>
      <c r="S5259" s="89" t="str">
        <f t="shared" si="494"/>
        <v/>
      </c>
      <c r="X5259" s="64">
        <f t="shared" si="495"/>
        <v>0</v>
      </c>
      <c r="Y5259" s="53">
        <f t="shared" si="496"/>
        <v>0</v>
      </c>
      <c r="Z5259" s="64">
        <f t="shared" si="497"/>
        <v>0</v>
      </c>
    </row>
    <row r="5260" spans="1:26">
      <c r="A5260" s="89" t="str">
        <f t="shared" si="492"/>
        <v/>
      </c>
      <c r="B5260" s="89" t="str">
        <f t="shared" si="493"/>
        <v/>
      </c>
      <c r="S5260" s="89" t="str">
        <f t="shared" si="494"/>
        <v/>
      </c>
      <c r="X5260" s="64">
        <f t="shared" si="495"/>
        <v>0</v>
      </c>
      <c r="Y5260" s="53">
        <f t="shared" si="496"/>
        <v>0</v>
      </c>
      <c r="Z5260" s="64">
        <f t="shared" si="497"/>
        <v>0</v>
      </c>
    </row>
    <row r="5261" spans="1:26">
      <c r="A5261" s="89" t="str">
        <f t="shared" si="492"/>
        <v/>
      </c>
      <c r="B5261" s="89" t="str">
        <f t="shared" si="493"/>
        <v/>
      </c>
      <c r="S5261" s="89" t="str">
        <f t="shared" si="494"/>
        <v/>
      </c>
      <c r="X5261" s="64">
        <f t="shared" si="495"/>
        <v>0</v>
      </c>
      <c r="Y5261" s="53">
        <f t="shared" si="496"/>
        <v>0</v>
      </c>
      <c r="Z5261" s="64">
        <f t="shared" si="497"/>
        <v>0</v>
      </c>
    </row>
    <row r="5262" spans="1:26">
      <c r="A5262" s="89" t="str">
        <f t="shared" si="492"/>
        <v/>
      </c>
      <c r="B5262" s="89" t="str">
        <f t="shared" si="493"/>
        <v/>
      </c>
      <c r="S5262" s="89" t="str">
        <f t="shared" si="494"/>
        <v/>
      </c>
      <c r="X5262" s="64">
        <f t="shared" si="495"/>
        <v>0</v>
      </c>
      <c r="Y5262" s="53">
        <f t="shared" si="496"/>
        <v>0</v>
      </c>
      <c r="Z5262" s="64">
        <f t="shared" si="497"/>
        <v>0</v>
      </c>
    </row>
    <row r="5263" spans="1:26">
      <c r="A5263" s="89" t="str">
        <f t="shared" si="492"/>
        <v/>
      </c>
      <c r="B5263" s="89" t="str">
        <f t="shared" si="493"/>
        <v/>
      </c>
      <c r="S5263" s="89" t="str">
        <f t="shared" si="494"/>
        <v/>
      </c>
      <c r="X5263" s="64">
        <f t="shared" si="495"/>
        <v>0</v>
      </c>
      <c r="Y5263" s="53">
        <f t="shared" si="496"/>
        <v>0</v>
      </c>
      <c r="Z5263" s="64">
        <f t="shared" si="497"/>
        <v>0</v>
      </c>
    </row>
    <row r="5264" spans="1:26">
      <c r="A5264" s="89" t="str">
        <f t="shared" si="492"/>
        <v/>
      </c>
      <c r="B5264" s="89" t="str">
        <f t="shared" si="493"/>
        <v/>
      </c>
      <c r="S5264" s="89" t="str">
        <f t="shared" si="494"/>
        <v/>
      </c>
      <c r="X5264" s="64">
        <f t="shared" si="495"/>
        <v>0</v>
      </c>
      <c r="Y5264" s="53">
        <f t="shared" si="496"/>
        <v>0</v>
      </c>
      <c r="Z5264" s="64">
        <f t="shared" si="497"/>
        <v>0</v>
      </c>
    </row>
    <row r="5265" spans="1:26">
      <c r="A5265" s="89" t="str">
        <f t="shared" si="492"/>
        <v/>
      </c>
      <c r="B5265" s="89" t="str">
        <f t="shared" si="493"/>
        <v/>
      </c>
      <c r="S5265" s="89" t="str">
        <f t="shared" si="494"/>
        <v/>
      </c>
      <c r="X5265" s="64">
        <f t="shared" si="495"/>
        <v>0</v>
      </c>
      <c r="Y5265" s="53">
        <f t="shared" si="496"/>
        <v>0</v>
      </c>
      <c r="Z5265" s="64">
        <f t="shared" si="497"/>
        <v>0</v>
      </c>
    </row>
    <row r="5266" spans="1:26">
      <c r="A5266" s="89" t="str">
        <f t="shared" si="492"/>
        <v/>
      </c>
      <c r="B5266" s="89" t="str">
        <f t="shared" si="493"/>
        <v/>
      </c>
      <c r="S5266" s="89" t="str">
        <f t="shared" si="494"/>
        <v/>
      </c>
      <c r="X5266" s="64">
        <f t="shared" si="495"/>
        <v>0</v>
      </c>
      <c r="Y5266" s="53">
        <f t="shared" si="496"/>
        <v>0</v>
      </c>
      <c r="Z5266" s="64">
        <f t="shared" si="497"/>
        <v>0</v>
      </c>
    </row>
    <row r="5267" spans="1:26">
      <c r="A5267" s="89" t="str">
        <f t="shared" si="492"/>
        <v/>
      </c>
      <c r="B5267" s="89" t="str">
        <f t="shared" si="493"/>
        <v/>
      </c>
      <c r="S5267" s="89" t="str">
        <f t="shared" si="494"/>
        <v/>
      </c>
      <c r="X5267" s="64">
        <f t="shared" si="495"/>
        <v>0</v>
      </c>
      <c r="Y5267" s="53">
        <f t="shared" si="496"/>
        <v>0</v>
      </c>
      <c r="Z5267" s="64">
        <f t="shared" si="497"/>
        <v>0</v>
      </c>
    </row>
    <row r="5268" spans="1:26">
      <c r="A5268" s="89" t="str">
        <f t="shared" si="492"/>
        <v/>
      </c>
      <c r="B5268" s="89" t="str">
        <f t="shared" si="493"/>
        <v/>
      </c>
      <c r="S5268" s="89" t="str">
        <f t="shared" si="494"/>
        <v/>
      </c>
      <c r="X5268" s="64">
        <f t="shared" si="495"/>
        <v>0</v>
      </c>
      <c r="Y5268" s="53">
        <f t="shared" si="496"/>
        <v>0</v>
      </c>
      <c r="Z5268" s="64">
        <f t="shared" si="497"/>
        <v>0</v>
      </c>
    </row>
    <row r="5269" spans="1:26">
      <c r="A5269" s="89" t="str">
        <f t="shared" si="492"/>
        <v/>
      </c>
      <c r="B5269" s="89" t="str">
        <f t="shared" si="493"/>
        <v/>
      </c>
      <c r="S5269" s="89" t="str">
        <f t="shared" si="494"/>
        <v/>
      </c>
      <c r="X5269" s="64">
        <f t="shared" si="495"/>
        <v>0</v>
      </c>
      <c r="Y5269" s="53">
        <f t="shared" si="496"/>
        <v>0</v>
      </c>
      <c r="Z5269" s="64">
        <f t="shared" si="497"/>
        <v>0</v>
      </c>
    </row>
    <row r="5270" spans="1:26">
      <c r="A5270" s="89" t="str">
        <f t="shared" si="492"/>
        <v/>
      </c>
      <c r="B5270" s="89" t="str">
        <f t="shared" si="493"/>
        <v/>
      </c>
      <c r="S5270" s="89" t="str">
        <f t="shared" si="494"/>
        <v/>
      </c>
      <c r="X5270" s="64">
        <f t="shared" si="495"/>
        <v>0</v>
      </c>
      <c r="Y5270" s="53">
        <f t="shared" si="496"/>
        <v>0</v>
      </c>
      <c r="Z5270" s="64">
        <f t="shared" si="497"/>
        <v>0</v>
      </c>
    </row>
    <row r="5271" spans="1:26">
      <c r="A5271" s="89" t="str">
        <f t="shared" si="492"/>
        <v/>
      </c>
      <c r="B5271" s="89" t="str">
        <f t="shared" si="493"/>
        <v/>
      </c>
      <c r="S5271" s="89" t="str">
        <f t="shared" si="494"/>
        <v/>
      </c>
      <c r="X5271" s="64">
        <f t="shared" si="495"/>
        <v>0</v>
      </c>
      <c r="Y5271" s="53">
        <f t="shared" si="496"/>
        <v>0</v>
      </c>
      <c r="Z5271" s="64">
        <f t="shared" si="497"/>
        <v>0</v>
      </c>
    </row>
    <row r="5272" spans="1:26">
      <c r="A5272" s="89" t="str">
        <f t="shared" si="492"/>
        <v/>
      </c>
      <c r="B5272" s="89" t="str">
        <f t="shared" si="493"/>
        <v/>
      </c>
      <c r="S5272" s="89" t="str">
        <f t="shared" si="494"/>
        <v/>
      </c>
      <c r="X5272" s="64">
        <f t="shared" si="495"/>
        <v>0</v>
      </c>
      <c r="Y5272" s="53">
        <f t="shared" si="496"/>
        <v>0</v>
      </c>
      <c r="Z5272" s="64">
        <f t="shared" si="497"/>
        <v>0</v>
      </c>
    </row>
    <row r="5273" spans="1:26">
      <c r="A5273" s="89" t="str">
        <f t="shared" si="492"/>
        <v/>
      </c>
      <c r="B5273" s="89" t="str">
        <f t="shared" si="493"/>
        <v/>
      </c>
      <c r="S5273" s="89" t="str">
        <f t="shared" si="494"/>
        <v/>
      </c>
      <c r="X5273" s="64">
        <f t="shared" si="495"/>
        <v>0</v>
      </c>
      <c r="Y5273" s="53">
        <f t="shared" si="496"/>
        <v>0</v>
      </c>
      <c r="Z5273" s="64">
        <f t="shared" si="497"/>
        <v>0</v>
      </c>
    </row>
    <row r="5274" spans="1:26">
      <c r="A5274" s="89" t="str">
        <f t="shared" si="492"/>
        <v/>
      </c>
      <c r="B5274" s="89" t="str">
        <f t="shared" si="493"/>
        <v/>
      </c>
      <c r="S5274" s="89" t="str">
        <f t="shared" si="494"/>
        <v/>
      </c>
      <c r="X5274" s="64">
        <f t="shared" si="495"/>
        <v>0</v>
      </c>
      <c r="Y5274" s="53">
        <f t="shared" si="496"/>
        <v>0</v>
      </c>
      <c r="Z5274" s="64">
        <f t="shared" si="497"/>
        <v>0</v>
      </c>
    </row>
    <row r="5275" spans="1:26">
      <c r="A5275" s="89" t="str">
        <f t="shared" si="492"/>
        <v/>
      </c>
      <c r="B5275" s="89" t="str">
        <f t="shared" si="493"/>
        <v/>
      </c>
      <c r="S5275" s="89" t="str">
        <f t="shared" si="494"/>
        <v/>
      </c>
      <c r="X5275" s="64">
        <f t="shared" si="495"/>
        <v>0</v>
      </c>
      <c r="Y5275" s="53">
        <f t="shared" si="496"/>
        <v>0</v>
      </c>
      <c r="Z5275" s="64">
        <f t="shared" si="497"/>
        <v>0</v>
      </c>
    </row>
    <row r="5276" spans="1:26">
      <c r="A5276" s="89" t="str">
        <f t="shared" si="492"/>
        <v/>
      </c>
      <c r="B5276" s="89" t="str">
        <f t="shared" si="493"/>
        <v/>
      </c>
      <c r="S5276" s="89" t="str">
        <f t="shared" si="494"/>
        <v/>
      </c>
      <c r="X5276" s="64">
        <f t="shared" si="495"/>
        <v>0</v>
      </c>
      <c r="Y5276" s="53">
        <f t="shared" si="496"/>
        <v>0</v>
      </c>
      <c r="Z5276" s="64">
        <f t="shared" si="497"/>
        <v>0</v>
      </c>
    </row>
    <row r="5277" spans="1:26">
      <c r="A5277" s="89" t="str">
        <f t="shared" si="492"/>
        <v/>
      </c>
      <c r="B5277" s="89" t="str">
        <f t="shared" si="493"/>
        <v/>
      </c>
      <c r="S5277" s="89" t="str">
        <f t="shared" si="494"/>
        <v/>
      </c>
      <c r="X5277" s="64">
        <f t="shared" si="495"/>
        <v>0</v>
      </c>
      <c r="Y5277" s="53">
        <f t="shared" si="496"/>
        <v>0</v>
      </c>
      <c r="Z5277" s="64">
        <f t="shared" si="497"/>
        <v>0</v>
      </c>
    </row>
    <row r="5278" spans="1:26">
      <c r="A5278" s="89" t="str">
        <f t="shared" si="492"/>
        <v/>
      </c>
      <c r="B5278" s="89" t="str">
        <f t="shared" si="493"/>
        <v/>
      </c>
      <c r="S5278" s="89" t="str">
        <f t="shared" si="494"/>
        <v/>
      </c>
      <c r="X5278" s="64">
        <f t="shared" si="495"/>
        <v>0</v>
      </c>
      <c r="Y5278" s="53">
        <f t="shared" si="496"/>
        <v>0</v>
      </c>
      <c r="Z5278" s="64">
        <f t="shared" si="497"/>
        <v>0</v>
      </c>
    </row>
    <row r="5279" spans="1:26">
      <c r="A5279" s="89" t="str">
        <f t="shared" si="492"/>
        <v/>
      </c>
      <c r="B5279" s="89" t="str">
        <f t="shared" si="493"/>
        <v/>
      </c>
      <c r="S5279" s="89" t="str">
        <f t="shared" si="494"/>
        <v/>
      </c>
      <c r="X5279" s="64">
        <f t="shared" si="495"/>
        <v>0</v>
      </c>
      <c r="Y5279" s="53">
        <f t="shared" si="496"/>
        <v>0</v>
      </c>
      <c r="Z5279" s="64">
        <f t="shared" si="497"/>
        <v>0</v>
      </c>
    </row>
    <row r="5280" spans="1:26">
      <c r="A5280" s="89" t="str">
        <f t="shared" si="492"/>
        <v/>
      </c>
      <c r="B5280" s="89" t="str">
        <f t="shared" si="493"/>
        <v/>
      </c>
      <c r="S5280" s="89" t="str">
        <f t="shared" si="494"/>
        <v/>
      </c>
      <c r="X5280" s="64">
        <f t="shared" si="495"/>
        <v>0</v>
      </c>
      <c r="Y5280" s="53">
        <f t="shared" si="496"/>
        <v>0</v>
      </c>
      <c r="Z5280" s="64">
        <f t="shared" si="497"/>
        <v>0</v>
      </c>
    </row>
    <row r="5281" spans="1:26">
      <c r="A5281" s="89" t="str">
        <f t="shared" si="492"/>
        <v/>
      </c>
      <c r="B5281" s="89" t="str">
        <f t="shared" si="493"/>
        <v/>
      </c>
      <c r="S5281" s="89" t="str">
        <f t="shared" si="494"/>
        <v/>
      </c>
      <c r="X5281" s="64">
        <f t="shared" si="495"/>
        <v>0</v>
      </c>
      <c r="Y5281" s="53">
        <f t="shared" si="496"/>
        <v>0</v>
      </c>
      <c r="Z5281" s="64">
        <f t="shared" si="497"/>
        <v>0</v>
      </c>
    </row>
    <row r="5282" spans="1:26">
      <c r="A5282" s="89" t="str">
        <f t="shared" si="492"/>
        <v/>
      </c>
      <c r="B5282" s="89" t="str">
        <f t="shared" si="493"/>
        <v/>
      </c>
      <c r="S5282" s="89" t="str">
        <f t="shared" si="494"/>
        <v/>
      </c>
      <c r="X5282" s="64">
        <f t="shared" si="495"/>
        <v>0</v>
      </c>
      <c r="Y5282" s="53">
        <f t="shared" si="496"/>
        <v>0</v>
      </c>
      <c r="Z5282" s="64">
        <f t="shared" si="497"/>
        <v>0</v>
      </c>
    </row>
    <row r="5283" spans="1:26">
      <c r="A5283" s="89" t="str">
        <f t="shared" si="492"/>
        <v/>
      </c>
      <c r="B5283" s="89" t="str">
        <f t="shared" si="493"/>
        <v/>
      </c>
      <c r="S5283" s="89" t="str">
        <f t="shared" si="494"/>
        <v/>
      </c>
      <c r="X5283" s="64">
        <f t="shared" si="495"/>
        <v>0</v>
      </c>
      <c r="Y5283" s="53">
        <f t="shared" si="496"/>
        <v>0</v>
      </c>
      <c r="Z5283" s="64">
        <f t="shared" si="497"/>
        <v>0</v>
      </c>
    </row>
    <row r="5284" spans="1:26">
      <c r="A5284" s="89" t="str">
        <f t="shared" si="492"/>
        <v/>
      </c>
      <c r="B5284" s="89" t="str">
        <f t="shared" si="493"/>
        <v/>
      </c>
      <c r="S5284" s="89" t="str">
        <f t="shared" si="494"/>
        <v/>
      </c>
      <c r="X5284" s="64">
        <f t="shared" si="495"/>
        <v>0</v>
      </c>
      <c r="Y5284" s="53">
        <f t="shared" si="496"/>
        <v>0</v>
      </c>
      <c r="Z5284" s="64">
        <f t="shared" si="497"/>
        <v>0</v>
      </c>
    </row>
    <row r="5285" spans="1:26">
      <c r="A5285" s="89" t="str">
        <f t="shared" si="492"/>
        <v/>
      </c>
      <c r="B5285" s="89" t="str">
        <f t="shared" si="493"/>
        <v/>
      </c>
      <c r="S5285" s="89" t="str">
        <f t="shared" si="494"/>
        <v/>
      </c>
      <c r="X5285" s="64">
        <f t="shared" si="495"/>
        <v>0</v>
      </c>
      <c r="Y5285" s="53">
        <f t="shared" si="496"/>
        <v>0</v>
      </c>
      <c r="Z5285" s="64">
        <f t="shared" si="497"/>
        <v>0</v>
      </c>
    </row>
    <row r="5286" spans="1:26">
      <c r="A5286" s="89" t="str">
        <f t="shared" si="492"/>
        <v/>
      </c>
      <c r="B5286" s="89" t="str">
        <f t="shared" si="493"/>
        <v/>
      </c>
      <c r="S5286" s="89" t="str">
        <f t="shared" si="494"/>
        <v/>
      </c>
      <c r="X5286" s="64">
        <f t="shared" si="495"/>
        <v>0</v>
      </c>
      <c r="Y5286" s="53">
        <f t="shared" si="496"/>
        <v>0</v>
      </c>
      <c r="Z5286" s="64">
        <f t="shared" si="497"/>
        <v>0</v>
      </c>
    </row>
    <row r="5287" spans="1:26">
      <c r="A5287" s="89" t="str">
        <f t="shared" si="492"/>
        <v/>
      </c>
      <c r="B5287" s="89" t="str">
        <f t="shared" si="493"/>
        <v/>
      </c>
      <c r="S5287" s="89" t="str">
        <f t="shared" si="494"/>
        <v/>
      </c>
      <c r="X5287" s="64">
        <f t="shared" si="495"/>
        <v>0</v>
      </c>
      <c r="Y5287" s="53">
        <f t="shared" si="496"/>
        <v>0</v>
      </c>
      <c r="Z5287" s="64">
        <f t="shared" si="497"/>
        <v>0</v>
      </c>
    </row>
    <row r="5288" spans="1:26">
      <c r="A5288" s="89" t="str">
        <f t="shared" si="492"/>
        <v/>
      </c>
      <c r="B5288" s="89" t="str">
        <f t="shared" si="493"/>
        <v/>
      </c>
      <c r="S5288" s="89" t="str">
        <f t="shared" si="494"/>
        <v/>
      </c>
      <c r="X5288" s="64">
        <f t="shared" si="495"/>
        <v>0</v>
      </c>
      <c r="Y5288" s="53">
        <f t="shared" si="496"/>
        <v>0</v>
      </c>
      <c r="Z5288" s="64">
        <f t="shared" si="497"/>
        <v>0</v>
      </c>
    </row>
    <row r="5289" spans="1:26">
      <c r="A5289" s="89" t="str">
        <f t="shared" si="492"/>
        <v/>
      </c>
      <c r="B5289" s="89" t="str">
        <f t="shared" si="493"/>
        <v/>
      </c>
      <c r="S5289" s="89" t="str">
        <f t="shared" si="494"/>
        <v/>
      </c>
      <c r="X5289" s="64">
        <f t="shared" si="495"/>
        <v>0</v>
      </c>
      <c r="Y5289" s="53">
        <f t="shared" si="496"/>
        <v>0</v>
      </c>
      <c r="Z5289" s="64">
        <f t="shared" si="497"/>
        <v>0</v>
      </c>
    </row>
    <row r="5290" spans="1:26">
      <c r="A5290" s="89" t="str">
        <f t="shared" si="492"/>
        <v/>
      </c>
      <c r="B5290" s="89" t="str">
        <f t="shared" si="493"/>
        <v/>
      </c>
      <c r="S5290" s="89" t="str">
        <f t="shared" si="494"/>
        <v/>
      </c>
      <c r="X5290" s="64">
        <f t="shared" si="495"/>
        <v>0</v>
      </c>
      <c r="Y5290" s="53">
        <f t="shared" si="496"/>
        <v>0</v>
      </c>
      <c r="Z5290" s="64">
        <f t="shared" si="497"/>
        <v>0</v>
      </c>
    </row>
    <row r="5291" spans="1:26">
      <c r="A5291" s="89" t="str">
        <f t="shared" si="492"/>
        <v/>
      </c>
      <c r="B5291" s="89" t="str">
        <f t="shared" si="493"/>
        <v/>
      </c>
      <c r="S5291" s="89" t="str">
        <f t="shared" si="494"/>
        <v/>
      </c>
      <c r="X5291" s="64">
        <f t="shared" si="495"/>
        <v>0</v>
      </c>
      <c r="Y5291" s="53">
        <f t="shared" si="496"/>
        <v>0</v>
      </c>
      <c r="Z5291" s="64">
        <f t="shared" si="497"/>
        <v>0</v>
      </c>
    </row>
    <row r="5292" spans="1:26">
      <c r="A5292" s="89" t="str">
        <f t="shared" si="492"/>
        <v/>
      </c>
      <c r="B5292" s="89" t="str">
        <f t="shared" si="493"/>
        <v/>
      </c>
      <c r="S5292" s="89" t="str">
        <f t="shared" si="494"/>
        <v/>
      </c>
      <c r="X5292" s="64">
        <f t="shared" si="495"/>
        <v>0</v>
      </c>
      <c r="Y5292" s="53">
        <f t="shared" si="496"/>
        <v>0</v>
      </c>
      <c r="Z5292" s="64">
        <f t="shared" si="497"/>
        <v>0</v>
      </c>
    </row>
    <row r="5293" spans="1:26">
      <c r="A5293" s="89" t="str">
        <f t="shared" si="492"/>
        <v/>
      </c>
      <c r="B5293" s="89" t="str">
        <f t="shared" si="493"/>
        <v/>
      </c>
      <c r="S5293" s="89" t="str">
        <f t="shared" si="494"/>
        <v/>
      </c>
      <c r="X5293" s="64">
        <f t="shared" si="495"/>
        <v>0</v>
      </c>
      <c r="Y5293" s="53">
        <f t="shared" si="496"/>
        <v>0</v>
      </c>
      <c r="Z5293" s="64">
        <f t="shared" si="497"/>
        <v>0</v>
      </c>
    </row>
    <row r="5294" spans="1:26">
      <c r="A5294" s="89" t="str">
        <f t="shared" si="492"/>
        <v/>
      </c>
      <c r="B5294" s="89" t="str">
        <f t="shared" si="493"/>
        <v/>
      </c>
      <c r="S5294" s="89" t="str">
        <f t="shared" si="494"/>
        <v/>
      </c>
      <c r="X5294" s="64">
        <f t="shared" si="495"/>
        <v>0</v>
      </c>
      <c r="Y5294" s="53">
        <f t="shared" si="496"/>
        <v>0</v>
      </c>
      <c r="Z5294" s="64">
        <f t="shared" si="497"/>
        <v>0</v>
      </c>
    </row>
    <row r="5295" spans="1:26">
      <c r="A5295" s="89" t="str">
        <f t="shared" si="492"/>
        <v/>
      </c>
      <c r="B5295" s="89" t="str">
        <f t="shared" si="493"/>
        <v/>
      </c>
      <c r="S5295" s="89" t="str">
        <f t="shared" si="494"/>
        <v/>
      </c>
      <c r="X5295" s="64">
        <f t="shared" si="495"/>
        <v>0</v>
      </c>
      <c r="Y5295" s="53">
        <f t="shared" si="496"/>
        <v>0</v>
      </c>
      <c r="Z5295" s="64">
        <f t="shared" si="497"/>
        <v>0</v>
      </c>
    </row>
    <row r="5296" spans="1:26">
      <c r="A5296" s="89" t="str">
        <f t="shared" si="492"/>
        <v/>
      </c>
      <c r="B5296" s="89" t="str">
        <f t="shared" si="493"/>
        <v/>
      </c>
      <c r="S5296" s="89" t="str">
        <f t="shared" si="494"/>
        <v/>
      </c>
      <c r="X5296" s="64">
        <f t="shared" si="495"/>
        <v>0</v>
      </c>
      <c r="Y5296" s="53">
        <f t="shared" si="496"/>
        <v>0</v>
      </c>
      <c r="Z5296" s="64">
        <f t="shared" si="497"/>
        <v>0</v>
      </c>
    </row>
    <row r="5297" spans="1:26">
      <c r="A5297" s="89" t="str">
        <f t="shared" si="492"/>
        <v/>
      </c>
      <c r="B5297" s="89" t="str">
        <f t="shared" si="493"/>
        <v/>
      </c>
      <c r="S5297" s="89" t="str">
        <f t="shared" si="494"/>
        <v/>
      </c>
      <c r="X5297" s="64">
        <f t="shared" si="495"/>
        <v>0</v>
      </c>
      <c r="Y5297" s="53">
        <f t="shared" si="496"/>
        <v>0</v>
      </c>
      <c r="Z5297" s="64">
        <f t="shared" si="497"/>
        <v>0</v>
      </c>
    </row>
    <row r="5298" spans="1:26">
      <c r="A5298" s="89" t="str">
        <f t="shared" si="492"/>
        <v/>
      </c>
      <c r="B5298" s="89" t="str">
        <f t="shared" si="493"/>
        <v/>
      </c>
      <c r="S5298" s="89" t="str">
        <f t="shared" si="494"/>
        <v/>
      </c>
      <c r="X5298" s="64">
        <f t="shared" si="495"/>
        <v>0</v>
      </c>
      <c r="Y5298" s="53">
        <f t="shared" si="496"/>
        <v>0</v>
      </c>
      <c r="Z5298" s="64">
        <f t="shared" si="497"/>
        <v>0</v>
      </c>
    </row>
    <row r="5299" spans="1:26">
      <c r="A5299" s="89" t="str">
        <f t="shared" si="492"/>
        <v/>
      </c>
      <c r="B5299" s="89" t="str">
        <f t="shared" si="493"/>
        <v/>
      </c>
      <c r="S5299" s="89" t="str">
        <f t="shared" si="494"/>
        <v/>
      </c>
      <c r="X5299" s="64">
        <f t="shared" si="495"/>
        <v>0</v>
      </c>
      <c r="Y5299" s="53">
        <f t="shared" si="496"/>
        <v>0</v>
      </c>
      <c r="Z5299" s="64">
        <f t="shared" si="497"/>
        <v>0</v>
      </c>
    </row>
    <row r="5300" spans="1:26">
      <c r="A5300" s="89" t="str">
        <f t="shared" si="492"/>
        <v/>
      </c>
      <c r="B5300" s="89" t="str">
        <f t="shared" si="493"/>
        <v/>
      </c>
      <c r="S5300" s="89" t="str">
        <f t="shared" si="494"/>
        <v/>
      </c>
      <c r="X5300" s="64">
        <f t="shared" si="495"/>
        <v>0</v>
      </c>
      <c r="Y5300" s="53">
        <f t="shared" si="496"/>
        <v>0</v>
      </c>
      <c r="Z5300" s="64">
        <f t="shared" si="497"/>
        <v>0</v>
      </c>
    </row>
    <row r="5301" spans="1:26">
      <c r="A5301" s="89" t="str">
        <f t="shared" si="492"/>
        <v/>
      </c>
      <c r="B5301" s="89" t="str">
        <f t="shared" si="493"/>
        <v/>
      </c>
      <c r="S5301" s="89" t="str">
        <f t="shared" si="494"/>
        <v/>
      </c>
      <c r="X5301" s="64">
        <f t="shared" si="495"/>
        <v>0</v>
      </c>
      <c r="Y5301" s="53">
        <f t="shared" si="496"/>
        <v>0</v>
      </c>
      <c r="Z5301" s="64">
        <f t="shared" si="497"/>
        <v>0</v>
      </c>
    </row>
    <row r="5302" spans="1:26">
      <c r="A5302" s="89" t="str">
        <f t="shared" si="492"/>
        <v/>
      </c>
      <c r="B5302" s="89" t="str">
        <f t="shared" si="493"/>
        <v/>
      </c>
      <c r="S5302" s="89" t="str">
        <f t="shared" si="494"/>
        <v/>
      </c>
      <c r="X5302" s="64">
        <f t="shared" si="495"/>
        <v>0</v>
      </c>
      <c r="Y5302" s="53">
        <f t="shared" si="496"/>
        <v>0</v>
      </c>
      <c r="Z5302" s="64">
        <f t="shared" si="497"/>
        <v>0</v>
      </c>
    </row>
    <row r="5303" spans="1:26">
      <c r="A5303" s="89" t="str">
        <f t="shared" si="492"/>
        <v/>
      </c>
      <c r="B5303" s="89" t="str">
        <f t="shared" si="493"/>
        <v/>
      </c>
      <c r="S5303" s="89" t="str">
        <f t="shared" si="494"/>
        <v/>
      </c>
      <c r="X5303" s="64">
        <f t="shared" si="495"/>
        <v>0</v>
      </c>
      <c r="Y5303" s="53">
        <f t="shared" si="496"/>
        <v>0</v>
      </c>
      <c r="Z5303" s="64">
        <f t="shared" si="497"/>
        <v>0</v>
      </c>
    </row>
    <row r="5304" spans="1:26">
      <c r="A5304" s="89" t="str">
        <f t="shared" si="492"/>
        <v/>
      </c>
      <c r="B5304" s="89" t="str">
        <f t="shared" si="493"/>
        <v/>
      </c>
      <c r="S5304" s="89" t="str">
        <f t="shared" si="494"/>
        <v/>
      </c>
      <c r="X5304" s="64">
        <f t="shared" si="495"/>
        <v>0</v>
      </c>
      <c r="Y5304" s="53">
        <f t="shared" si="496"/>
        <v>0</v>
      </c>
      <c r="Z5304" s="64">
        <f t="shared" si="497"/>
        <v>0</v>
      </c>
    </row>
    <row r="5305" spans="1:26">
      <c r="A5305" s="89" t="str">
        <f t="shared" si="492"/>
        <v/>
      </c>
      <c r="B5305" s="89" t="str">
        <f t="shared" si="493"/>
        <v/>
      </c>
      <c r="S5305" s="89" t="str">
        <f t="shared" si="494"/>
        <v/>
      </c>
      <c r="X5305" s="64">
        <f t="shared" si="495"/>
        <v>0</v>
      </c>
      <c r="Y5305" s="53">
        <f t="shared" si="496"/>
        <v>0</v>
      </c>
      <c r="Z5305" s="64">
        <f t="shared" si="497"/>
        <v>0</v>
      </c>
    </row>
    <row r="5306" spans="1:26">
      <c r="A5306" s="89" t="str">
        <f t="shared" si="492"/>
        <v/>
      </c>
      <c r="B5306" s="89" t="str">
        <f t="shared" si="493"/>
        <v/>
      </c>
      <c r="S5306" s="89" t="str">
        <f t="shared" si="494"/>
        <v/>
      </c>
      <c r="X5306" s="64">
        <f t="shared" si="495"/>
        <v>0</v>
      </c>
      <c r="Y5306" s="53">
        <f t="shared" si="496"/>
        <v>0</v>
      </c>
      <c r="Z5306" s="64">
        <f t="shared" si="497"/>
        <v>0</v>
      </c>
    </row>
    <row r="5307" spans="1:26">
      <c r="A5307" s="89" t="str">
        <f t="shared" si="492"/>
        <v/>
      </c>
      <c r="B5307" s="89" t="str">
        <f t="shared" si="493"/>
        <v/>
      </c>
      <c r="S5307" s="89" t="str">
        <f t="shared" si="494"/>
        <v/>
      </c>
      <c r="X5307" s="64">
        <f t="shared" si="495"/>
        <v>0</v>
      </c>
      <c r="Y5307" s="53">
        <f t="shared" si="496"/>
        <v>0</v>
      </c>
      <c r="Z5307" s="64">
        <f t="shared" si="497"/>
        <v>0</v>
      </c>
    </row>
    <row r="5308" spans="1:26">
      <c r="A5308" s="89" t="str">
        <f t="shared" si="492"/>
        <v/>
      </c>
      <c r="B5308" s="89" t="str">
        <f t="shared" si="493"/>
        <v/>
      </c>
      <c r="S5308" s="89" t="str">
        <f t="shared" si="494"/>
        <v/>
      </c>
      <c r="X5308" s="64">
        <f t="shared" si="495"/>
        <v>0</v>
      </c>
      <c r="Y5308" s="53">
        <f t="shared" si="496"/>
        <v>0</v>
      </c>
      <c r="Z5308" s="64">
        <f t="shared" si="497"/>
        <v>0</v>
      </c>
    </row>
    <row r="5309" spans="1:26">
      <c r="A5309" s="89" t="str">
        <f t="shared" si="492"/>
        <v/>
      </c>
      <c r="B5309" s="89" t="str">
        <f t="shared" si="493"/>
        <v/>
      </c>
      <c r="S5309" s="89" t="str">
        <f t="shared" si="494"/>
        <v/>
      </c>
      <c r="X5309" s="64">
        <f t="shared" si="495"/>
        <v>0</v>
      </c>
      <c r="Y5309" s="53">
        <f t="shared" si="496"/>
        <v>0</v>
      </c>
      <c r="Z5309" s="64">
        <f t="shared" si="497"/>
        <v>0</v>
      </c>
    </row>
    <row r="5310" spans="1:26">
      <c r="A5310" s="89" t="str">
        <f t="shared" si="492"/>
        <v/>
      </c>
      <c r="B5310" s="89" t="str">
        <f t="shared" si="493"/>
        <v/>
      </c>
      <c r="S5310" s="89" t="str">
        <f t="shared" si="494"/>
        <v/>
      </c>
      <c r="X5310" s="64">
        <f t="shared" si="495"/>
        <v>0</v>
      </c>
      <c r="Y5310" s="53">
        <f t="shared" si="496"/>
        <v>0</v>
      </c>
      <c r="Z5310" s="64">
        <f t="shared" si="497"/>
        <v>0</v>
      </c>
    </row>
    <row r="5311" spans="1:26">
      <c r="A5311" s="89" t="str">
        <f t="shared" si="492"/>
        <v/>
      </c>
      <c r="B5311" s="89" t="str">
        <f t="shared" si="493"/>
        <v/>
      </c>
      <c r="S5311" s="89" t="str">
        <f t="shared" si="494"/>
        <v/>
      </c>
      <c r="X5311" s="64">
        <f t="shared" si="495"/>
        <v>0</v>
      </c>
      <c r="Y5311" s="53">
        <f t="shared" si="496"/>
        <v>0</v>
      </c>
      <c r="Z5311" s="64">
        <f t="shared" si="497"/>
        <v>0</v>
      </c>
    </row>
    <row r="5312" spans="1:26">
      <c r="A5312" s="89" t="str">
        <f t="shared" si="492"/>
        <v/>
      </c>
      <c r="B5312" s="89" t="str">
        <f t="shared" si="493"/>
        <v/>
      </c>
      <c r="S5312" s="89" t="str">
        <f t="shared" si="494"/>
        <v/>
      </c>
      <c r="X5312" s="64">
        <f t="shared" si="495"/>
        <v>0</v>
      </c>
      <c r="Y5312" s="53">
        <f t="shared" si="496"/>
        <v>0</v>
      </c>
      <c r="Z5312" s="64">
        <f t="shared" si="497"/>
        <v>0</v>
      </c>
    </row>
    <row r="5313" spans="1:26">
      <c r="A5313" s="89" t="str">
        <f t="shared" si="492"/>
        <v/>
      </c>
      <c r="B5313" s="89" t="str">
        <f t="shared" si="493"/>
        <v/>
      </c>
      <c r="S5313" s="89" t="str">
        <f t="shared" si="494"/>
        <v/>
      </c>
      <c r="X5313" s="64">
        <f t="shared" si="495"/>
        <v>0</v>
      </c>
      <c r="Y5313" s="53">
        <f t="shared" si="496"/>
        <v>0</v>
      </c>
      <c r="Z5313" s="64">
        <f t="shared" si="497"/>
        <v>0</v>
      </c>
    </row>
    <row r="5314" spans="1:26">
      <c r="A5314" s="89" t="str">
        <f t="shared" si="492"/>
        <v/>
      </c>
      <c r="B5314" s="89" t="str">
        <f t="shared" si="493"/>
        <v/>
      </c>
      <c r="S5314" s="89" t="str">
        <f t="shared" si="494"/>
        <v/>
      </c>
      <c r="X5314" s="64">
        <f t="shared" si="495"/>
        <v>0</v>
      </c>
      <c r="Y5314" s="53">
        <f t="shared" si="496"/>
        <v>0</v>
      </c>
      <c r="Z5314" s="64">
        <f t="shared" si="497"/>
        <v>0</v>
      </c>
    </row>
    <row r="5315" spans="1:26">
      <c r="A5315" s="89" t="str">
        <f t="shared" ref="A5315:A5378" si="498">IF(G5315&amp;Q5315&lt;&gt;"",G5315&amp;Q5315,"")</f>
        <v/>
      </c>
      <c r="B5315" s="89" t="str">
        <f t="shared" ref="B5315:B5378" si="499">IF(C5315&lt;&gt;"",LEFT(C5315,9),"")</f>
        <v/>
      </c>
      <c r="S5315" s="89" t="str">
        <f t="shared" ref="S5315:S5378" si="500">IF(H5315&lt;&gt;"",H5315,"")</f>
        <v/>
      </c>
      <c r="X5315" s="64">
        <f t="shared" ref="X5315:X5378" si="501">IFERROR(VALUE(MID($C5315,1,2)),0)</f>
        <v>0</v>
      </c>
      <c r="Y5315" s="53">
        <f t="shared" ref="Y5315:Y5378" si="502">IFERROR(VALUE(MID($C5315,4,3)),0)</f>
        <v>0</v>
      </c>
      <c r="Z5315" s="64">
        <f t="shared" ref="Z5315:Z5378" si="503">VALUE(RIGHT("00"&amp;X5315,2)&amp;RIGHT("000"&amp;Y5315,3))</f>
        <v>0</v>
      </c>
    </row>
    <row r="5316" spans="1:26">
      <c r="A5316" s="89" t="str">
        <f t="shared" si="498"/>
        <v/>
      </c>
      <c r="B5316" s="89" t="str">
        <f t="shared" si="499"/>
        <v/>
      </c>
      <c r="S5316" s="89" t="str">
        <f t="shared" si="500"/>
        <v/>
      </c>
      <c r="X5316" s="64">
        <f t="shared" si="501"/>
        <v>0</v>
      </c>
      <c r="Y5316" s="53">
        <f t="shared" si="502"/>
        <v>0</v>
      </c>
      <c r="Z5316" s="64">
        <f t="shared" si="503"/>
        <v>0</v>
      </c>
    </row>
    <row r="5317" spans="1:26">
      <c r="A5317" s="89" t="str">
        <f t="shared" si="498"/>
        <v/>
      </c>
      <c r="B5317" s="89" t="str">
        <f t="shared" si="499"/>
        <v/>
      </c>
      <c r="S5317" s="89" t="str">
        <f t="shared" si="500"/>
        <v/>
      </c>
      <c r="X5317" s="64">
        <f t="shared" si="501"/>
        <v>0</v>
      </c>
      <c r="Y5317" s="53">
        <f t="shared" si="502"/>
        <v>0</v>
      </c>
      <c r="Z5317" s="64">
        <f t="shared" si="503"/>
        <v>0</v>
      </c>
    </row>
    <row r="5318" spans="1:26">
      <c r="A5318" s="89" t="str">
        <f t="shared" si="498"/>
        <v/>
      </c>
      <c r="B5318" s="89" t="str">
        <f t="shared" si="499"/>
        <v/>
      </c>
      <c r="S5318" s="89" t="str">
        <f t="shared" si="500"/>
        <v/>
      </c>
      <c r="X5318" s="64">
        <f t="shared" si="501"/>
        <v>0</v>
      </c>
      <c r="Y5318" s="53">
        <f t="shared" si="502"/>
        <v>0</v>
      </c>
      <c r="Z5318" s="64">
        <f t="shared" si="503"/>
        <v>0</v>
      </c>
    </row>
    <row r="5319" spans="1:26">
      <c r="A5319" s="89" t="str">
        <f t="shared" si="498"/>
        <v/>
      </c>
      <c r="B5319" s="89" t="str">
        <f t="shared" si="499"/>
        <v/>
      </c>
      <c r="S5319" s="89" t="str">
        <f t="shared" si="500"/>
        <v/>
      </c>
      <c r="X5319" s="64">
        <f t="shared" si="501"/>
        <v>0</v>
      </c>
      <c r="Y5319" s="53">
        <f t="shared" si="502"/>
        <v>0</v>
      </c>
      <c r="Z5319" s="64">
        <f t="shared" si="503"/>
        <v>0</v>
      </c>
    </row>
    <row r="5320" spans="1:26">
      <c r="A5320" s="89" t="str">
        <f t="shared" si="498"/>
        <v/>
      </c>
      <c r="B5320" s="89" t="str">
        <f t="shared" si="499"/>
        <v/>
      </c>
      <c r="S5320" s="89" t="str">
        <f t="shared" si="500"/>
        <v/>
      </c>
      <c r="X5320" s="64">
        <f t="shared" si="501"/>
        <v>0</v>
      </c>
      <c r="Y5320" s="53">
        <f t="shared" si="502"/>
        <v>0</v>
      </c>
      <c r="Z5320" s="64">
        <f t="shared" si="503"/>
        <v>0</v>
      </c>
    </row>
    <row r="5321" spans="1:26">
      <c r="A5321" s="89" t="str">
        <f t="shared" si="498"/>
        <v/>
      </c>
      <c r="B5321" s="89" t="str">
        <f t="shared" si="499"/>
        <v/>
      </c>
      <c r="S5321" s="89" t="str">
        <f t="shared" si="500"/>
        <v/>
      </c>
      <c r="X5321" s="64">
        <f t="shared" si="501"/>
        <v>0</v>
      </c>
      <c r="Y5321" s="53">
        <f t="shared" si="502"/>
        <v>0</v>
      </c>
      <c r="Z5321" s="64">
        <f t="shared" si="503"/>
        <v>0</v>
      </c>
    </row>
    <row r="5322" spans="1:26">
      <c r="A5322" s="89" t="str">
        <f t="shared" si="498"/>
        <v/>
      </c>
      <c r="B5322" s="89" t="str">
        <f t="shared" si="499"/>
        <v/>
      </c>
      <c r="S5322" s="89" t="str">
        <f t="shared" si="500"/>
        <v/>
      </c>
      <c r="X5322" s="64">
        <f t="shared" si="501"/>
        <v>0</v>
      </c>
      <c r="Y5322" s="53">
        <f t="shared" si="502"/>
        <v>0</v>
      </c>
      <c r="Z5322" s="64">
        <f t="shared" si="503"/>
        <v>0</v>
      </c>
    </row>
    <row r="5323" spans="1:26">
      <c r="A5323" s="89" t="str">
        <f t="shared" si="498"/>
        <v/>
      </c>
      <c r="B5323" s="89" t="str">
        <f t="shared" si="499"/>
        <v/>
      </c>
      <c r="S5323" s="89" t="str">
        <f t="shared" si="500"/>
        <v/>
      </c>
      <c r="X5323" s="64">
        <f t="shared" si="501"/>
        <v>0</v>
      </c>
      <c r="Y5323" s="53">
        <f t="shared" si="502"/>
        <v>0</v>
      </c>
      <c r="Z5323" s="64">
        <f t="shared" si="503"/>
        <v>0</v>
      </c>
    </row>
    <row r="5324" spans="1:26">
      <c r="A5324" s="89" t="str">
        <f t="shared" si="498"/>
        <v/>
      </c>
      <c r="B5324" s="89" t="str">
        <f t="shared" si="499"/>
        <v/>
      </c>
      <c r="S5324" s="89" t="str">
        <f t="shared" si="500"/>
        <v/>
      </c>
      <c r="X5324" s="64">
        <f t="shared" si="501"/>
        <v>0</v>
      </c>
      <c r="Y5324" s="53">
        <f t="shared" si="502"/>
        <v>0</v>
      </c>
      <c r="Z5324" s="64">
        <f t="shared" si="503"/>
        <v>0</v>
      </c>
    </row>
    <row r="5325" spans="1:26">
      <c r="A5325" s="89" t="str">
        <f t="shared" si="498"/>
        <v/>
      </c>
      <c r="B5325" s="89" t="str">
        <f t="shared" si="499"/>
        <v/>
      </c>
      <c r="S5325" s="89" t="str">
        <f t="shared" si="500"/>
        <v/>
      </c>
      <c r="X5325" s="64">
        <f t="shared" si="501"/>
        <v>0</v>
      </c>
      <c r="Y5325" s="53">
        <f t="shared" si="502"/>
        <v>0</v>
      </c>
      <c r="Z5325" s="64">
        <f t="shared" si="503"/>
        <v>0</v>
      </c>
    </row>
    <row r="5326" spans="1:26">
      <c r="A5326" s="89" t="str">
        <f t="shared" si="498"/>
        <v/>
      </c>
      <c r="B5326" s="89" t="str">
        <f t="shared" si="499"/>
        <v/>
      </c>
      <c r="S5326" s="89" t="str">
        <f t="shared" si="500"/>
        <v/>
      </c>
      <c r="X5326" s="64">
        <f t="shared" si="501"/>
        <v>0</v>
      </c>
      <c r="Y5326" s="53">
        <f t="shared" si="502"/>
        <v>0</v>
      </c>
      <c r="Z5326" s="64">
        <f t="shared" si="503"/>
        <v>0</v>
      </c>
    </row>
    <row r="5327" spans="1:26">
      <c r="A5327" s="89" t="str">
        <f t="shared" si="498"/>
        <v/>
      </c>
      <c r="B5327" s="89" t="str">
        <f t="shared" si="499"/>
        <v/>
      </c>
      <c r="S5327" s="89" t="str">
        <f t="shared" si="500"/>
        <v/>
      </c>
      <c r="X5327" s="64">
        <f t="shared" si="501"/>
        <v>0</v>
      </c>
      <c r="Y5327" s="53">
        <f t="shared" si="502"/>
        <v>0</v>
      </c>
      <c r="Z5327" s="64">
        <f t="shared" si="503"/>
        <v>0</v>
      </c>
    </row>
    <row r="5328" spans="1:26">
      <c r="A5328" s="89" t="str">
        <f t="shared" si="498"/>
        <v/>
      </c>
      <c r="B5328" s="89" t="str">
        <f t="shared" si="499"/>
        <v/>
      </c>
      <c r="S5328" s="89" t="str">
        <f t="shared" si="500"/>
        <v/>
      </c>
      <c r="X5328" s="64">
        <f t="shared" si="501"/>
        <v>0</v>
      </c>
      <c r="Y5328" s="53">
        <f t="shared" si="502"/>
        <v>0</v>
      </c>
      <c r="Z5328" s="64">
        <f t="shared" si="503"/>
        <v>0</v>
      </c>
    </row>
    <row r="5329" spans="1:26">
      <c r="A5329" s="89" t="str">
        <f t="shared" si="498"/>
        <v/>
      </c>
      <c r="B5329" s="89" t="str">
        <f t="shared" si="499"/>
        <v/>
      </c>
      <c r="S5329" s="89" t="str">
        <f t="shared" si="500"/>
        <v/>
      </c>
      <c r="X5329" s="64">
        <f t="shared" si="501"/>
        <v>0</v>
      </c>
      <c r="Y5329" s="53">
        <f t="shared" si="502"/>
        <v>0</v>
      </c>
      <c r="Z5329" s="64">
        <f t="shared" si="503"/>
        <v>0</v>
      </c>
    </row>
    <row r="5330" spans="1:26">
      <c r="A5330" s="89" t="str">
        <f t="shared" si="498"/>
        <v/>
      </c>
      <c r="B5330" s="89" t="str">
        <f t="shared" si="499"/>
        <v/>
      </c>
      <c r="S5330" s="89" t="str">
        <f t="shared" si="500"/>
        <v/>
      </c>
      <c r="X5330" s="64">
        <f t="shared" si="501"/>
        <v>0</v>
      </c>
      <c r="Y5330" s="53">
        <f t="shared" si="502"/>
        <v>0</v>
      </c>
      <c r="Z5330" s="64">
        <f t="shared" si="503"/>
        <v>0</v>
      </c>
    </row>
    <row r="5331" spans="1:26">
      <c r="A5331" s="89" t="str">
        <f t="shared" si="498"/>
        <v/>
      </c>
      <c r="B5331" s="89" t="str">
        <f t="shared" si="499"/>
        <v/>
      </c>
      <c r="S5331" s="89" t="str">
        <f t="shared" si="500"/>
        <v/>
      </c>
      <c r="X5331" s="64">
        <f t="shared" si="501"/>
        <v>0</v>
      </c>
      <c r="Y5331" s="53">
        <f t="shared" si="502"/>
        <v>0</v>
      </c>
      <c r="Z5331" s="64">
        <f t="shared" si="503"/>
        <v>0</v>
      </c>
    </row>
    <row r="5332" spans="1:26">
      <c r="A5332" s="89" t="str">
        <f t="shared" si="498"/>
        <v/>
      </c>
      <c r="B5332" s="89" t="str">
        <f t="shared" si="499"/>
        <v/>
      </c>
      <c r="S5332" s="89" t="str">
        <f t="shared" si="500"/>
        <v/>
      </c>
      <c r="X5332" s="64">
        <f t="shared" si="501"/>
        <v>0</v>
      </c>
      <c r="Y5332" s="53">
        <f t="shared" si="502"/>
        <v>0</v>
      </c>
      <c r="Z5332" s="64">
        <f t="shared" si="503"/>
        <v>0</v>
      </c>
    </row>
    <row r="5333" spans="1:26">
      <c r="A5333" s="89" t="str">
        <f t="shared" si="498"/>
        <v/>
      </c>
      <c r="B5333" s="89" t="str">
        <f t="shared" si="499"/>
        <v/>
      </c>
      <c r="S5333" s="89" t="str">
        <f t="shared" si="500"/>
        <v/>
      </c>
      <c r="X5333" s="64">
        <f t="shared" si="501"/>
        <v>0</v>
      </c>
      <c r="Y5333" s="53">
        <f t="shared" si="502"/>
        <v>0</v>
      </c>
      <c r="Z5333" s="64">
        <f t="shared" si="503"/>
        <v>0</v>
      </c>
    </row>
    <row r="5334" spans="1:26">
      <c r="A5334" s="89" t="str">
        <f t="shared" si="498"/>
        <v/>
      </c>
      <c r="B5334" s="89" t="str">
        <f t="shared" si="499"/>
        <v/>
      </c>
      <c r="S5334" s="89" t="str">
        <f t="shared" si="500"/>
        <v/>
      </c>
      <c r="X5334" s="64">
        <f t="shared" si="501"/>
        <v>0</v>
      </c>
      <c r="Y5334" s="53">
        <f t="shared" si="502"/>
        <v>0</v>
      </c>
      <c r="Z5334" s="64">
        <f t="shared" si="503"/>
        <v>0</v>
      </c>
    </row>
    <row r="5335" spans="1:26">
      <c r="A5335" s="89" t="str">
        <f t="shared" si="498"/>
        <v/>
      </c>
      <c r="B5335" s="89" t="str">
        <f t="shared" si="499"/>
        <v/>
      </c>
      <c r="S5335" s="89" t="str">
        <f t="shared" si="500"/>
        <v/>
      </c>
      <c r="X5335" s="64">
        <f t="shared" si="501"/>
        <v>0</v>
      </c>
      <c r="Y5335" s="53">
        <f t="shared" si="502"/>
        <v>0</v>
      </c>
      <c r="Z5335" s="64">
        <f t="shared" si="503"/>
        <v>0</v>
      </c>
    </row>
    <row r="5336" spans="1:26">
      <c r="A5336" s="89" t="str">
        <f t="shared" si="498"/>
        <v/>
      </c>
      <c r="B5336" s="89" t="str">
        <f t="shared" si="499"/>
        <v/>
      </c>
      <c r="S5336" s="89" t="str">
        <f t="shared" si="500"/>
        <v/>
      </c>
      <c r="X5336" s="64">
        <f t="shared" si="501"/>
        <v>0</v>
      </c>
      <c r="Y5336" s="53">
        <f t="shared" si="502"/>
        <v>0</v>
      </c>
      <c r="Z5336" s="64">
        <f t="shared" si="503"/>
        <v>0</v>
      </c>
    </row>
    <row r="5337" spans="1:26">
      <c r="A5337" s="89" t="str">
        <f t="shared" si="498"/>
        <v/>
      </c>
      <c r="B5337" s="89" t="str">
        <f t="shared" si="499"/>
        <v/>
      </c>
      <c r="S5337" s="89" t="str">
        <f t="shared" si="500"/>
        <v/>
      </c>
      <c r="X5337" s="64">
        <f t="shared" si="501"/>
        <v>0</v>
      </c>
      <c r="Y5337" s="53">
        <f t="shared" si="502"/>
        <v>0</v>
      </c>
      <c r="Z5337" s="64">
        <f t="shared" si="503"/>
        <v>0</v>
      </c>
    </row>
    <row r="5338" spans="1:26">
      <c r="A5338" s="89" t="str">
        <f t="shared" si="498"/>
        <v/>
      </c>
      <c r="B5338" s="89" t="str">
        <f t="shared" si="499"/>
        <v/>
      </c>
      <c r="S5338" s="89" t="str">
        <f t="shared" si="500"/>
        <v/>
      </c>
      <c r="X5338" s="64">
        <f t="shared" si="501"/>
        <v>0</v>
      </c>
      <c r="Y5338" s="53">
        <f t="shared" si="502"/>
        <v>0</v>
      </c>
      <c r="Z5338" s="64">
        <f t="shared" si="503"/>
        <v>0</v>
      </c>
    </row>
    <row r="5339" spans="1:26">
      <c r="A5339" s="89" t="str">
        <f t="shared" si="498"/>
        <v/>
      </c>
      <c r="B5339" s="89" t="str">
        <f t="shared" si="499"/>
        <v/>
      </c>
      <c r="S5339" s="89" t="str">
        <f t="shared" si="500"/>
        <v/>
      </c>
      <c r="X5339" s="64">
        <f t="shared" si="501"/>
        <v>0</v>
      </c>
      <c r="Y5339" s="53">
        <f t="shared" si="502"/>
        <v>0</v>
      </c>
      <c r="Z5339" s="64">
        <f t="shared" si="503"/>
        <v>0</v>
      </c>
    </row>
    <row r="5340" spans="1:26">
      <c r="A5340" s="89" t="str">
        <f t="shared" si="498"/>
        <v/>
      </c>
      <c r="B5340" s="89" t="str">
        <f t="shared" si="499"/>
        <v/>
      </c>
      <c r="S5340" s="89" t="str">
        <f t="shared" si="500"/>
        <v/>
      </c>
      <c r="X5340" s="64">
        <f t="shared" si="501"/>
        <v>0</v>
      </c>
      <c r="Y5340" s="53">
        <f t="shared" si="502"/>
        <v>0</v>
      </c>
      <c r="Z5340" s="64">
        <f t="shared" si="503"/>
        <v>0</v>
      </c>
    </row>
    <row r="5341" spans="1:26">
      <c r="A5341" s="89" t="str">
        <f t="shared" si="498"/>
        <v/>
      </c>
      <c r="B5341" s="89" t="str">
        <f t="shared" si="499"/>
        <v/>
      </c>
      <c r="S5341" s="89" t="str">
        <f t="shared" si="500"/>
        <v/>
      </c>
      <c r="X5341" s="64">
        <f t="shared" si="501"/>
        <v>0</v>
      </c>
      <c r="Y5341" s="53">
        <f t="shared" si="502"/>
        <v>0</v>
      </c>
      <c r="Z5341" s="64">
        <f t="shared" si="503"/>
        <v>0</v>
      </c>
    </row>
    <row r="5342" spans="1:26">
      <c r="A5342" s="89" t="str">
        <f t="shared" si="498"/>
        <v/>
      </c>
      <c r="B5342" s="89" t="str">
        <f t="shared" si="499"/>
        <v/>
      </c>
      <c r="S5342" s="89" t="str">
        <f t="shared" si="500"/>
        <v/>
      </c>
      <c r="X5342" s="64">
        <f t="shared" si="501"/>
        <v>0</v>
      </c>
      <c r="Y5342" s="53">
        <f t="shared" si="502"/>
        <v>0</v>
      </c>
      <c r="Z5342" s="64">
        <f t="shared" si="503"/>
        <v>0</v>
      </c>
    </row>
    <row r="5343" spans="1:26">
      <c r="A5343" s="89" t="str">
        <f t="shared" si="498"/>
        <v/>
      </c>
      <c r="B5343" s="89" t="str">
        <f t="shared" si="499"/>
        <v/>
      </c>
      <c r="S5343" s="89" t="str">
        <f t="shared" si="500"/>
        <v/>
      </c>
      <c r="X5343" s="64">
        <f t="shared" si="501"/>
        <v>0</v>
      </c>
      <c r="Y5343" s="53">
        <f t="shared" si="502"/>
        <v>0</v>
      </c>
      <c r="Z5343" s="64">
        <f t="shared" si="503"/>
        <v>0</v>
      </c>
    </row>
    <row r="5344" spans="1:26">
      <c r="A5344" s="89" t="str">
        <f t="shared" si="498"/>
        <v/>
      </c>
      <c r="B5344" s="89" t="str">
        <f t="shared" si="499"/>
        <v/>
      </c>
      <c r="S5344" s="89" t="str">
        <f t="shared" si="500"/>
        <v/>
      </c>
      <c r="X5344" s="64">
        <f t="shared" si="501"/>
        <v>0</v>
      </c>
      <c r="Y5344" s="53">
        <f t="shared" si="502"/>
        <v>0</v>
      </c>
      <c r="Z5344" s="64">
        <f t="shared" si="503"/>
        <v>0</v>
      </c>
    </row>
    <row r="5345" spans="1:26">
      <c r="A5345" s="89" t="str">
        <f t="shared" si="498"/>
        <v/>
      </c>
      <c r="B5345" s="89" t="str">
        <f t="shared" si="499"/>
        <v/>
      </c>
      <c r="S5345" s="89" t="str">
        <f t="shared" si="500"/>
        <v/>
      </c>
      <c r="X5345" s="64">
        <f t="shared" si="501"/>
        <v>0</v>
      </c>
      <c r="Y5345" s="53">
        <f t="shared" si="502"/>
        <v>0</v>
      </c>
      <c r="Z5345" s="64">
        <f t="shared" si="503"/>
        <v>0</v>
      </c>
    </row>
    <row r="5346" spans="1:26">
      <c r="A5346" s="89" t="str">
        <f t="shared" si="498"/>
        <v/>
      </c>
      <c r="B5346" s="89" t="str">
        <f t="shared" si="499"/>
        <v/>
      </c>
      <c r="S5346" s="89" t="str">
        <f t="shared" si="500"/>
        <v/>
      </c>
      <c r="X5346" s="64">
        <f t="shared" si="501"/>
        <v>0</v>
      </c>
      <c r="Y5346" s="53">
        <f t="shared" si="502"/>
        <v>0</v>
      </c>
      <c r="Z5346" s="64">
        <f t="shared" si="503"/>
        <v>0</v>
      </c>
    </row>
    <row r="5347" spans="1:26">
      <c r="A5347" s="89" t="str">
        <f t="shared" si="498"/>
        <v/>
      </c>
      <c r="B5347" s="89" t="str">
        <f t="shared" si="499"/>
        <v/>
      </c>
      <c r="S5347" s="89" t="str">
        <f t="shared" si="500"/>
        <v/>
      </c>
      <c r="X5347" s="64">
        <f t="shared" si="501"/>
        <v>0</v>
      </c>
      <c r="Y5347" s="53">
        <f t="shared" si="502"/>
        <v>0</v>
      </c>
      <c r="Z5347" s="64">
        <f t="shared" si="503"/>
        <v>0</v>
      </c>
    </row>
    <row r="5348" spans="1:26">
      <c r="A5348" s="89" t="str">
        <f t="shared" si="498"/>
        <v/>
      </c>
      <c r="B5348" s="89" t="str">
        <f t="shared" si="499"/>
        <v/>
      </c>
      <c r="S5348" s="89" t="str">
        <f t="shared" si="500"/>
        <v/>
      </c>
      <c r="X5348" s="64">
        <f t="shared" si="501"/>
        <v>0</v>
      </c>
      <c r="Y5348" s="53">
        <f t="shared" si="502"/>
        <v>0</v>
      </c>
      <c r="Z5348" s="64">
        <f t="shared" si="503"/>
        <v>0</v>
      </c>
    </row>
    <row r="5349" spans="1:26">
      <c r="A5349" s="89" t="str">
        <f t="shared" si="498"/>
        <v/>
      </c>
      <c r="B5349" s="89" t="str">
        <f t="shared" si="499"/>
        <v/>
      </c>
      <c r="S5349" s="89" t="str">
        <f t="shared" si="500"/>
        <v/>
      </c>
      <c r="X5349" s="64">
        <f t="shared" si="501"/>
        <v>0</v>
      </c>
      <c r="Y5349" s="53">
        <f t="shared" si="502"/>
        <v>0</v>
      </c>
      <c r="Z5349" s="64">
        <f t="shared" si="503"/>
        <v>0</v>
      </c>
    </row>
    <row r="5350" spans="1:26">
      <c r="A5350" s="89" t="str">
        <f t="shared" si="498"/>
        <v/>
      </c>
      <c r="B5350" s="89" t="str">
        <f t="shared" si="499"/>
        <v/>
      </c>
      <c r="S5350" s="89" t="str">
        <f t="shared" si="500"/>
        <v/>
      </c>
      <c r="X5350" s="64">
        <f t="shared" si="501"/>
        <v>0</v>
      </c>
      <c r="Y5350" s="53">
        <f t="shared" si="502"/>
        <v>0</v>
      </c>
      <c r="Z5350" s="64">
        <f t="shared" si="503"/>
        <v>0</v>
      </c>
    </row>
    <row r="5351" spans="1:26">
      <c r="A5351" s="89" t="str">
        <f t="shared" si="498"/>
        <v/>
      </c>
      <c r="B5351" s="89" t="str">
        <f t="shared" si="499"/>
        <v/>
      </c>
      <c r="S5351" s="89" t="str">
        <f t="shared" si="500"/>
        <v/>
      </c>
      <c r="X5351" s="64">
        <f t="shared" si="501"/>
        <v>0</v>
      </c>
      <c r="Y5351" s="53">
        <f t="shared" si="502"/>
        <v>0</v>
      </c>
      <c r="Z5351" s="64">
        <f t="shared" si="503"/>
        <v>0</v>
      </c>
    </row>
    <row r="5352" spans="1:26">
      <c r="A5352" s="89" t="str">
        <f t="shared" si="498"/>
        <v/>
      </c>
      <c r="B5352" s="89" t="str">
        <f t="shared" si="499"/>
        <v/>
      </c>
      <c r="S5352" s="89" t="str">
        <f t="shared" si="500"/>
        <v/>
      </c>
      <c r="X5352" s="64">
        <f t="shared" si="501"/>
        <v>0</v>
      </c>
      <c r="Y5352" s="53">
        <f t="shared" si="502"/>
        <v>0</v>
      </c>
      <c r="Z5352" s="64">
        <f t="shared" si="503"/>
        <v>0</v>
      </c>
    </row>
    <row r="5353" spans="1:26">
      <c r="A5353" s="89" t="str">
        <f t="shared" si="498"/>
        <v/>
      </c>
      <c r="B5353" s="89" t="str">
        <f t="shared" si="499"/>
        <v/>
      </c>
      <c r="S5353" s="89" t="str">
        <f t="shared" si="500"/>
        <v/>
      </c>
      <c r="X5353" s="64">
        <f t="shared" si="501"/>
        <v>0</v>
      </c>
      <c r="Y5353" s="53">
        <f t="shared" si="502"/>
        <v>0</v>
      </c>
      <c r="Z5353" s="64">
        <f t="shared" si="503"/>
        <v>0</v>
      </c>
    </row>
    <row r="5354" spans="1:26">
      <c r="A5354" s="89" t="str">
        <f t="shared" si="498"/>
        <v/>
      </c>
      <c r="B5354" s="89" t="str">
        <f t="shared" si="499"/>
        <v/>
      </c>
      <c r="S5354" s="89" t="str">
        <f t="shared" si="500"/>
        <v/>
      </c>
      <c r="X5354" s="64">
        <f t="shared" si="501"/>
        <v>0</v>
      </c>
      <c r="Y5354" s="53">
        <f t="shared" si="502"/>
        <v>0</v>
      </c>
      <c r="Z5354" s="64">
        <f t="shared" si="503"/>
        <v>0</v>
      </c>
    </row>
    <row r="5355" spans="1:26">
      <c r="A5355" s="89" t="str">
        <f t="shared" si="498"/>
        <v/>
      </c>
      <c r="B5355" s="89" t="str">
        <f t="shared" si="499"/>
        <v/>
      </c>
      <c r="S5355" s="89" t="str">
        <f t="shared" si="500"/>
        <v/>
      </c>
      <c r="X5355" s="64">
        <f t="shared" si="501"/>
        <v>0</v>
      </c>
      <c r="Y5355" s="53">
        <f t="shared" si="502"/>
        <v>0</v>
      </c>
      <c r="Z5355" s="64">
        <f t="shared" si="503"/>
        <v>0</v>
      </c>
    </row>
    <row r="5356" spans="1:26">
      <c r="A5356" s="89" t="str">
        <f t="shared" si="498"/>
        <v/>
      </c>
      <c r="B5356" s="89" t="str">
        <f t="shared" si="499"/>
        <v/>
      </c>
      <c r="S5356" s="89" t="str">
        <f t="shared" si="500"/>
        <v/>
      </c>
      <c r="X5356" s="64">
        <f t="shared" si="501"/>
        <v>0</v>
      </c>
      <c r="Y5356" s="53">
        <f t="shared" si="502"/>
        <v>0</v>
      </c>
      <c r="Z5356" s="64">
        <f t="shared" si="503"/>
        <v>0</v>
      </c>
    </row>
    <row r="5357" spans="1:26">
      <c r="A5357" s="89" t="str">
        <f t="shared" si="498"/>
        <v/>
      </c>
      <c r="B5357" s="89" t="str">
        <f t="shared" si="499"/>
        <v/>
      </c>
      <c r="S5357" s="89" t="str">
        <f t="shared" si="500"/>
        <v/>
      </c>
      <c r="X5357" s="64">
        <f t="shared" si="501"/>
        <v>0</v>
      </c>
      <c r="Y5357" s="53">
        <f t="shared" si="502"/>
        <v>0</v>
      </c>
      <c r="Z5357" s="64">
        <f t="shared" si="503"/>
        <v>0</v>
      </c>
    </row>
    <row r="5358" spans="1:26">
      <c r="A5358" s="89" t="str">
        <f t="shared" si="498"/>
        <v/>
      </c>
      <c r="B5358" s="89" t="str">
        <f t="shared" si="499"/>
        <v/>
      </c>
      <c r="S5358" s="89" t="str">
        <f t="shared" si="500"/>
        <v/>
      </c>
      <c r="X5358" s="64">
        <f t="shared" si="501"/>
        <v>0</v>
      </c>
      <c r="Y5358" s="53">
        <f t="shared" si="502"/>
        <v>0</v>
      </c>
      <c r="Z5358" s="64">
        <f t="shared" si="503"/>
        <v>0</v>
      </c>
    </row>
    <row r="5359" spans="1:26">
      <c r="A5359" s="89" t="str">
        <f t="shared" si="498"/>
        <v/>
      </c>
      <c r="B5359" s="89" t="str">
        <f t="shared" si="499"/>
        <v/>
      </c>
      <c r="S5359" s="89" t="str">
        <f t="shared" si="500"/>
        <v/>
      </c>
      <c r="X5359" s="64">
        <f t="shared" si="501"/>
        <v>0</v>
      </c>
      <c r="Y5359" s="53">
        <f t="shared" si="502"/>
        <v>0</v>
      </c>
      <c r="Z5359" s="64">
        <f t="shared" si="503"/>
        <v>0</v>
      </c>
    </row>
    <row r="5360" spans="1:26">
      <c r="A5360" s="89" t="str">
        <f t="shared" si="498"/>
        <v/>
      </c>
      <c r="B5360" s="89" t="str">
        <f t="shared" si="499"/>
        <v/>
      </c>
      <c r="S5360" s="89" t="str">
        <f t="shared" si="500"/>
        <v/>
      </c>
      <c r="X5360" s="64">
        <f t="shared" si="501"/>
        <v>0</v>
      </c>
      <c r="Y5360" s="53">
        <f t="shared" si="502"/>
        <v>0</v>
      </c>
      <c r="Z5360" s="64">
        <f t="shared" si="503"/>
        <v>0</v>
      </c>
    </row>
    <row r="5361" spans="1:26">
      <c r="A5361" s="89" t="str">
        <f t="shared" si="498"/>
        <v/>
      </c>
      <c r="B5361" s="89" t="str">
        <f t="shared" si="499"/>
        <v/>
      </c>
      <c r="S5361" s="89" t="str">
        <f t="shared" si="500"/>
        <v/>
      </c>
      <c r="X5361" s="64">
        <f t="shared" si="501"/>
        <v>0</v>
      </c>
      <c r="Y5361" s="53">
        <f t="shared" si="502"/>
        <v>0</v>
      </c>
      <c r="Z5361" s="64">
        <f t="shared" si="503"/>
        <v>0</v>
      </c>
    </row>
    <row r="5362" spans="1:26">
      <c r="A5362" s="89" t="str">
        <f t="shared" si="498"/>
        <v/>
      </c>
      <c r="B5362" s="89" t="str">
        <f t="shared" si="499"/>
        <v/>
      </c>
      <c r="S5362" s="89" t="str">
        <f t="shared" si="500"/>
        <v/>
      </c>
      <c r="X5362" s="64">
        <f t="shared" si="501"/>
        <v>0</v>
      </c>
      <c r="Y5362" s="53">
        <f t="shared" si="502"/>
        <v>0</v>
      </c>
      <c r="Z5362" s="64">
        <f t="shared" si="503"/>
        <v>0</v>
      </c>
    </row>
    <row r="5363" spans="1:26">
      <c r="A5363" s="89" t="str">
        <f t="shared" si="498"/>
        <v/>
      </c>
      <c r="B5363" s="89" t="str">
        <f t="shared" si="499"/>
        <v/>
      </c>
      <c r="S5363" s="89" t="str">
        <f t="shared" si="500"/>
        <v/>
      </c>
      <c r="X5363" s="64">
        <f t="shared" si="501"/>
        <v>0</v>
      </c>
      <c r="Y5363" s="53">
        <f t="shared" si="502"/>
        <v>0</v>
      </c>
      <c r="Z5363" s="64">
        <f t="shared" si="503"/>
        <v>0</v>
      </c>
    </row>
    <row r="5364" spans="1:26">
      <c r="A5364" s="89" t="str">
        <f t="shared" si="498"/>
        <v/>
      </c>
      <c r="B5364" s="89" t="str">
        <f t="shared" si="499"/>
        <v/>
      </c>
      <c r="S5364" s="89" t="str">
        <f t="shared" si="500"/>
        <v/>
      </c>
      <c r="X5364" s="64">
        <f t="shared" si="501"/>
        <v>0</v>
      </c>
      <c r="Y5364" s="53">
        <f t="shared" si="502"/>
        <v>0</v>
      </c>
      <c r="Z5364" s="64">
        <f t="shared" si="503"/>
        <v>0</v>
      </c>
    </row>
    <row r="5365" spans="1:26">
      <c r="A5365" s="89" t="str">
        <f t="shared" si="498"/>
        <v/>
      </c>
      <c r="B5365" s="89" t="str">
        <f t="shared" si="499"/>
        <v/>
      </c>
      <c r="S5365" s="89" t="str">
        <f t="shared" si="500"/>
        <v/>
      </c>
      <c r="X5365" s="64">
        <f t="shared" si="501"/>
        <v>0</v>
      </c>
      <c r="Y5365" s="53">
        <f t="shared" si="502"/>
        <v>0</v>
      </c>
      <c r="Z5365" s="64">
        <f t="shared" si="503"/>
        <v>0</v>
      </c>
    </row>
    <row r="5366" spans="1:26">
      <c r="A5366" s="89" t="str">
        <f t="shared" si="498"/>
        <v/>
      </c>
      <c r="B5366" s="89" t="str">
        <f t="shared" si="499"/>
        <v/>
      </c>
      <c r="S5366" s="89" t="str">
        <f t="shared" si="500"/>
        <v/>
      </c>
      <c r="X5366" s="64">
        <f t="shared" si="501"/>
        <v>0</v>
      </c>
      <c r="Y5366" s="53">
        <f t="shared" si="502"/>
        <v>0</v>
      </c>
      <c r="Z5366" s="64">
        <f t="shared" si="503"/>
        <v>0</v>
      </c>
    </row>
    <row r="5367" spans="1:26">
      <c r="A5367" s="89" t="str">
        <f t="shared" si="498"/>
        <v/>
      </c>
      <c r="B5367" s="89" t="str">
        <f t="shared" si="499"/>
        <v/>
      </c>
      <c r="S5367" s="89" t="str">
        <f t="shared" si="500"/>
        <v/>
      </c>
      <c r="X5367" s="64">
        <f t="shared" si="501"/>
        <v>0</v>
      </c>
      <c r="Y5367" s="53">
        <f t="shared" si="502"/>
        <v>0</v>
      </c>
      <c r="Z5367" s="64">
        <f t="shared" si="503"/>
        <v>0</v>
      </c>
    </row>
    <row r="5368" spans="1:26">
      <c r="A5368" s="89" t="str">
        <f t="shared" si="498"/>
        <v/>
      </c>
      <c r="B5368" s="89" t="str">
        <f t="shared" si="499"/>
        <v/>
      </c>
      <c r="S5368" s="89" t="str">
        <f t="shared" si="500"/>
        <v/>
      </c>
      <c r="X5368" s="64">
        <f t="shared" si="501"/>
        <v>0</v>
      </c>
      <c r="Y5368" s="53">
        <f t="shared" si="502"/>
        <v>0</v>
      </c>
      <c r="Z5368" s="64">
        <f t="shared" si="503"/>
        <v>0</v>
      </c>
    </row>
    <row r="5369" spans="1:26">
      <c r="A5369" s="89" t="str">
        <f t="shared" si="498"/>
        <v/>
      </c>
      <c r="B5369" s="89" t="str">
        <f t="shared" si="499"/>
        <v/>
      </c>
      <c r="S5369" s="89" t="str">
        <f t="shared" si="500"/>
        <v/>
      </c>
      <c r="X5369" s="64">
        <f t="shared" si="501"/>
        <v>0</v>
      </c>
      <c r="Y5369" s="53">
        <f t="shared" si="502"/>
        <v>0</v>
      </c>
      <c r="Z5369" s="64">
        <f t="shared" si="503"/>
        <v>0</v>
      </c>
    </row>
    <row r="5370" spans="1:26">
      <c r="A5370" s="89" t="str">
        <f t="shared" si="498"/>
        <v/>
      </c>
      <c r="B5370" s="89" t="str">
        <f t="shared" si="499"/>
        <v/>
      </c>
      <c r="S5370" s="89" t="str">
        <f t="shared" si="500"/>
        <v/>
      </c>
      <c r="X5370" s="64">
        <f t="shared" si="501"/>
        <v>0</v>
      </c>
      <c r="Y5370" s="53">
        <f t="shared" si="502"/>
        <v>0</v>
      </c>
      <c r="Z5370" s="64">
        <f t="shared" si="503"/>
        <v>0</v>
      </c>
    </row>
    <row r="5371" spans="1:26">
      <c r="A5371" s="89" t="str">
        <f t="shared" si="498"/>
        <v/>
      </c>
      <c r="B5371" s="89" t="str">
        <f t="shared" si="499"/>
        <v/>
      </c>
      <c r="S5371" s="89" t="str">
        <f t="shared" si="500"/>
        <v/>
      </c>
      <c r="X5371" s="64">
        <f t="shared" si="501"/>
        <v>0</v>
      </c>
      <c r="Y5371" s="53">
        <f t="shared" si="502"/>
        <v>0</v>
      </c>
      <c r="Z5371" s="64">
        <f t="shared" si="503"/>
        <v>0</v>
      </c>
    </row>
    <row r="5372" spans="1:26">
      <c r="A5372" s="89" t="str">
        <f t="shared" si="498"/>
        <v/>
      </c>
      <c r="B5372" s="89" t="str">
        <f t="shared" si="499"/>
        <v/>
      </c>
      <c r="S5372" s="89" t="str">
        <f t="shared" si="500"/>
        <v/>
      </c>
      <c r="X5372" s="64">
        <f t="shared" si="501"/>
        <v>0</v>
      </c>
      <c r="Y5372" s="53">
        <f t="shared" si="502"/>
        <v>0</v>
      </c>
      <c r="Z5372" s="64">
        <f t="shared" si="503"/>
        <v>0</v>
      </c>
    </row>
    <row r="5373" spans="1:26">
      <c r="A5373" s="89" t="str">
        <f t="shared" si="498"/>
        <v/>
      </c>
      <c r="B5373" s="89" t="str">
        <f t="shared" si="499"/>
        <v/>
      </c>
      <c r="S5373" s="89" t="str">
        <f t="shared" si="500"/>
        <v/>
      </c>
      <c r="X5373" s="64">
        <f t="shared" si="501"/>
        <v>0</v>
      </c>
      <c r="Y5373" s="53">
        <f t="shared" si="502"/>
        <v>0</v>
      </c>
      <c r="Z5373" s="64">
        <f t="shared" si="503"/>
        <v>0</v>
      </c>
    </row>
    <row r="5374" spans="1:26">
      <c r="A5374" s="89" t="str">
        <f t="shared" si="498"/>
        <v/>
      </c>
      <c r="B5374" s="89" t="str">
        <f t="shared" si="499"/>
        <v/>
      </c>
      <c r="S5374" s="89" t="str">
        <f t="shared" si="500"/>
        <v/>
      </c>
      <c r="X5374" s="64">
        <f t="shared" si="501"/>
        <v>0</v>
      </c>
      <c r="Y5374" s="53">
        <f t="shared" si="502"/>
        <v>0</v>
      </c>
      <c r="Z5374" s="64">
        <f t="shared" si="503"/>
        <v>0</v>
      </c>
    </row>
    <row r="5375" spans="1:26">
      <c r="A5375" s="89" t="str">
        <f t="shared" si="498"/>
        <v/>
      </c>
      <c r="B5375" s="89" t="str">
        <f t="shared" si="499"/>
        <v/>
      </c>
      <c r="S5375" s="89" t="str">
        <f t="shared" si="500"/>
        <v/>
      </c>
      <c r="X5375" s="64">
        <f t="shared" si="501"/>
        <v>0</v>
      </c>
      <c r="Y5375" s="53">
        <f t="shared" si="502"/>
        <v>0</v>
      </c>
      <c r="Z5375" s="64">
        <f t="shared" si="503"/>
        <v>0</v>
      </c>
    </row>
    <row r="5376" spans="1:26">
      <c r="A5376" s="89" t="str">
        <f t="shared" si="498"/>
        <v/>
      </c>
      <c r="B5376" s="89" t="str">
        <f t="shared" si="499"/>
        <v/>
      </c>
      <c r="S5376" s="89" t="str">
        <f t="shared" si="500"/>
        <v/>
      </c>
      <c r="X5376" s="64">
        <f t="shared" si="501"/>
        <v>0</v>
      </c>
      <c r="Y5376" s="53">
        <f t="shared" si="502"/>
        <v>0</v>
      </c>
      <c r="Z5376" s="64">
        <f t="shared" si="503"/>
        <v>0</v>
      </c>
    </row>
    <row r="5377" spans="1:26">
      <c r="A5377" s="89" t="str">
        <f t="shared" si="498"/>
        <v/>
      </c>
      <c r="B5377" s="89" t="str">
        <f t="shared" si="499"/>
        <v/>
      </c>
      <c r="S5377" s="89" t="str">
        <f t="shared" si="500"/>
        <v/>
      </c>
      <c r="X5377" s="64">
        <f t="shared" si="501"/>
        <v>0</v>
      </c>
      <c r="Y5377" s="53">
        <f t="shared" si="502"/>
        <v>0</v>
      </c>
      <c r="Z5377" s="64">
        <f t="shared" si="503"/>
        <v>0</v>
      </c>
    </row>
    <row r="5378" spans="1:26">
      <c r="A5378" s="89" t="str">
        <f t="shared" si="498"/>
        <v/>
      </c>
      <c r="B5378" s="89" t="str">
        <f t="shared" si="499"/>
        <v/>
      </c>
      <c r="S5378" s="89" t="str">
        <f t="shared" si="500"/>
        <v/>
      </c>
      <c r="X5378" s="64">
        <f t="shared" si="501"/>
        <v>0</v>
      </c>
      <c r="Y5378" s="53">
        <f t="shared" si="502"/>
        <v>0</v>
      </c>
      <c r="Z5378" s="64">
        <f t="shared" si="503"/>
        <v>0</v>
      </c>
    </row>
    <row r="5379" spans="1:26">
      <c r="A5379" s="89" t="str">
        <f t="shared" ref="A5379:A5442" si="504">IF(G5379&amp;Q5379&lt;&gt;"",G5379&amp;Q5379,"")</f>
        <v/>
      </c>
      <c r="B5379" s="89" t="str">
        <f t="shared" ref="B5379:B5442" si="505">IF(C5379&lt;&gt;"",LEFT(C5379,9),"")</f>
        <v/>
      </c>
      <c r="S5379" s="89" t="str">
        <f t="shared" ref="S5379:S5442" si="506">IF(H5379&lt;&gt;"",H5379,"")</f>
        <v/>
      </c>
      <c r="X5379" s="64">
        <f t="shared" ref="X5379:X5442" si="507">IFERROR(VALUE(MID($C5379,1,2)),0)</f>
        <v>0</v>
      </c>
      <c r="Y5379" s="53">
        <f t="shared" ref="Y5379:Y5442" si="508">IFERROR(VALUE(MID($C5379,4,3)),0)</f>
        <v>0</v>
      </c>
      <c r="Z5379" s="64">
        <f t="shared" ref="Z5379:Z5442" si="509">VALUE(RIGHT("00"&amp;X5379,2)&amp;RIGHT("000"&amp;Y5379,3))</f>
        <v>0</v>
      </c>
    </row>
    <row r="5380" spans="1:26">
      <c r="A5380" s="89" t="str">
        <f t="shared" si="504"/>
        <v/>
      </c>
      <c r="B5380" s="89" t="str">
        <f t="shared" si="505"/>
        <v/>
      </c>
      <c r="S5380" s="89" t="str">
        <f t="shared" si="506"/>
        <v/>
      </c>
      <c r="X5380" s="64">
        <f t="shared" si="507"/>
        <v>0</v>
      </c>
      <c r="Y5380" s="53">
        <f t="shared" si="508"/>
        <v>0</v>
      </c>
      <c r="Z5380" s="64">
        <f t="shared" si="509"/>
        <v>0</v>
      </c>
    </row>
    <row r="5381" spans="1:26">
      <c r="A5381" s="89" t="str">
        <f t="shared" si="504"/>
        <v/>
      </c>
      <c r="B5381" s="89" t="str">
        <f t="shared" si="505"/>
        <v/>
      </c>
      <c r="S5381" s="89" t="str">
        <f t="shared" si="506"/>
        <v/>
      </c>
      <c r="X5381" s="64">
        <f t="shared" si="507"/>
        <v>0</v>
      </c>
      <c r="Y5381" s="53">
        <f t="shared" si="508"/>
        <v>0</v>
      </c>
      <c r="Z5381" s="64">
        <f t="shared" si="509"/>
        <v>0</v>
      </c>
    </row>
    <row r="5382" spans="1:26">
      <c r="A5382" s="89" t="str">
        <f t="shared" si="504"/>
        <v/>
      </c>
      <c r="B5382" s="89" t="str">
        <f t="shared" si="505"/>
        <v/>
      </c>
      <c r="S5382" s="89" t="str">
        <f t="shared" si="506"/>
        <v/>
      </c>
      <c r="X5382" s="64">
        <f t="shared" si="507"/>
        <v>0</v>
      </c>
      <c r="Y5382" s="53">
        <f t="shared" si="508"/>
        <v>0</v>
      </c>
      <c r="Z5382" s="64">
        <f t="shared" si="509"/>
        <v>0</v>
      </c>
    </row>
    <row r="5383" spans="1:26">
      <c r="A5383" s="89" t="str">
        <f t="shared" si="504"/>
        <v/>
      </c>
      <c r="B5383" s="89" t="str">
        <f t="shared" si="505"/>
        <v/>
      </c>
      <c r="S5383" s="89" t="str">
        <f t="shared" si="506"/>
        <v/>
      </c>
      <c r="X5383" s="64">
        <f t="shared" si="507"/>
        <v>0</v>
      </c>
      <c r="Y5383" s="53">
        <f t="shared" si="508"/>
        <v>0</v>
      </c>
      <c r="Z5383" s="64">
        <f t="shared" si="509"/>
        <v>0</v>
      </c>
    </row>
    <row r="5384" spans="1:26">
      <c r="A5384" s="89" t="str">
        <f t="shared" si="504"/>
        <v/>
      </c>
      <c r="B5384" s="89" t="str">
        <f t="shared" si="505"/>
        <v/>
      </c>
      <c r="S5384" s="89" t="str">
        <f t="shared" si="506"/>
        <v/>
      </c>
      <c r="X5384" s="64">
        <f t="shared" si="507"/>
        <v>0</v>
      </c>
      <c r="Y5384" s="53">
        <f t="shared" si="508"/>
        <v>0</v>
      </c>
      <c r="Z5384" s="64">
        <f t="shared" si="509"/>
        <v>0</v>
      </c>
    </row>
    <row r="5385" spans="1:26">
      <c r="A5385" s="89" t="str">
        <f t="shared" si="504"/>
        <v/>
      </c>
      <c r="B5385" s="89" t="str">
        <f t="shared" si="505"/>
        <v/>
      </c>
      <c r="S5385" s="89" t="str">
        <f t="shared" si="506"/>
        <v/>
      </c>
      <c r="X5385" s="64">
        <f t="shared" si="507"/>
        <v>0</v>
      </c>
      <c r="Y5385" s="53">
        <f t="shared" si="508"/>
        <v>0</v>
      </c>
      <c r="Z5385" s="64">
        <f t="shared" si="509"/>
        <v>0</v>
      </c>
    </row>
    <row r="5386" spans="1:26">
      <c r="A5386" s="89" t="str">
        <f t="shared" si="504"/>
        <v/>
      </c>
      <c r="B5386" s="89" t="str">
        <f t="shared" si="505"/>
        <v/>
      </c>
      <c r="S5386" s="89" t="str">
        <f t="shared" si="506"/>
        <v/>
      </c>
      <c r="X5386" s="64">
        <f t="shared" si="507"/>
        <v>0</v>
      </c>
      <c r="Y5386" s="53">
        <f t="shared" si="508"/>
        <v>0</v>
      </c>
      <c r="Z5386" s="64">
        <f t="shared" si="509"/>
        <v>0</v>
      </c>
    </row>
    <row r="5387" spans="1:26">
      <c r="A5387" s="89" t="str">
        <f t="shared" si="504"/>
        <v/>
      </c>
      <c r="B5387" s="89" t="str">
        <f t="shared" si="505"/>
        <v/>
      </c>
      <c r="S5387" s="89" t="str">
        <f t="shared" si="506"/>
        <v/>
      </c>
      <c r="X5387" s="64">
        <f t="shared" si="507"/>
        <v>0</v>
      </c>
      <c r="Y5387" s="53">
        <f t="shared" si="508"/>
        <v>0</v>
      </c>
      <c r="Z5387" s="64">
        <f t="shared" si="509"/>
        <v>0</v>
      </c>
    </row>
    <row r="5388" spans="1:26">
      <c r="A5388" s="89" t="str">
        <f t="shared" si="504"/>
        <v/>
      </c>
      <c r="B5388" s="89" t="str">
        <f t="shared" si="505"/>
        <v/>
      </c>
      <c r="S5388" s="89" t="str">
        <f t="shared" si="506"/>
        <v/>
      </c>
      <c r="X5388" s="64">
        <f t="shared" si="507"/>
        <v>0</v>
      </c>
      <c r="Y5388" s="53">
        <f t="shared" si="508"/>
        <v>0</v>
      </c>
      <c r="Z5388" s="64">
        <f t="shared" si="509"/>
        <v>0</v>
      </c>
    </row>
    <row r="5389" spans="1:26">
      <c r="A5389" s="89" t="str">
        <f t="shared" si="504"/>
        <v/>
      </c>
      <c r="B5389" s="89" t="str">
        <f t="shared" si="505"/>
        <v/>
      </c>
      <c r="S5389" s="89" t="str">
        <f t="shared" si="506"/>
        <v/>
      </c>
      <c r="X5389" s="64">
        <f t="shared" si="507"/>
        <v>0</v>
      </c>
      <c r="Y5389" s="53">
        <f t="shared" si="508"/>
        <v>0</v>
      </c>
      <c r="Z5389" s="64">
        <f t="shared" si="509"/>
        <v>0</v>
      </c>
    </row>
    <row r="5390" spans="1:26">
      <c r="A5390" s="89" t="str">
        <f t="shared" si="504"/>
        <v/>
      </c>
      <c r="B5390" s="89" t="str">
        <f t="shared" si="505"/>
        <v/>
      </c>
      <c r="S5390" s="89" t="str">
        <f t="shared" si="506"/>
        <v/>
      </c>
      <c r="X5390" s="64">
        <f t="shared" si="507"/>
        <v>0</v>
      </c>
      <c r="Y5390" s="53">
        <f t="shared" si="508"/>
        <v>0</v>
      </c>
      <c r="Z5390" s="64">
        <f t="shared" si="509"/>
        <v>0</v>
      </c>
    </row>
    <row r="5391" spans="1:26">
      <c r="A5391" s="89" t="str">
        <f t="shared" si="504"/>
        <v/>
      </c>
      <c r="B5391" s="89" t="str">
        <f t="shared" si="505"/>
        <v/>
      </c>
      <c r="S5391" s="89" t="str">
        <f t="shared" si="506"/>
        <v/>
      </c>
      <c r="X5391" s="64">
        <f t="shared" si="507"/>
        <v>0</v>
      </c>
      <c r="Y5391" s="53">
        <f t="shared" si="508"/>
        <v>0</v>
      </c>
      <c r="Z5391" s="64">
        <f t="shared" si="509"/>
        <v>0</v>
      </c>
    </row>
    <row r="5392" spans="1:26">
      <c r="A5392" s="89" t="str">
        <f t="shared" si="504"/>
        <v/>
      </c>
      <c r="B5392" s="89" t="str">
        <f t="shared" si="505"/>
        <v/>
      </c>
      <c r="S5392" s="89" t="str">
        <f t="shared" si="506"/>
        <v/>
      </c>
      <c r="X5392" s="64">
        <f t="shared" si="507"/>
        <v>0</v>
      </c>
      <c r="Y5392" s="53">
        <f t="shared" si="508"/>
        <v>0</v>
      </c>
      <c r="Z5392" s="64">
        <f t="shared" si="509"/>
        <v>0</v>
      </c>
    </row>
    <row r="5393" spans="1:26">
      <c r="A5393" s="89" t="str">
        <f t="shared" si="504"/>
        <v/>
      </c>
      <c r="B5393" s="89" t="str">
        <f t="shared" si="505"/>
        <v/>
      </c>
      <c r="S5393" s="89" t="str">
        <f t="shared" si="506"/>
        <v/>
      </c>
      <c r="X5393" s="64">
        <f t="shared" si="507"/>
        <v>0</v>
      </c>
      <c r="Y5393" s="53">
        <f t="shared" si="508"/>
        <v>0</v>
      </c>
      <c r="Z5393" s="64">
        <f t="shared" si="509"/>
        <v>0</v>
      </c>
    </row>
    <row r="5394" spans="1:26">
      <c r="A5394" s="89" t="str">
        <f t="shared" si="504"/>
        <v/>
      </c>
      <c r="B5394" s="89" t="str">
        <f t="shared" si="505"/>
        <v/>
      </c>
      <c r="S5394" s="89" t="str">
        <f t="shared" si="506"/>
        <v/>
      </c>
      <c r="X5394" s="64">
        <f t="shared" si="507"/>
        <v>0</v>
      </c>
      <c r="Y5394" s="53">
        <f t="shared" si="508"/>
        <v>0</v>
      </c>
      <c r="Z5394" s="64">
        <f t="shared" si="509"/>
        <v>0</v>
      </c>
    </row>
    <row r="5395" spans="1:26">
      <c r="A5395" s="89" t="str">
        <f t="shared" si="504"/>
        <v/>
      </c>
      <c r="B5395" s="89" t="str">
        <f t="shared" si="505"/>
        <v/>
      </c>
      <c r="S5395" s="89" t="str">
        <f t="shared" si="506"/>
        <v/>
      </c>
      <c r="X5395" s="64">
        <f t="shared" si="507"/>
        <v>0</v>
      </c>
      <c r="Y5395" s="53">
        <f t="shared" si="508"/>
        <v>0</v>
      </c>
      <c r="Z5395" s="64">
        <f t="shared" si="509"/>
        <v>0</v>
      </c>
    </row>
    <row r="5396" spans="1:26">
      <c r="A5396" s="89" t="str">
        <f t="shared" si="504"/>
        <v/>
      </c>
      <c r="B5396" s="89" t="str">
        <f t="shared" si="505"/>
        <v/>
      </c>
      <c r="S5396" s="89" t="str">
        <f t="shared" si="506"/>
        <v/>
      </c>
      <c r="X5396" s="64">
        <f t="shared" si="507"/>
        <v>0</v>
      </c>
      <c r="Y5396" s="53">
        <f t="shared" si="508"/>
        <v>0</v>
      </c>
      <c r="Z5396" s="64">
        <f t="shared" si="509"/>
        <v>0</v>
      </c>
    </row>
    <row r="5397" spans="1:26">
      <c r="A5397" s="89" t="str">
        <f t="shared" si="504"/>
        <v/>
      </c>
      <c r="B5397" s="89" t="str">
        <f t="shared" si="505"/>
        <v/>
      </c>
      <c r="S5397" s="89" t="str">
        <f t="shared" si="506"/>
        <v/>
      </c>
      <c r="X5397" s="64">
        <f t="shared" si="507"/>
        <v>0</v>
      </c>
      <c r="Y5397" s="53">
        <f t="shared" si="508"/>
        <v>0</v>
      </c>
      <c r="Z5397" s="64">
        <f t="shared" si="509"/>
        <v>0</v>
      </c>
    </row>
    <row r="5398" spans="1:26">
      <c r="A5398" s="89" t="str">
        <f t="shared" si="504"/>
        <v/>
      </c>
      <c r="B5398" s="89" t="str">
        <f t="shared" si="505"/>
        <v/>
      </c>
      <c r="S5398" s="89" t="str">
        <f t="shared" si="506"/>
        <v/>
      </c>
      <c r="X5398" s="64">
        <f t="shared" si="507"/>
        <v>0</v>
      </c>
      <c r="Y5398" s="53">
        <f t="shared" si="508"/>
        <v>0</v>
      </c>
      <c r="Z5398" s="64">
        <f t="shared" si="509"/>
        <v>0</v>
      </c>
    </row>
    <row r="5399" spans="1:26">
      <c r="A5399" s="89" t="str">
        <f t="shared" si="504"/>
        <v/>
      </c>
      <c r="B5399" s="89" t="str">
        <f t="shared" si="505"/>
        <v/>
      </c>
      <c r="S5399" s="89" t="str">
        <f t="shared" si="506"/>
        <v/>
      </c>
      <c r="X5399" s="64">
        <f t="shared" si="507"/>
        <v>0</v>
      </c>
      <c r="Y5399" s="53">
        <f t="shared" si="508"/>
        <v>0</v>
      </c>
      <c r="Z5399" s="64">
        <f t="shared" si="509"/>
        <v>0</v>
      </c>
    </row>
    <row r="5400" spans="1:26">
      <c r="A5400" s="89" t="str">
        <f t="shared" si="504"/>
        <v/>
      </c>
      <c r="B5400" s="89" t="str">
        <f t="shared" si="505"/>
        <v/>
      </c>
      <c r="S5400" s="89" t="str">
        <f t="shared" si="506"/>
        <v/>
      </c>
      <c r="X5400" s="64">
        <f t="shared" si="507"/>
        <v>0</v>
      </c>
      <c r="Y5400" s="53">
        <f t="shared" si="508"/>
        <v>0</v>
      </c>
      <c r="Z5400" s="64">
        <f t="shared" si="509"/>
        <v>0</v>
      </c>
    </row>
    <row r="5401" spans="1:26">
      <c r="A5401" s="89" t="str">
        <f t="shared" si="504"/>
        <v/>
      </c>
      <c r="B5401" s="89" t="str">
        <f t="shared" si="505"/>
        <v/>
      </c>
      <c r="S5401" s="89" t="str">
        <f t="shared" si="506"/>
        <v/>
      </c>
      <c r="X5401" s="64">
        <f t="shared" si="507"/>
        <v>0</v>
      </c>
      <c r="Y5401" s="53">
        <f t="shared" si="508"/>
        <v>0</v>
      </c>
      <c r="Z5401" s="64">
        <f t="shared" si="509"/>
        <v>0</v>
      </c>
    </row>
    <row r="5402" spans="1:26">
      <c r="A5402" s="89" t="str">
        <f t="shared" si="504"/>
        <v/>
      </c>
      <c r="B5402" s="89" t="str">
        <f t="shared" si="505"/>
        <v/>
      </c>
      <c r="S5402" s="89" t="str">
        <f t="shared" si="506"/>
        <v/>
      </c>
      <c r="X5402" s="64">
        <f t="shared" si="507"/>
        <v>0</v>
      </c>
      <c r="Y5402" s="53">
        <f t="shared" si="508"/>
        <v>0</v>
      </c>
      <c r="Z5402" s="64">
        <f t="shared" si="509"/>
        <v>0</v>
      </c>
    </row>
    <row r="5403" spans="1:26">
      <c r="A5403" s="89" t="str">
        <f t="shared" si="504"/>
        <v/>
      </c>
      <c r="B5403" s="89" t="str">
        <f t="shared" si="505"/>
        <v/>
      </c>
      <c r="S5403" s="89" t="str">
        <f t="shared" si="506"/>
        <v/>
      </c>
      <c r="X5403" s="64">
        <f t="shared" si="507"/>
        <v>0</v>
      </c>
      <c r="Y5403" s="53">
        <f t="shared" si="508"/>
        <v>0</v>
      </c>
      <c r="Z5403" s="64">
        <f t="shared" si="509"/>
        <v>0</v>
      </c>
    </row>
    <row r="5404" spans="1:26">
      <c r="A5404" s="89" t="str">
        <f t="shared" si="504"/>
        <v/>
      </c>
      <c r="B5404" s="89" t="str">
        <f t="shared" si="505"/>
        <v/>
      </c>
      <c r="S5404" s="89" t="str">
        <f t="shared" si="506"/>
        <v/>
      </c>
      <c r="X5404" s="64">
        <f t="shared" si="507"/>
        <v>0</v>
      </c>
      <c r="Y5404" s="53">
        <f t="shared" si="508"/>
        <v>0</v>
      </c>
      <c r="Z5404" s="64">
        <f t="shared" si="509"/>
        <v>0</v>
      </c>
    </row>
    <row r="5405" spans="1:26">
      <c r="A5405" s="89" t="str">
        <f t="shared" si="504"/>
        <v/>
      </c>
      <c r="B5405" s="89" t="str">
        <f t="shared" si="505"/>
        <v/>
      </c>
      <c r="S5405" s="89" t="str">
        <f t="shared" si="506"/>
        <v/>
      </c>
      <c r="X5405" s="64">
        <f t="shared" si="507"/>
        <v>0</v>
      </c>
      <c r="Y5405" s="53">
        <f t="shared" si="508"/>
        <v>0</v>
      </c>
      <c r="Z5405" s="64">
        <f t="shared" si="509"/>
        <v>0</v>
      </c>
    </row>
    <row r="5406" spans="1:26">
      <c r="A5406" s="89" t="str">
        <f t="shared" si="504"/>
        <v/>
      </c>
      <c r="B5406" s="89" t="str">
        <f t="shared" si="505"/>
        <v/>
      </c>
      <c r="S5406" s="89" t="str">
        <f t="shared" si="506"/>
        <v/>
      </c>
      <c r="X5406" s="64">
        <f t="shared" si="507"/>
        <v>0</v>
      </c>
      <c r="Y5406" s="53">
        <f t="shared" si="508"/>
        <v>0</v>
      </c>
      <c r="Z5406" s="64">
        <f t="shared" si="509"/>
        <v>0</v>
      </c>
    </row>
    <row r="5407" spans="1:26">
      <c r="A5407" s="89" t="str">
        <f t="shared" si="504"/>
        <v/>
      </c>
      <c r="B5407" s="89" t="str">
        <f t="shared" si="505"/>
        <v/>
      </c>
      <c r="S5407" s="89" t="str">
        <f t="shared" si="506"/>
        <v/>
      </c>
      <c r="X5407" s="64">
        <f t="shared" si="507"/>
        <v>0</v>
      </c>
      <c r="Y5407" s="53">
        <f t="shared" si="508"/>
        <v>0</v>
      </c>
      <c r="Z5407" s="64">
        <f t="shared" si="509"/>
        <v>0</v>
      </c>
    </row>
    <row r="5408" spans="1:26">
      <c r="A5408" s="89" t="str">
        <f t="shared" si="504"/>
        <v/>
      </c>
      <c r="B5408" s="89" t="str">
        <f t="shared" si="505"/>
        <v/>
      </c>
      <c r="S5408" s="89" t="str">
        <f t="shared" si="506"/>
        <v/>
      </c>
      <c r="X5408" s="64">
        <f t="shared" si="507"/>
        <v>0</v>
      </c>
      <c r="Y5408" s="53">
        <f t="shared" si="508"/>
        <v>0</v>
      </c>
      <c r="Z5408" s="64">
        <f t="shared" si="509"/>
        <v>0</v>
      </c>
    </row>
    <row r="5409" spans="1:26">
      <c r="A5409" s="89" t="str">
        <f t="shared" si="504"/>
        <v/>
      </c>
      <c r="B5409" s="89" t="str">
        <f t="shared" si="505"/>
        <v/>
      </c>
      <c r="S5409" s="89" t="str">
        <f t="shared" si="506"/>
        <v/>
      </c>
      <c r="X5409" s="64">
        <f t="shared" si="507"/>
        <v>0</v>
      </c>
      <c r="Y5409" s="53">
        <f t="shared" si="508"/>
        <v>0</v>
      </c>
      <c r="Z5409" s="64">
        <f t="shared" si="509"/>
        <v>0</v>
      </c>
    </row>
    <row r="5410" spans="1:26">
      <c r="A5410" s="89" t="str">
        <f t="shared" si="504"/>
        <v/>
      </c>
      <c r="B5410" s="89" t="str">
        <f t="shared" si="505"/>
        <v/>
      </c>
      <c r="S5410" s="89" t="str">
        <f t="shared" si="506"/>
        <v/>
      </c>
      <c r="X5410" s="64">
        <f t="shared" si="507"/>
        <v>0</v>
      </c>
      <c r="Y5410" s="53">
        <f t="shared" si="508"/>
        <v>0</v>
      </c>
      <c r="Z5410" s="64">
        <f t="shared" si="509"/>
        <v>0</v>
      </c>
    </row>
    <row r="5411" spans="1:26">
      <c r="A5411" s="89" t="str">
        <f t="shared" si="504"/>
        <v/>
      </c>
      <c r="B5411" s="89" t="str">
        <f t="shared" si="505"/>
        <v/>
      </c>
      <c r="S5411" s="89" t="str">
        <f t="shared" si="506"/>
        <v/>
      </c>
      <c r="X5411" s="64">
        <f t="shared" si="507"/>
        <v>0</v>
      </c>
      <c r="Y5411" s="53">
        <f t="shared" si="508"/>
        <v>0</v>
      </c>
      <c r="Z5411" s="64">
        <f t="shared" si="509"/>
        <v>0</v>
      </c>
    </row>
    <row r="5412" spans="1:26">
      <c r="A5412" s="89" t="str">
        <f t="shared" si="504"/>
        <v/>
      </c>
      <c r="B5412" s="89" t="str">
        <f t="shared" si="505"/>
        <v/>
      </c>
      <c r="S5412" s="89" t="str">
        <f t="shared" si="506"/>
        <v/>
      </c>
      <c r="X5412" s="64">
        <f t="shared" si="507"/>
        <v>0</v>
      </c>
      <c r="Y5412" s="53">
        <f t="shared" si="508"/>
        <v>0</v>
      </c>
      <c r="Z5412" s="64">
        <f t="shared" si="509"/>
        <v>0</v>
      </c>
    </row>
    <row r="5413" spans="1:26">
      <c r="A5413" s="89" t="str">
        <f t="shared" si="504"/>
        <v/>
      </c>
      <c r="B5413" s="89" t="str">
        <f t="shared" si="505"/>
        <v/>
      </c>
      <c r="S5413" s="89" t="str">
        <f t="shared" si="506"/>
        <v/>
      </c>
      <c r="X5413" s="64">
        <f t="shared" si="507"/>
        <v>0</v>
      </c>
      <c r="Y5413" s="53">
        <f t="shared" si="508"/>
        <v>0</v>
      </c>
      <c r="Z5413" s="64">
        <f t="shared" si="509"/>
        <v>0</v>
      </c>
    </row>
    <row r="5414" spans="1:26">
      <c r="A5414" s="89" t="str">
        <f t="shared" si="504"/>
        <v/>
      </c>
      <c r="B5414" s="89" t="str">
        <f t="shared" si="505"/>
        <v/>
      </c>
      <c r="S5414" s="89" t="str">
        <f t="shared" si="506"/>
        <v/>
      </c>
      <c r="X5414" s="64">
        <f t="shared" si="507"/>
        <v>0</v>
      </c>
      <c r="Y5414" s="53">
        <f t="shared" si="508"/>
        <v>0</v>
      </c>
      <c r="Z5414" s="64">
        <f t="shared" si="509"/>
        <v>0</v>
      </c>
    </row>
    <row r="5415" spans="1:26">
      <c r="A5415" s="89" t="str">
        <f t="shared" si="504"/>
        <v/>
      </c>
      <c r="B5415" s="89" t="str">
        <f t="shared" si="505"/>
        <v/>
      </c>
      <c r="S5415" s="89" t="str">
        <f t="shared" si="506"/>
        <v/>
      </c>
      <c r="X5415" s="64">
        <f t="shared" si="507"/>
        <v>0</v>
      </c>
      <c r="Y5415" s="53">
        <f t="shared" si="508"/>
        <v>0</v>
      </c>
      <c r="Z5415" s="64">
        <f t="shared" si="509"/>
        <v>0</v>
      </c>
    </row>
    <row r="5416" spans="1:26">
      <c r="A5416" s="89" t="str">
        <f t="shared" si="504"/>
        <v/>
      </c>
      <c r="B5416" s="89" t="str">
        <f t="shared" si="505"/>
        <v/>
      </c>
      <c r="S5416" s="89" t="str">
        <f t="shared" si="506"/>
        <v/>
      </c>
      <c r="X5416" s="64">
        <f t="shared" si="507"/>
        <v>0</v>
      </c>
      <c r="Y5416" s="53">
        <f t="shared" si="508"/>
        <v>0</v>
      </c>
      <c r="Z5416" s="64">
        <f t="shared" si="509"/>
        <v>0</v>
      </c>
    </row>
    <row r="5417" spans="1:26">
      <c r="A5417" s="89" t="str">
        <f t="shared" si="504"/>
        <v/>
      </c>
      <c r="B5417" s="89" t="str">
        <f t="shared" si="505"/>
        <v/>
      </c>
      <c r="S5417" s="89" t="str">
        <f t="shared" si="506"/>
        <v/>
      </c>
      <c r="X5417" s="64">
        <f t="shared" si="507"/>
        <v>0</v>
      </c>
      <c r="Y5417" s="53">
        <f t="shared" si="508"/>
        <v>0</v>
      </c>
      <c r="Z5417" s="64">
        <f t="shared" si="509"/>
        <v>0</v>
      </c>
    </row>
    <row r="5418" spans="1:26">
      <c r="A5418" s="89" t="str">
        <f t="shared" si="504"/>
        <v/>
      </c>
      <c r="B5418" s="89" t="str">
        <f t="shared" si="505"/>
        <v/>
      </c>
      <c r="S5418" s="89" t="str">
        <f t="shared" si="506"/>
        <v/>
      </c>
      <c r="X5418" s="64">
        <f t="shared" si="507"/>
        <v>0</v>
      </c>
      <c r="Y5418" s="53">
        <f t="shared" si="508"/>
        <v>0</v>
      </c>
      <c r="Z5418" s="64">
        <f t="shared" si="509"/>
        <v>0</v>
      </c>
    </row>
    <row r="5419" spans="1:26">
      <c r="A5419" s="89" t="str">
        <f t="shared" si="504"/>
        <v/>
      </c>
      <c r="B5419" s="89" t="str">
        <f t="shared" si="505"/>
        <v/>
      </c>
      <c r="S5419" s="89" t="str">
        <f t="shared" si="506"/>
        <v/>
      </c>
      <c r="X5419" s="64">
        <f t="shared" si="507"/>
        <v>0</v>
      </c>
      <c r="Y5419" s="53">
        <f t="shared" si="508"/>
        <v>0</v>
      </c>
      <c r="Z5419" s="64">
        <f t="shared" si="509"/>
        <v>0</v>
      </c>
    </row>
    <row r="5420" spans="1:26">
      <c r="A5420" s="89" t="str">
        <f t="shared" si="504"/>
        <v/>
      </c>
      <c r="B5420" s="89" t="str">
        <f t="shared" si="505"/>
        <v/>
      </c>
      <c r="S5420" s="89" t="str">
        <f t="shared" si="506"/>
        <v/>
      </c>
      <c r="X5420" s="64">
        <f t="shared" si="507"/>
        <v>0</v>
      </c>
      <c r="Y5420" s="53">
        <f t="shared" si="508"/>
        <v>0</v>
      </c>
      <c r="Z5420" s="64">
        <f t="shared" si="509"/>
        <v>0</v>
      </c>
    </row>
    <row r="5421" spans="1:26">
      <c r="A5421" s="89" t="str">
        <f t="shared" si="504"/>
        <v/>
      </c>
      <c r="B5421" s="89" t="str">
        <f t="shared" si="505"/>
        <v/>
      </c>
      <c r="S5421" s="89" t="str">
        <f t="shared" si="506"/>
        <v/>
      </c>
      <c r="X5421" s="64">
        <f t="shared" si="507"/>
        <v>0</v>
      </c>
      <c r="Y5421" s="53">
        <f t="shared" si="508"/>
        <v>0</v>
      </c>
      <c r="Z5421" s="64">
        <f t="shared" si="509"/>
        <v>0</v>
      </c>
    </row>
    <row r="5422" spans="1:26">
      <c r="A5422" s="89" t="str">
        <f t="shared" si="504"/>
        <v/>
      </c>
      <c r="B5422" s="89" t="str">
        <f t="shared" si="505"/>
        <v/>
      </c>
      <c r="S5422" s="89" t="str">
        <f t="shared" si="506"/>
        <v/>
      </c>
      <c r="X5422" s="64">
        <f t="shared" si="507"/>
        <v>0</v>
      </c>
      <c r="Y5422" s="53">
        <f t="shared" si="508"/>
        <v>0</v>
      </c>
      <c r="Z5422" s="64">
        <f t="shared" si="509"/>
        <v>0</v>
      </c>
    </row>
    <row r="5423" spans="1:26">
      <c r="A5423" s="89" t="str">
        <f t="shared" si="504"/>
        <v/>
      </c>
      <c r="B5423" s="89" t="str">
        <f t="shared" si="505"/>
        <v/>
      </c>
      <c r="S5423" s="89" t="str">
        <f t="shared" si="506"/>
        <v/>
      </c>
      <c r="X5423" s="64">
        <f t="shared" si="507"/>
        <v>0</v>
      </c>
      <c r="Y5423" s="53">
        <f t="shared" si="508"/>
        <v>0</v>
      </c>
      <c r="Z5423" s="64">
        <f t="shared" si="509"/>
        <v>0</v>
      </c>
    </row>
    <row r="5424" spans="1:26">
      <c r="A5424" s="89" t="str">
        <f t="shared" si="504"/>
        <v/>
      </c>
      <c r="B5424" s="89" t="str">
        <f t="shared" si="505"/>
        <v/>
      </c>
      <c r="S5424" s="89" t="str">
        <f t="shared" si="506"/>
        <v/>
      </c>
      <c r="X5424" s="64">
        <f t="shared" si="507"/>
        <v>0</v>
      </c>
      <c r="Y5424" s="53">
        <f t="shared" si="508"/>
        <v>0</v>
      </c>
      <c r="Z5424" s="64">
        <f t="shared" si="509"/>
        <v>0</v>
      </c>
    </row>
    <row r="5425" spans="1:26">
      <c r="A5425" s="89" t="str">
        <f t="shared" si="504"/>
        <v/>
      </c>
      <c r="B5425" s="89" t="str">
        <f t="shared" si="505"/>
        <v/>
      </c>
      <c r="S5425" s="89" t="str">
        <f t="shared" si="506"/>
        <v/>
      </c>
      <c r="X5425" s="64">
        <f t="shared" si="507"/>
        <v>0</v>
      </c>
      <c r="Y5425" s="53">
        <f t="shared" si="508"/>
        <v>0</v>
      </c>
      <c r="Z5425" s="64">
        <f t="shared" si="509"/>
        <v>0</v>
      </c>
    </row>
    <row r="5426" spans="1:26">
      <c r="A5426" s="89" t="str">
        <f t="shared" si="504"/>
        <v/>
      </c>
      <c r="B5426" s="89" t="str">
        <f t="shared" si="505"/>
        <v/>
      </c>
      <c r="S5426" s="89" t="str">
        <f t="shared" si="506"/>
        <v/>
      </c>
      <c r="X5426" s="64">
        <f t="shared" si="507"/>
        <v>0</v>
      </c>
      <c r="Y5426" s="53">
        <f t="shared" si="508"/>
        <v>0</v>
      </c>
      <c r="Z5426" s="64">
        <f t="shared" si="509"/>
        <v>0</v>
      </c>
    </row>
    <row r="5427" spans="1:26">
      <c r="A5427" s="89" t="str">
        <f t="shared" si="504"/>
        <v/>
      </c>
      <c r="B5427" s="89" t="str">
        <f t="shared" si="505"/>
        <v/>
      </c>
      <c r="S5427" s="89" t="str">
        <f t="shared" si="506"/>
        <v/>
      </c>
      <c r="X5427" s="64">
        <f t="shared" si="507"/>
        <v>0</v>
      </c>
      <c r="Y5427" s="53">
        <f t="shared" si="508"/>
        <v>0</v>
      </c>
      <c r="Z5427" s="64">
        <f t="shared" si="509"/>
        <v>0</v>
      </c>
    </row>
    <row r="5428" spans="1:26">
      <c r="A5428" s="89" t="str">
        <f t="shared" si="504"/>
        <v/>
      </c>
      <c r="B5428" s="89" t="str">
        <f t="shared" si="505"/>
        <v/>
      </c>
      <c r="S5428" s="89" t="str">
        <f t="shared" si="506"/>
        <v/>
      </c>
      <c r="X5428" s="64">
        <f t="shared" si="507"/>
        <v>0</v>
      </c>
      <c r="Y5428" s="53">
        <f t="shared" si="508"/>
        <v>0</v>
      </c>
      <c r="Z5428" s="64">
        <f t="shared" si="509"/>
        <v>0</v>
      </c>
    </row>
    <row r="5429" spans="1:26">
      <c r="A5429" s="89" t="str">
        <f t="shared" si="504"/>
        <v/>
      </c>
      <c r="B5429" s="89" t="str">
        <f t="shared" si="505"/>
        <v/>
      </c>
      <c r="S5429" s="89" t="str">
        <f t="shared" si="506"/>
        <v/>
      </c>
      <c r="X5429" s="64">
        <f t="shared" si="507"/>
        <v>0</v>
      </c>
      <c r="Y5429" s="53">
        <f t="shared" si="508"/>
        <v>0</v>
      </c>
      <c r="Z5429" s="64">
        <f t="shared" si="509"/>
        <v>0</v>
      </c>
    </row>
    <row r="5430" spans="1:26">
      <c r="A5430" s="89" t="str">
        <f t="shared" si="504"/>
        <v/>
      </c>
      <c r="B5430" s="89" t="str">
        <f t="shared" si="505"/>
        <v/>
      </c>
      <c r="S5430" s="89" t="str">
        <f t="shared" si="506"/>
        <v/>
      </c>
      <c r="X5430" s="64">
        <f t="shared" si="507"/>
        <v>0</v>
      </c>
      <c r="Y5430" s="53">
        <f t="shared" si="508"/>
        <v>0</v>
      </c>
      <c r="Z5430" s="64">
        <f t="shared" si="509"/>
        <v>0</v>
      </c>
    </row>
    <row r="5431" spans="1:26">
      <c r="A5431" s="89" t="str">
        <f t="shared" si="504"/>
        <v/>
      </c>
      <c r="B5431" s="89" t="str">
        <f t="shared" si="505"/>
        <v/>
      </c>
      <c r="S5431" s="89" t="str">
        <f t="shared" si="506"/>
        <v/>
      </c>
      <c r="X5431" s="64">
        <f t="shared" si="507"/>
        <v>0</v>
      </c>
      <c r="Y5431" s="53">
        <f t="shared" si="508"/>
        <v>0</v>
      </c>
      <c r="Z5431" s="64">
        <f t="shared" si="509"/>
        <v>0</v>
      </c>
    </row>
    <row r="5432" spans="1:26">
      <c r="A5432" s="89" t="str">
        <f t="shared" si="504"/>
        <v/>
      </c>
      <c r="B5432" s="89" t="str">
        <f t="shared" si="505"/>
        <v/>
      </c>
      <c r="S5432" s="89" t="str">
        <f t="shared" si="506"/>
        <v/>
      </c>
      <c r="X5432" s="64">
        <f t="shared" si="507"/>
        <v>0</v>
      </c>
      <c r="Y5432" s="53">
        <f t="shared" si="508"/>
        <v>0</v>
      </c>
      <c r="Z5432" s="64">
        <f t="shared" si="509"/>
        <v>0</v>
      </c>
    </row>
    <row r="5433" spans="1:26">
      <c r="A5433" s="89" t="str">
        <f t="shared" si="504"/>
        <v/>
      </c>
      <c r="B5433" s="89" t="str">
        <f t="shared" si="505"/>
        <v/>
      </c>
      <c r="S5433" s="89" t="str">
        <f t="shared" si="506"/>
        <v/>
      </c>
      <c r="X5433" s="64">
        <f t="shared" si="507"/>
        <v>0</v>
      </c>
      <c r="Y5433" s="53">
        <f t="shared" si="508"/>
        <v>0</v>
      </c>
      <c r="Z5433" s="64">
        <f t="shared" si="509"/>
        <v>0</v>
      </c>
    </row>
    <row r="5434" spans="1:26">
      <c r="A5434" s="89" t="str">
        <f t="shared" si="504"/>
        <v/>
      </c>
      <c r="B5434" s="89" t="str">
        <f t="shared" si="505"/>
        <v/>
      </c>
      <c r="S5434" s="89" t="str">
        <f t="shared" si="506"/>
        <v/>
      </c>
      <c r="X5434" s="64">
        <f t="shared" si="507"/>
        <v>0</v>
      </c>
      <c r="Y5434" s="53">
        <f t="shared" si="508"/>
        <v>0</v>
      </c>
      <c r="Z5434" s="64">
        <f t="shared" si="509"/>
        <v>0</v>
      </c>
    </row>
    <row r="5435" spans="1:26">
      <c r="A5435" s="89" t="str">
        <f t="shared" si="504"/>
        <v/>
      </c>
      <c r="B5435" s="89" t="str">
        <f t="shared" si="505"/>
        <v/>
      </c>
      <c r="S5435" s="89" t="str">
        <f t="shared" si="506"/>
        <v/>
      </c>
      <c r="X5435" s="64">
        <f t="shared" si="507"/>
        <v>0</v>
      </c>
      <c r="Y5435" s="53">
        <f t="shared" si="508"/>
        <v>0</v>
      </c>
      <c r="Z5435" s="64">
        <f t="shared" si="509"/>
        <v>0</v>
      </c>
    </row>
    <row r="5436" spans="1:26">
      <c r="A5436" s="89" t="str">
        <f t="shared" si="504"/>
        <v/>
      </c>
      <c r="B5436" s="89" t="str">
        <f t="shared" si="505"/>
        <v/>
      </c>
      <c r="S5436" s="89" t="str">
        <f t="shared" si="506"/>
        <v/>
      </c>
      <c r="X5436" s="64">
        <f t="shared" si="507"/>
        <v>0</v>
      </c>
      <c r="Y5436" s="53">
        <f t="shared" si="508"/>
        <v>0</v>
      </c>
      <c r="Z5436" s="64">
        <f t="shared" si="509"/>
        <v>0</v>
      </c>
    </row>
    <row r="5437" spans="1:26">
      <c r="A5437" s="89" t="str">
        <f t="shared" si="504"/>
        <v/>
      </c>
      <c r="B5437" s="89" t="str">
        <f t="shared" si="505"/>
        <v/>
      </c>
      <c r="S5437" s="89" t="str">
        <f t="shared" si="506"/>
        <v/>
      </c>
      <c r="X5437" s="64">
        <f t="shared" si="507"/>
        <v>0</v>
      </c>
      <c r="Y5437" s="53">
        <f t="shared" si="508"/>
        <v>0</v>
      </c>
      <c r="Z5437" s="64">
        <f t="shared" si="509"/>
        <v>0</v>
      </c>
    </row>
    <row r="5438" spans="1:26">
      <c r="A5438" s="89" t="str">
        <f t="shared" si="504"/>
        <v/>
      </c>
      <c r="B5438" s="89" t="str">
        <f t="shared" si="505"/>
        <v/>
      </c>
      <c r="S5438" s="89" t="str">
        <f t="shared" si="506"/>
        <v/>
      </c>
      <c r="X5438" s="64">
        <f t="shared" si="507"/>
        <v>0</v>
      </c>
      <c r="Y5438" s="53">
        <f t="shared" si="508"/>
        <v>0</v>
      </c>
      <c r="Z5438" s="64">
        <f t="shared" si="509"/>
        <v>0</v>
      </c>
    </row>
    <row r="5439" spans="1:26">
      <c r="A5439" s="89" t="str">
        <f t="shared" si="504"/>
        <v/>
      </c>
      <c r="B5439" s="89" t="str">
        <f t="shared" si="505"/>
        <v/>
      </c>
      <c r="S5439" s="89" t="str">
        <f t="shared" si="506"/>
        <v/>
      </c>
      <c r="X5439" s="64">
        <f t="shared" si="507"/>
        <v>0</v>
      </c>
      <c r="Y5439" s="53">
        <f t="shared" si="508"/>
        <v>0</v>
      </c>
      <c r="Z5439" s="64">
        <f t="shared" si="509"/>
        <v>0</v>
      </c>
    </row>
    <row r="5440" spans="1:26">
      <c r="A5440" s="89" t="str">
        <f t="shared" si="504"/>
        <v/>
      </c>
      <c r="B5440" s="89" t="str">
        <f t="shared" si="505"/>
        <v/>
      </c>
      <c r="S5440" s="89" t="str">
        <f t="shared" si="506"/>
        <v/>
      </c>
      <c r="X5440" s="64">
        <f t="shared" si="507"/>
        <v>0</v>
      </c>
      <c r="Y5440" s="53">
        <f t="shared" si="508"/>
        <v>0</v>
      </c>
      <c r="Z5440" s="64">
        <f t="shared" si="509"/>
        <v>0</v>
      </c>
    </row>
    <row r="5441" spans="1:26">
      <c r="A5441" s="89" t="str">
        <f t="shared" si="504"/>
        <v/>
      </c>
      <c r="B5441" s="89" t="str">
        <f t="shared" si="505"/>
        <v/>
      </c>
      <c r="S5441" s="89" t="str">
        <f t="shared" si="506"/>
        <v/>
      </c>
      <c r="X5441" s="64">
        <f t="shared" si="507"/>
        <v>0</v>
      </c>
      <c r="Y5441" s="53">
        <f t="shared" si="508"/>
        <v>0</v>
      </c>
      <c r="Z5441" s="64">
        <f t="shared" si="509"/>
        <v>0</v>
      </c>
    </row>
    <row r="5442" spans="1:26">
      <c r="A5442" s="89" t="str">
        <f t="shared" si="504"/>
        <v/>
      </c>
      <c r="B5442" s="89" t="str">
        <f t="shared" si="505"/>
        <v/>
      </c>
      <c r="S5442" s="89" t="str">
        <f t="shared" si="506"/>
        <v/>
      </c>
      <c r="X5442" s="64">
        <f t="shared" si="507"/>
        <v>0</v>
      </c>
      <c r="Y5442" s="53">
        <f t="shared" si="508"/>
        <v>0</v>
      </c>
      <c r="Z5442" s="64">
        <f t="shared" si="509"/>
        <v>0</v>
      </c>
    </row>
    <row r="5443" spans="1:26">
      <c r="A5443" s="89" t="str">
        <f t="shared" ref="A5443:A5506" si="510">IF(G5443&amp;Q5443&lt;&gt;"",G5443&amp;Q5443,"")</f>
        <v/>
      </c>
      <c r="B5443" s="89" t="str">
        <f t="shared" ref="B5443:B5506" si="511">IF(C5443&lt;&gt;"",LEFT(C5443,9),"")</f>
        <v/>
      </c>
      <c r="S5443" s="89" t="str">
        <f t="shared" ref="S5443:S5506" si="512">IF(H5443&lt;&gt;"",H5443,"")</f>
        <v/>
      </c>
      <c r="X5443" s="64">
        <f t="shared" ref="X5443:X5506" si="513">IFERROR(VALUE(MID($C5443,1,2)),0)</f>
        <v>0</v>
      </c>
      <c r="Y5443" s="53">
        <f t="shared" ref="Y5443:Y5506" si="514">IFERROR(VALUE(MID($C5443,4,3)),0)</f>
        <v>0</v>
      </c>
      <c r="Z5443" s="64">
        <f t="shared" ref="Z5443:Z5506" si="515">VALUE(RIGHT("00"&amp;X5443,2)&amp;RIGHT("000"&amp;Y5443,3))</f>
        <v>0</v>
      </c>
    </row>
    <row r="5444" spans="1:26">
      <c r="A5444" s="89" t="str">
        <f t="shared" si="510"/>
        <v/>
      </c>
      <c r="B5444" s="89" t="str">
        <f t="shared" si="511"/>
        <v/>
      </c>
      <c r="S5444" s="89" t="str">
        <f t="shared" si="512"/>
        <v/>
      </c>
      <c r="X5444" s="64">
        <f t="shared" si="513"/>
        <v>0</v>
      </c>
      <c r="Y5444" s="53">
        <f t="shared" si="514"/>
        <v>0</v>
      </c>
      <c r="Z5444" s="64">
        <f t="shared" si="515"/>
        <v>0</v>
      </c>
    </row>
    <row r="5445" spans="1:26">
      <c r="A5445" s="89" t="str">
        <f t="shared" si="510"/>
        <v/>
      </c>
      <c r="B5445" s="89" t="str">
        <f t="shared" si="511"/>
        <v/>
      </c>
      <c r="S5445" s="89" t="str">
        <f t="shared" si="512"/>
        <v/>
      </c>
      <c r="X5445" s="64">
        <f t="shared" si="513"/>
        <v>0</v>
      </c>
      <c r="Y5445" s="53">
        <f t="shared" si="514"/>
        <v>0</v>
      </c>
      <c r="Z5445" s="64">
        <f t="shared" si="515"/>
        <v>0</v>
      </c>
    </row>
    <row r="5446" spans="1:26">
      <c r="A5446" s="89" t="str">
        <f t="shared" si="510"/>
        <v/>
      </c>
      <c r="B5446" s="89" t="str">
        <f t="shared" si="511"/>
        <v/>
      </c>
      <c r="S5446" s="89" t="str">
        <f t="shared" si="512"/>
        <v/>
      </c>
      <c r="X5446" s="64">
        <f t="shared" si="513"/>
        <v>0</v>
      </c>
      <c r="Y5446" s="53">
        <f t="shared" si="514"/>
        <v>0</v>
      </c>
      <c r="Z5446" s="64">
        <f t="shared" si="515"/>
        <v>0</v>
      </c>
    </row>
    <row r="5447" spans="1:26">
      <c r="A5447" s="89" t="str">
        <f t="shared" si="510"/>
        <v/>
      </c>
      <c r="B5447" s="89" t="str">
        <f t="shared" si="511"/>
        <v/>
      </c>
      <c r="S5447" s="89" t="str">
        <f t="shared" si="512"/>
        <v/>
      </c>
      <c r="X5447" s="64">
        <f t="shared" si="513"/>
        <v>0</v>
      </c>
      <c r="Y5447" s="53">
        <f t="shared" si="514"/>
        <v>0</v>
      </c>
      <c r="Z5447" s="64">
        <f t="shared" si="515"/>
        <v>0</v>
      </c>
    </row>
    <row r="5448" spans="1:26">
      <c r="A5448" s="89" t="str">
        <f t="shared" si="510"/>
        <v/>
      </c>
      <c r="B5448" s="89" t="str">
        <f t="shared" si="511"/>
        <v/>
      </c>
      <c r="S5448" s="89" t="str">
        <f t="shared" si="512"/>
        <v/>
      </c>
      <c r="X5448" s="64">
        <f t="shared" si="513"/>
        <v>0</v>
      </c>
      <c r="Y5448" s="53">
        <f t="shared" si="514"/>
        <v>0</v>
      </c>
      <c r="Z5448" s="64">
        <f t="shared" si="515"/>
        <v>0</v>
      </c>
    </row>
    <row r="5449" spans="1:26">
      <c r="A5449" s="89" t="str">
        <f t="shared" si="510"/>
        <v/>
      </c>
      <c r="B5449" s="89" t="str">
        <f t="shared" si="511"/>
        <v/>
      </c>
      <c r="S5449" s="89" t="str">
        <f t="shared" si="512"/>
        <v/>
      </c>
      <c r="X5449" s="64">
        <f t="shared" si="513"/>
        <v>0</v>
      </c>
      <c r="Y5449" s="53">
        <f t="shared" si="514"/>
        <v>0</v>
      </c>
      <c r="Z5449" s="64">
        <f t="shared" si="515"/>
        <v>0</v>
      </c>
    </row>
    <row r="5450" spans="1:26">
      <c r="A5450" s="89" t="str">
        <f t="shared" si="510"/>
        <v/>
      </c>
      <c r="B5450" s="89" t="str">
        <f t="shared" si="511"/>
        <v/>
      </c>
      <c r="S5450" s="89" t="str">
        <f t="shared" si="512"/>
        <v/>
      </c>
      <c r="X5450" s="64">
        <f t="shared" si="513"/>
        <v>0</v>
      </c>
      <c r="Y5450" s="53">
        <f t="shared" si="514"/>
        <v>0</v>
      </c>
      <c r="Z5450" s="64">
        <f t="shared" si="515"/>
        <v>0</v>
      </c>
    </row>
    <row r="5451" spans="1:26">
      <c r="A5451" s="89" t="str">
        <f t="shared" si="510"/>
        <v/>
      </c>
      <c r="B5451" s="89" t="str">
        <f t="shared" si="511"/>
        <v/>
      </c>
      <c r="S5451" s="89" t="str">
        <f t="shared" si="512"/>
        <v/>
      </c>
      <c r="X5451" s="64">
        <f t="shared" si="513"/>
        <v>0</v>
      </c>
      <c r="Y5451" s="53">
        <f t="shared" si="514"/>
        <v>0</v>
      </c>
      <c r="Z5451" s="64">
        <f t="shared" si="515"/>
        <v>0</v>
      </c>
    </row>
    <row r="5452" spans="1:26">
      <c r="A5452" s="89" t="str">
        <f t="shared" si="510"/>
        <v/>
      </c>
      <c r="B5452" s="89" t="str">
        <f t="shared" si="511"/>
        <v/>
      </c>
      <c r="S5452" s="89" t="str">
        <f t="shared" si="512"/>
        <v/>
      </c>
      <c r="X5452" s="64">
        <f t="shared" si="513"/>
        <v>0</v>
      </c>
      <c r="Y5452" s="53">
        <f t="shared" si="514"/>
        <v>0</v>
      </c>
      <c r="Z5452" s="64">
        <f t="shared" si="515"/>
        <v>0</v>
      </c>
    </row>
    <row r="5453" spans="1:26">
      <c r="A5453" s="89" t="str">
        <f t="shared" si="510"/>
        <v/>
      </c>
      <c r="B5453" s="89" t="str">
        <f t="shared" si="511"/>
        <v/>
      </c>
      <c r="S5453" s="89" t="str">
        <f t="shared" si="512"/>
        <v/>
      </c>
      <c r="X5453" s="64">
        <f t="shared" si="513"/>
        <v>0</v>
      </c>
      <c r="Y5453" s="53">
        <f t="shared" si="514"/>
        <v>0</v>
      </c>
      <c r="Z5453" s="64">
        <f t="shared" si="515"/>
        <v>0</v>
      </c>
    </row>
    <row r="5454" spans="1:26">
      <c r="A5454" s="89" t="str">
        <f t="shared" si="510"/>
        <v/>
      </c>
      <c r="B5454" s="89" t="str">
        <f t="shared" si="511"/>
        <v/>
      </c>
      <c r="S5454" s="89" t="str">
        <f t="shared" si="512"/>
        <v/>
      </c>
      <c r="X5454" s="64">
        <f t="shared" si="513"/>
        <v>0</v>
      </c>
      <c r="Y5454" s="53">
        <f t="shared" si="514"/>
        <v>0</v>
      </c>
      <c r="Z5454" s="64">
        <f t="shared" si="515"/>
        <v>0</v>
      </c>
    </row>
    <row r="5455" spans="1:26">
      <c r="A5455" s="89" t="str">
        <f t="shared" si="510"/>
        <v/>
      </c>
      <c r="B5455" s="89" t="str">
        <f t="shared" si="511"/>
        <v/>
      </c>
      <c r="S5455" s="89" t="str">
        <f t="shared" si="512"/>
        <v/>
      </c>
      <c r="X5455" s="64">
        <f t="shared" si="513"/>
        <v>0</v>
      </c>
      <c r="Y5455" s="53">
        <f t="shared" si="514"/>
        <v>0</v>
      </c>
      <c r="Z5455" s="64">
        <f t="shared" si="515"/>
        <v>0</v>
      </c>
    </row>
    <row r="5456" spans="1:26">
      <c r="A5456" s="89" t="str">
        <f t="shared" si="510"/>
        <v/>
      </c>
      <c r="B5456" s="89" t="str">
        <f t="shared" si="511"/>
        <v/>
      </c>
      <c r="S5456" s="89" t="str">
        <f t="shared" si="512"/>
        <v/>
      </c>
      <c r="X5456" s="64">
        <f t="shared" si="513"/>
        <v>0</v>
      </c>
      <c r="Y5456" s="53">
        <f t="shared" si="514"/>
        <v>0</v>
      </c>
      <c r="Z5456" s="64">
        <f t="shared" si="515"/>
        <v>0</v>
      </c>
    </row>
    <row r="5457" spans="1:26">
      <c r="A5457" s="89" t="str">
        <f t="shared" si="510"/>
        <v/>
      </c>
      <c r="B5457" s="89" t="str">
        <f t="shared" si="511"/>
        <v/>
      </c>
      <c r="S5457" s="89" t="str">
        <f t="shared" si="512"/>
        <v/>
      </c>
      <c r="X5457" s="64">
        <f t="shared" si="513"/>
        <v>0</v>
      </c>
      <c r="Y5457" s="53">
        <f t="shared" si="514"/>
        <v>0</v>
      </c>
      <c r="Z5457" s="64">
        <f t="shared" si="515"/>
        <v>0</v>
      </c>
    </row>
    <row r="5458" spans="1:26">
      <c r="A5458" s="89" t="str">
        <f t="shared" si="510"/>
        <v/>
      </c>
      <c r="B5458" s="89" t="str">
        <f t="shared" si="511"/>
        <v/>
      </c>
      <c r="S5458" s="89" t="str">
        <f t="shared" si="512"/>
        <v/>
      </c>
      <c r="X5458" s="64">
        <f t="shared" si="513"/>
        <v>0</v>
      </c>
      <c r="Y5458" s="53">
        <f t="shared" si="514"/>
        <v>0</v>
      </c>
      <c r="Z5458" s="64">
        <f t="shared" si="515"/>
        <v>0</v>
      </c>
    </row>
    <row r="5459" spans="1:26">
      <c r="A5459" s="89" t="str">
        <f t="shared" si="510"/>
        <v/>
      </c>
      <c r="B5459" s="89" t="str">
        <f t="shared" si="511"/>
        <v/>
      </c>
      <c r="S5459" s="89" t="str">
        <f t="shared" si="512"/>
        <v/>
      </c>
      <c r="X5459" s="64">
        <f t="shared" si="513"/>
        <v>0</v>
      </c>
      <c r="Y5459" s="53">
        <f t="shared" si="514"/>
        <v>0</v>
      </c>
      <c r="Z5459" s="64">
        <f t="shared" si="515"/>
        <v>0</v>
      </c>
    </row>
    <row r="5460" spans="1:26">
      <c r="A5460" s="89" t="str">
        <f t="shared" si="510"/>
        <v/>
      </c>
      <c r="B5460" s="89" t="str">
        <f t="shared" si="511"/>
        <v/>
      </c>
      <c r="S5460" s="89" t="str">
        <f t="shared" si="512"/>
        <v/>
      </c>
      <c r="X5460" s="64">
        <f t="shared" si="513"/>
        <v>0</v>
      </c>
      <c r="Y5460" s="53">
        <f t="shared" si="514"/>
        <v>0</v>
      </c>
      <c r="Z5460" s="64">
        <f t="shared" si="515"/>
        <v>0</v>
      </c>
    </row>
    <row r="5461" spans="1:26">
      <c r="A5461" s="89" t="str">
        <f t="shared" si="510"/>
        <v/>
      </c>
      <c r="B5461" s="89" t="str">
        <f t="shared" si="511"/>
        <v/>
      </c>
      <c r="S5461" s="89" t="str">
        <f t="shared" si="512"/>
        <v/>
      </c>
      <c r="X5461" s="64">
        <f t="shared" si="513"/>
        <v>0</v>
      </c>
      <c r="Y5461" s="53">
        <f t="shared" si="514"/>
        <v>0</v>
      </c>
      <c r="Z5461" s="64">
        <f t="shared" si="515"/>
        <v>0</v>
      </c>
    </row>
    <row r="5462" spans="1:26">
      <c r="A5462" s="89" t="str">
        <f t="shared" si="510"/>
        <v/>
      </c>
      <c r="B5462" s="89" t="str">
        <f t="shared" si="511"/>
        <v/>
      </c>
      <c r="S5462" s="89" t="str">
        <f t="shared" si="512"/>
        <v/>
      </c>
      <c r="X5462" s="64">
        <f t="shared" si="513"/>
        <v>0</v>
      </c>
      <c r="Y5462" s="53">
        <f t="shared" si="514"/>
        <v>0</v>
      </c>
      <c r="Z5462" s="64">
        <f t="shared" si="515"/>
        <v>0</v>
      </c>
    </row>
    <row r="5463" spans="1:26">
      <c r="A5463" s="89" t="str">
        <f t="shared" si="510"/>
        <v/>
      </c>
      <c r="B5463" s="89" t="str">
        <f t="shared" si="511"/>
        <v/>
      </c>
      <c r="S5463" s="89" t="str">
        <f t="shared" si="512"/>
        <v/>
      </c>
      <c r="X5463" s="64">
        <f t="shared" si="513"/>
        <v>0</v>
      </c>
      <c r="Y5463" s="53">
        <f t="shared" si="514"/>
        <v>0</v>
      </c>
      <c r="Z5463" s="64">
        <f t="shared" si="515"/>
        <v>0</v>
      </c>
    </row>
    <row r="5464" spans="1:26">
      <c r="A5464" s="89" t="str">
        <f t="shared" si="510"/>
        <v/>
      </c>
      <c r="B5464" s="89" t="str">
        <f t="shared" si="511"/>
        <v/>
      </c>
      <c r="S5464" s="89" t="str">
        <f t="shared" si="512"/>
        <v/>
      </c>
      <c r="X5464" s="64">
        <f t="shared" si="513"/>
        <v>0</v>
      </c>
      <c r="Y5464" s="53">
        <f t="shared" si="514"/>
        <v>0</v>
      </c>
      <c r="Z5464" s="64">
        <f t="shared" si="515"/>
        <v>0</v>
      </c>
    </row>
    <row r="5465" spans="1:26">
      <c r="A5465" s="89" t="str">
        <f t="shared" si="510"/>
        <v/>
      </c>
      <c r="B5465" s="89" t="str">
        <f t="shared" si="511"/>
        <v/>
      </c>
      <c r="S5465" s="89" t="str">
        <f t="shared" si="512"/>
        <v/>
      </c>
      <c r="X5465" s="64">
        <f t="shared" si="513"/>
        <v>0</v>
      </c>
      <c r="Y5465" s="53">
        <f t="shared" si="514"/>
        <v>0</v>
      </c>
      <c r="Z5465" s="64">
        <f t="shared" si="515"/>
        <v>0</v>
      </c>
    </row>
    <row r="5466" spans="1:26">
      <c r="A5466" s="89" t="str">
        <f t="shared" si="510"/>
        <v/>
      </c>
      <c r="B5466" s="89" t="str">
        <f t="shared" si="511"/>
        <v/>
      </c>
      <c r="S5466" s="89" t="str">
        <f t="shared" si="512"/>
        <v/>
      </c>
      <c r="X5466" s="64">
        <f t="shared" si="513"/>
        <v>0</v>
      </c>
      <c r="Y5466" s="53">
        <f t="shared" si="514"/>
        <v>0</v>
      </c>
      <c r="Z5466" s="64">
        <f t="shared" si="515"/>
        <v>0</v>
      </c>
    </row>
    <row r="5467" spans="1:26">
      <c r="A5467" s="89" t="str">
        <f t="shared" si="510"/>
        <v/>
      </c>
      <c r="B5467" s="89" t="str">
        <f t="shared" si="511"/>
        <v/>
      </c>
      <c r="S5467" s="89" t="str">
        <f t="shared" si="512"/>
        <v/>
      </c>
      <c r="X5467" s="64">
        <f t="shared" si="513"/>
        <v>0</v>
      </c>
      <c r="Y5467" s="53">
        <f t="shared" si="514"/>
        <v>0</v>
      </c>
      <c r="Z5467" s="64">
        <f t="shared" si="515"/>
        <v>0</v>
      </c>
    </row>
    <row r="5468" spans="1:26">
      <c r="A5468" s="89" t="str">
        <f t="shared" si="510"/>
        <v/>
      </c>
      <c r="B5468" s="89" t="str">
        <f t="shared" si="511"/>
        <v/>
      </c>
      <c r="S5468" s="89" t="str">
        <f t="shared" si="512"/>
        <v/>
      </c>
      <c r="X5468" s="64">
        <f t="shared" si="513"/>
        <v>0</v>
      </c>
      <c r="Y5468" s="53">
        <f t="shared" si="514"/>
        <v>0</v>
      </c>
      <c r="Z5468" s="64">
        <f t="shared" si="515"/>
        <v>0</v>
      </c>
    </row>
    <row r="5469" spans="1:26">
      <c r="A5469" s="89" t="str">
        <f t="shared" si="510"/>
        <v/>
      </c>
      <c r="B5469" s="89" t="str">
        <f t="shared" si="511"/>
        <v/>
      </c>
      <c r="S5469" s="89" t="str">
        <f t="shared" si="512"/>
        <v/>
      </c>
      <c r="X5469" s="64">
        <f t="shared" si="513"/>
        <v>0</v>
      </c>
      <c r="Y5469" s="53">
        <f t="shared" si="514"/>
        <v>0</v>
      </c>
      <c r="Z5469" s="64">
        <f t="shared" si="515"/>
        <v>0</v>
      </c>
    </row>
    <row r="5470" spans="1:26">
      <c r="A5470" s="89" t="str">
        <f t="shared" si="510"/>
        <v/>
      </c>
      <c r="B5470" s="89" t="str">
        <f t="shared" si="511"/>
        <v/>
      </c>
      <c r="S5470" s="89" t="str">
        <f t="shared" si="512"/>
        <v/>
      </c>
      <c r="X5470" s="64">
        <f t="shared" si="513"/>
        <v>0</v>
      </c>
      <c r="Y5470" s="53">
        <f t="shared" si="514"/>
        <v>0</v>
      </c>
      <c r="Z5470" s="64">
        <f t="shared" si="515"/>
        <v>0</v>
      </c>
    </row>
    <row r="5471" spans="1:26">
      <c r="A5471" s="89" t="str">
        <f t="shared" si="510"/>
        <v/>
      </c>
      <c r="B5471" s="89" t="str">
        <f t="shared" si="511"/>
        <v/>
      </c>
      <c r="S5471" s="89" t="str">
        <f t="shared" si="512"/>
        <v/>
      </c>
      <c r="X5471" s="64">
        <f t="shared" si="513"/>
        <v>0</v>
      </c>
      <c r="Y5471" s="53">
        <f t="shared" si="514"/>
        <v>0</v>
      </c>
      <c r="Z5471" s="64">
        <f t="shared" si="515"/>
        <v>0</v>
      </c>
    </row>
    <row r="5472" spans="1:26">
      <c r="A5472" s="89" t="str">
        <f t="shared" si="510"/>
        <v/>
      </c>
      <c r="B5472" s="89" t="str">
        <f t="shared" si="511"/>
        <v/>
      </c>
      <c r="S5472" s="89" t="str">
        <f t="shared" si="512"/>
        <v/>
      </c>
      <c r="X5472" s="64">
        <f t="shared" si="513"/>
        <v>0</v>
      </c>
      <c r="Y5472" s="53">
        <f t="shared" si="514"/>
        <v>0</v>
      </c>
      <c r="Z5472" s="64">
        <f t="shared" si="515"/>
        <v>0</v>
      </c>
    </row>
    <row r="5473" spans="1:26">
      <c r="A5473" s="89" t="str">
        <f t="shared" si="510"/>
        <v/>
      </c>
      <c r="B5473" s="89" t="str">
        <f t="shared" si="511"/>
        <v/>
      </c>
      <c r="S5473" s="89" t="str">
        <f t="shared" si="512"/>
        <v/>
      </c>
      <c r="X5473" s="64">
        <f t="shared" si="513"/>
        <v>0</v>
      </c>
      <c r="Y5473" s="53">
        <f t="shared" si="514"/>
        <v>0</v>
      </c>
      <c r="Z5473" s="64">
        <f t="shared" si="515"/>
        <v>0</v>
      </c>
    </row>
    <row r="5474" spans="1:26">
      <c r="A5474" s="89" t="str">
        <f t="shared" si="510"/>
        <v/>
      </c>
      <c r="B5474" s="89" t="str">
        <f t="shared" si="511"/>
        <v/>
      </c>
      <c r="S5474" s="89" t="str">
        <f t="shared" si="512"/>
        <v/>
      </c>
      <c r="X5474" s="64">
        <f t="shared" si="513"/>
        <v>0</v>
      </c>
      <c r="Y5474" s="53">
        <f t="shared" si="514"/>
        <v>0</v>
      </c>
      <c r="Z5474" s="64">
        <f t="shared" si="515"/>
        <v>0</v>
      </c>
    </row>
    <row r="5475" spans="1:26">
      <c r="A5475" s="89" t="str">
        <f t="shared" si="510"/>
        <v/>
      </c>
      <c r="B5475" s="89" t="str">
        <f t="shared" si="511"/>
        <v/>
      </c>
      <c r="S5475" s="89" t="str">
        <f t="shared" si="512"/>
        <v/>
      </c>
      <c r="X5475" s="64">
        <f t="shared" si="513"/>
        <v>0</v>
      </c>
      <c r="Y5475" s="53">
        <f t="shared" si="514"/>
        <v>0</v>
      </c>
      <c r="Z5475" s="64">
        <f t="shared" si="515"/>
        <v>0</v>
      </c>
    </row>
    <row r="5476" spans="1:26">
      <c r="A5476" s="89" t="str">
        <f t="shared" si="510"/>
        <v/>
      </c>
      <c r="B5476" s="89" t="str">
        <f t="shared" si="511"/>
        <v/>
      </c>
      <c r="S5476" s="89" t="str">
        <f t="shared" si="512"/>
        <v/>
      </c>
      <c r="X5476" s="64">
        <f t="shared" si="513"/>
        <v>0</v>
      </c>
      <c r="Y5476" s="53">
        <f t="shared" si="514"/>
        <v>0</v>
      </c>
      <c r="Z5476" s="64">
        <f t="shared" si="515"/>
        <v>0</v>
      </c>
    </row>
    <row r="5477" spans="1:26">
      <c r="A5477" s="89" t="str">
        <f t="shared" si="510"/>
        <v/>
      </c>
      <c r="B5477" s="89" t="str">
        <f t="shared" si="511"/>
        <v/>
      </c>
      <c r="S5477" s="89" t="str">
        <f t="shared" si="512"/>
        <v/>
      </c>
      <c r="X5477" s="64">
        <f t="shared" si="513"/>
        <v>0</v>
      </c>
      <c r="Y5477" s="53">
        <f t="shared" si="514"/>
        <v>0</v>
      </c>
      <c r="Z5477" s="64">
        <f t="shared" si="515"/>
        <v>0</v>
      </c>
    </row>
    <row r="5478" spans="1:26">
      <c r="A5478" s="89" t="str">
        <f t="shared" si="510"/>
        <v/>
      </c>
      <c r="B5478" s="89" t="str">
        <f t="shared" si="511"/>
        <v/>
      </c>
      <c r="S5478" s="89" t="str">
        <f t="shared" si="512"/>
        <v/>
      </c>
      <c r="X5478" s="64">
        <f t="shared" si="513"/>
        <v>0</v>
      </c>
      <c r="Y5478" s="53">
        <f t="shared" si="514"/>
        <v>0</v>
      </c>
      <c r="Z5478" s="64">
        <f t="shared" si="515"/>
        <v>0</v>
      </c>
    </row>
    <row r="5479" spans="1:26">
      <c r="A5479" s="89" t="str">
        <f t="shared" si="510"/>
        <v/>
      </c>
      <c r="B5479" s="89" t="str">
        <f t="shared" si="511"/>
        <v/>
      </c>
      <c r="S5479" s="89" t="str">
        <f t="shared" si="512"/>
        <v/>
      </c>
      <c r="X5479" s="64">
        <f t="shared" si="513"/>
        <v>0</v>
      </c>
      <c r="Y5479" s="53">
        <f t="shared" si="514"/>
        <v>0</v>
      </c>
      <c r="Z5479" s="64">
        <f t="shared" si="515"/>
        <v>0</v>
      </c>
    </row>
    <row r="5480" spans="1:26">
      <c r="A5480" s="89" t="str">
        <f t="shared" si="510"/>
        <v/>
      </c>
      <c r="B5480" s="89" t="str">
        <f t="shared" si="511"/>
        <v/>
      </c>
      <c r="S5480" s="89" t="str">
        <f t="shared" si="512"/>
        <v/>
      </c>
      <c r="X5480" s="64">
        <f t="shared" si="513"/>
        <v>0</v>
      </c>
      <c r="Y5480" s="53">
        <f t="shared" si="514"/>
        <v>0</v>
      </c>
      <c r="Z5480" s="64">
        <f t="shared" si="515"/>
        <v>0</v>
      </c>
    </row>
    <row r="5481" spans="1:26">
      <c r="A5481" s="89" t="str">
        <f t="shared" si="510"/>
        <v/>
      </c>
      <c r="B5481" s="89" t="str">
        <f t="shared" si="511"/>
        <v/>
      </c>
      <c r="S5481" s="89" t="str">
        <f t="shared" si="512"/>
        <v/>
      </c>
      <c r="X5481" s="64">
        <f t="shared" si="513"/>
        <v>0</v>
      </c>
      <c r="Y5481" s="53">
        <f t="shared" si="514"/>
        <v>0</v>
      </c>
      <c r="Z5481" s="64">
        <f t="shared" si="515"/>
        <v>0</v>
      </c>
    </row>
    <row r="5482" spans="1:26">
      <c r="A5482" s="89" t="str">
        <f t="shared" si="510"/>
        <v/>
      </c>
      <c r="B5482" s="89" t="str">
        <f t="shared" si="511"/>
        <v/>
      </c>
      <c r="S5482" s="89" t="str">
        <f t="shared" si="512"/>
        <v/>
      </c>
      <c r="X5482" s="64">
        <f t="shared" si="513"/>
        <v>0</v>
      </c>
      <c r="Y5482" s="53">
        <f t="shared" si="514"/>
        <v>0</v>
      </c>
      <c r="Z5482" s="64">
        <f t="shared" si="515"/>
        <v>0</v>
      </c>
    </row>
    <row r="5483" spans="1:26">
      <c r="A5483" s="89" t="str">
        <f t="shared" si="510"/>
        <v/>
      </c>
      <c r="B5483" s="89" t="str">
        <f t="shared" si="511"/>
        <v/>
      </c>
      <c r="S5483" s="89" t="str">
        <f t="shared" si="512"/>
        <v/>
      </c>
      <c r="X5483" s="64">
        <f t="shared" si="513"/>
        <v>0</v>
      </c>
      <c r="Y5483" s="53">
        <f t="shared" si="514"/>
        <v>0</v>
      </c>
      <c r="Z5483" s="64">
        <f t="shared" si="515"/>
        <v>0</v>
      </c>
    </row>
    <row r="5484" spans="1:26">
      <c r="A5484" s="89" t="str">
        <f t="shared" si="510"/>
        <v/>
      </c>
      <c r="B5484" s="89" t="str">
        <f t="shared" si="511"/>
        <v/>
      </c>
      <c r="S5484" s="89" t="str">
        <f t="shared" si="512"/>
        <v/>
      </c>
      <c r="X5484" s="64">
        <f t="shared" si="513"/>
        <v>0</v>
      </c>
      <c r="Y5484" s="53">
        <f t="shared" si="514"/>
        <v>0</v>
      </c>
      <c r="Z5484" s="64">
        <f t="shared" si="515"/>
        <v>0</v>
      </c>
    </row>
    <row r="5485" spans="1:26">
      <c r="A5485" s="89" t="str">
        <f t="shared" si="510"/>
        <v/>
      </c>
      <c r="B5485" s="89" t="str">
        <f t="shared" si="511"/>
        <v/>
      </c>
      <c r="S5485" s="89" t="str">
        <f t="shared" si="512"/>
        <v/>
      </c>
      <c r="X5485" s="64">
        <f t="shared" si="513"/>
        <v>0</v>
      </c>
      <c r="Y5485" s="53">
        <f t="shared" si="514"/>
        <v>0</v>
      </c>
      <c r="Z5485" s="64">
        <f t="shared" si="515"/>
        <v>0</v>
      </c>
    </row>
    <row r="5486" spans="1:26">
      <c r="A5486" s="89" t="str">
        <f t="shared" si="510"/>
        <v/>
      </c>
      <c r="B5486" s="89" t="str">
        <f t="shared" si="511"/>
        <v/>
      </c>
      <c r="S5486" s="89" t="str">
        <f t="shared" si="512"/>
        <v/>
      </c>
      <c r="X5486" s="64">
        <f t="shared" si="513"/>
        <v>0</v>
      </c>
      <c r="Y5486" s="53">
        <f t="shared" si="514"/>
        <v>0</v>
      </c>
      <c r="Z5486" s="64">
        <f t="shared" si="515"/>
        <v>0</v>
      </c>
    </row>
    <row r="5487" spans="1:26">
      <c r="A5487" s="89" t="str">
        <f t="shared" si="510"/>
        <v/>
      </c>
      <c r="B5487" s="89" t="str">
        <f t="shared" si="511"/>
        <v/>
      </c>
      <c r="S5487" s="89" t="str">
        <f t="shared" si="512"/>
        <v/>
      </c>
      <c r="X5487" s="64">
        <f t="shared" si="513"/>
        <v>0</v>
      </c>
      <c r="Y5487" s="53">
        <f t="shared" si="514"/>
        <v>0</v>
      </c>
      <c r="Z5487" s="64">
        <f t="shared" si="515"/>
        <v>0</v>
      </c>
    </row>
    <row r="5488" spans="1:26">
      <c r="A5488" s="89" t="str">
        <f t="shared" si="510"/>
        <v/>
      </c>
      <c r="B5488" s="89" t="str">
        <f t="shared" si="511"/>
        <v/>
      </c>
      <c r="S5488" s="89" t="str">
        <f t="shared" si="512"/>
        <v/>
      </c>
      <c r="X5488" s="64">
        <f t="shared" si="513"/>
        <v>0</v>
      </c>
      <c r="Y5488" s="53">
        <f t="shared" si="514"/>
        <v>0</v>
      </c>
      <c r="Z5488" s="64">
        <f t="shared" si="515"/>
        <v>0</v>
      </c>
    </row>
    <row r="5489" spans="1:26">
      <c r="A5489" s="89" t="str">
        <f t="shared" si="510"/>
        <v/>
      </c>
      <c r="B5489" s="89" t="str">
        <f t="shared" si="511"/>
        <v/>
      </c>
      <c r="S5489" s="89" t="str">
        <f t="shared" si="512"/>
        <v/>
      </c>
      <c r="X5489" s="64">
        <f t="shared" si="513"/>
        <v>0</v>
      </c>
      <c r="Y5489" s="53">
        <f t="shared" si="514"/>
        <v>0</v>
      </c>
      <c r="Z5489" s="64">
        <f t="shared" si="515"/>
        <v>0</v>
      </c>
    </row>
    <row r="5490" spans="1:26">
      <c r="A5490" s="89" t="str">
        <f t="shared" si="510"/>
        <v/>
      </c>
      <c r="B5490" s="89" t="str">
        <f t="shared" si="511"/>
        <v/>
      </c>
      <c r="S5490" s="89" t="str">
        <f t="shared" si="512"/>
        <v/>
      </c>
      <c r="X5490" s="64">
        <f t="shared" si="513"/>
        <v>0</v>
      </c>
      <c r="Y5490" s="53">
        <f t="shared" si="514"/>
        <v>0</v>
      </c>
      <c r="Z5490" s="64">
        <f t="shared" si="515"/>
        <v>0</v>
      </c>
    </row>
    <row r="5491" spans="1:26">
      <c r="A5491" s="89" t="str">
        <f t="shared" si="510"/>
        <v/>
      </c>
      <c r="B5491" s="89" t="str">
        <f t="shared" si="511"/>
        <v/>
      </c>
      <c r="S5491" s="89" t="str">
        <f t="shared" si="512"/>
        <v/>
      </c>
      <c r="X5491" s="64">
        <f t="shared" si="513"/>
        <v>0</v>
      </c>
      <c r="Y5491" s="53">
        <f t="shared" si="514"/>
        <v>0</v>
      </c>
      <c r="Z5491" s="64">
        <f t="shared" si="515"/>
        <v>0</v>
      </c>
    </row>
    <row r="5492" spans="1:26">
      <c r="A5492" s="89" t="str">
        <f t="shared" si="510"/>
        <v/>
      </c>
      <c r="B5492" s="89" t="str">
        <f t="shared" si="511"/>
        <v/>
      </c>
      <c r="S5492" s="89" t="str">
        <f t="shared" si="512"/>
        <v/>
      </c>
      <c r="X5492" s="64">
        <f t="shared" si="513"/>
        <v>0</v>
      </c>
      <c r="Y5492" s="53">
        <f t="shared" si="514"/>
        <v>0</v>
      </c>
      <c r="Z5492" s="64">
        <f t="shared" si="515"/>
        <v>0</v>
      </c>
    </row>
    <row r="5493" spans="1:26">
      <c r="A5493" s="89" t="str">
        <f t="shared" si="510"/>
        <v/>
      </c>
      <c r="B5493" s="89" t="str">
        <f t="shared" si="511"/>
        <v/>
      </c>
      <c r="S5493" s="89" t="str">
        <f t="shared" si="512"/>
        <v/>
      </c>
      <c r="X5493" s="64">
        <f t="shared" si="513"/>
        <v>0</v>
      </c>
      <c r="Y5493" s="53">
        <f t="shared" si="514"/>
        <v>0</v>
      </c>
      <c r="Z5493" s="64">
        <f t="shared" si="515"/>
        <v>0</v>
      </c>
    </row>
    <row r="5494" spans="1:26">
      <c r="A5494" s="89" t="str">
        <f t="shared" si="510"/>
        <v/>
      </c>
      <c r="B5494" s="89" t="str">
        <f t="shared" si="511"/>
        <v/>
      </c>
      <c r="S5494" s="89" t="str">
        <f t="shared" si="512"/>
        <v/>
      </c>
      <c r="X5494" s="64">
        <f t="shared" si="513"/>
        <v>0</v>
      </c>
      <c r="Y5494" s="53">
        <f t="shared" si="514"/>
        <v>0</v>
      </c>
      <c r="Z5494" s="64">
        <f t="shared" si="515"/>
        <v>0</v>
      </c>
    </row>
    <row r="5495" spans="1:26">
      <c r="A5495" s="89" t="str">
        <f t="shared" si="510"/>
        <v/>
      </c>
      <c r="B5495" s="89" t="str">
        <f t="shared" si="511"/>
        <v/>
      </c>
      <c r="S5495" s="89" t="str">
        <f t="shared" si="512"/>
        <v/>
      </c>
      <c r="X5495" s="64">
        <f t="shared" si="513"/>
        <v>0</v>
      </c>
      <c r="Y5495" s="53">
        <f t="shared" si="514"/>
        <v>0</v>
      </c>
      <c r="Z5495" s="64">
        <f t="shared" si="515"/>
        <v>0</v>
      </c>
    </row>
    <row r="5496" spans="1:26">
      <c r="A5496" s="89" t="str">
        <f t="shared" si="510"/>
        <v/>
      </c>
      <c r="B5496" s="89" t="str">
        <f t="shared" si="511"/>
        <v/>
      </c>
      <c r="S5496" s="89" t="str">
        <f t="shared" si="512"/>
        <v/>
      </c>
      <c r="X5496" s="64">
        <f t="shared" si="513"/>
        <v>0</v>
      </c>
      <c r="Y5496" s="53">
        <f t="shared" si="514"/>
        <v>0</v>
      </c>
      <c r="Z5496" s="64">
        <f t="shared" si="515"/>
        <v>0</v>
      </c>
    </row>
    <row r="5497" spans="1:26">
      <c r="A5497" s="89" t="str">
        <f t="shared" si="510"/>
        <v/>
      </c>
      <c r="B5497" s="89" t="str">
        <f t="shared" si="511"/>
        <v/>
      </c>
      <c r="S5497" s="89" t="str">
        <f t="shared" si="512"/>
        <v/>
      </c>
      <c r="X5497" s="64">
        <f t="shared" si="513"/>
        <v>0</v>
      </c>
      <c r="Y5497" s="53">
        <f t="shared" si="514"/>
        <v>0</v>
      </c>
      <c r="Z5497" s="64">
        <f t="shared" si="515"/>
        <v>0</v>
      </c>
    </row>
    <row r="5498" spans="1:26">
      <c r="A5498" s="89" t="str">
        <f t="shared" si="510"/>
        <v/>
      </c>
      <c r="B5498" s="89" t="str">
        <f t="shared" si="511"/>
        <v/>
      </c>
      <c r="S5498" s="89" t="str">
        <f t="shared" si="512"/>
        <v/>
      </c>
      <c r="X5498" s="64">
        <f t="shared" si="513"/>
        <v>0</v>
      </c>
      <c r="Y5498" s="53">
        <f t="shared" si="514"/>
        <v>0</v>
      </c>
      <c r="Z5498" s="64">
        <f t="shared" si="515"/>
        <v>0</v>
      </c>
    </row>
    <row r="5499" spans="1:26">
      <c r="A5499" s="89" t="str">
        <f t="shared" si="510"/>
        <v/>
      </c>
      <c r="B5499" s="89" t="str">
        <f t="shared" si="511"/>
        <v/>
      </c>
      <c r="S5499" s="89" t="str">
        <f t="shared" si="512"/>
        <v/>
      </c>
      <c r="X5499" s="64">
        <f t="shared" si="513"/>
        <v>0</v>
      </c>
      <c r="Y5499" s="53">
        <f t="shared" si="514"/>
        <v>0</v>
      </c>
      <c r="Z5499" s="64">
        <f t="shared" si="515"/>
        <v>0</v>
      </c>
    </row>
    <row r="5500" spans="1:26">
      <c r="A5500" s="89" t="str">
        <f t="shared" si="510"/>
        <v/>
      </c>
      <c r="B5500" s="89" t="str">
        <f t="shared" si="511"/>
        <v/>
      </c>
      <c r="S5500" s="89" t="str">
        <f t="shared" si="512"/>
        <v/>
      </c>
      <c r="X5500" s="64">
        <f t="shared" si="513"/>
        <v>0</v>
      </c>
      <c r="Y5500" s="53">
        <f t="shared" si="514"/>
        <v>0</v>
      </c>
      <c r="Z5500" s="64">
        <f t="shared" si="515"/>
        <v>0</v>
      </c>
    </row>
    <row r="5501" spans="1:26">
      <c r="A5501" s="89" t="str">
        <f t="shared" si="510"/>
        <v/>
      </c>
      <c r="B5501" s="89" t="str">
        <f t="shared" si="511"/>
        <v/>
      </c>
      <c r="S5501" s="89" t="str">
        <f t="shared" si="512"/>
        <v/>
      </c>
      <c r="X5501" s="64">
        <f t="shared" si="513"/>
        <v>0</v>
      </c>
      <c r="Y5501" s="53">
        <f t="shared" si="514"/>
        <v>0</v>
      </c>
      <c r="Z5501" s="64">
        <f t="shared" si="515"/>
        <v>0</v>
      </c>
    </row>
    <row r="5502" spans="1:26">
      <c r="A5502" s="89" t="str">
        <f t="shared" si="510"/>
        <v/>
      </c>
      <c r="B5502" s="89" t="str">
        <f t="shared" si="511"/>
        <v/>
      </c>
      <c r="S5502" s="89" t="str">
        <f t="shared" si="512"/>
        <v/>
      </c>
      <c r="X5502" s="64">
        <f t="shared" si="513"/>
        <v>0</v>
      </c>
      <c r="Y5502" s="53">
        <f t="shared" si="514"/>
        <v>0</v>
      </c>
      <c r="Z5502" s="64">
        <f t="shared" si="515"/>
        <v>0</v>
      </c>
    </row>
    <row r="5503" spans="1:26">
      <c r="A5503" s="89" t="str">
        <f t="shared" si="510"/>
        <v/>
      </c>
      <c r="B5503" s="89" t="str">
        <f t="shared" si="511"/>
        <v/>
      </c>
      <c r="S5503" s="89" t="str">
        <f t="shared" si="512"/>
        <v/>
      </c>
      <c r="X5503" s="64">
        <f t="shared" si="513"/>
        <v>0</v>
      </c>
      <c r="Y5503" s="53">
        <f t="shared" si="514"/>
        <v>0</v>
      </c>
      <c r="Z5503" s="64">
        <f t="shared" si="515"/>
        <v>0</v>
      </c>
    </row>
    <row r="5504" spans="1:26">
      <c r="A5504" s="89" t="str">
        <f t="shared" si="510"/>
        <v/>
      </c>
      <c r="B5504" s="89" t="str">
        <f t="shared" si="511"/>
        <v/>
      </c>
      <c r="S5504" s="89" t="str">
        <f t="shared" si="512"/>
        <v/>
      </c>
      <c r="X5504" s="64">
        <f t="shared" si="513"/>
        <v>0</v>
      </c>
      <c r="Y5504" s="53">
        <f t="shared" si="514"/>
        <v>0</v>
      </c>
      <c r="Z5504" s="64">
        <f t="shared" si="515"/>
        <v>0</v>
      </c>
    </row>
    <row r="5505" spans="1:26">
      <c r="A5505" s="89" t="str">
        <f t="shared" si="510"/>
        <v/>
      </c>
      <c r="B5505" s="89" t="str">
        <f t="shared" si="511"/>
        <v/>
      </c>
      <c r="S5505" s="89" t="str">
        <f t="shared" si="512"/>
        <v/>
      </c>
      <c r="X5505" s="64">
        <f t="shared" si="513"/>
        <v>0</v>
      </c>
      <c r="Y5505" s="53">
        <f t="shared" si="514"/>
        <v>0</v>
      </c>
      <c r="Z5505" s="64">
        <f t="shared" si="515"/>
        <v>0</v>
      </c>
    </row>
    <row r="5506" spans="1:26">
      <c r="A5506" s="89" t="str">
        <f t="shared" si="510"/>
        <v/>
      </c>
      <c r="B5506" s="89" t="str">
        <f t="shared" si="511"/>
        <v/>
      </c>
      <c r="S5506" s="89" t="str">
        <f t="shared" si="512"/>
        <v/>
      </c>
      <c r="X5506" s="64">
        <f t="shared" si="513"/>
        <v>0</v>
      </c>
      <c r="Y5506" s="53">
        <f t="shared" si="514"/>
        <v>0</v>
      </c>
      <c r="Z5506" s="64">
        <f t="shared" si="515"/>
        <v>0</v>
      </c>
    </row>
    <row r="5507" spans="1:26">
      <c r="A5507" s="89" t="str">
        <f t="shared" ref="A5507:A5570" si="516">IF(G5507&amp;Q5507&lt;&gt;"",G5507&amp;Q5507,"")</f>
        <v/>
      </c>
      <c r="B5507" s="89" t="str">
        <f t="shared" ref="B5507:B5570" si="517">IF(C5507&lt;&gt;"",LEFT(C5507,9),"")</f>
        <v/>
      </c>
      <c r="S5507" s="89" t="str">
        <f t="shared" ref="S5507:S5570" si="518">IF(H5507&lt;&gt;"",H5507,"")</f>
        <v/>
      </c>
      <c r="X5507" s="64">
        <f t="shared" ref="X5507:X5570" si="519">IFERROR(VALUE(MID($C5507,1,2)),0)</f>
        <v>0</v>
      </c>
      <c r="Y5507" s="53">
        <f t="shared" ref="Y5507:Y5570" si="520">IFERROR(VALUE(MID($C5507,4,3)),0)</f>
        <v>0</v>
      </c>
      <c r="Z5507" s="64">
        <f t="shared" ref="Z5507:Z5570" si="521">VALUE(RIGHT("00"&amp;X5507,2)&amp;RIGHT("000"&amp;Y5507,3))</f>
        <v>0</v>
      </c>
    </row>
    <row r="5508" spans="1:26">
      <c r="A5508" s="89" t="str">
        <f t="shared" si="516"/>
        <v/>
      </c>
      <c r="B5508" s="89" t="str">
        <f t="shared" si="517"/>
        <v/>
      </c>
      <c r="S5508" s="89" t="str">
        <f t="shared" si="518"/>
        <v/>
      </c>
      <c r="X5508" s="64">
        <f t="shared" si="519"/>
        <v>0</v>
      </c>
      <c r="Y5508" s="53">
        <f t="shared" si="520"/>
        <v>0</v>
      </c>
      <c r="Z5508" s="64">
        <f t="shared" si="521"/>
        <v>0</v>
      </c>
    </row>
    <row r="5509" spans="1:26">
      <c r="A5509" s="89" t="str">
        <f t="shared" si="516"/>
        <v/>
      </c>
      <c r="B5509" s="89" t="str">
        <f t="shared" si="517"/>
        <v/>
      </c>
      <c r="S5509" s="89" t="str">
        <f t="shared" si="518"/>
        <v/>
      </c>
      <c r="X5509" s="64">
        <f t="shared" si="519"/>
        <v>0</v>
      </c>
      <c r="Y5509" s="53">
        <f t="shared" si="520"/>
        <v>0</v>
      </c>
      <c r="Z5509" s="64">
        <f t="shared" si="521"/>
        <v>0</v>
      </c>
    </row>
    <row r="5510" spans="1:26">
      <c r="A5510" s="89" t="str">
        <f t="shared" si="516"/>
        <v/>
      </c>
      <c r="B5510" s="89" t="str">
        <f t="shared" si="517"/>
        <v/>
      </c>
      <c r="S5510" s="89" t="str">
        <f t="shared" si="518"/>
        <v/>
      </c>
      <c r="X5510" s="64">
        <f t="shared" si="519"/>
        <v>0</v>
      </c>
      <c r="Y5510" s="53">
        <f t="shared" si="520"/>
        <v>0</v>
      </c>
      <c r="Z5510" s="64">
        <f t="shared" si="521"/>
        <v>0</v>
      </c>
    </row>
    <row r="5511" spans="1:26">
      <c r="A5511" s="89" t="str">
        <f t="shared" si="516"/>
        <v/>
      </c>
      <c r="B5511" s="89" t="str">
        <f t="shared" si="517"/>
        <v/>
      </c>
      <c r="S5511" s="89" t="str">
        <f t="shared" si="518"/>
        <v/>
      </c>
      <c r="X5511" s="64">
        <f t="shared" si="519"/>
        <v>0</v>
      </c>
      <c r="Y5511" s="53">
        <f t="shared" si="520"/>
        <v>0</v>
      </c>
      <c r="Z5511" s="64">
        <f t="shared" si="521"/>
        <v>0</v>
      </c>
    </row>
    <row r="5512" spans="1:26">
      <c r="A5512" s="89" t="str">
        <f t="shared" si="516"/>
        <v/>
      </c>
      <c r="B5512" s="89" t="str">
        <f t="shared" si="517"/>
        <v/>
      </c>
      <c r="S5512" s="89" t="str">
        <f t="shared" si="518"/>
        <v/>
      </c>
      <c r="X5512" s="64">
        <f t="shared" si="519"/>
        <v>0</v>
      </c>
      <c r="Y5512" s="53">
        <f t="shared" si="520"/>
        <v>0</v>
      </c>
      <c r="Z5512" s="64">
        <f t="shared" si="521"/>
        <v>0</v>
      </c>
    </row>
    <row r="5513" spans="1:26">
      <c r="A5513" s="89" t="str">
        <f t="shared" si="516"/>
        <v/>
      </c>
      <c r="B5513" s="89" t="str">
        <f t="shared" si="517"/>
        <v/>
      </c>
      <c r="S5513" s="89" t="str">
        <f t="shared" si="518"/>
        <v/>
      </c>
      <c r="X5513" s="64">
        <f t="shared" si="519"/>
        <v>0</v>
      </c>
      <c r="Y5513" s="53">
        <f t="shared" si="520"/>
        <v>0</v>
      </c>
      <c r="Z5513" s="64">
        <f t="shared" si="521"/>
        <v>0</v>
      </c>
    </row>
    <row r="5514" spans="1:26">
      <c r="A5514" s="89" t="str">
        <f t="shared" si="516"/>
        <v/>
      </c>
      <c r="B5514" s="89" t="str">
        <f t="shared" si="517"/>
        <v/>
      </c>
      <c r="S5514" s="89" t="str">
        <f t="shared" si="518"/>
        <v/>
      </c>
      <c r="X5514" s="64">
        <f t="shared" si="519"/>
        <v>0</v>
      </c>
      <c r="Y5514" s="53">
        <f t="shared" si="520"/>
        <v>0</v>
      </c>
      <c r="Z5514" s="64">
        <f t="shared" si="521"/>
        <v>0</v>
      </c>
    </row>
    <row r="5515" spans="1:26">
      <c r="A5515" s="89" t="str">
        <f t="shared" si="516"/>
        <v/>
      </c>
      <c r="B5515" s="89" t="str">
        <f t="shared" si="517"/>
        <v/>
      </c>
      <c r="S5515" s="89" t="str">
        <f t="shared" si="518"/>
        <v/>
      </c>
      <c r="X5515" s="64">
        <f t="shared" si="519"/>
        <v>0</v>
      </c>
      <c r="Y5515" s="53">
        <f t="shared" si="520"/>
        <v>0</v>
      </c>
      <c r="Z5515" s="64">
        <f t="shared" si="521"/>
        <v>0</v>
      </c>
    </row>
    <row r="5516" spans="1:26">
      <c r="A5516" s="89" t="str">
        <f t="shared" si="516"/>
        <v/>
      </c>
      <c r="B5516" s="89" t="str">
        <f t="shared" si="517"/>
        <v/>
      </c>
      <c r="S5516" s="89" t="str">
        <f t="shared" si="518"/>
        <v/>
      </c>
      <c r="X5516" s="64">
        <f t="shared" si="519"/>
        <v>0</v>
      </c>
      <c r="Y5516" s="53">
        <f t="shared" si="520"/>
        <v>0</v>
      </c>
      <c r="Z5516" s="64">
        <f t="shared" si="521"/>
        <v>0</v>
      </c>
    </row>
    <row r="5517" spans="1:26">
      <c r="A5517" s="89" t="str">
        <f t="shared" si="516"/>
        <v/>
      </c>
      <c r="B5517" s="89" t="str">
        <f t="shared" si="517"/>
        <v/>
      </c>
      <c r="S5517" s="89" t="str">
        <f t="shared" si="518"/>
        <v/>
      </c>
      <c r="X5517" s="64">
        <f t="shared" si="519"/>
        <v>0</v>
      </c>
      <c r="Y5517" s="53">
        <f t="shared" si="520"/>
        <v>0</v>
      </c>
      <c r="Z5517" s="64">
        <f t="shared" si="521"/>
        <v>0</v>
      </c>
    </row>
    <row r="5518" spans="1:26">
      <c r="A5518" s="89" t="str">
        <f t="shared" si="516"/>
        <v/>
      </c>
      <c r="B5518" s="89" t="str">
        <f t="shared" si="517"/>
        <v/>
      </c>
      <c r="S5518" s="89" t="str">
        <f t="shared" si="518"/>
        <v/>
      </c>
      <c r="X5518" s="64">
        <f t="shared" si="519"/>
        <v>0</v>
      </c>
      <c r="Y5518" s="53">
        <f t="shared" si="520"/>
        <v>0</v>
      </c>
      <c r="Z5518" s="64">
        <f t="shared" si="521"/>
        <v>0</v>
      </c>
    </row>
    <row r="5519" spans="1:26">
      <c r="A5519" s="89" t="str">
        <f t="shared" si="516"/>
        <v/>
      </c>
      <c r="B5519" s="89" t="str">
        <f t="shared" si="517"/>
        <v/>
      </c>
      <c r="S5519" s="89" t="str">
        <f t="shared" si="518"/>
        <v/>
      </c>
      <c r="X5519" s="64">
        <f t="shared" si="519"/>
        <v>0</v>
      </c>
      <c r="Y5519" s="53">
        <f t="shared" si="520"/>
        <v>0</v>
      </c>
      <c r="Z5519" s="64">
        <f t="shared" si="521"/>
        <v>0</v>
      </c>
    </row>
    <row r="5520" spans="1:26">
      <c r="A5520" s="89" t="str">
        <f t="shared" si="516"/>
        <v/>
      </c>
      <c r="B5520" s="89" t="str">
        <f t="shared" si="517"/>
        <v/>
      </c>
      <c r="S5520" s="89" t="str">
        <f t="shared" si="518"/>
        <v/>
      </c>
      <c r="X5520" s="64">
        <f t="shared" si="519"/>
        <v>0</v>
      </c>
      <c r="Y5520" s="53">
        <f t="shared" si="520"/>
        <v>0</v>
      </c>
      <c r="Z5520" s="64">
        <f t="shared" si="521"/>
        <v>0</v>
      </c>
    </row>
    <row r="5521" spans="1:26">
      <c r="A5521" s="89" t="str">
        <f t="shared" si="516"/>
        <v/>
      </c>
      <c r="B5521" s="89" t="str">
        <f t="shared" si="517"/>
        <v/>
      </c>
      <c r="S5521" s="89" t="str">
        <f t="shared" si="518"/>
        <v/>
      </c>
      <c r="X5521" s="64">
        <f t="shared" si="519"/>
        <v>0</v>
      </c>
      <c r="Y5521" s="53">
        <f t="shared" si="520"/>
        <v>0</v>
      </c>
      <c r="Z5521" s="64">
        <f t="shared" si="521"/>
        <v>0</v>
      </c>
    </row>
    <row r="5522" spans="1:26">
      <c r="A5522" s="89" t="str">
        <f t="shared" si="516"/>
        <v/>
      </c>
      <c r="B5522" s="89" t="str">
        <f t="shared" si="517"/>
        <v/>
      </c>
      <c r="S5522" s="89" t="str">
        <f t="shared" si="518"/>
        <v/>
      </c>
      <c r="X5522" s="64">
        <f t="shared" si="519"/>
        <v>0</v>
      </c>
      <c r="Y5522" s="53">
        <f t="shared" si="520"/>
        <v>0</v>
      </c>
      <c r="Z5522" s="64">
        <f t="shared" si="521"/>
        <v>0</v>
      </c>
    </row>
    <row r="5523" spans="1:26">
      <c r="A5523" s="89" t="str">
        <f t="shared" si="516"/>
        <v/>
      </c>
      <c r="B5523" s="89" t="str">
        <f t="shared" si="517"/>
        <v/>
      </c>
      <c r="S5523" s="89" t="str">
        <f t="shared" si="518"/>
        <v/>
      </c>
      <c r="X5523" s="64">
        <f t="shared" si="519"/>
        <v>0</v>
      </c>
      <c r="Y5523" s="53">
        <f t="shared" si="520"/>
        <v>0</v>
      </c>
      <c r="Z5523" s="64">
        <f t="shared" si="521"/>
        <v>0</v>
      </c>
    </row>
    <row r="5524" spans="1:26">
      <c r="A5524" s="89" t="str">
        <f t="shared" si="516"/>
        <v/>
      </c>
      <c r="B5524" s="89" t="str">
        <f t="shared" si="517"/>
        <v/>
      </c>
      <c r="S5524" s="89" t="str">
        <f t="shared" si="518"/>
        <v/>
      </c>
      <c r="X5524" s="64">
        <f t="shared" si="519"/>
        <v>0</v>
      </c>
      <c r="Y5524" s="53">
        <f t="shared" si="520"/>
        <v>0</v>
      </c>
      <c r="Z5524" s="64">
        <f t="shared" si="521"/>
        <v>0</v>
      </c>
    </row>
    <row r="5525" spans="1:26">
      <c r="A5525" s="89" t="str">
        <f t="shared" si="516"/>
        <v/>
      </c>
      <c r="B5525" s="89" t="str">
        <f t="shared" si="517"/>
        <v/>
      </c>
      <c r="S5525" s="89" t="str">
        <f t="shared" si="518"/>
        <v/>
      </c>
      <c r="X5525" s="64">
        <f t="shared" si="519"/>
        <v>0</v>
      </c>
      <c r="Y5525" s="53">
        <f t="shared" si="520"/>
        <v>0</v>
      </c>
      <c r="Z5525" s="64">
        <f t="shared" si="521"/>
        <v>0</v>
      </c>
    </row>
    <row r="5526" spans="1:26">
      <c r="A5526" s="89" t="str">
        <f t="shared" si="516"/>
        <v/>
      </c>
      <c r="B5526" s="89" t="str">
        <f t="shared" si="517"/>
        <v/>
      </c>
      <c r="S5526" s="89" t="str">
        <f t="shared" si="518"/>
        <v/>
      </c>
      <c r="X5526" s="64">
        <f t="shared" si="519"/>
        <v>0</v>
      </c>
      <c r="Y5526" s="53">
        <f t="shared" si="520"/>
        <v>0</v>
      </c>
      <c r="Z5526" s="64">
        <f t="shared" si="521"/>
        <v>0</v>
      </c>
    </row>
    <row r="5527" spans="1:26">
      <c r="A5527" s="89" t="str">
        <f t="shared" si="516"/>
        <v/>
      </c>
      <c r="B5527" s="89" t="str">
        <f t="shared" si="517"/>
        <v/>
      </c>
      <c r="S5527" s="89" t="str">
        <f t="shared" si="518"/>
        <v/>
      </c>
      <c r="X5527" s="64">
        <f t="shared" si="519"/>
        <v>0</v>
      </c>
      <c r="Y5527" s="53">
        <f t="shared" si="520"/>
        <v>0</v>
      </c>
      <c r="Z5527" s="64">
        <f t="shared" si="521"/>
        <v>0</v>
      </c>
    </row>
    <row r="5528" spans="1:26">
      <c r="A5528" s="89" t="str">
        <f t="shared" si="516"/>
        <v/>
      </c>
      <c r="B5528" s="89" t="str">
        <f t="shared" si="517"/>
        <v/>
      </c>
      <c r="S5528" s="89" t="str">
        <f t="shared" si="518"/>
        <v/>
      </c>
      <c r="X5528" s="64">
        <f t="shared" si="519"/>
        <v>0</v>
      </c>
      <c r="Y5528" s="53">
        <f t="shared" si="520"/>
        <v>0</v>
      </c>
      <c r="Z5528" s="64">
        <f t="shared" si="521"/>
        <v>0</v>
      </c>
    </row>
    <row r="5529" spans="1:26">
      <c r="A5529" s="89" t="str">
        <f t="shared" si="516"/>
        <v/>
      </c>
      <c r="B5529" s="89" t="str">
        <f t="shared" si="517"/>
        <v/>
      </c>
      <c r="S5529" s="89" t="str">
        <f t="shared" si="518"/>
        <v/>
      </c>
      <c r="X5529" s="64">
        <f t="shared" si="519"/>
        <v>0</v>
      </c>
      <c r="Y5529" s="53">
        <f t="shared" si="520"/>
        <v>0</v>
      </c>
      <c r="Z5529" s="64">
        <f t="shared" si="521"/>
        <v>0</v>
      </c>
    </row>
    <row r="5530" spans="1:26">
      <c r="A5530" s="89" t="str">
        <f t="shared" si="516"/>
        <v/>
      </c>
      <c r="B5530" s="89" t="str">
        <f t="shared" si="517"/>
        <v/>
      </c>
      <c r="S5530" s="89" t="str">
        <f t="shared" si="518"/>
        <v/>
      </c>
      <c r="X5530" s="64">
        <f t="shared" si="519"/>
        <v>0</v>
      </c>
      <c r="Y5530" s="53">
        <f t="shared" si="520"/>
        <v>0</v>
      </c>
      <c r="Z5530" s="64">
        <f t="shared" si="521"/>
        <v>0</v>
      </c>
    </row>
    <row r="5531" spans="1:26">
      <c r="A5531" s="89" t="str">
        <f t="shared" si="516"/>
        <v/>
      </c>
      <c r="B5531" s="89" t="str">
        <f t="shared" si="517"/>
        <v/>
      </c>
      <c r="S5531" s="89" t="str">
        <f t="shared" si="518"/>
        <v/>
      </c>
      <c r="X5531" s="64">
        <f t="shared" si="519"/>
        <v>0</v>
      </c>
      <c r="Y5531" s="53">
        <f t="shared" si="520"/>
        <v>0</v>
      </c>
      <c r="Z5531" s="64">
        <f t="shared" si="521"/>
        <v>0</v>
      </c>
    </row>
    <row r="5532" spans="1:26">
      <c r="A5532" s="89" t="str">
        <f t="shared" si="516"/>
        <v/>
      </c>
      <c r="B5532" s="89" t="str">
        <f t="shared" si="517"/>
        <v/>
      </c>
      <c r="S5532" s="89" t="str">
        <f t="shared" si="518"/>
        <v/>
      </c>
      <c r="X5532" s="64">
        <f t="shared" si="519"/>
        <v>0</v>
      </c>
      <c r="Y5532" s="53">
        <f t="shared" si="520"/>
        <v>0</v>
      </c>
      <c r="Z5532" s="64">
        <f t="shared" si="521"/>
        <v>0</v>
      </c>
    </row>
    <row r="5533" spans="1:26">
      <c r="A5533" s="89" t="str">
        <f t="shared" si="516"/>
        <v/>
      </c>
      <c r="B5533" s="89" t="str">
        <f t="shared" si="517"/>
        <v/>
      </c>
      <c r="S5533" s="89" t="str">
        <f t="shared" si="518"/>
        <v/>
      </c>
      <c r="X5533" s="64">
        <f t="shared" si="519"/>
        <v>0</v>
      </c>
      <c r="Y5533" s="53">
        <f t="shared" si="520"/>
        <v>0</v>
      </c>
      <c r="Z5533" s="64">
        <f t="shared" si="521"/>
        <v>0</v>
      </c>
    </row>
    <row r="5534" spans="1:26">
      <c r="A5534" s="89" t="str">
        <f t="shared" si="516"/>
        <v/>
      </c>
      <c r="B5534" s="89" t="str">
        <f t="shared" si="517"/>
        <v/>
      </c>
      <c r="S5534" s="89" t="str">
        <f t="shared" si="518"/>
        <v/>
      </c>
      <c r="X5534" s="64">
        <f t="shared" si="519"/>
        <v>0</v>
      </c>
      <c r="Y5534" s="53">
        <f t="shared" si="520"/>
        <v>0</v>
      </c>
      <c r="Z5534" s="64">
        <f t="shared" si="521"/>
        <v>0</v>
      </c>
    </row>
    <row r="5535" spans="1:26">
      <c r="A5535" s="89" t="str">
        <f t="shared" si="516"/>
        <v/>
      </c>
      <c r="B5535" s="89" t="str">
        <f t="shared" si="517"/>
        <v/>
      </c>
      <c r="S5535" s="89" t="str">
        <f t="shared" si="518"/>
        <v/>
      </c>
      <c r="X5535" s="64">
        <f t="shared" si="519"/>
        <v>0</v>
      </c>
      <c r="Y5535" s="53">
        <f t="shared" si="520"/>
        <v>0</v>
      </c>
      <c r="Z5535" s="64">
        <f t="shared" si="521"/>
        <v>0</v>
      </c>
    </row>
    <row r="5536" spans="1:26">
      <c r="A5536" s="89" t="str">
        <f t="shared" si="516"/>
        <v/>
      </c>
      <c r="B5536" s="89" t="str">
        <f t="shared" si="517"/>
        <v/>
      </c>
      <c r="S5536" s="89" t="str">
        <f t="shared" si="518"/>
        <v/>
      </c>
      <c r="X5536" s="64">
        <f t="shared" si="519"/>
        <v>0</v>
      </c>
      <c r="Y5536" s="53">
        <f t="shared" si="520"/>
        <v>0</v>
      </c>
      <c r="Z5536" s="64">
        <f t="shared" si="521"/>
        <v>0</v>
      </c>
    </row>
    <row r="5537" spans="1:26">
      <c r="A5537" s="89" t="str">
        <f t="shared" si="516"/>
        <v/>
      </c>
      <c r="B5537" s="89" t="str">
        <f t="shared" si="517"/>
        <v/>
      </c>
      <c r="S5537" s="89" t="str">
        <f t="shared" si="518"/>
        <v/>
      </c>
      <c r="X5537" s="64">
        <f t="shared" si="519"/>
        <v>0</v>
      </c>
      <c r="Y5537" s="53">
        <f t="shared" si="520"/>
        <v>0</v>
      </c>
      <c r="Z5537" s="64">
        <f t="shared" si="521"/>
        <v>0</v>
      </c>
    </row>
    <row r="5538" spans="1:26">
      <c r="A5538" s="89" t="str">
        <f t="shared" si="516"/>
        <v/>
      </c>
      <c r="B5538" s="89" t="str">
        <f t="shared" si="517"/>
        <v/>
      </c>
      <c r="S5538" s="89" t="str">
        <f t="shared" si="518"/>
        <v/>
      </c>
      <c r="X5538" s="64">
        <f t="shared" si="519"/>
        <v>0</v>
      </c>
      <c r="Y5538" s="53">
        <f t="shared" si="520"/>
        <v>0</v>
      </c>
      <c r="Z5538" s="64">
        <f t="shared" si="521"/>
        <v>0</v>
      </c>
    </row>
    <row r="5539" spans="1:26">
      <c r="A5539" s="89" t="str">
        <f t="shared" si="516"/>
        <v/>
      </c>
      <c r="B5539" s="89" t="str">
        <f t="shared" si="517"/>
        <v/>
      </c>
      <c r="S5539" s="89" t="str">
        <f t="shared" si="518"/>
        <v/>
      </c>
      <c r="X5539" s="64">
        <f t="shared" si="519"/>
        <v>0</v>
      </c>
      <c r="Y5539" s="53">
        <f t="shared" si="520"/>
        <v>0</v>
      </c>
      <c r="Z5539" s="64">
        <f t="shared" si="521"/>
        <v>0</v>
      </c>
    </row>
    <row r="5540" spans="1:26">
      <c r="A5540" s="89" t="str">
        <f t="shared" si="516"/>
        <v/>
      </c>
      <c r="B5540" s="89" t="str">
        <f t="shared" si="517"/>
        <v/>
      </c>
      <c r="S5540" s="89" t="str">
        <f t="shared" si="518"/>
        <v/>
      </c>
      <c r="X5540" s="64">
        <f t="shared" si="519"/>
        <v>0</v>
      </c>
      <c r="Y5540" s="53">
        <f t="shared" si="520"/>
        <v>0</v>
      </c>
      <c r="Z5540" s="64">
        <f t="shared" si="521"/>
        <v>0</v>
      </c>
    </row>
    <row r="5541" spans="1:26">
      <c r="A5541" s="89" t="str">
        <f t="shared" si="516"/>
        <v/>
      </c>
      <c r="B5541" s="89" t="str">
        <f t="shared" si="517"/>
        <v/>
      </c>
      <c r="S5541" s="89" t="str">
        <f t="shared" si="518"/>
        <v/>
      </c>
      <c r="X5541" s="64">
        <f t="shared" si="519"/>
        <v>0</v>
      </c>
      <c r="Y5541" s="53">
        <f t="shared" si="520"/>
        <v>0</v>
      </c>
      <c r="Z5541" s="64">
        <f t="shared" si="521"/>
        <v>0</v>
      </c>
    </row>
    <row r="5542" spans="1:26">
      <c r="A5542" s="89" t="str">
        <f t="shared" si="516"/>
        <v/>
      </c>
      <c r="B5542" s="89" t="str">
        <f t="shared" si="517"/>
        <v/>
      </c>
      <c r="S5542" s="89" t="str">
        <f t="shared" si="518"/>
        <v/>
      </c>
      <c r="X5542" s="64">
        <f t="shared" si="519"/>
        <v>0</v>
      </c>
      <c r="Y5542" s="53">
        <f t="shared" si="520"/>
        <v>0</v>
      </c>
      <c r="Z5542" s="64">
        <f t="shared" si="521"/>
        <v>0</v>
      </c>
    </row>
    <row r="5543" spans="1:26">
      <c r="A5543" s="89" t="str">
        <f t="shared" si="516"/>
        <v/>
      </c>
      <c r="B5543" s="89" t="str">
        <f t="shared" si="517"/>
        <v/>
      </c>
      <c r="S5543" s="89" t="str">
        <f t="shared" si="518"/>
        <v/>
      </c>
      <c r="X5543" s="64">
        <f t="shared" si="519"/>
        <v>0</v>
      </c>
      <c r="Y5543" s="53">
        <f t="shared" si="520"/>
        <v>0</v>
      </c>
      <c r="Z5543" s="64">
        <f t="shared" si="521"/>
        <v>0</v>
      </c>
    </row>
    <row r="5544" spans="1:26">
      <c r="A5544" s="89" t="str">
        <f t="shared" si="516"/>
        <v/>
      </c>
      <c r="B5544" s="89" t="str">
        <f t="shared" si="517"/>
        <v/>
      </c>
      <c r="S5544" s="89" t="str">
        <f t="shared" si="518"/>
        <v/>
      </c>
      <c r="X5544" s="64">
        <f t="shared" si="519"/>
        <v>0</v>
      </c>
      <c r="Y5544" s="53">
        <f t="shared" si="520"/>
        <v>0</v>
      </c>
      <c r="Z5544" s="64">
        <f t="shared" si="521"/>
        <v>0</v>
      </c>
    </row>
    <row r="5545" spans="1:26">
      <c r="A5545" s="89" t="str">
        <f t="shared" si="516"/>
        <v/>
      </c>
      <c r="B5545" s="89" t="str">
        <f t="shared" si="517"/>
        <v/>
      </c>
      <c r="S5545" s="89" t="str">
        <f t="shared" si="518"/>
        <v/>
      </c>
      <c r="X5545" s="64">
        <f t="shared" si="519"/>
        <v>0</v>
      </c>
      <c r="Y5545" s="53">
        <f t="shared" si="520"/>
        <v>0</v>
      </c>
      <c r="Z5545" s="64">
        <f t="shared" si="521"/>
        <v>0</v>
      </c>
    </row>
    <row r="5546" spans="1:26">
      <c r="A5546" s="89" t="str">
        <f t="shared" si="516"/>
        <v/>
      </c>
      <c r="B5546" s="89" t="str">
        <f t="shared" si="517"/>
        <v/>
      </c>
      <c r="S5546" s="89" t="str">
        <f t="shared" si="518"/>
        <v/>
      </c>
      <c r="X5546" s="64">
        <f t="shared" si="519"/>
        <v>0</v>
      </c>
      <c r="Y5546" s="53">
        <f t="shared" si="520"/>
        <v>0</v>
      </c>
      <c r="Z5546" s="64">
        <f t="shared" si="521"/>
        <v>0</v>
      </c>
    </row>
    <row r="5547" spans="1:26">
      <c r="A5547" s="89" t="str">
        <f t="shared" si="516"/>
        <v/>
      </c>
      <c r="B5547" s="89" t="str">
        <f t="shared" si="517"/>
        <v/>
      </c>
      <c r="S5547" s="89" t="str">
        <f t="shared" si="518"/>
        <v/>
      </c>
      <c r="X5547" s="64">
        <f t="shared" si="519"/>
        <v>0</v>
      </c>
      <c r="Y5547" s="53">
        <f t="shared" si="520"/>
        <v>0</v>
      </c>
      <c r="Z5547" s="64">
        <f t="shared" si="521"/>
        <v>0</v>
      </c>
    </row>
    <row r="5548" spans="1:26">
      <c r="A5548" s="89" t="str">
        <f t="shared" si="516"/>
        <v/>
      </c>
      <c r="B5548" s="89" t="str">
        <f t="shared" si="517"/>
        <v/>
      </c>
      <c r="S5548" s="89" t="str">
        <f t="shared" si="518"/>
        <v/>
      </c>
      <c r="X5548" s="64">
        <f t="shared" si="519"/>
        <v>0</v>
      </c>
      <c r="Y5548" s="53">
        <f t="shared" si="520"/>
        <v>0</v>
      </c>
      <c r="Z5548" s="64">
        <f t="shared" si="521"/>
        <v>0</v>
      </c>
    </row>
    <row r="5549" spans="1:26">
      <c r="A5549" s="89" t="str">
        <f t="shared" si="516"/>
        <v/>
      </c>
      <c r="B5549" s="89" t="str">
        <f t="shared" si="517"/>
        <v/>
      </c>
      <c r="S5549" s="89" t="str">
        <f t="shared" si="518"/>
        <v/>
      </c>
      <c r="X5549" s="64">
        <f t="shared" si="519"/>
        <v>0</v>
      </c>
      <c r="Y5549" s="53">
        <f t="shared" si="520"/>
        <v>0</v>
      </c>
      <c r="Z5549" s="64">
        <f t="shared" si="521"/>
        <v>0</v>
      </c>
    </row>
    <row r="5550" spans="1:26">
      <c r="A5550" s="89" t="str">
        <f t="shared" si="516"/>
        <v/>
      </c>
      <c r="B5550" s="89" t="str">
        <f t="shared" si="517"/>
        <v/>
      </c>
      <c r="S5550" s="89" t="str">
        <f t="shared" si="518"/>
        <v/>
      </c>
      <c r="X5550" s="64">
        <f t="shared" si="519"/>
        <v>0</v>
      </c>
      <c r="Y5550" s="53">
        <f t="shared" si="520"/>
        <v>0</v>
      </c>
      <c r="Z5550" s="64">
        <f t="shared" si="521"/>
        <v>0</v>
      </c>
    </row>
    <row r="5551" spans="1:26">
      <c r="A5551" s="89" t="str">
        <f t="shared" si="516"/>
        <v/>
      </c>
      <c r="B5551" s="89" t="str">
        <f t="shared" si="517"/>
        <v/>
      </c>
      <c r="S5551" s="89" t="str">
        <f t="shared" si="518"/>
        <v/>
      </c>
      <c r="X5551" s="64">
        <f t="shared" si="519"/>
        <v>0</v>
      </c>
      <c r="Y5551" s="53">
        <f t="shared" si="520"/>
        <v>0</v>
      </c>
      <c r="Z5551" s="64">
        <f t="shared" si="521"/>
        <v>0</v>
      </c>
    </row>
    <row r="5552" spans="1:26">
      <c r="A5552" s="89" t="str">
        <f t="shared" si="516"/>
        <v/>
      </c>
      <c r="B5552" s="89" t="str">
        <f t="shared" si="517"/>
        <v/>
      </c>
      <c r="S5552" s="89" t="str">
        <f t="shared" si="518"/>
        <v/>
      </c>
      <c r="X5552" s="64">
        <f t="shared" si="519"/>
        <v>0</v>
      </c>
      <c r="Y5552" s="53">
        <f t="shared" si="520"/>
        <v>0</v>
      </c>
      <c r="Z5552" s="64">
        <f t="shared" si="521"/>
        <v>0</v>
      </c>
    </row>
    <row r="5553" spans="1:26">
      <c r="A5553" s="89" t="str">
        <f t="shared" si="516"/>
        <v/>
      </c>
      <c r="B5553" s="89" t="str">
        <f t="shared" si="517"/>
        <v/>
      </c>
      <c r="S5553" s="89" t="str">
        <f t="shared" si="518"/>
        <v/>
      </c>
      <c r="X5553" s="64">
        <f t="shared" si="519"/>
        <v>0</v>
      </c>
      <c r="Y5553" s="53">
        <f t="shared" si="520"/>
        <v>0</v>
      </c>
      <c r="Z5553" s="64">
        <f t="shared" si="521"/>
        <v>0</v>
      </c>
    </row>
    <row r="5554" spans="1:26">
      <c r="A5554" s="89" t="str">
        <f t="shared" si="516"/>
        <v/>
      </c>
      <c r="B5554" s="89" t="str">
        <f t="shared" si="517"/>
        <v/>
      </c>
      <c r="S5554" s="89" t="str">
        <f t="shared" si="518"/>
        <v/>
      </c>
      <c r="X5554" s="64">
        <f t="shared" si="519"/>
        <v>0</v>
      </c>
      <c r="Y5554" s="53">
        <f t="shared" si="520"/>
        <v>0</v>
      </c>
      <c r="Z5554" s="64">
        <f t="shared" si="521"/>
        <v>0</v>
      </c>
    </row>
    <row r="5555" spans="1:26">
      <c r="A5555" s="89" t="str">
        <f t="shared" si="516"/>
        <v/>
      </c>
      <c r="B5555" s="89" t="str">
        <f t="shared" si="517"/>
        <v/>
      </c>
      <c r="S5555" s="89" t="str">
        <f t="shared" si="518"/>
        <v/>
      </c>
      <c r="X5555" s="64">
        <f t="shared" si="519"/>
        <v>0</v>
      </c>
      <c r="Y5555" s="53">
        <f t="shared" si="520"/>
        <v>0</v>
      </c>
      <c r="Z5555" s="64">
        <f t="shared" si="521"/>
        <v>0</v>
      </c>
    </row>
    <row r="5556" spans="1:26">
      <c r="A5556" s="89" t="str">
        <f t="shared" si="516"/>
        <v/>
      </c>
      <c r="B5556" s="89" t="str">
        <f t="shared" si="517"/>
        <v/>
      </c>
      <c r="S5556" s="89" t="str">
        <f t="shared" si="518"/>
        <v/>
      </c>
      <c r="X5556" s="64">
        <f t="shared" si="519"/>
        <v>0</v>
      </c>
      <c r="Y5556" s="53">
        <f t="shared" si="520"/>
        <v>0</v>
      </c>
      <c r="Z5556" s="64">
        <f t="shared" si="521"/>
        <v>0</v>
      </c>
    </row>
    <row r="5557" spans="1:26">
      <c r="A5557" s="89" t="str">
        <f t="shared" si="516"/>
        <v/>
      </c>
      <c r="B5557" s="89" t="str">
        <f t="shared" si="517"/>
        <v/>
      </c>
      <c r="S5557" s="89" t="str">
        <f t="shared" si="518"/>
        <v/>
      </c>
      <c r="X5557" s="64">
        <f t="shared" si="519"/>
        <v>0</v>
      </c>
      <c r="Y5557" s="53">
        <f t="shared" si="520"/>
        <v>0</v>
      </c>
      <c r="Z5557" s="64">
        <f t="shared" si="521"/>
        <v>0</v>
      </c>
    </row>
    <row r="5558" spans="1:26">
      <c r="A5558" s="89" t="str">
        <f t="shared" si="516"/>
        <v/>
      </c>
      <c r="B5558" s="89" t="str">
        <f t="shared" si="517"/>
        <v/>
      </c>
      <c r="S5558" s="89" t="str">
        <f t="shared" si="518"/>
        <v/>
      </c>
      <c r="X5558" s="64">
        <f t="shared" si="519"/>
        <v>0</v>
      </c>
      <c r="Y5558" s="53">
        <f t="shared" si="520"/>
        <v>0</v>
      </c>
      <c r="Z5558" s="64">
        <f t="shared" si="521"/>
        <v>0</v>
      </c>
    </row>
    <row r="5559" spans="1:26">
      <c r="A5559" s="89" t="str">
        <f t="shared" si="516"/>
        <v/>
      </c>
      <c r="B5559" s="89" t="str">
        <f t="shared" si="517"/>
        <v/>
      </c>
      <c r="S5559" s="89" t="str">
        <f t="shared" si="518"/>
        <v/>
      </c>
      <c r="X5559" s="64">
        <f t="shared" si="519"/>
        <v>0</v>
      </c>
      <c r="Y5559" s="53">
        <f t="shared" si="520"/>
        <v>0</v>
      </c>
      <c r="Z5559" s="64">
        <f t="shared" si="521"/>
        <v>0</v>
      </c>
    </row>
    <row r="5560" spans="1:26">
      <c r="A5560" s="89" t="str">
        <f t="shared" si="516"/>
        <v/>
      </c>
      <c r="B5560" s="89" t="str">
        <f t="shared" si="517"/>
        <v/>
      </c>
      <c r="S5560" s="89" t="str">
        <f t="shared" si="518"/>
        <v/>
      </c>
      <c r="X5560" s="64">
        <f t="shared" si="519"/>
        <v>0</v>
      </c>
      <c r="Y5560" s="53">
        <f t="shared" si="520"/>
        <v>0</v>
      </c>
      <c r="Z5560" s="64">
        <f t="shared" si="521"/>
        <v>0</v>
      </c>
    </row>
    <row r="5561" spans="1:26">
      <c r="A5561" s="89" t="str">
        <f t="shared" si="516"/>
        <v/>
      </c>
      <c r="B5561" s="89" t="str">
        <f t="shared" si="517"/>
        <v/>
      </c>
      <c r="S5561" s="89" t="str">
        <f t="shared" si="518"/>
        <v/>
      </c>
      <c r="X5561" s="64">
        <f t="shared" si="519"/>
        <v>0</v>
      </c>
      <c r="Y5561" s="53">
        <f t="shared" si="520"/>
        <v>0</v>
      </c>
      <c r="Z5561" s="64">
        <f t="shared" si="521"/>
        <v>0</v>
      </c>
    </row>
    <row r="5562" spans="1:26">
      <c r="A5562" s="89" t="str">
        <f t="shared" si="516"/>
        <v/>
      </c>
      <c r="B5562" s="89" t="str">
        <f t="shared" si="517"/>
        <v/>
      </c>
      <c r="S5562" s="89" t="str">
        <f t="shared" si="518"/>
        <v/>
      </c>
      <c r="X5562" s="64">
        <f t="shared" si="519"/>
        <v>0</v>
      </c>
      <c r="Y5562" s="53">
        <f t="shared" si="520"/>
        <v>0</v>
      </c>
      <c r="Z5562" s="64">
        <f t="shared" si="521"/>
        <v>0</v>
      </c>
    </row>
    <row r="5563" spans="1:26">
      <c r="A5563" s="89" t="str">
        <f t="shared" si="516"/>
        <v/>
      </c>
      <c r="B5563" s="89" t="str">
        <f t="shared" si="517"/>
        <v/>
      </c>
      <c r="S5563" s="89" t="str">
        <f t="shared" si="518"/>
        <v/>
      </c>
      <c r="X5563" s="64">
        <f t="shared" si="519"/>
        <v>0</v>
      </c>
      <c r="Y5563" s="53">
        <f t="shared" si="520"/>
        <v>0</v>
      </c>
      <c r="Z5563" s="64">
        <f t="shared" si="521"/>
        <v>0</v>
      </c>
    </row>
    <row r="5564" spans="1:26">
      <c r="A5564" s="89" t="str">
        <f t="shared" si="516"/>
        <v/>
      </c>
      <c r="B5564" s="89" t="str">
        <f t="shared" si="517"/>
        <v/>
      </c>
      <c r="S5564" s="89" t="str">
        <f t="shared" si="518"/>
        <v/>
      </c>
      <c r="X5564" s="64">
        <f t="shared" si="519"/>
        <v>0</v>
      </c>
      <c r="Y5564" s="53">
        <f t="shared" si="520"/>
        <v>0</v>
      </c>
      <c r="Z5564" s="64">
        <f t="shared" si="521"/>
        <v>0</v>
      </c>
    </row>
    <row r="5565" spans="1:26">
      <c r="A5565" s="89" t="str">
        <f t="shared" si="516"/>
        <v/>
      </c>
      <c r="B5565" s="89" t="str">
        <f t="shared" si="517"/>
        <v/>
      </c>
      <c r="S5565" s="89" t="str">
        <f t="shared" si="518"/>
        <v/>
      </c>
      <c r="X5565" s="64">
        <f t="shared" si="519"/>
        <v>0</v>
      </c>
      <c r="Y5565" s="53">
        <f t="shared" si="520"/>
        <v>0</v>
      </c>
      <c r="Z5565" s="64">
        <f t="shared" si="521"/>
        <v>0</v>
      </c>
    </row>
    <row r="5566" spans="1:26">
      <c r="A5566" s="89" t="str">
        <f t="shared" si="516"/>
        <v/>
      </c>
      <c r="B5566" s="89" t="str">
        <f t="shared" si="517"/>
        <v/>
      </c>
      <c r="S5566" s="89" t="str">
        <f t="shared" si="518"/>
        <v/>
      </c>
      <c r="X5566" s="64">
        <f t="shared" si="519"/>
        <v>0</v>
      </c>
      <c r="Y5566" s="53">
        <f t="shared" si="520"/>
        <v>0</v>
      </c>
      <c r="Z5566" s="64">
        <f t="shared" si="521"/>
        <v>0</v>
      </c>
    </row>
    <row r="5567" spans="1:26">
      <c r="A5567" s="89" t="str">
        <f t="shared" si="516"/>
        <v/>
      </c>
      <c r="B5567" s="89" t="str">
        <f t="shared" si="517"/>
        <v/>
      </c>
      <c r="S5567" s="89" t="str">
        <f t="shared" si="518"/>
        <v/>
      </c>
      <c r="X5567" s="64">
        <f t="shared" si="519"/>
        <v>0</v>
      </c>
      <c r="Y5567" s="53">
        <f t="shared" si="520"/>
        <v>0</v>
      </c>
      <c r="Z5567" s="64">
        <f t="shared" si="521"/>
        <v>0</v>
      </c>
    </row>
    <row r="5568" spans="1:26">
      <c r="A5568" s="89" t="str">
        <f t="shared" si="516"/>
        <v/>
      </c>
      <c r="B5568" s="89" t="str">
        <f t="shared" si="517"/>
        <v/>
      </c>
      <c r="S5568" s="89" t="str">
        <f t="shared" si="518"/>
        <v/>
      </c>
      <c r="X5568" s="64">
        <f t="shared" si="519"/>
        <v>0</v>
      </c>
      <c r="Y5568" s="53">
        <f t="shared" si="520"/>
        <v>0</v>
      </c>
      <c r="Z5568" s="64">
        <f t="shared" si="521"/>
        <v>0</v>
      </c>
    </row>
    <row r="5569" spans="1:26">
      <c r="A5569" s="89" t="str">
        <f t="shared" si="516"/>
        <v/>
      </c>
      <c r="B5569" s="89" t="str">
        <f t="shared" si="517"/>
        <v/>
      </c>
      <c r="S5569" s="89" t="str">
        <f t="shared" si="518"/>
        <v/>
      </c>
      <c r="X5569" s="64">
        <f t="shared" si="519"/>
        <v>0</v>
      </c>
      <c r="Y5569" s="53">
        <f t="shared" si="520"/>
        <v>0</v>
      </c>
      <c r="Z5569" s="64">
        <f t="shared" si="521"/>
        <v>0</v>
      </c>
    </row>
    <row r="5570" spans="1:26">
      <c r="A5570" s="89" t="str">
        <f t="shared" si="516"/>
        <v/>
      </c>
      <c r="B5570" s="89" t="str">
        <f t="shared" si="517"/>
        <v/>
      </c>
      <c r="S5570" s="89" t="str">
        <f t="shared" si="518"/>
        <v/>
      </c>
      <c r="X5570" s="64">
        <f t="shared" si="519"/>
        <v>0</v>
      </c>
      <c r="Y5570" s="53">
        <f t="shared" si="520"/>
        <v>0</v>
      </c>
      <c r="Z5570" s="64">
        <f t="shared" si="521"/>
        <v>0</v>
      </c>
    </row>
    <row r="5571" spans="1:26">
      <c r="A5571" s="89" t="str">
        <f t="shared" ref="A5571:A5634" si="522">IF(G5571&amp;Q5571&lt;&gt;"",G5571&amp;Q5571,"")</f>
        <v/>
      </c>
      <c r="B5571" s="89" t="str">
        <f t="shared" ref="B5571:B5634" si="523">IF(C5571&lt;&gt;"",LEFT(C5571,9),"")</f>
        <v/>
      </c>
      <c r="S5571" s="89" t="str">
        <f t="shared" ref="S5571:S5634" si="524">IF(H5571&lt;&gt;"",H5571,"")</f>
        <v/>
      </c>
      <c r="X5571" s="64">
        <f t="shared" ref="X5571:X5634" si="525">IFERROR(VALUE(MID($C5571,1,2)),0)</f>
        <v>0</v>
      </c>
      <c r="Y5571" s="53">
        <f t="shared" ref="Y5571:Y5634" si="526">IFERROR(VALUE(MID($C5571,4,3)),0)</f>
        <v>0</v>
      </c>
      <c r="Z5571" s="64">
        <f t="shared" ref="Z5571:Z5634" si="527">VALUE(RIGHT("00"&amp;X5571,2)&amp;RIGHT("000"&amp;Y5571,3))</f>
        <v>0</v>
      </c>
    </row>
    <row r="5572" spans="1:26">
      <c r="A5572" s="89" t="str">
        <f t="shared" si="522"/>
        <v/>
      </c>
      <c r="B5572" s="89" t="str">
        <f t="shared" si="523"/>
        <v/>
      </c>
      <c r="S5572" s="89" t="str">
        <f t="shared" si="524"/>
        <v/>
      </c>
      <c r="X5572" s="64">
        <f t="shared" si="525"/>
        <v>0</v>
      </c>
      <c r="Y5572" s="53">
        <f t="shared" si="526"/>
        <v>0</v>
      </c>
      <c r="Z5572" s="64">
        <f t="shared" si="527"/>
        <v>0</v>
      </c>
    </row>
    <row r="5573" spans="1:26">
      <c r="A5573" s="89" t="str">
        <f t="shared" si="522"/>
        <v/>
      </c>
      <c r="B5573" s="89" t="str">
        <f t="shared" si="523"/>
        <v/>
      </c>
      <c r="S5573" s="89" t="str">
        <f t="shared" si="524"/>
        <v/>
      </c>
      <c r="X5573" s="64">
        <f t="shared" si="525"/>
        <v>0</v>
      </c>
      <c r="Y5573" s="53">
        <f t="shared" si="526"/>
        <v>0</v>
      </c>
      <c r="Z5573" s="64">
        <f t="shared" si="527"/>
        <v>0</v>
      </c>
    </row>
    <row r="5574" spans="1:26">
      <c r="A5574" s="89" t="str">
        <f t="shared" si="522"/>
        <v/>
      </c>
      <c r="B5574" s="89" t="str">
        <f t="shared" si="523"/>
        <v/>
      </c>
      <c r="S5574" s="89" t="str">
        <f t="shared" si="524"/>
        <v/>
      </c>
      <c r="X5574" s="64">
        <f t="shared" si="525"/>
        <v>0</v>
      </c>
      <c r="Y5574" s="53">
        <f t="shared" si="526"/>
        <v>0</v>
      </c>
      <c r="Z5574" s="64">
        <f t="shared" si="527"/>
        <v>0</v>
      </c>
    </row>
    <row r="5575" spans="1:26">
      <c r="A5575" s="89" t="str">
        <f t="shared" si="522"/>
        <v/>
      </c>
      <c r="B5575" s="89" t="str">
        <f t="shared" si="523"/>
        <v/>
      </c>
      <c r="S5575" s="89" t="str">
        <f t="shared" si="524"/>
        <v/>
      </c>
      <c r="X5575" s="64">
        <f t="shared" si="525"/>
        <v>0</v>
      </c>
      <c r="Y5575" s="53">
        <f t="shared" si="526"/>
        <v>0</v>
      </c>
      <c r="Z5575" s="64">
        <f t="shared" si="527"/>
        <v>0</v>
      </c>
    </row>
    <row r="5576" spans="1:26">
      <c r="A5576" s="89" t="str">
        <f t="shared" si="522"/>
        <v/>
      </c>
      <c r="B5576" s="89" t="str">
        <f t="shared" si="523"/>
        <v/>
      </c>
      <c r="S5576" s="89" t="str">
        <f t="shared" si="524"/>
        <v/>
      </c>
      <c r="X5576" s="64">
        <f t="shared" si="525"/>
        <v>0</v>
      </c>
      <c r="Y5576" s="53">
        <f t="shared" si="526"/>
        <v>0</v>
      </c>
      <c r="Z5576" s="64">
        <f t="shared" si="527"/>
        <v>0</v>
      </c>
    </row>
    <row r="5577" spans="1:26">
      <c r="A5577" s="89" t="str">
        <f t="shared" si="522"/>
        <v/>
      </c>
      <c r="B5577" s="89" t="str">
        <f t="shared" si="523"/>
        <v/>
      </c>
      <c r="S5577" s="89" t="str">
        <f t="shared" si="524"/>
        <v/>
      </c>
      <c r="X5577" s="64">
        <f t="shared" si="525"/>
        <v>0</v>
      </c>
      <c r="Y5577" s="53">
        <f t="shared" si="526"/>
        <v>0</v>
      </c>
      <c r="Z5577" s="64">
        <f t="shared" si="527"/>
        <v>0</v>
      </c>
    </row>
    <row r="5578" spans="1:26">
      <c r="A5578" s="89" t="str">
        <f t="shared" si="522"/>
        <v/>
      </c>
      <c r="B5578" s="89" t="str">
        <f t="shared" si="523"/>
        <v/>
      </c>
      <c r="S5578" s="89" t="str">
        <f t="shared" si="524"/>
        <v/>
      </c>
      <c r="X5578" s="64">
        <f t="shared" si="525"/>
        <v>0</v>
      </c>
      <c r="Y5578" s="53">
        <f t="shared" si="526"/>
        <v>0</v>
      </c>
      <c r="Z5578" s="64">
        <f t="shared" si="527"/>
        <v>0</v>
      </c>
    </row>
    <row r="5579" spans="1:26">
      <c r="A5579" s="89" t="str">
        <f t="shared" si="522"/>
        <v/>
      </c>
      <c r="B5579" s="89" t="str">
        <f t="shared" si="523"/>
        <v/>
      </c>
      <c r="S5579" s="89" t="str">
        <f t="shared" si="524"/>
        <v/>
      </c>
      <c r="X5579" s="64">
        <f t="shared" si="525"/>
        <v>0</v>
      </c>
      <c r="Y5579" s="53">
        <f t="shared" si="526"/>
        <v>0</v>
      </c>
      <c r="Z5579" s="64">
        <f t="shared" si="527"/>
        <v>0</v>
      </c>
    </row>
    <row r="5580" spans="1:26">
      <c r="A5580" s="89" t="str">
        <f t="shared" si="522"/>
        <v/>
      </c>
      <c r="B5580" s="89" t="str">
        <f t="shared" si="523"/>
        <v/>
      </c>
      <c r="S5580" s="89" t="str">
        <f t="shared" si="524"/>
        <v/>
      </c>
      <c r="X5580" s="64">
        <f t="shared" si="525"/>
        <v>0</v>
      </c>
      <c r="Y5580" s="53">
        <f t="shared" si="526"/>
        <v>0</v>
      </c>
      <c r="Z5580" s="64">
        <f t="shared" si="527"/>
        <v>0</v>
      </c>
    </row>
    <row r="5581" spans="1:26">
      <c r="A5581" s="89" t="str">
        <f t="shared" si="522"/>
        <v/>
      </c>
      <c r="B5581" s="89" t="str">
        <f t="shared" si="523"/>
        <v/>
      </c>
      <c r="S5581" s="89" t="str">
        <f t="shared" si="524"/>
        <v/>
      </c>
      <c r="X5581" s="64">
        <f t="shared" si="525"/>
        <v>0</v>
      </c>
      <c r="Y5581" s="53">
        <f t="shared" si="526"/>
        <v>0</v>
      </c>
      <c r="Z5581" s="64">
        <f t="shared" si="527"/>
        <v>0</v>
      </c>
    </row>
    <row r="5582" spans="1:26">
      <c r="A5582" s="89" t="str">
        <f t="shared" si="522"/>
        <v/>
      </c>
      <c r="B5582" s="89" t="str">
        <f t="shared" si="523"/>
        <v/>
      </c>
      <c r="S5582" s="89" t="str">
        <f t="shared" si="524"/>
        <v/>
      </c>
      <c r="X5582" s="64">
        <f t="shared" si="525"/>
        <v>0</v>
      </c>
      <c r="Y5582" s="53">
        <f t="shared" si="526"/>
        <v>0</v>
      </c>
      <c r="Z5582" s="64">
        <f t="shared" si="527"/>
        <v>0</v>
      </c>
    </row>
    <row r="5583" spans="1:26">
      <c r="A5583" s="89" t="str">
        <f t="shared" si="522"/>
        <v/>
      </c>
      <c r="B5583" s="89" t="str">
        <f t="shared" si="523"/>
        <v/>
      </c>
      <c r="S5583" s="89" t="str">
        <f t="shared" si="524"/>
        <v/>
      </c>
      <c r="X5583" s="64">
        <f t="shared" si="525"/>
        <v>0</v>
      </c>
      <c r="Y5583" s="53">
        <f t="shared" si="526"/>
        <v>0</v>
      </c>
      <c r="Z5583" s="64">
        <f t="shared" si="527"/>
        <v>0</v>
      </c>
    </row>
    <row r="5584" spans="1:26">
      <c r="A5584" s="89" t="str">
        <f t="shared" si="522"/>
        <v/>
      </c>
      <c r="B5584" s="89" t="str">
        <f t="shared" si="523"/>
        <v/>
      </c>
      <c r="S5584" s="89" t="str">
        <f t="shared" si="524"/>
        <v/>
      </c>
      <c r="X5584" s="64">
        <f t="shared" si="525"/>
        <v>0</v>
      </c>
      <c r="Y5584" s="53">
        <f t="shared" si="526"/>
        <v>0</v>
      </c>
      <c r="Z5584" s="64">
        <f t="shared" si="527"/>
        <v>0</v>
      </c>
    </row>
    <row r="5585" spans="1:26">
      <c r="A5585" s="89" t="str">
        <f t="shared" si="522"/>
        <v/>
      </c>
      <c r="B5585" s="89" t="str">
        <f t="shared" si="523"/>
        <v/>
      </c>
      <c r="S5585" s="89" t="str">
        <f t="shared" si="524"/>
        <v/>
      </c>
      <c r="X5585" s="64">
        <f t="shared" si="525"/>
        <v>0</v>
      </c>
      <c r="Y5585" s="53">
        <f t="shared" si="526"/>
        <v>0</v>
      </c>
      <c r="Z5585" s="64">
        <f t="shared" si="527"/>
        <v>0</v>
      </c>
    </row>
    <row r="5586" spans="1:26">
      <c r="A5586" s="89" t="str">
        <f t="shared" si="522"/>
        <v/>
      </c>
      <c r="B5586" s="89" t="str">
        <f t="shared" si="523"/>
        <v/>
      </c>
      <c r="S5586" s="89" t="str">
        <f t="shared" si="524"/>
        <v/>
      </c>
      <c r="X5586" s="64">
        <f t="shared" si="525"/>
        <v>0</v>
      </c>
      <c r="Y5586" s="53">
        <f t="shared" si="526"/>
        <v>0</v>
      </c>
      <c r="Z5586" s="64">
        <f t="shared" si="527"/>
        <v>0</v>
      </c>
    </row>
    <row r="5587" spans="1:26">
      <c r="A5587" s="89" t="str">
        <f t="shared" si="522"/>
        <v/>
      </c>
      <c r="B5587" s="89" t="str">
        <f t="shared" si="523"/>
        <v/>
      </c>
      <c r="S5587" s="89" t="str">
        <f t="shared" si="524"/>
        <v/>
      </c>
      <c r="X5587" s="64">
        <f t="shared" si="525"/>
        <v>0</v>
      </c>
      <c r="Y5587" s="53">
        <f t="shared" si="526"/>
        <v>0</v>
      </c>
      <c r="Z5587" s="64">
        <f t="shared" si="527"/>
        <v>0</v>
      </c>
    </row>
    <row r="5588" spans="1:26">
      <c r="A5588" s="89" t="str">
        <f t="shared" si="522"/>
        <v/>
      </c>
      <c r="B5588" s="89" t="str">
        <f t="shared" si="523"/>
        <v/>
      </c>
      <c r="S5588" s="89" t="str">
        <f t="shared" si="524"/>
        <v/>
      </c>
      <c r="X5588" s="64">
        <f t="shared" si="525"/>
        <v>0</v>
      </c>
      <c r="Y5588" s="53">
        <f t="shared" si="526"/>
        <v>0</v>
      </c>
      <c r="Z5588" s="64">
        <f t="shared" si="527"/>
        <v>0</v>
      </c>
    </row>
    <row r="5589" spans="1:26">
      <c r="A5589" s="89" t="str">
        <f t="shared" si="522"/>
        <v/>
      </c>
      <c r="B5589" s="89" t="str">
        <f t="shared" si="523"/>
        <v/>
      </c>
      <c r="S5589" s="89" t="str">
        <f t="shared" si="524"/>
        <v/>
      </c>
      <c r="X5589" s="64">
        <f t="shared" si="525"/>
        <v>0</v>
      </c>
      <c r="Y5589" s="53">
        <f t="shared" si="526"/>
        <v>0</v>
      </c>
      <c r="Z5589" s="64">
        <f t="shared" si="527"/>
        <v>0</v>
      </c>
    </row>
    <row r="5590" spans="1:26">
      <c r="A5590" s="89" t="str">
        <f t="shared" si="522"/>
        <v/>
      </c>
      <c r="B5590" s="89" t="str">
        <f t="shared" si="523"/>
        <v/>
      </c>
      <c r="S5590" s="89" t="str">
        <f t="shared" si="524"/>
        <v/>
      </c>
      <c r="X5590" s="64">
        <f t="shared" si="525"/>
        <v>0</v>
      </c>
      <c r="Y5590" s="53">
        <f t="shared" si="526"/>
        <v>0</v>
      </c>
      <c r="Z5590" s="64">
        <f t="shared" si="527"/>
        <v>0</v>
      </c>
    </row>
    <row r="5591" spans="1:26">
      <c r="A5591" s="89" t="str">
        <f t="shared" si="522"/>
        <v/>
      </c>
      <c r="B5591" s="89" t="str">
        <f t="shared" si="523"/>
        <v/>
      </c>
      <c r="S5591" s="89" t="str">
        <f t="shared" si="524"/>
        <v/>
      </c>
      <c r="X5591" s="64">
        <f t="shared" si="525"/>
        <v>0</v>
      </c>
      <c r="Y5591" s="53">
        <f t="shared" si="526"/>
        <v>0</v>
      </c>
      <c r="Z5591" s="64">
        <f t="shared" si="527"/>
        <v>0</v>
      </c>
    </row>
    <row r="5592" spans="1:26">
      <c r="A5592" s="89" t="str">
        <f t="shared" si="522"/>
        <v/>
      </c>
      <c r="B5592" s="89" t="str">
        <f t="shared" si="523"/>
        <v/>
      </c>
      <c r="S5592" s="89" t="str">
        <f t="shared" si="524"/>
        <v/>
      </c>
      <c r="X5592" s="64">
        <f t="shared" si="525"/>
        <v>0</v>
      </c>
      <c r="Y5592" s="53">
        <f t="shared" si="526"/>
        <v>0</v>
      </c>
      <c r="Z5592" s="64">
        <f t="shared" si="527"/>
        <v>0</v>
      </c>
    </row>
    <row r="5593" spans="1:26">
      <c r="A5593" s="89" t="str">
        <f t="shared" si="522"/>
        <v/>
      </c>
      <c r="B5593" s="89" t="str">
        <f t="shared" si="523"/>
        <v/>
      </c>
      <c r="S5593" s="89" t="str">
        <f t="shared" si="524"/>
        <v/>
      </c>
      <c r="X5593" s="64">
        <f t="shared" si="525"/>
        <v>0</v>
      </c>
      <c r="Y5593" s="53">
        <f t="shared" si="526"/>
        <v>0</v>
      </c>
      <c r="Z5593" s="64">
        <f t="shared" si="527"/>
        <v>0</v>
      </c>
    </row>
    <row r="5594" spans="1:26">
      <c r="A5594" s="89" t="str">
        <f t="shared" si="522"/>
        <v/>
      </c>
      <c r="B5594" s="89" t="str">
        <f t="shared" si="523"/>
        <v/>
      </c>
      <c r="S5594" s="89" t="str">
        <f t="shared" si="524"/>
        <v/>
      </c>
      <c r="X5594" s="64">
        <f t="shared" si="525"/>
        <v>0</v>
      </c>
      <c r="Y5594" s="53">
        <f t="shared" si="526"/>
        <v>0</v>
      </c>
      <c r="Z5594" s="64">
        <f t="shared" si="527"/>
        <v>0</v>
      </c>
    </row>
    <row r="5595" spans="1:26">
      <c r="A5595" s="89" t="str">
        <f t="shared" si="522"/>
        <v/>
      </c>
      <c r="B5595" s="89" t="str">
        <f t="shared" si="523"/>
        <v/>
      </c>
      <c r="S5595" s="89" t="str">
        <f t="shared" si="524"/>
        <v/>
      </c>
      <c r="X5595" s="64">
        <f t="shared" si="525"/>
        <v>0</v>
      </c>
      <c r="Y5595" s="53">
        <f t="shared" si="526"/>
        <v>0</v>
      </c>
      <c r="Z5595" s="64">
        <f t="shared" si="527"/>
        <v>0</v>
      </c>
    </row>
    <row r="5596" spans="1:26">
      <c r="A5596" s="89" t="str">
        <f t="shared" si="522"/>
        <v/>
      </c>
      <c r="B5596" s="89" t="str">
        <f t="shared" si="523"/>
        <v/>
      </c>
      <c r="S5596" s="89" t="str">
        <f t="shared" si="524"/>
        <v/>
      </c>
      <c r="X5596" s="64">
        <f t="shared" si="525"/>
        <v>0</v>
      </c>
      <c r="Y5596" s="53">
        <f t="shared" si="526"/>
        <v>0</v>
      </c>
      <c r="Z5596" s="64">
        <f t="shared" si="527"/>
        <v>0</v>
      </c>
    </row>
    <row r="5597" spans="1:26">
      <c r="A5597" s="89" t="str">
        <f t="shared" si="522"/>
        <v/>
      </c>
      <c r="B5597" s="89" t="str">
        <f t="shared" si="523"/>
        <v/>
      </c>
      <c r="S5597" s="89" t="str">
        <f t="shared" si="524"/>
        <v/>
      </c>
      <c r="X5597" s="64">
        <f t="shared" si="525"/>
        <v>0</v>
      </c>
      <c r="Y5597" s="53">
        <f t="shared" si="526"/>
        <v>0</v>
      </c>
      <c r="Z5597" s="64">
        <f t="shared" si="527"/>
        <v>0</v>
      </c>
    </row>
    <row r="5598" spans="1:26">
      <c r="A5598" s="89" t="str">
        <f t="shared" si="522"/>
        <v/>
      </c>
      <c r="B5598" s="89" t="str">
        <f t="shared" si="523"/>
        <v/>
      </c>
      <c r="S5598" s="89" t="str">
        <f t="shared" si="524"/>
        <v/>
      </c>
      <c r="X5598" s="64">
        <f t="shared" si="525"/>
        <v>0</v>
      </c>
      <c r="Y5598" s="53">
        <f t="shared" si="526"/>
        <v>0</v>
      </c>
      <c r="Z5598" s="64">
        <f t="shared" si="527"/>
        <v>0</v>
      </c>
    </row>
    <row r="5599" spans="1:26">
      <c r="A5599" s="89" t="str">
        <f t="shared" si="522"/>
        <v/>
      </c>
      <c r="B5599" s="89" t="str">
        <f t="shared" si="523"/>
        <v/>
      </c>
      <c r="S5599" s="89" t="str">
        <f t="shared" si="524"/>
        <v/>
      </c>
      <c r="X5599" s="64">
        <f t="shared" si="525"/>
        <v>0</v>
      </c>
      <c r="Y5599" s="53">
        <f t="shared" si="526"/>
        <v>0</v>
      </c>
      <c r="Z5599" s="64">
        <f t="shared" si="527"/>
        <v>0</v>
      </c>
    </row>
    <row r="5600" spans="1:26">
      <c r="A5600" s="89" t="str">
        <f t="shared" si="522"/>
        <v/>
      </c>
      <c r="B5600" s="89" t="str">
        <f t="shared" si="523"/>
        <v/>
      </c>
      <c r="S5600" s="89" t="str">
        <f t="shared" si="524"/>
        <v/>
      </c>
      <c r="X5600" s="64">
        <f t="shared" si="525"/>
        <v>0</v>
      </c>
      <c r="Y5600" s="53">
        <f t="shared" si="526"/>
        <v>0</v>
      </c>
      <c r="Z5600" s="64">
        <f t="shared" si="527"/>
        <v>0</v>
      </c>
    </row>
    <row r="5601" spans="1:26">
      <c r="A5601" s="89" t="str">
        <f t="shared" si="522"/>
        <v/>
      </c>
      <c r="B5601" s="89" t="str">
        <f t="shared" si="523"/>
        <v/>
      </c>
      <c r="S5601" s="89" t="str">
        <f t="shared" si="524"/>
        <v/>
      </c>
      <c r="X5601" s="64">
        <f t="shared" si="525"/>
        <v>0</v>
      </c>
      <c r="Y5601" s="53">
        <f t="shared" si="526"/>
        <v>0</v>
      </c>
      <c r="Z5601" s="64">
        <f t="shared" si="527"/>
        <v>0</v>
      </c>
    </row>
    <row r="5602" spans="1:26">
      <c r="A5602" s="89" t="str">
        <f t="shared" si="522"/>
        <v/>
      </c>
      <c r="B5602" s="89" t="str">
        <f t="shared" si="523"/>
        <v/>
      </c>
      <c r="S5602" s="89" t="str">
        <f t="shared" si="524"/>
        <v/>
      </c>
      <c r="X5602" s="64">
        <f t="shared" si="525"/>
        <v>0</v>
      </c>
      <c r="Y5602" s="53">
        <f t="shared" si="526"/>
        <v>0</v>
      </c>
      <c r="Z5602" s="64">
        <f t="shared" si="527"/>
        <v>0</v>
      </c>
    </row>
    <row r="5603" spans="1:26">
      <c r="A5603" s="89" t="str">
        <f t="shared" si="522"/>
        <v/>
      </c>
      <c r="B5603" s="89" t="str">
        <f t="shared" si="523"/>
        <v/>
      </c>
      <c r="S5603" s="89" t="str">
        <f t="shared" si="524"/>
        <v/>
      </c>
      <c r="X5603" s="64">
        <f t="shared" si="525"/>
        <v>0</v>
      </c>
      <c r="Y5603" s="53">
        <f t="shared" si="526"/>
        <v>0</v>
      </c>
      <c r="Z5603" s="64">
        <f t="shared" si="527"/>
        <v>0</v>
      </c>
    </row>
    <row r="5604" spans="1:26">
      <c r="A5604" s="89" t="str">
        <f t="shared" si="522"/>
        <v/>
      </c>
      <c r="B5604" s="89" t="str">
        <f t="shared" si="523"/>
        <v/>
      </c>
      <c r="S5604" s="89" t="str">
        <f t="shared" si="524"/>
        <v/>
      </c>
      <c r="X5604" s="64">
        <f t="shared" si="525"/>
        <v>0</v>
      </c>
      <c r="Y5604" s="53">
        <f t="shared" si="526"/>
        <v>0</v>
      </c>
      <c r="Z5604" s="64">
        <f t="shared" si="527"/>
        <v>0</v>
      </c>
    </row>
    <row r="5605" spans="1:26">
      <c r="A5605" s="89" t="str">
        <f t="shared" si="522"/>
        <v/>
      </c>
      <c r="B5605" s="89" t="str">
        <f t="shared" si="523"/>
        <v/>
      </c>
      <c r="S5605" s="89" t="str">
        <f t="shared" si="524"/>
        <v/>
      </c>
      <c r="X5605" s="64">
        <f t="shared" si="525"/>
        <v>0</v>
      </c>
      <c r="Y5605" s="53">
        <f t="shared" si="526"/>
        <v>0</v>
      </c>
      <c r="Z5605" s="64">
        <f t="shared" si="527"/>
        <v>0</v>
      </c>
    </row>
    <row r="5606" spans="1:26">
      <c r="A5606" s="89" t="str">
        <f t="shared" si="522"/>
        <v/>
      </c>
      <c r="B5606" s="89" t="str">
        <f t="shared" si="523"/>
        <v/>
      </c>
      <c r="S5606" s="89" t="str">
        <f t="shared" si="524"/>
        <v/>
      </c>
      <c r="X5606" s="64">
        <f t="shared" si="525"/>
        <v>0</v>
      </c>
      <c r="Y5606" s="53">
        <f t="shared" si="526"/>
        <v>0</v>
      </c>
      <c r="Z5606" s="64">
        <f t="shared" si="527"/>
        <v>0</v>
      </c>
    </row>
    <row r="5607" spans="1:26">
      <c r="A5607" s="89" t="str">
        <f t="shared" si="522"/>
        <v/>
      </c>
      <c r="B5607" s="89" t="str">
        <f t="shared" si="523"/>
        <v/>
      </c>
      <c r="S5607" s="89" t="str">
        <f t="shared" si="524"/>
        <v/>
      </c>
      <c r="X5607" s="64">
        <f t="shared" si="525"/>
        <v>0</v>
      </c>
      <c r="Y5607" s="53">
        <f t="shared" si="526"/>
        <v>0</v>
      </c>
      <c r="Z5607" s="64">
        <f t="shared" si="527"/>
        <v>0</v>
      </c>
    </row>
    <row r="5608" spans="1:26">
      <c r="A5608" s="89" t="str">
        <f t="shared" si="522"/>
        <v/>
      </c>
      <c r="B5608" s="89" t="str">
        <f t="shared" si="523"/>
        <v/>
      </c>
      <c r="S5608" s="89" t="str">
        <f t="shared" si="524"/>
        <v/>
      </c>
      <c r="X5608" s="64">
        <f t="shared" si="525"/>
        <v>0</v>
      </c>
      <c r="Y5608" s="53">
        <f t="shared" si="526"/>
        <v>0</v>
      </c>
      <c r="Z5608" s="64">
        <f t="shared" si="527"/>
        <v>0</v>
      </c>
    </row>
    <row r="5609" spans="1:26">
      <c r="A5609" s="89" t="str">
        <f t="shared" si="522"/>
        <v/>
      </c>
      <c r="B5609" s="89" t="str">
        <f t="shared" si="523"/>
        <v/>
      </c>
      <c r="S5609" s="89" t="str">
        <f t="shared" si="524"/>
        <v/>
      </c>
      <c r="X5609" s="64">
        <f t="shared" si="525"/>
        <v>0</v>
      </c>
      <c r="Y5609" s="53">
        <f t="shared" si="526"/>
        <v>0</v>
      </c>
      <c r="Z5609" s="64">
        <f t="shared" si="527"/>
        <v>0</v>
      </c>
    </row>
    <row r="5610" spans="1:26">
      <c r="A5610" s="89" t="str">
        <f t="shared" si="522"/>
        <v/>
      </c>
      <c r="B5610" s="89" t="str">
        <f t="shared" si="523"/>
        <v/>
      </c>
      <c r="S5610" s="89" t="str">
        <f t="shared" si="524"/>
        <v/>
      </c>
      <c r="X5610" s="64">
        <f t="shared" si="525"/>
        <v>0</v>
      </c>
      <c r="Y5610" s="53">
        <f t="shared" si="526"/>
        <v>0</v>
      </c>
      <c r="Z5610" s="64">
        <f t="shared" si="527"/>
        <v>0</v>
      </c>
    </row>
    <row r="5611" spans="1:26">
      <c r="A5611" s="89" t="str">
        <f t="shared" si="522"/>
        <v/>
      </c>
      <c r="B5611" s="89" t="str">
        <f t="shared" si="523"/>
        <v/>
      </c>
      <c r="S5611" s="89" t="str">
        <f t="shared" si="524"/>
        <v/>
      </c>
      <c r="X5611" s="64">
        <f t="shared" si="525"/>
        <v>0</v>
      </c>
      <c r="Y5611" s="53">
        <f t="shared" si="526"/>
        <v>0</v>
      </c>
      <c r="Z5611" s="64">
        <f t="shared" si="527"/>
        <v>0</v>
      </c>
    </row>
    <row r="5612" spans="1:26">
      <c r="A5612" s="89" t="str">
        <f t="shared" si="522"/>
        <v/>
      </c>
      <c r="B5612" s="89" t="str">
        <f t="shared" si="523"/>
        <v/>
      </c>
      <c r="S5612" s="89" t="str">
        <f t="shared" si="524"/>
        <v/>
      </c>
      <c r="X5612" s="64">
        <f t="shared" si="525"/>
        <v>0</v>
      </c>
      <c r="Y5612" s="53">
        <f t="shared" si="526"/>
        <v>0</v>
      </c>
      <c r="Z5612" s="64">
        <f t="shared" si="527"/>
        <v>0</v>
      </c>
    </row>
    <row r="5613" spans="1:26">
      <c r="A5613" s="89" t="str">
        <f t="shared" si="522"/>
        <v/>
      </c>
      <c r="B5613" s="89" t="str">
        <f t="shared" si="523"/>
        <v/>
      </c>
      <c r="S5613" s="89" t="str">
        <f t="shared" si="524"/>
        <v/>
      </c>
      <c r="X5613" s="64">
        <f t="shared" si="525"/>
        <v>0</v>
      </c>
      <c r="Y5613" s="53">
        <f t="shared" si="526"/>
        <v>0</v>
      </c>
      <c r="Z5613" s="64">
        <f t="shared" si="527"/>
        <v>0</v>
      </c>
    </row>
    <row r="5614" spans="1:26">
      <c r="A5614" s="89" t="str">
        <f t="shared" si="522"/>
        <v/>
      </c>
      <c r="B5614" s="89" t="str">
        <f t="shared" si="523"/>
        <v/>
      </c>
      <c r="S5614" s="89" t="str">
        <f t="shared" si="524"/>
        <v/>
      </c>
      <c r="X5614" s="64">
        <f t="shared" si="525"/>
        <v>0</v>
      </c>
      <c r="Y5614" s="53">
        <f t="shared" si="526"/>
        <v>0</v>
      </c>
      <c r="Z5614" s="64">
        <f t="shared" si="527"/>
        <v>0</v>
      </c>
    </row>
    <row r="5615" spans="1:26">
      <c r="A5615" s="89" t="str">
        <f t="shared" si="522"/>
        <v/>
      </c>
      <c r="B5615" s="89" t="str">
        <f t="shared" si="523"/>
        <v/>
      </c>
      <c r="S5615" s="89" t="str">
        <f t="shared" si="524"/>
        <v/>
      </c>
      <c r="X5615" s="64">
        <f t="shared" si="525"/>
        <v>0</v>
      </c>
      <c r="Y5615" s="53">
        <f t="shared" si="526"/>
        <v>0</v>
      </c>
      <c r="Z5615" s="64">
        <f t="shared" si="527"/>
        <v>0</v>
      </c>
    </row>
    <row r="5616" spans="1:26">
      <c r="A5616" s="89" t="str">
        <f t="shared" si="522"/>
        <v/>
      </c>
      <c r="B5616" s="89" t="str">
        <f t="shared" si="523"/>
        <v/>
      </c>
      <c r="S5616" s="89" t="str">
        <f t="shared" si="524"/>
        <v/>
      </c>
      <c r="X5616" s="64">
        <f t="shared" si="525"/>
        <v>0</v>
      </c>
      <c r="Y5616" s="53">
        <f t="shared" si="526"/>
        <v>0</v>
      </c>
      <c r="Z5616" s="64">
        <f t="shared" si="527"/>
        <v>0</v>
      </c>
    </row>
    <row r="5617" spans="1:26">
      <c r="A5617" s="89" t="str">
        <f t="shared" si="522"/>
        <v/>
      </c>
      <c r="B5617" s="89" t="str">
        <f t="shared" si="523"/>
        <v/>
      </c>
      <c r="S5617" s="89" t="str">
        <f t="shared" si="524"/>
        <v/>
      </c>
      <c r="X5617" s="64">
        <f t="shared" si="525"/>
        <v>0</v>
      </c>
      <c r="Y5617" s="53">
        <f t="shared" si="526"/>
        <v>0</v>
      </c>
      <c r="Z5617" s="64">
        <f t="shared" si="527"/>
        <v>0</v>
      </c>
    </row>
    <row r="5618" spans="1:26">
      <c r="A5618" s="89" t="str">
        <f t="shared" si="522"/>
        <v/>
      </c>
      <c r="B5618" s="89" t="str">
        <f t="shared" si="523"/>
        <v/>
      </c>
      <c r="S5618" s="89" t="str">
        <f t="shared" si="524"/>
        <v/>
      </c>
      <c r="X5618" s="64">
        <f t="shared" si="525"/>
        <v>0</v>
      </c>
      <c r="Y5618" s="53">
        <f t="shared" si="526"/>
        <v>0</v>
      </c>
      <c r="Z5618" s="64">
        <f t="shared" si="527"/>
        <v>0</v>
      </c>
    </row>
    <row r="5619" spans="1:26">
      <c r="A5619" s="89" t="str">
        <f t="shared" si="522"/>
        <v/>
      </c>
      <c r="B5619" s="89" t="str">
        <f t="shared" si="523"/>
        <v/>
      </c>
      <c r="S5619" s="89" t="str">
        <f t="shared" si="524"/>
        <v/>
      </c>
      <c r="X5619" s="64">
        <f t="shared" si="525"/>
        <v>0</v>
      </c>
      <c r="Y5619" s="53">
        <f t="shared" si="526"/>
        <v>0</v>
      </c>
      <c r="Z5619" s="64">
        <f t="shared" si="527"/>
        <v>0</v>
      </c>
    </row>
    <row r="5620" spans="1:26">
      <c r="A5620" s="89" t="str">
        <f t="shared" si="522"/>
        <v/>
      </c>
      <c r="B5620" s="89" t="str">
        <f t="shared" si="523"/>
        <v/>
      </c>
      <c r="S5620" s="89" t="str">
        <f t="shared" si="524"/>
        <v/>
      </c>
      <c r="X5620" s="64">
        <f t="shared" si="525"/>
        <v>0</v>
      </c>
      <c r="Y5620" s="53">
        <f t="shared" si="526"/>
        <v>0</v>
      </c>
      <c r="Z5620" s="64">
        <f t="shared" si="527"/>
        <v>0</v>
      </c>
    </row>
    <row r="5621" spans="1:26">
      <c r="A5621" s="89" t="str">
        <f t="shared" si="522"/>
        <v/>
      </c>
      <c r="B5621" s="89" t="str">
        <f t="shared" si="523"/>
        <v/>
      </c>
      <c r="S5621" s="89" t="str">
        <f t="shared" si="524"/>
        <v/>
      </c>
      <c r="X5621" s="64">
        <f t="shared" si="525"/>
        <v>0</v>
      </c>
      <c r="Y5621" s="53">
        <f t="shared" si="526"/>
        <v>0</v>
      </c>
      <c r="Z5621" s="64">
        <f t="shared" si="527"/>
        <v>0</v>
      </c>
    </row>
    <row r="5622" spans="1:26">
      <c r="A5622" s="89" t="str">
        <f t="shared" si="522"/>
        <v/>
      </c>
      <c r="B5622" s="89" t="str">
        <f t="shared" si="523"/>
        <v/>
      </c>
      <c r="S5622" s="89" t="str">
        <f t="shared" si="524"/>
        <v/>
      </c>
      <c r="X5622" s="64">
        <f t="shared" si="525"/>
        <v>0</v>
      </c>
      <c r="Y5622" s="53">
        <f t="shared" si="526"/>
        <v>0</v>
      </c>
      <c r="Z5622" s="64">
        <f t="shared" si="527"/>
        <v>0</v>
      </c>
    </row>
    <row r="5623" spans="1:26">
      <c r="A5623" s="89" t="str">
        <f t="shared" si="522"/>
        <v/>
      </c>
      <c r="B5623" s="89" t="str">
        <f t="shared" si="523"/>
        <v/>
      </c>
      <c r="S5623" s="89" t="str">
        <f t="shared" si="524"/>
        <v/>
      </c>
      <c r="X5623" s="64">
        <f t="shared" si="525"/>
        <v>0</v>
      </c>
      <c r="Y5623" s="53">
        <f t="shared" si="526"/>
        <v>0</v>
      </c>
      <c r="Z5623" s="64">
        <f t="shared" si="527"/>
        <v>0</v>
      </c>
    </row>
    <row r="5624" spans="1:26">
      <c r="A5624" s="89" t="str">
        <f t="shared" si="522"/>
        <v/>
      </c>
      <c r="B5624" s="89" t="str">
        <f t="shared" si="523"/>
        <v/>
      </c>
      <c r="S5624" s="89" t="str">
        <f t="shared" si="524"/>
        <v/>
      </c>
      <c r="X5624" s="64">
        <f t="shared" si="525"/>
        <v>0</v>
      </c>
      <c r="Y5624" s="53">
        <f t="shared" si="526"/>
        <v>0</v>
      </c>
      <c r="Z5624" s="64">
        <f t="shared" si="527"/>
        <v>0</v>
      </c>
    </row>
    <row r="5625" spans="1:26">
      <c r="A5625" s="89" t="str">
        <f t="shared" si="522"/>
        <v/>
      </c>
      <c r="B5625" s="89" t="str">
        <f t="shared" si="523"/>
        <v/>
      </c>
      <c r="S5625" s="89" t="str">
        <f t="shared" si="524"/>
        <v/>
      </c>
      <c r="X5625" s="64">
        <f t="shared" si="525"/>
        <v>0</v>
      </c>
      <c r="Y5625" s="53">
        <f t="shared" si="526"/>
        <v>0</v>
      </c>
      <c r="Z5625" s="64">
        <f t="shared" si="527"/>
        <v>0</v>
      </c>
    </row>
    <row r="5626" spans="1:26">
      <c r="A5626" s="89" t="str">
        <f t="shared" si="522"/>
        <v/>
      </c>
      <c r="B5626" s="89" t="str">
        <f t="shared" si="523"/>
        <v/>
      </c>
      <c r="S5626" s="89" t="str">
        <f t="shared" si="524"/>
        <v/>
      </c>
      <c r="X5626" s="64">
        <f t="shared" si="525"/>
        <v>0</v>
      </c>
      <c r="Y5626" s="53">
        <f t="shared" si="526"/>
        <v>0</v>
      </c>
      <c r="Z5626" s="64">
        <f t="shared" si="527"/>
        <v>0</v>
      </c>
    </row>
    <row r="5627" spans="1:26">
      <c r="A5627" s="89" t="str">
        <f t="shared" si="522"/>
        <v/>
      </c>
      <c r="B5627" s="89" t="str">
        <f t="shared" si="523"/>
        <v/>
      </c>
      <c r="S5627" s="89" t="str">
        <f t="shared" si="524"/>
        <v/>
      </c>
      <c r="X5627" s="64">
        <f t="shared" si="525"/>
        <v>0</v>
      </c>
      <c r="Y5627" s="53">
        <f t="shared" si="526"/>
        <v>0</v>
      </c>
      <c r="Z5627" s="64">
        <f t="shared" si="527"/>
        <v>0</v>
      </c>
    </row>
    <row r="5628" spans="1:26">
      <c r="A5628" s="89" t="str">
        <f t="shared" si="522"/>
        <v/>
      </c>
      <c r="B5628" s="89" t="str">
        <f t="shared" si="523"/>
        <v/>
      </c>
      <c r="S5628" s="89" t="str">
        <f t="shared" si="524"/>
        <v/>
      </c>
      <c r="X5628" s="64">
        <f t="shared" si="525"/>
        <v>0</v>
      </c>
      <c r="Y5628" s="53">
        <f t="shared" si="526"/>
        <v>0</v>
      </c>
      <c r="Z5628" s="64">
        <f t="shared" si="527"/>
        <v>0</v>
      </c>
    </row>
    <row r="5629" spans="1:26">
      <c r="A5629" s="89" t="str">
        <f t="shared" si="522"/>
        <v/>
      </c>
      <c r="B5629" s="89" t="str">
        <f t="shared" si="523"/>
        <v/>
      </c>
      <c r="S5629" s="89" t="str">
        <f t="shared" si="524"/>
        <v/>
      </c>
      <c r="X5629" s="64">
        <f t="shared" si="525"/>
        <v>0</v>
      </c>
      <c r="Y5629" s="53">
        <f t="shared" si="526"/>
        <v>0</v>
      </c>
      <c r="Z5629" s="64">
        <f t="shared" si="527"/>
        <v>0</v>
      </c>
    </row>
    <row r="5630" spans="1:26">
      <c r="A5630" s="89" t="str">
        <f t="shared" si="522"/>
        <v/>
      </c>
      <c r="B5630" s="89" t="str">
        <f t="shared" si="523"/>
        <v/>
      </c>
      <c r="S5630" s="89" t="str">
        <f t="shared" si="524"/>
        <v/>
      </c>
      <c r="X5630" s="64">
        <f t="shared" si="525"/>
        <v>0</v>
      </c>
      <c r="Y5630" s="53">
        <f t="shared" si="526"/>
        <v>0</v>
      </c>
      <c r="Z5630" s="64">
        <f t="shared" si="527"/>
        <v>0</v>
      </c>
    </row>
    <row r="5631" spans="1:26">
      <c r="A5631" s="89" t="str">
        <f t="shared" si="522"/>
        <v/>
      </c>
      <c r="B5631" s="89" t="str">
        <f t="shared" si="523"/>
        <v/>
      </c>
      <c r="S5631" s="89" t="str">
        <f t="shared" si="524"/>
        <v/>
      </c>
      <c r="X5631" s="64">
        <f t="shared" si="525"/>
        <v>0</v>
      </c>
      <c r="Y5631" s="53">
        <f t="shared" si="526"/>
        <v>0</v>
      </c>
      <c r="Z5631" s="64">
        <f t="shared" si="527"/>
        <v>0</v>
      </c>
    </row>
    <row r="5632" spans="1:26">
      <c r="A5632" s="89" t="str">
        <f t="shared" si="522"/>
        <v/>
      </c>
      <c r="B5632" s="89" t="str">
        <f t="shared" si="523"/>
        <v/>
      </c>
      <c r="S5632" s="89" t="str">
        <f t="shared" si="524"/>
        <v/>
      </c>
      <c r="X5632" s="64">
        <f t="shared" si="525"/>
        <v>0</v>
      </c>
      <c r="Y5632" s="53">
        <f t="shared" si="526"/>
        <v>0</v>
      </c>
      <c r="Z5632" s="64">
        <f t="shared" si="527"/>
        <v>0</v>
      </c>
    </row>
    <row r="5633" spans="1:26">
      <c r="A5633" s="89" t="str">
        <f t="shared" si="522"/>
        <v/>
      </c>
      <c r="B5633" s="89" t="str">
        <f t="shared" si="523"/>
        <v/>
      </c>
      <c r="S5633" s="89" t="str">
        <f t="shared" si="524"/>
        <v/>
      </c>
      <c r="X5633" s="64">
        <f t="shared" si="525"/>
        <v>0</v>
      </c>
      <c r="Y5633" s="53">
        <f t="shared" si="526"/>
        <v>0</v>
      </c>
      <c r="Z5633" s="64">
        <f t="shared" si="527"/>
        <v>0</v>
      </c>
    </row>
    <row r="5634" spans="1:26">
      <c r="A5634" s="89" t="str">
        <f t="shared" si="522"/>
        <v/>
      </c>
      <c r="B5634" s="89" t="str">
        <f t="shared" si="523"/>
        <v/>
      </c>
      <c r="S5634" s="89" t="str">
        <f t="shared" si="524"/>
        <v/>
      </c>
      <c r="X5634" s="64">
        <f t="shared" si="525"/>
        <v>0</v>
      </c>
      <c r="Y5634" s="53">
        <f t="shared" si="526"/>
        <v>0</v>
      </c>
      <c r="Z5634" s="64">
        <f t="shared" si="527"/>
        <v>0</v>
      </c>
    </row>
    <row r="5635" spans="1:26">
      <c r="A5635" s="89" t="str">
        <f t="shared" ref="A5635:A5698" si="528">IF(G5635&amp;Q5635&lt;&gt;"",G5635&amp;Q5635,"")</f>
        <v/>
      </c>
      <c r="B5635" s="89" t="str">
        <f t="shared" ref="B5635:B5698" si="529">IF(C5635&lt;&gt;"",LEFT(C5635,9),"")</f>
        <v/>
      </c>
      <c r="S5635" s="89" t="str">
        <f t="shared" ref="S5635:S5698" si="530">IF(H5635&lt;&gt;"",H5635,"")</f>
        <v/>
      </c>
      <c r="X5635" s="64">
        <f t="shared" ref="X5635:X5698" si="531">IFERROR(VALUE(MID($C5635,1,2)),0)</f>
        <v>0</v>
      </c>
      <c r="Y5635" s="53">
        <f t="shared" ref="Y5635:Y5698" si="532">IFERROR(VALUE(MID($C5635,4,3)),0)</f>
        <v>0</v>
      </c>
      <c r="Z5635" s="64">
        <f t="shared" ref="Z5635:Z5698" si="533">VALUE(RIGHT("00"&amp;X5635,2)&amp;RIGHT("000"&amp;Y5635,3))</f>
        <v>0</v>
      </c>
    </row>
    <row r="5636" spans="1:26">
      <c r="A5636" s="89" t="str">
        <f t="shared" si="528"/>
        <v/>
      </c>
      <c r="B5636" s="89" t="str">
        <f t="shared" si="529"/>
        <v/>
      </c>
      <c r="S5636" s="89" t="str">
        <f t="shared" si="530"/>
        <v/>
      </c>
      <c r="X5636" s="64">
        <f t="shared" si="531"/>
        <v>0</v>
      </c>
      <c r="Y5636" s="53">
        <f t="shared" si="532"/>
        <v>0</v>
      </c>
      <c r="Z5636" s="64">
        <f t="shared" si="533"/>
        <v>0</v>
      </c>
    </row>
    <row r="5637" spans="1:26">
      <c r="A5637" s="89" t="str">
        <f t="shared" si="528"/>
        <v/>
      </c>
      <c r="B5637" s="89" t="str">
        <f t="shared" si="529"/>
        <v/>
      </c>
      <c r="S5637" s="89" t="str">
        <f t="shared" si="530"/>
        <v/>
      </c>
      <c r="X5637" s="64">
        <f t="shared" si="531"/>
        <v>0</v>
      </c>
      <c r="Y5637" s="53">
        <f t="shared" si="532"/>
        <v>0</v>
      </c>
      <c r="Z5637" s="64">
        <f t="shared" si="533"/>
        <v>0</v>
      </c>
    </row>
    <row r="5638" spans="1:26">
      <c r="A5638" s="89" t="str">
        <f t="shared" si="528"/>
        <v/>
      </c>
      <c r="B5638" s="89" t="str">
        <f t="shared" si="529"/>
        <v/>
      </c>
      <c r="S5638" s="89" t="str">
        <f t="shared" si="530"/>
        <v/>
      </c>
      <c r="X5638" s="64">
        <f t="shared" si="531"/>
        <v>0</v>
      </c>
      <c r="Y5638" s="53">
        <f t="shared" si="532"/>
        <v>0</v>
      </c>
      <c r="Z5638" s="64">
        <f t="shared" si="533"/>
        <v>0</v>
      </c>
    </row>
    <row r="5639" spans="1:26">
      <c r="A5639" s="89" t="str">
        <f t="shared" si="528"/>
        <v/>
      </c>
      <c r="B5639" s="89" t="str">
        <f t="shared" si="529"/>
        <v/>
      </c>
      <c r="S5639" s="89" t="str">
        <f t="shared" si="530"/>
        <v/>
      </c>
      <c r="X5639" s="64">
        <f t="shared" si="531"/>
        <v>0</v>
      </c>
      <c r="Y5639" s="53">
        <f t="shared" si="532"/>
        <v>0</v>
      </c>
      <c r="Z5639" s="64">
        <f t="shared" si="533"/>
        <v>0</v>
      </c>
    </row>
    <row r="5640" spans="1:26">
      <c r="A5640" s="89" t="str">
        <f t="shared" si="528"/>
        <v/>
      </c>
      <c r="B5640" s="89" t="str">
        <f t="shared" si="529"/>
        <v/>
      </c>
      <c r="S5640" s="89" t="str">
        <f t="shared" si="530"/>
        <v/>
      </c>
      <c r="X5640" s="64">
        <f t="shared" si="531"/>
        <v>0</v>
      </c>
      <c r="Y5640" s="53">
        <f t="shared" si="532"/>
        <v>0</v>
      </c>
      <c r="Z5640" s="64">
        <f t="shared" si="533"/>
        <v>0</v>
      </c>
    </row>
    <row r="5641" spans="1:26">
      <c r="A5641" s="89" t="str">
        <f t="shared" si="528"/>
        <v/>
      </c>
      <c r="B5641" s="89" t="str">
        <f t="shared" si="529"/>
        <v/>
      </c>
      <c r="S5641" s="89" t="str">
        <f t="shared" si="530"/>
        <v/>
      </c>
      <c r="X5641" s="64">
        <f t="shared" si="531"/>
        <v>0</v>
      </c>
      <c r="Y5641" s="53">
        <f t="shared" si="532"/>
        <v>0</v>
      </c>
      <c r="Z5641" s="64">
        <f t="shared" si="533"/>
        <v>0</v>
      </c>
    </row>
    <row r="5642" spans="1:26">
      <c r="A5642" s="89" t="str">
        <f t="shared" si="528"/>
        <v/>
      </c>
      <c r="B5642" s="89" t="str">
        <f t="shared" si="529"/>
        <v/>
      </c>
      <c r="S5642" s="89" t="str">
        <f t="shared" si="530"/>
        <v/>
      </c>
      <c r="X5642" s="64">
        <f t="shared" si="531"/>
        <v>0</v>
      </c>
      <c r="Y5642" s="53">
        <f t="shared" si="532"/>
        <v>0</v>
      </c>
      <c r="Z5642" s="64">
        <f t="shared" si="533"/>
        <v>0</v>
      </c>
    </row>
    <row r="5643" spans="1:26">
      <c r="A5643" s="89" t="str">
        <f t="shared" si="528"/>
        <v/>
      </c>
      <c r="B5643" s="89" t="str">
        <f t="shared" si="529"/>
        <v/>
      </c>
      <c r="S5643" s="89" t="str">
        <f t="shared" si="530"/>
        <v/>
      </c>
      <c r="X5643" s="64">
        <f t="shared" si="531"/>
        <v>0</v>
      </c>
      <c r="Y5643" s="53">
        <f t="shared" si="532"/>
        <v>0</v>
      </c>
      <c r="Z5643" s="64">
        <f t="shared" si="533"/>
        <v>0</v>
      </c>
    </row>
    <row r="5644" spans="1:26">
      <c r="A5644" s="89" t="str">
        <f t="shared" si="528"/>
        <v/>
      </c>
      <c r="B5644" s="89" t="str">
        <f t="shared" si="529"/>
        <v/>
      </c>
      <c r="S5644" s="89" t="str">
        <f t="shared" si="530"/>
        <v/>
      </c>
      <c r="X5644" s="64">
        <f t="shared" si="531"/>
        <v>0</v>
      </c>
      <c r="Y5644" s="53">
        <f t="shared" si="532"/>
        <v>0</v>
      </c>
      <c r="Z5644" s="64">
        <f t="shared" si="533"/>
        <v>0</v>
      </c>
    </row>
    <row r="5645" spans="1:26">
      <c r="A5645" s="89" t="str">
        <f t="shared" si="528"/>
        <v/>
      </c>
      <c r="B5645" s="89" t="str">
        <f t="shared" si="529"/>
        <v/>
      </c>
      <c r="S5645" s="89" t="str">
        <f t="shared" si="530"/>
        <v/>
      </c>
      <c r="X5645" s="64">
        <f t="shared" si="531"/>
        <v>0</v>
      </c>
      <c r="Y5645" s="53">
        <f t="shared" si="532"/>
        <v>0</v>
      </c>
      <c r="Z5645" s="64">
        <f t="shared" si="533"/>
        <v>0</v>
      </c>
    </row>
    <row r="5646" spans="1:26">
      <c r="A5646" s="89" t="str">
        <f t="shared" si="528"/>
        <v/>
      </c>
      <c r="B5646" s="89" t="str">
        <f t="shared" si="529"/>
        <v/>
      </c>
      <c r="S5646" s="89" t="str">
        <f t="shared" si="530"/>
        <v/>
      </c>
      <c r="X5646" s="64">
        <f t="shared" si="531"/>
        <v>0</v>
      </c>
      <c r="Y5646" s="53">
        <f t="shared" si="532"/>
        <v>0</v>
      </c>
      <c r="Z5646" s="64">
        <f t="shared" si="533"/>
        <v>0</v>
      </c>
    </row>
    <row r="5647" spans="1:26">
      <c r="A5647" s="89" t="str">
        <f t="shared" si="528"/>
        <v/>
      </c>
      <c r="B5647" s="89" t="str">
        <f t="shared" si="529"/>
        <v/>
      </c>
      <c r="S5647" s="89" t="str">
        <f t="shared" si="530"/>
        <v/>
      </c>
      <c r="X5647" s="64">
        <f t="shared" si="531"/>
        <v>0</v>
      </c>
      <c r="Y5647" s="53">
        <f t="shared" si="532"/>
        <v>0</v>
      </c>
      <c r="Z5647" s="64">
        <f t="shared" si="533"/>
        <v>0</v>
      </c>
    </row>
    <row r="5648" spans="1:26">
      <c r="A5648" s="89" t="str">
        <f t="shared" si="528"/>
        <v/>
      </c>
      <c r="B5648" s="89" t="str">
        <f t="shared" si="529"/>
        <v/>
      </c>
      <c r="S5648" s="89" t="str">
        <f t="shared" si="530"/>
        <v/>
      </c>
      <c r="X5648" s="64">
        <f t="shared" si="531"/>
        <v>0</v>
      </c>
      <c r="Y5648" s="53">
        <f t="shared" si="532"/>
        <v>0</v>
      </c>
      <c r="Z5648" s="64">
        <f t="shared" si="533"/>
        <v>0</v>
      </c>
    </row>
    <row r="5649" spans="1:26">
      <c r="A5649" s="89" t="str">
        <f t="shared" si="528"/>
        <v/>
      </c>
      <c r="B5649" s="89" t="str">
        <f t="shared" si="529"/>
        <v/>
      </c>
      <c r="S5649" s="89" t="str">
        <f t="shared" si="530"/>
        <v/>
      </c>
      <c r="X5649" s="64">
        <f t="shared" si="531"/>
        <v>0</v>
      </c>
      <c r="Y5649" s="53">
        <f t="shared" si="532"/>
        <v>0</v>
      </c>
      <c r="Z5649" s="64">
        <f t="shared" si="533"/>
        <v>0</v>
      </c>
    </row>
    <row r="5650" spans="1:26">
      <c r="A5650" s="89" t="str">
        <f t="shared" si="528"/>
        <v/>
      </c>
      <c r="B5650" s="89" t="str">
        <f t="shared" si="529"/>
        <v/>
      </c>
      <c r="S5650" s="89" t="str">
        <f t="shared" si="530"/>
        <v/>
      </c>
      <c r="X5650" s="64">
        <f t="shared" si="531"/>
        <v>0</v>
      </c>
      <c r="Y5650" s="53">
        <f t="shared" si="532"/>
        <v>0</v>
      </c>
      <c r="Z5650" s="64">
        <f t="shared" si="533"/>
        <v>0</v>
      </c>
    </row>
    <row r="5651" spans="1:26">
      <c r="A5651" s="89" t="str">
        <f t="shared" si="528"/>
        <v/>
      </c>
      <c r="B5651" s="89" t="str">
        <f t="shared" si="529"/>
        <v/>
      </c>
      <c r="S5651" s="89" t="str">
        <f t="shared" si="530"/>
        <v/>
      </c>
      <c r="X5651" s="64">
        <f t="shared" si="531"/>
        <v>0</v>
      </c>
      <c r="Y5651" s="53">
        <f t="shared" si="532"/>
        <v>0</v>
      </c>
      <c r="Z5651" s="64">
        <f t="shared" si="533"/>
        <v>0</v>
      </c>
    </row>
    <row r="5652" spans="1:26">
      <c r="A5652" s="89" t="str">
        <f t="shared" si="528"/>
        <v/>
      </c>
      <c r="B5652" s="89" t="str">
        <f t="shared" si="529"/>
        <v/>
      </c>
      <c r="S5652" s="89" t="str">
        <f t="shared" si="530"/>
        <v/>
      </c>
      <c r="X5652" s="64">
        <f t="shared" si="531"/>
        <v>0</v>
      </c>
      <c r="Y5652" s="53">
        <f t="shared" si="532"/>
        <v>0</v>
      </c>
      <c r="Z5652" s="64">
        <f t="shared" si="533"/>
        <v>0</v>
      </c>
    </row>
    <row r="5653" spans="1:26">
      <c r="A5653" s="89" t="str">
        <f t="shared" si="528"/>
        <v/>
      </c>
      <c r="B5653" s="89" t="str">
        <f t="shared" si="529"/>
        <v/>
      </c>
      <c r="S5653" s="89" t="str">
        <f t="shared" si="530"/>
        <v/>
      </c>
      <c r="X5653" s="64">
        <f t="shared" si="531"/>
        <v>0</v>
      </c>
      <c r="Y5653" s="53">
        <f t="shared" si="532"/>
        <v>0</v>
      </c>
      <c r="Z5653" s="64">
        <f t="shared" si="533"/>
        <v>0</v>
      </c>
    </row>
    <row r="5654" spans="1:26">
      <c r="A5654" s="89" t="str">
        <f t="shared" si="528"/>
        <v/>
      </c>
      <c r="B5654" s="89" t="str">
        <f t="shared" si="529"/>
        <v/>
      </c>
      <c r="S5654" s="89" t="str">
        <f t="shared" si="530"/>
        <v/>
      </c>
      <c r="X5654" s="64">
        <f t="shared" si="531"/>
        <v>0</v>
      </c>
      <c r="Y5654" s="53">
        <f t="shared" si="532"/>
        <v>0</v>
      </c>
      <c r="Z5654" s="64">
        <f t="shared" si="533"/>
        <v>0</v>
      </c>
    </row>
    <row r="5655" spans="1:26">
      <c r="A5655" s="89" t="str">
        <f t="shared" si="528"/>
        <v/>
      </c>
      <c r="B5655" s="89" t="str">
        <f t="shared" si="529"/>
        <v/>
      </c>
      <c r="S5655" s="89" t="str">
        <f t="shared" si="530"/>
        <v/>
      </c>
      <c r="X5655" s="64">
        <f t="shared" si="531"/>
        <v>0</v>
      </c>
      <c r="Y5655" s="53">
        <f t="shared" si="532"/>
        <v>0</v>
      </c>
      <c r="Z5655" s="64">
        <f t="shared" si="533"/>
        <v>0</v>
      </c>
    </row>
    <row r="5656" spans="1:26">
      <c r="A5656" s="89" t="str">
        <f t="shared" si="528"/>
        <v/>
      </c>
      <c r="B5656" s="89" t="str">
        <f t="shared" si="529"/>
        <v/>
      </c>
      <c r="S5656" s="89" t="str">
        <f t="shared" si="530"/>
        <v/>
      </c>
      <c r="X5656" s="64">
        <f t="shared" si="531"/>
        <v>0</v>
      </c>
      <c r="Y5656" s="53">
        <f t="shared" si="532"/>
        <v>0</v>
      </c>
      <c r="Z5656" s="64">
        <f t="shared" si="533"/>
        <v>0</v>
      </c>
    </row>
    <row r="5657" spans="1:26">
      <c r="A5657" s="89" t="str">
        <f t="shared" si="528"/>
        <v/>
      </c>
      <c r="B5657" s="89" t="str">
        <f t="shared" si="529"/>
        <v/>
      </c>
      <c r="S5657" s="89" t="str">
        <f t="shared" si="530"/>
        <v/>
      </c>
      <c r="X5657" s="64">
        <f t="shared" si="531"/>
        <v>0</v>
      </c>
      <c r="Y5657" s="53">
        <f t="shared" si="532"/>
        <v>0</v>
      </c>
      <c r="Z5657" s="64">
        <f t="shared" si="533"/>
        <v>0</v>
      </c>
    </row>
    <row r="5658" spans="1:26">
      <c r="A5658" s="89" t="str">
        <f t="shared" si="528"/>
        <v/>
      </c>
      <c r="B5658" s="89" t="str">
        <f t="shared" si="529"/>
        <v/>
      </c>
      <c r="S5658" s="89" t="str">
        <f t="shared" si="530"/>
        <v/>
      </c>
      <c r="X5658" s="64">
        <f t="shared" si="531"/>
        <v>0</v>
      </c>
      <c r="Y5658" s="53">
        <f t="shared" si="532"/>
        <v>0</v>
      </c>
      <c r="Z5658" s="64">
        <f t="shared" si="533"/>
        <v>0</v>
      </c>
    </row>
    <row r="5659" spans="1:26">
      <c r="A5659" s="89" t="str">
        <f t="shared" si="528"/>
        <v/>
      </c>
      <c r="B5659" s="89" t="str">
        <f t="shared" si="529"/>
        <v/>
      </c>
      <c r="S5659" s="89" t="str">
        <f t="shared" si="530"/>
        <v/>
      </c>
      <c r="X5659" s="64">
        <f t="shared" si="531"/>
        <v>0</v>
      </c>
      <c r="Y5659" s="53">
        <f t="shared" si="532"/>
        <v>0</v>
      </c>
      <c r="Z5659" s="64">
        <f t="shared" si="533"/>
        <v>0</v>
      </c>
    </row>
    <row r="5660" spans="1:26">
      <c r="A5660" s="89" t="str">
        <f t="shared" si="528"/>
        <v/>
      </c>
      <c r="B5660" s="89" t="str">
        <f t="shared" si="529"/>
        <v/>
      </c>
      <c r="S5660" s="89" t="str">
        <f t="shared" si="530"/>
        <v/>
      </c>
      <c r="X5660" s="64">
        <f t="shared" si="531"/>
        <v>0</v>
      </c>
      <c r="Y5660" s="53">
        <f t="shared" si="532"/>
        <v>0</v>
      </c>
      <c r="Z5660" s="64">
        <f t="shared" si="533"/>
        <v>0</v>
      </c>
    </row>
    <row r="5661" spans="1:26">
      <c r="A5661" s="89" t="str">
        <f t="shared" si="528"/>
        <v/>
      </c>
      <c r="B5661" s="89" t="str">
        <f t="shared" si="529"/>
        <v/>
      </c>
      <c r="S5661" s="89" t="str">
        <f t="shared" si="530"/>
        <v/>
      </c>
      <c r="X5661" s="64">
        <f t="shared" si="531"/>
        <v>0</v>
      </c>
      <c r="Y5661" s="53">
        <f t="shared" si="532"/>
        <v>0</v>
      </c>
      <c r="Z5661" s="64">
        <f t="shared" si="533"/>
        <v>0</v>
      </c>
    </row>
    <row r="5662" spans="1:26">
      <c r="A5662" s="89" t="str">
        <f t="shared" si="528"/>
        <v/>
      </c>
      <c r="B5662" s="89" t="str">
        <f t="shared" si="529"/>
        <v/>
      </c>
      <c r="S5662" s="89" t="str">
        <f t="shared" si="530"/>
        <v/>
      </c>
      <c r="X5662" s="64">
        <f t="shared" si="531"/>
        <v>0</v>
      </c>
      <c r="Y5662" s="53">
        <f t="shared" si="532"/>
        <v>0</v>
      </c>
      <c r="Z5662" s="64">
        <f t="shared" si="533"/>
        <v>0</v>
      </c>
    </row>
    <row r="5663" spans="1:26">
      <c r="A5663" s="89" t="str">
        <f t="shared" si="528"/>
        <v/>
      </c>
      <c r="B5663" s="89" t="str">
        <f t="shared" si="529"/>
        <v/>
      </c>
      <c r="S5663" s="89" t="str">
        <f t="shared" si="530"/>
        <v/>
      </c>
      <c r="X5663" s="64">
        <f t="shared" si="531"/>
        <v>0</v>
      </c>
      <c r="Y5663" s="53">
        <f t="shared" si="532"/>
        <v>0</v>
      </c>
      <c r="Z5663" s="64">
        <f t="shared" si="533"/>
        <v>0</v>
      </c>
    </row>
    <row r="5664" spans="1:26">
      <c r="A5664" s="89" t="str">
        <f t="shared" si="528"/>
        <v/>
      </c>
      <c r="B5664" s="89" t="str">
        <f t="shared" si="529"/>
        <v/>
      </c>
      <c r="S5664" s="89" t="str">
        <f t="shared" si="530"/>
        <v/>
      </c>
      <c r="X5664" s="64">
        <f t="shared" si="531"/>
        <v>0</v>
      </c>
      <c r="Y5664" s="53">
        <f t="shared" si="532"/>
        <v>0</v>
      </c>
      <c r="Z5664" s="64">
        <f t="shared" si="533"/>
        <v>0</v>
      </c>
    </row>
    <row r="5665" spans="1:26">
      <c r="A5665" s="89" t="str">
        <f t="shared" si="528"/>
        <v/>
      </c>
      <c r="B5665" s="89" t="str">
        <f t="shared" si="529"/>
        <v/>
      </c>
      <c r="S5665" s="89" t="str">
        <f t="shared" si="530"/>
        <v/>
      </c>
      <c r="X5665" s="64">
        <f t="shared" si="531"/>
        <v>0</v>
      </c>
      <c r="Y5665" s="53">
        <f t="shared" si="532"/>
        <v>0</v>
      </c>
      <c r="Z5665" s="64">
        <f t="shared" si="533"/>
        <v>0</v>
      </c>
    </row>
    <row r="5666" spans="1:26">
      <c r="A5666" s="89" t="str">
        <f t="shared" si="528"/>
        <v/>
      </c>
      <c r="B5666" s="89" t="str">
        <f t="shared" si="529"/>
        <v/>
      </c>
      <c r="S5666" s="89" t="str">
        <f t="shared" si="530"/>
        <v/>
      </c>
      <c r="X5666" s="64">
        <f t="shared" si="531"/>
        <v>0</v>
      </c>
      <c r="Y5666" s="53">
        <f t="shared" si="532"/>
        <v>0</v>
      </c>
      <c r="Z5666" s="64">
        <f t="shared" si="533"/>
        <v>0</v>
      </c>
    </row>
    <row r="5667" spans="1:26">
      <c r="A5667" s="89" t="str">
        <f t="shared" si="528"/>
        <v/>
      </c>
      <c r="B5667" s="89" t="str">
        <f t="shared" si="529"/>
        <v/>
      </c>
      <c r="S5667" s="89" t="str">
        <f t="shared" si="530"/>
        <v/>
      </c>
      <c r="X5667" s="64">
        <f t="shared" si="531"/>
        <v>0</v>
      </c>
      <c r="Y5667" s="53">
        <f t="shared" si="532"/>
        <v>0</v>
      </c>
      <c r="Z5667" s="64">
        <f t="shared" si="533"/>
        <v>0</v>
      </c>
    </row>
    <row r="5668" spans="1:26">
      <c r="A5668" s="89" t="str">
        <f t="shared" si="528"/>
        <v/>
      </c>
      <c r="B5668" s="89" t="str">
        <f t="shared" si="529"/>
        <v/>
      </c>
      <c r="S5668" s="89" t="str">
        <f t="shared" si="530"/>
        <v/>
      </c>
      <c r="X5668" s="64">
        <f t="shared" si="531"/>
        <v>0</v>
      </c>
      <c r="Y5668" s="53">
        <f t="shared" si="532"/>
        <v>0</v>
      </c>
      <c r="Z5668" s="64">
        <f t="shared" si="533"/>
        <v>0</v>
      </c>
    </row>
    <row r="5669" spans="1:26">
      <c r="A5669" s="89" t="str">
        <f t="shared" si="528"/>
        <v/>
      </c>
      <c r="B5669" s="89" t="str">
        <f t="shared" si="529"/>
        <v/>
      </c>
      <c r="S5669" s="89" t="str">
        <f t="shared" si="530"/>
        <v/>
      </c>
      <c r="X5669" s="64">
        <f t="shared" si="531"/>
        <v>0</v>
      </c>
      <c r="Y5669" s="53">
        <f t="shared" si="532"/>
        <v>0</v>
      </c>
      <c r="Z5669" s="64">
        <f t="shared" si="533"/>
        <v>0</v>
      </c>
    </row>
    <row r="5670" spans="1:26">
      <c r="A5670" s="89" t="str">
        <f t="shared" si="528"/>
        <v/>
      </c>
      <c r="B5670" s="89" t="str">
        <f t="shared" si="529"/>
        <v/>
      </c>
      <c r="S5670" s="89" t="str">
        <f t="shared" si="530"/>
        <v/>
      </c>
      <c r="X5670" s="64">
        <f t="shared" si="531"/>
        <v>0</v>
      </c>
      <c r="Y5670" s="53">
        <f t="shared" si="532"/>
        <v>0</v>
      </c>
      <c r="Z5670" s="64">
        <f t="shared" si="533"/>
        <v>0</v>
      </c>
    </row>
    <row r="5671" spans="1:26">
      <c r="A5671" s="89" t="str">
        <f t="shared" si="528"/>
        <v/>
      </c>
      <c r="B5671" s="89" t="str">
        <f t="shared" si="529"/>
        <v/>
      </c>
      <c r="S5671" s="89" t="str">
        <f t="shared" si="530"/>
        <v/>
      </c>
      <c r="X5671" s="64">
        <f t="shared" si="531"/>
        <v>0</v>
      </c>
      <c r="Y5671" s="53">
        <f t="shared" si="532"/>
        <v>0</v>
      </c>
      <c r="Z5671" s="64">
        <f t="shared" si="533"/>
        <v>0</v>
      </c>
    </row>
    <row r="5672" spans="1:26">
      <c r="A5672" s="89" t="str">
        <f t="shared" si="528"/>
        <v/>
      </c>
      <c r="B5672" s="89" t="str">
        <f t="shared" si="529"/>
        <v/>
      </c>
      <c r="S5672" s="89" t="str">
        <f t="shared" si="530"/>
        <v/>
      </c>
      <c r="X5672" s="64">
        <f t="shared" si="531"/>
        <v>0</v>
      </c>
      <c r="Y5672" s="53">
        <f t="shared" si="532"/>
        <v>0</v>
      </c>
      <c r="Z5672" s="64">
        <f t="shared" si="533"/>
        <v>0</v>
      </c>
    </row>
    <row r="5673" spans="1:26">
      <c r="A5673" s="89" t="str">
        <f t="shared" si="528"/>
        <v/>
      </c>
      <c r="B5673" s="89" t="str">
        <f t="shared" si="529"/>
        <v/>
      </c>
      <c r="S5673" s="89" t="str">
        <f t="shared" si="530"/>
        <v/>
      </c>
      <c r="X5673" s="64">
        <f t="shared" si="531"/>
        <v>0</v>
      </c>
      <c r="Y5673" s="53">
        <f t="shared" si="532"/>
        <v>0</v>
      </c>
      <c r="Z5673" s="64">
        <f t="shared" si="533"/>
        <v>0</v>
      </c>
    </row>
    <row r="5674" spans="1:26">
      <c r="A5674" s="89" t="str">
        <f t="shared" si="528"/>
        <v/>
      </c>
      <c r="B5674" s="89" t="str">
        <f t="shared" si="529"/>
        <v/>
      </c>
      <c r="S5674" s="89" t="str">
        <f t="shared" si="530"/>
        <v/>
      </c>
      <c r="X5674" s="64">
        <f t="shared" si="531"/>
        <v>0</v>
      </c>
      <c r="Y5674" s="53">
        <f t="shared" si="532"/>
        <v>0</v>
      </c>
      <c r="Z5674" s="64">
        <f t="shared" si="533"/>
        <v>0</v>
      </c>
    </row>
    <row r="5675" spans="1:26">
      <c r="A5675" s="89" t="str">
        <f t="shared" si="528"/>
        <v/>
      </c>
      <c r="B5675" s="89" t="str">
        <f t="shared" si="529"/>
        <v/>
      </c>
      <c r="S5675" s="89" t="str">
        <f t="shared" si="530"/>
        <v/>
      </c>
      <c r="X5675" s="64">
        <f t="shared" si="531"/>
        <v>0</v>
      </c>
      <c r="Y5675" s="53">
        <f t="shared" si="532"/>
        <v>0</v>
      </c>
      <c r="Z5675" s="64">
        <f t="shared" si="533"/>
        <v>0</v>
      </c>
    </row>
    <row r="5676" spans="1:26">
      <c r="A5676" s="89" t="str">
        <f t="shared" si="528"/>
        <v/>
      </c>
      <c r="B5676" s="89" t="str">
        <f t="shared" si="529"/>
        <v/>
      </c>
      <c r="S5676" s="89" t="str">
        <f t="shared" si="530"/>
        <v/>
      </c>
      <c r="X5676" s="64">
        <f t="shared" si="531"/>
        <v>0</v>
      </c>
      <c r="Y5676" s="53">
        <f t="shared" si="532"/>
        <v>0</v>
      </c>
      <c r="Z5676" s="64">
        <f t="shared" si="533"/>
        <v>0</v>
      </c>
    </row>
    <row r="5677" spans="1:26">
      <c r="A5677" s="89" t="str">
        <f t="shared" si="528"/>
        <v/>
      </c>
      <c r="B5677" s="89" t="str">
        <f t="shared" si="529"/>
        <v/>
      </c>
      <c r="S5677" s="89" t="str">
        <f t="shared" si="530"/>
        <v/>
      </c>
      <c r="X5677" s="64">
        <f t="shared" si="531"/>
        <v>0</v>
      </c>
      <c r="Y5677" s="53">
        <f t="shared" si="532"/>
        <v>0</v>
      </c>
      <c r="Z5677" s="64">
        <f t="shared" si="533"/>
        <v>0</v>
      </c>
    </row>
    <row r="5678" spans="1:26">
      <c r="A5678" s="89" t="str">
        <f t="shared" si="528"/>
        <v/>
      </c>
      <c r="B5678" s="89" t="str">
        <f t="shared" si="529"/>
        <v/>
      </c>
      <c r="S5678" s="89" t="str">
        <f t="shared" si="530"/>
        <v/>
      </c>
      <c r="X5678" s="64">
        <f t="shared" si="531"/>
        <v>0</v>
      </c>
      <c r="Y5678" s="53">
        <f t="shared" si="532"/>
        <v>0</v>
      </c>
      <c r="Z5678" s="64">
        <f t="shared" si="533"/>
        <v>0</v>
      </c>
    </row>
    <row r="5679" spans="1:26">
      <c r="A5679" s="89" t="str">
        <f t="shared" si="528"/>
        <v/>
      </c>
      <c r="B5679" s="89" t="str">
        <f t="shared" si="529"/>
        <v/>
      </c>
      <c r="S5679" s="89" t="str">
        <f t="shared" si="530"/>
        <v/>
      </c>
      <c r="X5679" s="64">
        <f t="shared" si="531"/>
        <v>0</v>
      </c>
      <c r="Y5679" s="53">
        <f t="shared" si="532"/>
        <v>0</v>
      </c>
      <c r="Z5679" s="64">
        <f t="shared" si="533"/>
        <v>0</v>
      </c>
    </row>
    <row r="5680" spans="1:26">
      <c r="A5680" s="89" t="str">
        <f t="shared" si="528"/>
        <v/>
      </c>
      <c r="B5680" s="89" t="str">
        <f t="shared" si="529"/>
        <v/>
      </c>
      <c r="S5680" s="89" t="str">
        <f t="shared" si="530"/>
        <v/>
      </c>
      <c r="X5680" s="64">
        <f t="shared" si="531"/>
        <v>0</v>
      </c>
      <c r="Y5680" s="53">
        <f t="shared" si="532"/>
        <v>0</v>
      </c>
      <c r="Z5680" s="64">
        <f t="shared" si="533"/>
        <v>0</v>
      </c>
    </row>
    <row r="5681" spans="1:26">
      <c r="A5681" s="89" t="str">
        <f t="shared" si="528"/>
        <v/>
      </c>
      <c r="B5681" s="89" t="str">
        <f t="shared" si="529"/>
        <v/>
      </c>
      <c r="S5681" s="89" t="str">
        <f t="shared" si="530"/>
        <v/>
      </c>
      <c r="X5681" s="64">
        <f t="shared" si="531"/>
        <v>0</v>
      </c>
      <c r="Y5681" s="53">
        <f t="shared" si="532"/>
        <v>0</v>
      </c>
      <c r="Z5681" s="64">
        <f t="shared" si="533"/>
        <v>0</v>
      </c>
    </row>
    <row r="5682" spans="1:26">
      <c r="A5682" s="89" t="str">
        <f t="shared" si="528"/>
        <v/>
      </c>
      <c r="B5682" s="89" t="str">
        <f t="shared" si="529"/>
        <v/>
      </c>
      <c r="S5682" s="89" t="str">
        <f t="shared" si="530"/>
        <v/>
      </c>
      <c r="X5682" s="64">
        <f t="shared" si="531"/>
        <v>0</v>
      </c>
      <c r="Y5682" s="53">
        <f t="shared" si="532"/>
        <v>0</v>
      </c>
      <c r="Z5682" s="64">
        <f t="shared" si="533"/>
        <v>0</v>
      </c>
    </row>
    <row r="5683" spans="1:26">
      <c r="A5683" s="89" t="str">
        <f t="shared" si="528"/>
        <v/>
      </c>
      <c r="B5683" s="89" t="str">
        <f t="shared" si="529"/>
        <v/>
      </c>
      <c r="S5683" s="89" t="str">
        <f t="shared" si="530"/>
        <v/>
      </c>
      <c r="X5683" s="64">
        <f t="shared" si="531"/>
        <v>0</v>
      </c>
      <c r="Y5683" s="53">
        <f t="shared" si="532"/>
        <v>0</v>
      </c>
      <c r="Z5683" s="64">
        <f t="shared" si="533"/>
        <v>0</v>
      </c>
    </row>
    <row r="5684" spans="1:26">
      <c r="A5684" s="89" t="str">
        <f t="shared" si="528"/>
        <v/>
      </c>
      <c r="B5684" s="89" t="str">
        <f t="shared" si="529"/>
        <v/>
      </c>
      <c r="S5684" s="89" t="str">
        <f t="shared" si="530"/>
        <v/>
      </c>
      <c r="X5684" s="64">
        <f t="shared" si="531"/>
        <v>0</v>
      </c>
      <c r="Y5684" s="53">
        <f t="shared" si="532"/>
        <v>0</v>
      </c>
      <c r="Z5684" s="64">
        <f t="shared" si="533"/>
        <v>0</v>
      </c>
    </row>
    <row r="5685" spans="1:26">
      <c r="A5685" s="89" t="str">
        <f t="shared" si="528"/>
        <v/>
      </c>
      <c r="B5685" s="89" t="str">
        <f t="shared" si="529"/>
        <v/>
      </c>
      <c r="S5685" s="89" t="str">
        <f t="shared" si="530"/>
        <v/>
      </c>
      <c r="X5685" s="64">
        <f t="shared" si="531"/>
        <v>0</v>
      </c>
      <c r="Y5685" s="53">
        <f t="shared" si="532"/>
        <v>0</v>
      </c>
      <c r="Z5685" s="64">
        <f t="shared" si="533"/>
        <v>0</v>
      </c>
    </row>
    <row r="5686" spans="1:26">
      <c r="A5686" s="89" t="str">
        <f t="shared" si="528"/>
        <v/>
      </c>
      <c r="B5686" s="89" t="str">
        <f t="shared" si="529"/>
        <v/>
      </c>
      <c r="S5686" s="89" t="str">
        <f t="shared" si="530"/>
        <v/>
      </c>
      <c r="X5686" s="64">
        <f t="shared" si="531"/>
        <v>0</v>
      </c>
      <c r="Y5686" s="53">
        <f t="shared" si="532"/>
        <v>0</v>
      </c>
      <c r="Z5686" s="64">
        <f t="shared" si="533"/>
        <v>0</v>
      </c>
    </row>
    <row r="5687" spans="1:26">
      <c r="A5687" s="89" t="str">
        <f t="shared" si="528"/>
        <v/>
      </c>
      <c r="B5687" s="89" t="str">
        <f t="shared" si="529"/>
        <v/>
      </c>
      <c r="S5687" s="89" t="str">
        <f t="shared" si="530"/>
        <v/>
      </c>
      <c r="X5687" s="64">
        <f t="shared" si="531"/>
        <v>0</v>
      </c>
      <c r="Y5687" s="53">
        <f t="shared" si="532"/>
        <v>0</v>
      </c>
      <c r="Z5687" s="64">
        <f t="shared" si="533"/>
        <v>0</v>
      </c>
    </row>
    <row r="5688" spans="1:26">
      <c r="A5688" s="89" t="str">
        <f t="shared" si="528"/>
        <v/>
      </c>
      <c r="B5688" s="89" t="str">
        <f t="shared" si="529"/>
        <v/>
      </c>
      <c r="S5688" s="89" t="str">
        <f t="shared" si="530"/>
        <v/>
      </c>
      <c r="X5688" s="64">
        <f t="shared" si="531"/>
        <v>0</v>
      </c>
      <c r="Y5688" s="53">
        <f t="shared" si="532"/>
        <v>0</v>
      </c>
      <c r="Z5688" s="64">
        <f t="shared" si="533"/>
        <v>0</v>
      </c>
    </row>
    <row r="5689" spans="1:26">
      <c r="A5689" s="89" t="str">
        <f t="shared" si="528"/>
        <v/>
      </c>
      <c r="B5689" s="89" t="str">
        <f t="shared" si="529"/>
        <v/>
      </c>
      <c r="S5689" s="89" t="str">
        <f t="shared" si="530"/>
        <v/>
      </c>
      <c r="X5689" s="64">
        <f t="shared" si="531"/>
        <v>0</v>
      </c>
      <c r="Y5689" s="53">
        <f t="shared" si="532"/>
        <v>0</v>
      </c>
      <c r="Z5689" s="64">
        <f t="shared" si="533"/>
        <v>0</v>
      </c>
    </row>
    <row r="5690" spans="1:26">
      <c r="A5690" s="89" t="str">
        <f t="shared" si="528"/>
        <v/>
      </c>
      <c r="B5690" s="89" t="str">
        <f t="shared" si="529"/>
        <v/>
      </c>
      <c r="S5690" s="89" t="str">
        <f t="shared" si="530"/>
        <v/>
      </c>
      <c r="X5690" s="64">
        <f t="shared" si="531"/>
        <v>0</v>
      </c>
      <c r="Y5690" s="53">
        <f t="shared" si="532"/>
        <v>0</v>
      </c>
      <c r="Z5690" s="64">
        <f t="shared" si="533"/>
        <v>0</v>
      </c>
    </row>
    <row r="5691" spans="1:26">
      <c r="A5691" s="89" t="str">
        <f t="shared" si="528"/>
        <v/>
      </c>
      <c r="B5691" s="89" t="str">
        <f t="shared" si="529"/>
        <v/>
      </c>
      <c r="S5691" s="89" t="str">
        <f t="shared" si="530"/>
        <v/>
      </c>
      <c r="X5691" s="64">
        <f t="shared" si="531"/>
        <v>0</v>
      </c>
      <c r="Y5691" s="53">
        <f t="shared" si="532"/>
        <v>0</v>
      </c>
      <c r="Z5691" s="64">
        <f t="shared" si="533"/>
        <v>0</v>
      </c>
    </row>
    <row r="5692" spans="1:26">
      <c r="A5692" s="89" t="str">
        <f t="shared" si="528"/>
        <v/>
      </c>
      <c r="B5692" s="89" t="str">
        <f t="shared" si="529"/>
        <v/>
      </c>
      <c r="S5692" s="89" t="str">
        <f t="shared" si="530"/>
        <v/>
      </c>
      <c r="X5692" s="64">
        <f t="shared" si="531"/>
        <v>0</v>
      </c>
      <c r="Y5692" s="53">
        <f t="shared" si="532"/>
        <v>0</v>
      </c>
      <c r="Z5692" s="64">
        <f t="shared" si="533"/>
        <v>0</v>
      </c>
    </row>
    <row r="5693" spans="1:26">
      <c r="A5693" s="89" t="str">
        <f t="shared" si="528"/>
        <v/>
      </c>
      <c r="B5693" s="89" t="str">
        <f t="shared" si="529"/>
        <v/>
      </c>
      <c r="S5693" s="89" t="str">
        <f t="shared" si="530"/>
        <v/>
      </c>
      <c r="X5693" s="64">
        <f t="shared" si="531"/>
        <v>0</v>
      </c>
      <c r="Y5693" s="53">
        <f t="shared" si="532"/>
        <v>0</v>
      </c>
      <c r="Z5693" s="64">
        <f t="shared" si="533"/>
        <v>0</v>
      </c>
    </row>
    <row r="5694" spans="1:26">
      <c r="A5694" s="89" t="str">
        <f t="shared" si="528"/>
        <v/>
      </c>
      <c r="B5694" s="89" t="str">
        <f t="shared" si="529"/>
        <v/>
      </c>
      <c r="S5694" s="89" t="str">
        <f t="shared" si="530"/>
        <v/>
      </c>
      <c r="X5694" s="64">
        <f t="shared" si="531"/>
        <v>0</v>
      </c>
      <c r="Y5694" s="53">
        <f t="shared" si="532"/>
        <v>0</v>
      </c>
      <c r="Z5694" s="64">
        <f t="shared" si="533"/>
        <v>0</v>
      </c>
    </row>
    <row r="5695" spans="1:26">
      <c r="A5695" s="89" t="str">
        <f t="shared" si="528"/>
        <v/>
      </c>
      <c r="B5695" s="89" t="str">
        <f t="shared" si="529"/>
        <v/>
      </c>
      <c r="S5695" s="89" t="str">
        <f t="shared" si="530"/>
        <v/>
      </c>
      <c r="X5695" s="64">
        <f t="shared" si="531"/>
        <v>0</v>
      </c>
      <c r="Y5695" s="53">
        <f t="shared" si="532"/>
        <v>0</v>
      </c>
      <c r="Z5695" s="64">
        <f t="shared" si="533"/>
        <v>0</v>
      </c>
    </row>
    <row r="5696" spans="1:26">
      <c r="A5696" s="89" t="str">
        <f t="shared" si="528"/>
        <v/>
      </c>
      <c r="B5696" s="89" t="str">
        <f t="shared" si="529"/>
        <v/>
      </c>
      <c r="S5696" s="89" t="str">
        <f t="shared" si="530"/>
        <v/>
      </c>
      <c r="X5696" s="64">
        <f t="shared" si="531"/>
        <v>0</v>
      </c>
      <c r="Y5696" s="53">
        <f t="shared" si="532"/>
        <v>0</v>
      </c>
      <c r="Z5696" s="64">
        <f t="shared" si="533"/>
        <v>0</v>
      </c>
    </row>
    <row r="5697" spans="1:26">
      <c r="A5697" s="89" t="str">
        <f t="shared" si="528"/>
        <v/>
      </c>
      <c r="B5697" s="89" t="str">
        <f t="shared" si="529"/>
        <v/>
      </c>
      <c r="S5697" s="89" t="str">
        <f t="shared" si="530"/>
        <v/>
      </c>
      <c r="X5697" s="64">
        <f t="shared" si="531"/>
        <v>0</v>
      </c>
      <c r="Y5697" s="53">
        <f t="shared" si="532"/>
        <v>0</v>
      </c>
      <c r="Z5697" s="64">
        <f t="shared" si="533"/>
        <v>0</v>
      </c>
    </row>
    <row r="5698" spans="1:26">
      <c r="A5698" s="89" t="str">
        <f t="shared" si="528"/>
        <v/>
      </c>
      <c r="B5698" s="89" t="str">
        <f t="shared" si="529"/>
        <v/>
      </c>
      <c r="S5698" s="89" t="str">
        <f t="shared" si="530"/>
        <v/>
      </c>
      <c r="X5698" s="64">
        <f t="shared" si="531"/>
        <v>0</v>
      </c>
      <c r="Y5698" s="53">
        <f t="shared" si="532"/>
        <v>0</v>
      </c>
      <c r="Z5698" s="64">
        <f t="shared" si="533"/>
        <v>0</v>
      </c>
    </row>
    <row r="5699" spans="1:26">
      <c r="A5699" s="89" t="str">
        <f t="shared" ref="A5699:A5762" si="534">IF(G5699&amp;Q5699&lt;&gt;"",G5699&amp;Q5699,"")</f>
        <v/>
      </c>
      <c r="B5699" s="89" t="str">
        <f t="shared" ref="B5699:B5762" si="535">IF(C5699&lt;&gt;"",LEFT(C5699,9),"")</f>
        <v/>
      </c>
      <c r="S5699" s="89" t="str">
        <f t="shared" ref="S5699:S5762" si="536">IF(H5699&lt;&gt;"",H5699,"")</f>
        <v/>
      </c>
      <c r="X5699" s="64">
        <f t="shared" ref="X5699:X5762" si="537">IFERROR(VALUE(MID($C5699,1,2)),0)</f>
        <v>0</v>
      </c>
      <c r="Y5699" s="53">
        <f t="shared" ref="Y5699:Y5762" si="538">IFERROR(VALUE(MID($C5699,4,3)),0)</f>
        <v>0</v>
      </c>
      <c r="Z5699" s="64">
        <f t="shared" ref="Z5699:Z5762" si="539">VALUE(RIGHT("00"&amp;X5699,2)&amp;RIGHT("000"&amp;Y5699,3))</f>
        <v>0</v>
      </c>
    </row>
    <row r="5700" spans="1:26">
      <c r="A5700" s="89" t="str">
        <f t="shared" si="534"/>
        <v/>
      </c>
      <c r="B5700" s="89" t="str">
        <f t="shared" si="535"/>
        <v/>
      </c>
      <c r="S5700" s="89" t="str">
        <f t="shared" si="536"/>
        <v/>
      </c>
      <c r="X5700" s="64">
        <f t="shared" si="537"/>
        <v>0</v>
      </c>
      <c r="Y5700" s="53">
        <f t="shared" si="538"/>
        <v>0</v>
      </c>
      <c r="Z5700" s="64">
        <f t="shared" si="539"/>
        <v>0</v>
      </c>
    </row>
    <row r="5701" spans="1:26">
      <c r="A5701" s="89" t="str">
        <f t="shared" si="534"/>
        <v/>
      </c>
      <c r="B5701" s="89" t="str">
        <f t="shared" si="535"/>
        <v/>
      </c>
      <c r="S5701" s="89" t="str">
        <f t="shared" si="536"/>
        <v/>
      </c>
      <c r="X5701" s="64">
        <f t="shared" si="537"/>
        <v>0</v>
      </c>
      <c r="Y5701" s="53">
        <f t="shared" si="538"/>
        <v>0</v>
      </c>
      <c r="Z5701" s="64">
        <f t="shared" si="539"/>
        <v>0</v>
      </c>
    </row>
    <row r="5702" spans="1:26">
      <c r="A5702" s="89" t="str">
        <f t="shared" si="534"/>
        <v/>
      </c>
      <c r="B5702" s="89" t="str">
        <f t="shared" si="535"/>
        <v/>
      </c>
      <c r="S5702" s="89" t="str">
        <f t="shared" si="536"/>
        <v/>
      </c>
      <c r="X5702" s="64">
        <f t="shared" si="537"/>
        <v>0</v>
      </c>
      <c r="Y5702" s="53">
        <f t="shared" si="538"/>
        <v>0</v>
      </c>
      <c r="Z5702" s="64">
        <f t="shared" si="539"/>
        <v>0</v>
      </c>
    </row>
    <row r="5703" spans="1:26">
      <c r="A5703" s="89" t="str">
        <f t="shared" si="534"/>
        <v/>
      </c>
      <c r="B5703" s="89" t="str">
        <f t="shared" si="535"/>
        <v/>
      </c>
      <c r="S5703" s="89" t="str">
        <f t="shared" si="536"/>
        <v/>
      </c>
      <c r="X5703" s="64">
        <f t="shared" si="537"/>
        <v>0</v>
      </c>
      <c r="Y5703" s="53">
        <f t="shared" si="538"/>
        <v>0</v>
      </c>
      <c r="Z5703" s="64">
        <f t="shared" si="539"/>
        <v>0</v>
      </c>
    </row>
    <row r="5704" spans="1:26">
      <c r="A5704" s="89" t="str">
        <f t="shared" si="534"/>
        <v/>
      </c>
      <c r="B5704" s="89" t="str">
        <f t="shared" si="535"/>
        <v/>
      </c>
      <c r="S5704" s="89" t="str">
        <f t="shared" si="536"/>
        <v/>
      </c>
      <c r="X5704" s="64">
        <f t="shared" si="537"/>
        <v>0</v>
      </c>
      <c r="Y5704" s="53">
        <f t="shared" si="538"/>
        <v>0</v>
      </c>
      <c r="Z5704" s="64">
        <f t="shared" si="539"/>
        <v>0</v>
      </c>
    </row>
    <row r="5705" spans="1:26">
      <c r="A5705" s="89" t="str">
        <f t="shared" si="534"/>
        <v/>
      </c>
      <c r="B5705" s="89" t="str">
        <f t="shared" si="535"/>
        <v/>
      </c>
      <c r="S5705" s="89" t="str">
        <f t="shared" si="536"/>
        <v/>
      </c>
      <c r="X5705" s="64">
        <f t="shared" si="537"/>
        <v>0</v>
      </c>
      <c r="Y5705" s="53">
        <f t="shared" si="538"/>
        <v>0</v>
      </c>
      <c r="Z5705" s="64">
        <f t="shared" si="539"/>
        <v>0</v>
      </c>
    </row>
    <row r="5706" spans="1:26">
      <c r="A5706" s="89" t="str">
        <f t="shared" si="534"/>
        <v/>
      </c>
      <c r="B5706" s="89" t="str">
        <f t="shared" si="535"/>
        <v/>
      </c>
      <c r="S5706" s="89" t="str">
        <f t="shared" si="536"/>
        <v/>
      </c>
      <c r="X5706" s="64">
        <f t="shared" si="537"/>
        <v>0</v>
      </c>
      <c r="Y5706" s="53">
        <f t="shared" si="538"/>
        <v>0</v>
      </c>
      <c r="Z5706" s="64">
        <f t="shared" si="539"/>
        <v>0</v>
      </c>
    </row>
    <row r="5707" spans="1:26">
      <c r="A5707" s="89" t="str">
        <f t="shared" si="534"/>
        <v/>
      </c>
      <c r="B5707" s="89" t="str">
        <f t="shared" si="535"/>
        <v/>
      </c>
      <c r="S5707" s="89" t="str">
        <f t="shared" si="536"/>
        <v/>
      </c>
      <c r="X5707" s="64">
        <f t="shared" si="537"/>
        <v>0</v>
      </c>
      <c r="Y5707" s="53">
        <f t="shared" si="538"/>
        <v>0</v>
      </c>
      <c r="Z5707" s="64">
        <f t="shared" si="539"/>
        <v>0</v>
      </c>
    </row>
    <row r="5708" spans="1:26">
      <c r="A5708" s="89" t="str">
        <f t="shared" si="534"/>
        <v/>
      </c>
      <c r="B5708" s="89" t="str">
        <f t="shared" si="535"/>
        <v/>
      </c>
      <c r="S5708" s="89" t="str">
        <f t="shared" si="536"/>
        <v/>
      </c>
      <c r="X5708" s="64">
        <f t="shared" si="537"/>
        <v>0</v>
      </c>
      <c r="Y5708" s="53">
        <f t="shared" si="538"/>
        <v>0</v>
      </c>
      <c r="Z5708" s="64">
        <f t="shared" si="539"/>
        <v>0</v>
      </c>
    </row>
    <row r="5709" spans="1:26">
      <c r="A5709" s="89" t="str">
        <f t="shared" si="534"/>
        <v/>
      </c>
      <c r="B5709" s="89" t="str">
        <f t="shared" si="535"/>
        <v/>
      </c>
      <c r="S5709" s="89" t="str">
        <f t="shared" si="536"/>
        <v/>
      </c>
      <c r="X5709" s="64">
        <f t="shared" si="537"/>
        <v>0</v>
      </c>
      <c r="Y5709" s="53">
        <f t="shared" si="538"/>
        <v>0</v>
      </c>
      <c r="Z5709" s="64">
        <f t="shared" si="539"/>
        <v>0</v>
      </c>
    </row>
    <row r="5710" spans="1:26">
      <c r="A5710" s="89" t="str">
        <f t="shared" si="534"/>
        <v/>
      </c>
      <c r="B5710" s="89" t="str">
        <f t="shared" si="535"/>
        <v/>
      </c>
      <c r="S5710" s="89" t="str">
        <f t="shared" si="536"/>
        <v/>
      </c>
      <c r="X5710" s="64">
        <f t="shared" si="537"/>
        <v>0</v>
      </c>
      <c r="Y5710" s="53">
        <f t="shared" si="538"/>
        <v>0</v>
      </c>
      <c r="Z5710" s="64">
        <f t="shared" si="539"/>
        <v>0</v>
      </c>
    </row>
    <row r="5711" spans="1:26">
      <c r="A5711" s="89" t="str">
        <f t="shared" si="534"/>
        <v/>
      </c>
      <c r="B5711" s="89" t="str">
        <f t="shared" si="535"/>
        <v/>
      </c>
      <c r="S5711" s="89" t="str">
        <f t="shared" si="536"/>
        <v/>
      </c>
      <c r="X5711" s="64">
        <f t="shared" si="537"/>
        <v>0</v>
      </c>
      <c r="Y5711" s="53">
        <f t="shared" si="538"/>
        <v>0</v>
      </c>
      <c r="Z5711" s="64">
        <f t="shared" si="539"/>
        <v>0</v>
      </c>
    </row>
    <row r="5712" spans="1:26">
      <c r="A5712" s="89" t="str">
        <f t="shared" si="534"/>
        <v/>
      </c>
      <c r="B5712" s="89" t="str">
        <f t="shared" si="535"/>
        <v/>
      </c>
      <c r="S5712" s="89" t="str">
        <f t="shared" si="536"/>
        <v/>
      </c>
      <c r="X5712" s="64">
        <f t="shared" si="537"/>
        <v>0</v>
      </c>
      <c r="Y5712" s="53">
        <f t="shared" si="538"/>
        <v>0</v>
      </c>
      <c r="Z5712" s="64">
        <f t="shared" si="539"/>
        <v>0</v>
      </c>
    </row>
    <row r="5713" spans="1:26">
      <c r="A5713" s="89" t="str">
        <f t="shared" si="534"/>
        <v/>
      </c>
      <c r="B5713" s="89" t="str">
        <f t="shared" si="535"/>
        <v/>
      </c>
      <c r="S5713" s="89" t="str">
        <f t="shared" si="536"/>
        <v/>
      </c>
      <c r="X5713" s="64">
        <f t="shared" si="537"/>
        <v>0</v>
      </c>
      <c r="Y5713" s="53">
        <f t="shared" si="538"/>
        <v>0</v>
      </c>
      <c r="Z5713" s="64">
        <f t="shared" si="539"/>
        <v>0</v>
      </c>
    </row>
    <row r="5714" spans="1:26">
      <c r="A5714" s="89" t="str">
        <f t="shared" si="534"/>
        <v/>
      </c>
      <c r="B5714" s="89" t="str">
        <f t="shared" si="535"/>
        <v/>
      </c>
      <c r="S5714" s="89" t="str">
        <f t="shared" si="536"/>
        <v/>
      </c>
      <c r="X5714" s="64">
        <f t="shared" si="537"/>
        <v>0</v>
      </c>
      <c r="Y5714" s="53">
        <f t="shared" si="538"/>
        <v>0</v>
      </c>
      <c r="Z5714" s="64">
        <f t="shared" si="539"/>
        <v>0</v>
      </c>
    </row>
    <row r="5715" spans="1:26">
      <c r="A5715" s="89" t="str">
        <f t="shared" si="534"/>
        <v/>
      </c>
      <c r="B5715" s="89" t="str">
        <f t="shared" si="535"/>
        <v/>
      </c>
      <c r="S5715" s="89" t="str">
        <f t="shared" si="536"/>
        <v/>
      </c>
      <c r="X5715" s="64">
        <f t="shared" si="537"/>
        <v>0</v>
      </c>
      <c r="Y5715" s="53">
        <f t="shared" si="538"/>
        <v>0</v>
      </c>
      <c r="Z5715" s="64">
        <f t="shared" si="539"/>
        <v>0</v>
      </c>
    </row>
    <row r="5716" spans="1:26">
      <c r="A5716" s="89" t="str">
        <f t="shared" si="534"/>
        <v/>
      </c>
      <c r="B5716" s="89" t="str">
        <f t="shared" si="535"/>
        <v/>
      </c>
      <c r="S5716" s="89" t="str">
        <f t="shared" si="536"/>
        <v/>
      </c>
      <c r="X5716" s="64">
        <f t="shared" si="537"/>
        <v>0</v>
      </c>
      <c r="Y5716" s="53">
        <f t="shared" si="538"/>
        <v>0</v>
      </c>
      <c r="Z5716" s="64">
        <f t="shared" si="539"/>
        <v>0</v>
      </c>
    </row>
    <row r="5717" spans="1:26">
      <c r="A5717" s="89" t="str">
        <f t="shared" si="534"/>
        <v/>
      </c>
      <c r="B5717" s="89" t="str">
        <f t="shared" si="535"/>
        <v/>
      </c>
      <c r="S5717" s="89" t="str">
        <f t="shared" si="536"/>
        <v/>
      </c>
      <c r="X5717" s="64">
        <f t="shared" si="537"/>
        <v>0</v>
      </c>
      <c r="Y5717" s="53">
        <f t="shared" si="538"/>
        <v>0</v>
      </c>
      <c r="Z5717" s="64">
        <f t="shared" si="539"/>
        <v>0</v>
      </c>
    </row>
    <row r="5718" spans="1:26">
      <c r="A5718" s="89" t="str">
        <f t="shared" si="534"/>
        <v/>
      </c>
      <c r="B5718" s="89" t="str">
        <f t="shared" si="535"/>
        <v/>
      </c>
      <c r="S5718" s="89" t="str">
        <f t="shared" si="536"/>
        <v/>
      </c>
      <c r="X5718" s="64">
        <f t="shared" si="537"/>
        <v>0</v>
      </c>
      <c r="Y5718" s="53">
        <f t="shared" si="538"/>
        <v>0</v>
      </c>
      <c r="Z5718" s="64">
        <f t="shared" si="539"/>
        <v>0</v>
      </c>
    </row>
    <row r="5719" spans="1:26">
      <c r="A5719" s="89" t="str">
        <f t="shared" si="534"/>
        <v/>
      </c>
      <c r="B5719" s="89" t="str">
        <f t="shared" si="535"/>
        <v/>
      </c>
      <c r="S5719" s="89" t="str">
        <f t="shared" si="536"/>
        <v/>
      </c>
      <c r="X5719" s="64">
        <f t="shared" si="537"/>
        <v>0</v>
      </c>
      <c r="Y5719" s="53">
        <f t="shared" si="538"/>
        <v>0</v>
      </c>
      <c r="Z5719" s="64">
        <f t="shared" si="539"/>
        <v>0</v>
      </c>
    </row>
    <row r="5720" spans="1:26">
      <c r="A5720" s="89" t="str">
        <f t="shared" si="534"/>
        <v/>
      </c>
      <c r="B5720" s="89" t="str">
        <f t="shared" si="535"/>
        <v/>
      </c>
      <c r="S5720" s="89" t="str">
        <f t="shared" si="536"/>
        <v/>
      </c>
      <c r="X5720" s="64">
        <f t="shared" si="537"/>
        <v>0</v>
      </c>
      <c r="Y5720" s="53">
        <f t="shared" si="538"/>
        <v>0</v>
      </c>
      <c r="Z5720" s="64">
        <f t="shared" si="539"/>
        <v>0</v>
      </c>
    </row>
    <row r="5721" spans="1:26">
      <c r="A5721" s="89" t="str">
        <f t="shared" si="534"/>
        <v/>
      </c>
      <c r="B5721" s="89" t="str">
        <f t="shared" si="535"/>
        <v/>
      </c>
      <c r="S5721" s="89" t="str">
        <f t="shared" si="536"/>
        <v/>
      </c>
      <c r="X5721" s="64">
        <f t="shared" si="537"/>
        <v>0</v>
      </c>
      <c r="Y5721" s="53">
        <f t="shared" si="538"/>
        <v>0</v>
      </c>
      <c r="Z5721" s="64">
        <f t="shared" si="539"/>
        <v>0</v>
      </c>
    </row>
    <row r="5722" spans="1:26">
      <c r="A5722" s="89" t="str">
        <f t="shared" si="534"/>
        <v/>
      </c>
      <c r="B5722" s="89" t="str">
        <f t="shared" si="535"/>
        <v/>
      </c>
      <c r="S5722" s="89" t="str">
        <f t="shared" si="536"/>
        <v/>
      </c>
      <c r="X5722" s="64">
        <f t="shared" si="537"/>
        <v>0</v>
      </c>
      <c r="Y5722" s="53">
        <f t="shared" si="538"/>
        <v>0</v>
      </c>
      <c r="Z5722" s="64">
        <f t="shared" si="539"/>
        <v>0</v>
      </c>
    </row>
    <row r="5723" spans="1:26">
      <c r="A5723" s="89" t="str">
        <f t="shared" si="534"/>
        <v/>
      </c>
      <c r="B5723" s="89" t="str">
        <f t="shared" si="535"/>
        <v/>
      </c>
      <c r="S5723" s="89" t="str">
        <f t="shared" si="536"/>
        <v/>
      </c>
      <c r="X5723" s="64">
        <f t="shared" si="537"/>
        <v>0</v>
      </c>
      <c r="Y5723" s="53">
        <f t="shared" si="538"/>
        <v>0</v>
      </c>
      <c r="Z5723" s="64">
        <f t="shared" si="539"/>
        <v>0</v>
      </c>
    </row>
    <row r="5724" spans="1:26">
      <c r="A5724" s="89" t="str">
        <f t="shared" si="534"/>
        <v/>
      </c>
      <c r="B5724" s="89" t="str">
        <f t="shared" si="535"/>
        <v/>
      </c>
      <c r="S5724" s="89" t="str">
        <f t="shared" si="536"/>
        <v/>
      </c>
      <c r="X5724" s="64">
        <f t="shared" si="537"/>
        <v>0</v>
      </c>
      <c r="Y5724" s="53">
        <f t="shared" si="538"/>
        <v>0</v>
      </c>
      <c r="Z5724" s="64">
        <f t="shared" si="539"/>
        <v>0</v>
      </c>
    </row>
    <row r="5725" spans="1:26">
      <c r="A5725" s="89" t="str">
        <f t="shared" si="534"/>
        <v/>
      </c>
      <c r="B5725" s="89" t="str">
        <f t="shared" si="535"/>
        <v/>
      </c>
      <c r="S5725" s="89" t="str">
        <f t="shared" si="536"/>
        <v/>
      </c>
      <c r="X5725" s="64">
        <f t="shared" si="537"/>
        <v>0</v>
      </c>
      <c r="Y5725" s="53">
        <f t="shared" si="538"/>
        <v>0</v>
      </c>
      <c r="Z5725" s="64">
        <f t="shared" si="539"/>
        <v>0</v>
      </c>
    </row>
    <row r="5726" spans="1:26">
      <c r="A5726" s="89" t="str">
        <f t="shared" si="534"/>
        <v/>
      </c>
      <c r="B5726" s="89" t="str">
        <f t="shared" si="535"/>
        <v/>
      </c>
      <c r="S5726" s="89" t="str">
        <f t="shared" si="536"/>
        <v/>
      </c>
      <c r="X5726" s="64">
        <f t="shared" si="537"/>
        <v>0</v>
      </c>
      <c r="Y5726" s="53">
        <f t="shared" si="538"/>
        <v>0</v>
      </c>
      <c r="Z5726" s="64">
        <f t="shared" si="539"/>
        <v>0</v>
      </c>
    </row>
    <row r="5727" spans="1:26">
      <c r="A5727" s="89" t="str">
        <f t="shared" si="534"/>
        <v/>
      </c>
      <c r="B5727" s="89" t="str">
        <f t="shared" si="535"/>
        <v/>
      </c>
      <c r="S5727" s="89" t="str">
        <f t="shared" si="536"/>
        <v/>
      </c>
      <c r="X5727" s="64">
        <f t="shared" si="537"/>
        <v>0</v>
      </c>
      <c r="Y5727" s="53">
        <f t="shared" si="538"/>
        <v>0</v>
      </c>
      <c r="Z5727" s="64">
        <f t="shared" si="539"/>
        <v>0</v>
      </c>
    </row>
    <row r="5728" spans="1:26">
      <c r="A5728" s="89" t="str">
        <f t="shared" si="534"/>
        <v/>
      </c>
      <c r="B5728" s="89" t="str">
        <f t="shared" si="535"/>
        <v/>
      </c>
      <c r="S5728" s="89" t="str">
        <f t="shared" si="536"/>
        <v/>
      </c>
      <c r="X5728" s="64">
        <f t="shared" si="537"/>
        <v>0</v>
      </c>
      <c r="Y5728" s="53">
        <f t="shared" si="538"/>
        <v>0</v>
      </c>
      <c r="Z5728" s="64">
        <f t="shared" si="539"/>
        <v>0</v>
      </c>
    </row>
    <row r="5729" spans="1:26">
      <c r="A5729" s="89" t="str">
        <f t="shared" si="534"/>
        <v/>
      </c>
      <c r="B5729" s="89" t="str">
        <f t="shared" si="535"/>
        <v/>
      </c>
      <c r="S5729" s="89" t="str">
        <f t="shared" si="536"/>
        <v/>
      </c>
      <c r="X5729" s="64">
        <f t="shared" si="537"/>
        <v>0</v>
      </c>
      <c r="Y5729" s="53">
        <f t="shared" si="538"/>
        <v>0</v>
      </c>
      <c r="Z5729" s="64">
        <f t="shared" si="539"/>
        <v>0</v>
      </c>
    </row>
    <row r="5730" spans="1:26">
      <c r="A5730" s="89" t="str">
        <f t="shared" si="534"/>
        <v/>
      </c>
      <c r="B5730" s="89" t="str">
        <f t="shared" si="535"/>
        <v/>
      </c>
      <c r="S5730" s="89" t="str">
        <f t="shared" si="536"/>
        <v/>
      </c>
      <c r="X5730" s="64">
        <f t="shared" si="537"/>
        <v>0</v>
      </c>
      <c r="Y5730" s="53">
        <f t="shared" si="538"/>
        <v>0</v>
      </c>
      <c r="Z5730" s="64">
        <f t="shared" si="539"/>
        <v>0</v>
      </c>
    </row>
    <row r="5731" spans="1:26">
      <c r="A5731" s="89" t="str">
        <f t="shared" si="534"/>
        <v/>
      </c>
      <c r="B5731" s="89" t="str">
        <f t="shared" si="535"/>
        <v/>
      </c>
      <c r="S5731" s="89" t="str">
        <f t="shared" si="536"/>
        <v/>
      </c>
      <c r="X5731" s="64">
        <f t="shared" si="537"/>
        <v>0</v>
      </c>
      <c r="Y5731" s="53">
        <f t="shared" si="538"/>
        <v>0</v>
      </c>
      <c r="Z5731" s="64">
        <f t="shared" si="539"/>
        <v>0</v>
      </c>
    </row>
    <row r="5732" spans="1:26">
      <c r="A5732" s="89" t="str">
        <f t="shared" si="534"/>
        <v/>
      </c>
      <c r="B5732" s="89" t="str">
        <f t="shared" si="535"/>
        <v/>
      </c>
      <c r="S5732" s="89" t="str">
        <f t="shared" si="536"/>
        <v/>
      </c>
      <c r="X5732" s="64">
        <f t="shared" si="537"/>
        <v>0</v>
      </c>
      <c r="Y5732" s="53">
        <f t="shared" si="538"/>
        <v>0</v>
      </c>
      <c r="Z5732" s="64">
        <f t="shared" si="539"/>
        <v>0</v>
      </c>
    </row>
    <row r="5733" spans="1:26">
      <c r="A5733" s="89" t="str">
        <f t="shared" si="534"/>
        <v/>
      </c>
      <c r="B5733" s="89" t="str">
        <f t="shared" si="535"/>
        <v/>
      </c>
      <c r="S5733" s="89" t="str">
        <f t="shared" si="536"/>
        <v/>
      </c>
      <c r="X5733" s="64">
        <f t="shared" si="537"/>
        <v>0</v>
      </c>
      <c r="Y5733" s="53">
        <f t="shared" si="538"/>
        <v>0</v>
      </c>
      <c r="Z5733" s="64">
        <f t="shared" si="539"/>
        <v>0</v>
      </c>
    </row>
    <row r="5734" spans="1:26">
      <c r="A5734" s="89" t="str">
        <f t="shared" si="534"/>
        <v/>
      </c>
      <c r="B5734" s="89" t="str">
        <f t="shared" si="535"/>
        <v/>
      </c>
      <c r="S5734" s="89" t="str">
        <f t="shared" si="536"/>
        <v/>
      </c>
      <c r="X5734" s="64">
        <f t="shared" si="537"/>
        <v>0</v>
      </c>
      <c r="Y5734" s="53">
        <f t="shared" si="538"/>
        <v>0</v>
      </c>
      <c r="Z5734" s="64">
        <f t="shared" si="539"/>
        <v>0</v>
      </c>
    </row>
    <row r="5735" spans="1:26">
      <c r="A5735" s="89" t="str">
        <f t="shared" si="534"/>
        <v/>
      </c>
      <c r="B5735" s="89" t="str">
        <f t="shared" si="535"/>
        <v/>
      </c>
      <c r="S5735" s="89" t="str">
        <f t="shared" si="536"/>
        <v/>
      </c>
      <c r="X5735" s="64">
        <f t="shared" si="537"/>
        <v>0</v>
      </c>
      <c r="Y5735" s="53">
        <f t="shared" si="538"/>
        <v>0</v>
      </c>
      <c r="Z5735" s="64">
        <f t="shared" si="539"/>
        <v>0</v>
      </c>
    </row>
    <row r="5736" spans="1:26">
      <c r="A5736" s="89" t="str">
        <f t="shared" si="534"/>
        <v/>
      </c>
      <c r="B5736" s="89" t="str">
        <f t="shared" si="535"/>
        <v/>
      </c>
      <c r="S5736" s="89" t="str">
        <f t="shared" si="536"/>
        <v/>
      </c>
      <c r="X5736" s="64">
        <f t="shared" si="537"/>
        <v>0</v>
      </c>
      <c r="Y5736" s="53">
        <f t="shared" si="538"/>
        <v>0</v>
      </c>
      <c r="Z5736" s="64">
        <f t="shared" si="539"/>
        <v>0</v>
      </c>
    </row>
    <row r="5737" spans="1:26">
      <c r="A5737" s="89" t="str">
        <f t="shared" si="534"/>
        <v/>
      </c>
      <c r="B5737" s="89" t="str">
        <f t="shared" si="535"/>
        <v/>
      </c>
      <c r="S5737" s="89" t="str">
        <f t="shared" si="536"/>
        <v/>
      </c>
      <c r="X5737" s="64">
        <f t="shared" si="537"/>
        <v>0</v>
      </c>
      <c r="Y5737" s="53">
        <f t="shared" si="538"/>
        <v>0</v>
      </c>
      <c r="Z5737" s="64">
        <f t="shared" si="539"/>
        <v>0</v>
      </c>
    </row>
    <row r="5738" spans="1:26">
      <c r="A5738" s="89" t="str">
        <f t="shared" si="534"/>
        <v/>
      </c>
      <c r="B5738" s="89" t="str">
        <f t="shared" si="535"/>
        <v/>
      </c>
      <c r="S5738" s="89" t="str">
        <f t="shared" si="536"/>
        <v/>
      </c>
      <c r="X5738" s="64">
        <f t="shared" si="537"/>
        <v>0</v>
      </c>
      <c r="Y5738" s="53">
        <f t="shared" si="538"/>
        <v>0</v>
      </c>
      <c r="Z5738" s="64">
        <f t="shared" si="539"/>
        <v>0</v>
      </c>
    </row>
    <row r="5739" spans="1:26">
      <c r="A5739" s="89" t="str">
        <f t="shared" si="534"/>
        <v/>
      </c>
      <c r="B5739" s="89" t="str">
        <f t="shared" si="535"/>
        <v/>
      </c>
      <c r="S5739" s="89" t="str">
        <f t="shared" si="536"/>
        <v/>
      </c>
      <c r="X5739" s="64">
        <f t="shared" si="537"/>
        <v>0</v>
      </c>
      <c r="Y5739" s="53">
        <f t="shared" si="538"/>
        <v>0</v>
      </c>
      <c r="Z5739" s="64">
        <f t="shared" si="539"/>
        <v>0</v>
      </c>
    </row>
    <row r="5740" spans="1:26">
      <c r="A5740" s="89" t="str">
        <f t="shared" si="534"/>
        <v/>
      </c>
      <c r="B5740" s="89" t="str">
        <f t="shared" si="535"/>
        <v/>
      </c>
      <c r="S5740" s="89" t="str">
        <f t="shared" si="536"/>
        <v/>
      </c>
      <c r="X5740" s="64">
        <f t="shared" si="537"/>
        <v>0</v>
      </c>
      <c r="Y5740" s="53">
        <f t="shared" si="538"/>
        <v>0</v>
      </c>
      <c r="Z5740" s="64">
        <f t="shared" si="539"/>
        <v>0</v>
      </c>
    </row>
    <row r="5741" spans="1:26">
      <c r="A5741" s="89" t="str">
        <f t="shared" si="534"/>
        <v/>
      </c>
      <c r="B5741" s="89" t="str">
        <f t="shared" si="535"/>
        <v/>
      </c>
      <c r="S5741" s="89" t="str">
        <f t="shared" si="536"/>
        <v/>
      </c>
      <c r="X5741" s="64">
        <f t="shared" si="537"/>
        <v>0</v>
      </c>
      <c r="Y5741" s="53">
        <f t="shared" si="538"/>
        <v>0</v>
      </c>
      <c r="Z5741" s="64">
        <f t="shared" si="539"/>
        <v>0</v>
      </c>
    </row>
    <row r="5742" spans="1:26">
      <c r="A5742" s="89" t="str">
        <f t="shared" si="534"/>
        <v/>
      </c>
      <c r="B5742" s="89" t="str">
        <f t="shared" si="535"/>
        <v/>
      </c>
      <c r="S5742" s="89" t="str">
        <f t="shared" si="536"/>
        <v/>
      </c>
      <c r="X5742" s="64">
        <f t="shared" si="537"/>
        <v>0</v>
      </c>
      <c r="Y5742" s="53">
        <f t="shared" si="538"/>
        <v>0</v>
      </c>
      <c r="Z5742" s="64">
        <f t="shared" si="539"/>
        <v>0</v>
      </c>
    </row>
    <row r="5743" spans="1:26">
      <c r="A5743" s="89" t="str">
        <f t="shared" si="534"/>
        <v/>
      </c>
      <c r="B5743" s="89" t="str">
        <f t="shared" si="535"/>
        <v/>
      </c>
      <c r="S5743" s="89" t="str">
        <f t="shared" si="536"/>
        <v/>
      </c>
      <c r="X5743" s="64">
        <f t="shared" si="537"/>
        <v>0</v>
      </c>
      <c r="Y5743" s="53">
        <f t="shared" si="538"/>
        <v>0</v>
      </c>
      <c r="Z5743" s="64">
        <f t="shared" si="539"/>
        <v>0</v>
      </c>
    </row>
    <row r="5744" spans="1:26">
      <c r="A5744" s="89" t="str">
        <f t="shared" si="534"/>
        <v/>
      </c>
      <c r="B5744" s="89" t="str">
        <f t="shared" si="535"/>
        <v/>
      </c>
      <c r="S5744" s="89" t="str">
        <f t="shared" si="536"/>
        <v/>
      </c>
      <c r="X5744" s="64">
        <f t="shared" si="537"/>
        <v>0</v>
      </c>
      <c r="Y5744" s="53">
        <f t="shared" si="538"/>
        <v>0</v>
      </c>
      <c r="Z5744" s="64">
        <f t="shared" si="539"/>
        <v>0</v>
      </c>
    </row>
    <row r="5745" spans="1:26">
      <c r="A5745" s="89" t="str">
        <f t="shared" si="534"/>
        <v/>
      </c>
      <c r="B5745" s="89" t="str">
        <f t="shared" si="535"/>
        <v/>
      </c>
      <c r="S5745" s="89" t="str">
        <f t="shared" si="536"/>
        <v/>
      </c>
      <c r="X5745" s="64">
        <f t="shared" si="537"/>
        <v>0</v>
      </c>
      <c r="Y5745" s="53">
        <f t="shared" si="538"/>
        <v>0</v>
      </c>
      <c r="Z5745" s="64">
        <f t="shared" si="539"/>
        <v>0</v>
      </c>
    </row>
    <row r="5746" spans="1:26">
      <c r="A5746" s="89" t="str">
        <f t="shared" si="534"/>
        <v/>
      </c>
      <c r="B5746" s="89" t="str">
        <f t="shared" si="535"/>
        <v/>
      </c>
      <c r="S5746" s="89" t="str">
        <f t="shared" si="536"/>
        <v/>
      </c>
      <c r="X5746" s="64">
        <f t="shared" si="537"/>
        <v>0</v>
      </c>
      <c r="Y5746" s="53">
        <f t="shared" si="538"/>
        <v>0</v>
      </c>
      <c r="Z5746" s="64">
        <f t="shared" si="539"/>
        <v>0</v>
      </c>
    </row>
    <row r="5747" spans="1:26">
      <c r="A5747" s="89" t="str">
        <f t="shared" si="534"/>
        <v/>
      </c>
      <c r="B5747" s="89" t="str">
        <f t="shared" si="535"/>
        <v/>
      </c>
      <c r="S5747" s="89" t="str">
        <f t="shared" si="536"/>
        <v/>
      </c>
      <c r="X5747" s="64">
        <f t="shared" si="537"/>
        <v>0</v>
      </c>
      <c r="Y5747" s="53">
        <f t="shared" si="538"/>
        <v>0</v>
      </c>
      <c r="Z5747" s="64">
        <f t="shared" si="539"/>
        <v>0</v>
      </c>
    </row>
    <row r="5748" spans="1:26">
      <c r="A5748" s="89" t="str">
        <f t="shared" si="534"/>
        <v/>
      </c>
      <c r="B5748" s="89" t="str">
        <f t="shared" si="535"/>
        <v/>
      </c>
      <c r="S5748" s="89" t="str">
        <f t="shared" si="536"/>
        <v/>
      </c>
      <c r="X5748" s="64">
        <f t="shared" si="537"/>
        <v>0</v>
      </c>
      <c r="Y5748" s="53">
        <f t="shared" si="538"/>
        <v>0</v>
      </c>
      <c r="Z5748" s="64">
        <f t="shared" si="539"/>
        <v>0</v>
      </c>
    </row>
    <row r="5749" spans="1:26">
      <c r="A5749" s="89" t="str">
        <f t="shared" si="534"/>
        <v/>
      </c>
      <c r="B5749" s="89" t="str">
        <f t="shared" si="535"/>
        <v/>
      </c>
      <c r="S5749" s="89" t="str">
        <f t="shared" si="536"/>
        <v/>
      </c>
      <c r="X5749" s="64">
        <f t="shared" si="537"/>
        <v>0</v>
      </c>
      <c r="Y5749" s="53">
        <f t="shared" si="538"/>
        <v>0</v>
      </c>
      <c r="Z5749" s="64">
        <f t="shared" si="539"/>
        <v>0</v>
      </c>
    </row>
    <row r="5750" spans="1:26">
      <c r="A5750" s="89" t="str">
        <f t="shared" si="534"/>
        <v/>
      </c>
      <c r="B5750" s="89" t="str">
        <f t="shared" si="535"/>
        <v/>
      </c>
      <c r="S5750" s="89" t="str">
        <f t="shared" si="536"/>
        <v/>
      </c>
      <c r="X5750" s="64">
        <f t="shared" si="537"/>
        <v>0</v>
      </c>
      <c r="Y5750" s="53">
        <f t="shared" si="538"/>
        <v>0</v>
      </c>
      <c r="Z5750" s="64">
        <f t="shared" si="539"/>
        <v>0</v>
      </c>
    </row>
    <row r="5751" spans="1:26">
      <c r="A5751" s="89" t="str">
        <f t="shared" si="534"/>
        <v/>
      </c>
      <c r="B5751" s="89" t="str">
        <f t="shared" si="535"/>
        <v/>
      </c>
      <c r="S5751" s="89" t="str">
        <f t="shared" si="536"/>
        <v/>
      </c>
      <c r="X5751" s="64">
        <f t="shared" si="537"/>
        <v>0</v>
      </c>
      <c r="Y5751" s="53">
        <f t="shared" si="538"/>
        <v>0</v>
      </c>
      <c r="Z5751" s="64">
        <f t="shared" si="539"/>
        <v>0</v>
      </c>
    </row>
    <row r="5752" spans="1:26">
      <c r="A5752" s="89" t="str">
        <f t="shared" si="534"/>
        <v/>
      </c>
      <c r="B5752" s="89" t="str">
        <f t="shared" si="535"/>
        <v/>
      </c>
      <c r="S5752" s="89" t="str">
        <f t="shared" si="536"/>
        <v/>
      </c>
      <c r="X5752" s="64">
        <f t="shared" si="537"/>
        <v>0</v>
      </c>
      <c r="Y5752" s="53">
        <f t="shared" si="538"/>
        <v>0</v>
      </c>
      <c r="Z5752" s="64">
        <f t="shared" si="539"/>
        <v>0</v>
      </c>
    </row>
    <row r="5753" spans="1:26">
      <c r="A5753" s="89" t="str">
        <f t="shared" si="534"/>
        <v/>
      </c>
      <c r="B5753" s="89" t="str">
        <f t="shared" si="535"/>
        <v/>
      </c>
      <c r="S5753" s="89" t="str">
        <f t="shared" si="536"/>
        <v/>
      </c>
      <c r="X5753" s="64">
        <f t="shared" si="537"/>
        <v>0</v>
      </c>
      <c r="Y5753" s="53">
        <f t="shared" si="538"/>
        <v>0</v>
      </c>
      <c r="Z5753" s="64">
        <f t="shared" si="539"/>
        <v>0</v>
      </c>
    </row>
    <row r="5754" spans="1:26">
      <c r="A5754" s="89" t="str">
        <f t="shared" si="534"/>
        <v/>
      </c>
      <c r="B5754" s="89" t="str">
        <f t="shared" si="535"/>
        <v/>
      </c>
      <c r="S5754" s="89" t="str">
        <f t="shared" si="536"/>
        <v/>
      </c>
      <c r="X5754" s="64">
        <f t="shared" si="537"/>
        <v>0</v>
      </c>
      <c r="Y5754" s="53">
        <f t="shared" si="538"/>
        <v>0</v>
      </c>
      <c r="Z5754" s="64">
        <f t="shared" si="539"/>
        <v>0</v>
      </c>
    </row>
    <row r="5755" spans="1:26">
      <c r="A5755" s="89" t="str">
        <f t="shared" si="534"/>
        <v/>
      </c>
      <c r="B5755" s="89" t="str">
        <f t="shared" si="535"/>
        <v/>
      </c>
      <c r="S5755" s="89" t="str">
        <f t="shared" si="536"/>
        <v/>
      </c>
      <c r="X5755" s="64">
        <f t="shared" si="537"/>
        <v>0</v>
      </c>
      <c r="Y5755" s="53">
        <f t="shared" si="538"/>
        <v>0</v>
      </c>
      <c r="Z5755" s="64">
        <f t="shared" si="539"/>
        <v>0</v>
      </c>
    </row>
    <row r="5756" spans="1:26">
      <c r="A5756" s="89" t="str">
        <f t="shared" si="534"/>
        <v/>
      </c>
      <c r="B5756" s="89" t="str">
        <f t="shared" si="535"/>
        <v/>
      </c>
      <c r="S5756" s="89" t="str">
        <f t="shared" si="536"/>
        <v/>
      </c>
      <c r="X5756" s="64">
        <f t="shared" si="537"/>
        <v>0</v>
      </c>
      <c r="Y5756" s="53">
        <f t="shared" si="538"/>
        <v>0</v>
      </c>
      <c r="Z5756" s="64">
        <f t="shared" si="539"/>
        <v>0</v>
      </c>
    </row>
    <row r="5757" spans="1:26">
      <c r="A5757" s="89" t="str">
        <f t="shared" si="534"/>
        <v/>
      </c>
      <c r="B5757" s="89" t="str">
        <f t="shared" si="535"/>
        <v/>
      </c>
      <c r="S5757" s="89" t="str">
        <f t="shared" si="536"/>
        <v/>
      </c>
      <c r="X5757" s="64">
        <f t="shared" si="537"/>
        <v>0</v>
      </c>
      <c r="Y5757" s="53">
        <f t="shared" si="538"/>
        <v>0</v>
      </c>
      <c r="Z5757" s="64">
        <f t="shared" si="539"/>
        <v>0</v>
      </c>
    </row>
    <row r="5758" spans="1:26">
      <c r="A5758" s="89" t="str">
        <f t="shared" si="534"/>
        <v/>
      </c>
      <c r="B5758" s="89" t="str">
        <f t="shared" si="535"/>
        <v/>
      </c>
      <c r="S5758" s="89" t="str">
        <f t="shared" si="536"/>
        <v/>
      </c>
      <c r="X5758" s="64">
        <f t="shared" si="537"/>
        <v>0</v>
      </c>
      <c r="Y5758" s="53">
        <f t="shared" si="538"/>
        <v>0</v>
      </c>
      <c r="Z5758" s="64">
        <f t="shared" si="539"/>
        <v>0</v>
      </c>
    </row>
    <row r="5759" spans="1:26">
      <c r="A5759" s="89" t="str">
        <f t="shared" si="534"/>
        <v/>
      </c>
      <c r="B5759" s="89" t="str">
        <f t="shared" si="535"/>
        <v/>
      </c>
      <c r="S5759" s="89" t="str">
        <f t="shared" si="536"/>
        <v/>
      </c>
      <c r="X5759" s="64">
        <f t="shared" si="537"/>
        <v>0</v>
      </c>
      <c r="Y5759" s="53">
        <f t="shared" si="538"/>
        <v>0</v>
      </c>
      <c r="Z5759" s="64">
        <f t="shared" si="539"/>
        <v>0</v>
      </c>
    </row>
    <row r="5760" spans="1:26">
      <c r="A5760" s="89" t="str">
        <f t="shared" si="534"/>
        <v/>
      </c>
      <c r="B5760" s="89" t="str">
        <f t="shared" si="535"/>
        <v/>
      </c>
      <c r="S5760" s="89" t="str">
        <f t="shared" si="536"/>
        <v/>
      </c>
      <c r="X5760" s="64">
        <f t="shared" si="537"/>
        <v>0</v>
      </c>
      <c r="Y5760" s="53">
        <f t="shared" si="538"/>
        <v>0</v>
      </c>
      <c r="Z5760" s="64">
        <f t="shared" si="539"/>
        <v>0</v>
      </c>
    </row>
    <row r="5761" spans="1:26">
      <c r="A5761" s="89" t="str">
        <f t="shared" si="534"/>
        <v/>
      </c>
      <c r="B5761" s="89" t="str">
        <f t="shared" si="535"/>
        <v/>
      </c>
      <c r="S5761" s="89" t="str">
        <f t="shared" si="536"/>
        <v/>
      </c>
      <c r="X5761" s="64">
        <f t="shared" si="537"/>
        <v>0</v>
      </c>
      <c r="Y5761" s="53">
        <f t="shared" si="538"/>
        <v>0</v>
      </c>
      <c r="Z5761" s="64">
        <f t="shared" si="539"/>
        <v>0</v>
      </c>
    </row>
    <row r="5762" spans="1:26">
      <c r="A5762" s="89" t="str">
        <f t="shared" si="534"/>
        <v/>
      </c>
      <c r="B5762" s="89" t="str">
        <f t="shared" si="535"/>
        <v/>
      </c>
      <c r="S5762" s="89" t="str">
        <f t="shared" si="536"/>
        <v/>
      </c>
      <c r="X5762" s="64">
        <f t="shared" si="537"/>
        <v>0</v>
      </c>
      <c r="Y5762" s="53">
        <f t="shared" si="538"/>
        <v>0</v>
      </c>
      <c r="Z5762" s="64">
        <f t="shared" si="539"/>
        <v>0</v>
      </c>
    </row>
    <row r="5763" spans="1:26">
      <c r="A5763" s="89" t="str">
        <f t="shared" ref="A5763:A5826" si="540">IF(G5763&amp;Q5763&lt;&gt;"",G5763&amp;Q5763,"")</f>
        <v/>
      </c>
      <c r="B5763" s="89" t="str">
        <f t="shared" ref="B5763:B5826" si="541">IF(C5763&lt;&gt;"",LEFT(C5763,9),"")</f>
        <v/>
      </c>
      <c r="S5763" s="89" t="str">
        <f t="shared" ref="S5763:S5826" si="542">IF(H5763&lt;&gt;"",H5763,"")</f>
        <v/>
      </c>
      <c r="X5763" s="64">
        <f t="shared" ref="X5763:X5826" si="543">IFERROR(VALUE(MID($C5763,1,2)),0)</f>
        <v>0</v>
      </c>
      <c r="Y5763" s="53">
        <f t="shared" ref="Y5763:Y5826" si="544">IFERROR(VALUE(MID($C5763,4,3)),0)</f>
        <v>0</v>
      </c>
      <c r="Z5763" s="64">
        <f t="shared" ref="Z5763:Z5826" si="545">VALUE(RIGHT("00"&amp;X5763,2)&amp;RIGHT("000"&amp;Y5763,3))</f>
        <v>0</v>
      </c>
    </row>
    <row r="5764" spans="1:26">
      <c r="A5764" s="89" t="str">
        <f t="shared" si="540"/>
        <v/>
      </c>
      <c r="B5764" s="89" t="str">
        <f t="shared" si="541"/>
        <v/>
      </c>
      <c r="S5764" s="89" t="str">
        <f t="shared" si="542"/>
        <v/>
      </c>
      <c r="X5764" s="64">
        <f t="shared" si="543"/>
        <v>0</v>
      </c>
      <c r="Y5764" s="53">
        <f t="shared" si="544"/>
        <v>0</v>
      </c>
      <c r="Z5764" s="64">
        <f t="shared" si="545"/>
        <v>0</v>
      </c>
    </row>
    <row r="5765" spans="1:26">
      <c r="A5765" s="89" t="str">
        <f t="shared" si="540"/>
        <v/>
      </c>
      <c r="B5765" s="89" t="str">
        <f t="shared" si="541"/>
        <v/>
      </c>
      <c r="S5765" s="89" t="str">
        <f t="shared" si="542"/>
        <v/>
      </c>
      <c r="X5765" s="64">
        <f t="shared" si="543"/>
        <v>0</v>
      </c>
      <c r="Y5765" s="53">
        <f t="shared" si="544"/>
        <v>0</v>
      </c>
      <c r="Z5765" s="64">
        <f t="shared" si="545"/>
        <v>0</v>
      </c>
    </row>
    <row r="5766" spans="1:26">
      <c r="A5766" s="89" t="str">
        <f t="shared" si="540"/>
        <v/>
      </c>
      <c r="B5766" s="89" t="str">
        <f t="shared" si="541"/>
        <v/>
      </c>
      <c r="S5766" s="89" t="str">
        <f t="shared" si="542"/>
        <v/>
      </c>
      <c r="X5766" s="64">
        <f t="shared" si="543"/>
        <v>0</v>
      </c>
      <c r="Y5766" s="53">
        <f t="shared" si="544"/>
        <v>0</v>
      </c>
      <c r="Z5766" s="64">
        <f t="shared" si="545"/>
        <v>0</v>
      </c>
    </row>
    <row r="5767" spans="1:26">
      <c r="A5767" s="89" t="str">
        <f t="shared" si="540"/>
        <v/>
      </c>
      <c r="B5767" s="89" t="str">
        <f t="shared" si="541"/>
        <v/>
      </c>
      <c r="S5767" s="89" t="str">
        <f t="shared" si="542"/>
        <v/>
      </c>
      <c r="X5767" s="64">
        <f t="shared" si="543"/>
        <v>0</v>
      </c>
      <c r="Y5767" s="53">
        <f t="shared" si="544"/>
        <v>0</v>
      </c>
      <c r="Z5767" s="64">
        <f t="shared" si="545"/>
        <v>0</v>
      </c>
    </row>
    <row r="5768" spans="1:26">
      <c r="A5768" s="89" t="str">
        <f t="shared" si="540"/>
        <v/>
      </c>
      <c r="B5768" s="89" t="str">
        <f t="shared" si="541"/>
        <v/>
      </c>
      <c r="S5768" s="89" t="str">
        <f t="shared" si="542"/>
        <v/>
      </c>
      <c r="X5768" s="64">
        <f t="shared" si="543"/>
        <v>0</v>
      </c>
      <c r="Y5768" s="53">
        <f t="shared" si="544"/>
        <v>0</v>
      </c>
      <c r="Z5768" s="64">
        <f t="shared" si="545"/>
        <v>0</v>
      </c>
    </row>
    <row r="5769" spans="1:26">
      <c r="A5769" s="89" t="str">
        <f t="shared" si="540"/>
        <v/>
      </c>
      <c r="B5769" s="89" t="str">
        <f t="shared" si="541"/>
        <v/>
      </c>
      <c r="S5769" s="89" t="str">
        <f t="shared" si="542"/>
        <v/>
      </c>
      <c r="X5769" s="64">
        <f t="shared" si="543"/>
        <v>0</v>
      </c>
      <c r="Y5769" s="53">
        <f t="shared" si="544"/>
        <v>0</v>
      </c>
      <c r="Z5769" s="64">
        <f t="shared" si="545"/>
        <v>0</v>
      </c>
    </row>
    <row r="5770" spans="1:26">
      <c r="A5770" s="89" t="str">
        <f t="shared" si="540"/>
        <v/>
      </c>
      <c r="B5770" s="89" t="str">
        <f t="shared" si="541"/>
        <v/>
      </c>
      <c r="S5770" s="89" t="str">
        <f t="shared" si="542"/>
        <v/>
      </c>
      <c r="X5770" s="64">
        <f t="shared" si="543"/>
        <v>0</v>
      </c>
      <c r="Y5770" s="53">
        <f t="shared" si="544"/>
        <v>0</v>
      </c>
      <c r="Z5770" s="64">
        <f t="shared" si="545"/>
        <v>0</v>
      </c>
    </row>
    <row r="5771" spans="1:26">
      <c r="A5771" s="89" t="str">
        <f t="shared" si="540"/>
        <v/>
      </c>
      <c r="B5771" s="89" t="str">
        <f t="shared" si="541"/>
        <v/>
      </c>
      <c r="S5771" s="89" t="str">
        <f t="shared" si="542"/>
        <v/>
      </c>
      <c r="X5771" s="64">
        <f t="shared" si="543"/>
        <v>0</v>
      </c>
      <c r="Y5771" s="53">
        <f t="shared" si="544"/>
        <v>0</v>
      </c>
      <c r="Z5771" s="64">
        <f t="shared" si="545"/>
        <v>0</v>
      </c>
    </row>
    <row r="5772" spans="1:26">
      <c r="A5772" s="89" t="str">
        <f t="shared" si="540"/>
        <v/>
      </c>
      <c r="B5772" s="89" t="str">
        <f t="shared" si="541"/>
        <v/>
      </c>
      <c r="S5772" s="89" t="str">
        <f t="shared" si="542"/>
        <v/>
      </c>
      <c r="X5772" s="64">
        <f t="shared" si="543"/>
        <v>0</v>
      </c>
      <c r="Y5772" s="53">
        <f t="shared" si="544"/>
        <v>0</v>
      </c>
      <c r="Z5772" s="64">
        <f t="shared" si="545"/>
        <v>0</v>
      </c>
    </row>
    <row r="5773" spans="1:26">
      <c r="A5773" s="89" t="str">
        <f t="shared" si="540"/>
        <v/>
      </c>
      <c r="B5773" s="89" t="str">
        <f t="shared" si="541"/>
        <v/>
      </c>
      <c r="S5773" s="89" t="str">
        <f t="shared" si="542"/>
        <v/>
      </c>
      <c r="X5773" s="64">
        <f t="shared" si="543"/>
        <v>0</v>
      </c>
      <c r="Y5773" s="53">
        <f t="shared" si="544"/>
        <v>0</v>
      </c>
      <c r="Z5773" s="64">
        <f t="shared" si="545"/>
        <v>0</v>
      </c>
    </row>
    <row r="5774" spans="1:26">
      <c r="A5774" s="89" t="str">
        <f t="shared" si="540"/>
        <v/>
      </c>
      <c r="B5774" s="89" t="str">
        <f t="shared" si="541"/>
        <v/>
      </c>
      <c r="S5774" s="89" t="str">
        <f t="shared" si="542"/>
        <v/>
      </c>
      <c r="X5774" s="64">
        <f t="shared" si="543"/>
        <v>0</v>
      </c>
      <c r="Y5774" s="53">
        <f t="shared" si="544"/>
        <v>0</v>
      </c>
      <c r="Z5774" s="64">
        <f t="shared" si="545"/>
        <v>0</v>
      </c>
    </row>
    <row r="5775" spans="1:26">
      <c r="A5775" s="89" t="str">
        <f t="shared" si="540"/>
        <v/>
      </c>
      <c r="B5775" s="89" t="str">
        <f t="shared" si="541"/>
        <v/>
      </c>
      <c r="S5775" s="89" t="str">
        <f t="shared" si="542"/>
        <v/>
      </c>
      <c r="X5775" s="64">
        <f t="shared" si="543"/>
        <v>0</v>
      </c>
      <c r="Y5775" s="53">
        <f t="shared" si="544"/>
        <v>0</v>
      </c>
      <c r="Z5775" s="64">
        <f t="shared" si="545"/>
        <v>0</v>
      </c>
    </row>
    <row r="5776" spans="1:26">
      <c r="A5776" s="89" t="str">
        <f t="shared" si="540"/>
        <v/>
      </c>
      <c r="B5776" s="89" t="str">
        <f t="shared" si="541"/>
        <v/>
      </c>
      <c r="S5776" s="89" t="str">
        <f t="shared" si="542"/>
        <v/>
      </c>
      <c r="X5776" s="64">
        <f t="shared" si="543"/>
        <v>0</v>
      </c>
      <c r="Y5776" s="53">
        <f t="shared" si="544"/>
        <v>0</v>
      </c>
      <c r="Z5776" s="64">
        <f t="shared" si="545"/>
        <v>0</v>
      </c>
    </row>
    <row r="5777" spans="1:26">
      <c r="A5777" s="89" t="str">
        <f t="shared" si="540"/>
        <v/>
      </c>
      <c r="B5777" s="89" t="str">
        <f t="shared" si="541"/>
        <v/>
      </c>
      <c r="S5777" s="89" t="str">
        <f t="shared" si="542"/>
        <v/>
      </c>
      <c r="X5777" s="64">
        <f t="shared" si="543"/>
        <v>0</v>
      </c>
      <c r="Y5777" s="53">
        <f t="shared" si="544"/>
        <v>0</v>
      </c>
      <c r="Z5777" s="64">
        <f t="shared" si="545"/>
        <v>0</v>
      </c>
    </row>
    <row r="5778" spans="1:26">
      <c r="A5778" s="89" t="str">
        <f t="shared" si="540"/>
        <v/>
      </c>
      <c r="B5778" s="89" t="str">
        <f t="shared" si="541"/>
        <v/>
      </c>
      <c r="S5778" s="89" t="str">
        <f t="shared" si="542"/>
        <v/>
      </c>
      <c r="X5778" s="64">
        <f t="shared" si="543"/>
        <v>0</v>
      </c>
      <c r="Y5778" s="53">
        <f t="shared" si="544"/>
        <v>0</v>
      </c>
      <c r="Z5778" s="64">
        <f t="shared" si="545"/>
        <v>0</v>
      </c>
    </row>
    <row r="5779" spans="1:26">
      <c r="A5779" s="89" t="str">
        <f t="shared" si="540"/>
        <v/>
      </c>
      <c r="B5779" s="89" t="str">
        <f t="shared" si="541"/>
        <v/>
      </c>
      <c r="S5779" s="89" t="str">
        <f t="shared" si="542"/>
        <v/>
      </c>
      <c r="X5779" s="64">
        <f t="shared" si="543"/>
        <v>0</v>
      </c>
      <c r="Y5779" s="53">
        <f t="shared" si="544"/>
        <v>0</v>
      </c>
      <c r="Z5779" s="64">
        <f t="shared" si="545"/>
        <v>0</v>
      </c>
    </row>
    <row r="5780" spans="1:26">
      <c r="A5780" s="89" t="str">
        <f t="shared" si="540"/>
        <v/>
      </c>
      <c r="B5780" s="89" t="str">
        <f t="shared" si="541"/>
        <v/>
      </c>
      <c r="S5780" s="89" t="str">
        <f t="shared" si="542"/>
        <v/>
      </c>
      <c r="X5780" s="64">
        <f t="shared" si="543"/>
        <v>0</v>
      </c>
      <c r="Y5780" s="53">
        <f t="shared" si="544"/>
        <v>0</v>
      </c>
      <c r="Z5780" s="64">
        <f t="shared" si="545"/>
        <v>0</v>
      </c>
    </row>
    <row r="5781" spans="1:26">
      <c r="A5781" s="89" t="str">
        <f t="shared" si="540"/>
        <v/>
      </c>
      <c r="B5781" s="89" t="str">
        <f t="shared" si="541"/>
        <v/>
      </c>
      <c r="S5781" s="89" t="str">
        <f t="shared" si="542"/>
        <v/>
      </c>
      <c r="X5781" s="64">
        <f t="shared" si="543"/>
        <v>0</v>
      </c>
      <c r="Y5781" s="53">
        <f t="shared" si="544"/>
        <v>0</v>
      </c>
      <c r="Z5781" s="64">
        <f t="shared" si="545"/>
        <v>0</v>
      </c>
    </row>
    <row r="5782" spans="1:26">
      <c r="A5782" s="89" t="str">
        <f t="shared" si="540"/>
        <v/>
      </c>
      <c r="B5782" s="89" t="str">
        <f t="shared" si="541"/>
        <v/>
      </c>
      <c r="S5782" s="89" t="str">
        <f t="shared" si="542"/>
        <v/>
      </c>
      <c r="X5782" s="64">
        <f t="shared" si="543"/>
        <v>0</v>
      </c>
      <c r="Y5782" s="53">
        <f t="shared" si="544"/>
        <v>0</v>
      </c>
      <c r="Z5782" s="64">
        <f t="shared" si="545"/>
        <v>0</v>
      </c>
    </row>
    <row r="5783" spans="1:26">
      <c r="A5783" s="89" t="str">
        <f t="shared" si="540"/>
        <v/>
      </c>
      <c r="B5783" s="89" t="str">
        <f t="shared" si="541"/>
        <v/>
      </c>
      <c r="S5783" s="89" t="str">
        <f t="shared" si="542"/>
        <v/>
      </c>
      <c r="X5783" s="64">
        <f t="shared" si="543"/>
        <v>0</v>
      </c>
      <c r="Y5783" s="53">
        <f t="shared" si="544"/>
        <v>0</v>
      </c>
      <c r="Z5783" s="64">
        <f t="shared" si="545"/>
        <v>0</v>
      </c>
    </row>
    <row r="5784" spans="1:26">
      <c r="A5784" s="89" t="str">
        <f t="shared" si="540"/>
        <v/>
      </c>
      <c r="B5784" s="89" t="str">
        <f t="shared" si="541"/>
        <v/>
      </c>
      <c r="S5784" s="89" t="str">
        <f t="shared" si="542"/>
        <v/>
      </c>
      <c r="X5784" s="64">
        <f t="shared" si="543"/>
        <v>0</v>
      </c>
      <c r="Y5784" s="53">
        <f t="shared" si="544"/>
        <v>0</v>
      </c>
      <c r="Z5784" s="64">
        <f t="shared" si="545"/>
        <v>0</v>
      </c>
    </row>
    <row r="5785" spans="1:26">
      <c r="A5785" s="89" t="str">
        <f t="shared" si="540"/>
        <v/>
      </c>
      <c r="B5785" s="89" t="str">
        <f t="shared" si="541"/>
        <v/>
      </c>
      <c r="S5785" s="89" t="str">
        <f t="shared" si="542"/>
        <v/>
      </c>
      <c r="X5785" s="64">
        <f t="shared" si="543"/>
        <v>0</v>
      </c>
      <c r="Y5785" s="53">
        <f t="shared" si="544"/>
        <v>0</v>
      </c>
      <c r="Z5785" s="64">
        <f t="shared" si="545"/>
        <v>0</v>
      </c>
    </row>
    <row r="5786" spans="1:26">
      <c r="A5786" s="89" t="str">
        <f t="shared" si="540"/>
        <v/>
      </c>
      <c r="B5786" s="89" t="str">
        <f t="shared" si="541"/>
        <v/>
      </c>
      <c r="S5786" s="89" t="str">
        <f t="shared" si="542"/>
        <v/>
      </c>
      <c r="X5786" s="64">
        <f t="shared" si="543"/>
        <v>0</v>
      </c>
      <c r="Y5786" s="53">
        <f t="shared" si="544"/>
        <v>0</v>
      </c>
      <c r="Z5786" s="64">
        <f t="shared" si="545"/>
        <v>0</v>
      </c>
    </row>
    <row r="5787" spans="1:26">
      <c r="A5787" s="89" t="str">
        <f t="shared" si="540"/>
        <v/>
      </c>
      <c r="B5787" s="89" t="str">
        <f t="shared" si="541"/>
        <v/>
      </c>
      <c r="S5787" s="89" t="str">
        <f t="shared" si="542"/>
        <v/>
      </c>
      <c r="X5787" s="64">
        <f t="shared" si="543"/>
        <v>0</v>
      </c>
      <c r="Y5787" s="53">
        <f t="shared" si="544"/>
        <v>0</v>
      </c>
      <c r="Z5787" s="64">
        <f t="shared" si="545"/>
        <v>0</v>
      </c>
    </row>
    <row r="5788" spans="1:26">
      <c r="A5788" s="89" t="str">
        <f t="shared" si="540"/>
        <v/>
      </c>
      <c r="B5788" s="89" t="str">
        <f t="shared" si="541"/>
        <v/>
      </c>
      <c r="S5788" s="89" t="str">
        <f t="shared" si="542"/>
        <v/>
      </c>
      <c r="X5788" s="64">
        <f t="shared" si="543"/>
        <v>0</v>
      </c>
      <c r="Y5788" s="53">
        <f t="shared" si="544"/>
        <v>0</v>
      </c>
      <c r="Z5788" s="64">
        <f t="shared" si="545"/>
        <v>0</v>
      </c>
    </row>
    <row r="5789" spans="1:26">
      <c r="A5789" s="89" t="str">
        <f t="shared" si="540"/>
        <v/>
      </c>
      <c r="B5789" s="89" t="str">
        <f t="shared" si="541"/>
        <v/>
      </c>
      <c r="S5789" s="89" t="str">
        <f t="shared" si="542"/>
        <v/>
      </c>
      <c r="X5789" s="64">
        <f t="shared" si="543"/>
        <v>0</v>
      </c>
      <c r="Y5789" s="53">
        <f t="shared" si="544"/>
        <v>0</v>
      </c>
      <c r="Z5789" s="64">
        <f t="shared" si="545"/>
        <v>0</v>
      </c>
    </row>
    <row r="5790" spans="1:26">
      <c r="A5790" s="89" t="str">
        <f t="shared" si="540"/>
        <v/>
      </c>
      <c r="B5790" s="89" t="str">
        <f t="shared" si="541"/>
        <v/>
      </c>
      <c r="S5790" s="89" t="str">
        <f t="shared" si="542"/>
        <v/>
      </c>
      <c r="X5790" s="64">
        <f t="shared" si="543"/>
        <v>0</v>
      </c>
      <c r="Y5790" s="53">
        <f t="shared" si="544"/>
        <v>0</v>
      </c>
      <c r="Z5790" s="64">
        <f t="shared" si="545"/>
        <v>0</v>
      </c>
    </row>
    <row r="5791" spans="1:26">
      <c r="A5791" s="89" t="str">
        <f t="shared" si="540"/>
        <v/>
      </c>
      <c r="B5791" s="89" t="str">
        <f t="shared" si="541"/>
        <v/>
      </c>
      <c r="S5791" s="89" t="str">
        <f t="shared" si="542"/>
        <v/>
      </c>
      <c r="X5791" s="64">
        <f t="shared" si="543"/>
        <v>0</v>
      </c>
      <c r="Y5791" s="53">
        <f t="shared" si="544"/>
        <v>0</v>
      </c>
      <c r="Z5791" s="64">
        <f t="shared" si="545"/>
        <v>0</v>
      </c>
    </row>
    <row r="5792" spans="1:26">
      <c r="A5792" s="89" t="str">
        <f t="shared" si="540"/>
        <v/>
      </c>
      <c r="B5792" s="89" t="str">
        <f t="shared" si="541"/>
        <v/>
      </c>
      <c r="S5792" s="89" t="str">
        <f t="shared" si="542"/>
        <v/>
      </c>
      <c r="X5792" s="64">
        <f t="shared" si="543"/>
        <v>0</v>
      </c>
      <c r="Y5792" s="53">
        <f t="shared" si="544"/>
        <v>0</v>
      </c>
      <c r="Z5792" s="64">
        <f t="shared" si="545"/>
        <v>0</v>
      </c>
    </row>
    <row r="5793" spans="1:26">
      <c r="A5793" s="89" t="str">
        <f t="shared" si="540"/>
        <v/>
      </c>
      <c r="B5793" s="89" t="str">
        <f t="shared" si="541"/>
        <v/>
      </c>
      <c r="S5793" s="89" t="str">
        <f t="shared" si="542"/>
        <v/>
      </c>
      <c r="X5793" s="64">
        <f t="shared" si="543"/>
        <v>0</v>
      </c>
      <c r="Y5793" s="53">
        <f t="shared" si="544"/>
        <v>0</v>
      </c>
      <c r="Z5793" s="64">
        <f t="shared" si="545"/>
        <v>0</v>
      </c>
    </row>
    <row r="5794" spans="1:26">
      <c r="A5794" s="89" t="str">
        <f t="shared" si="540"/>
        <v/>
      </c>
      <c r="B5794" s="89" t="str">
        <f t="shared" si="541"/>
        <v/>
      </c>
      <c r="S5794" s="89" t="str">
        <f t="shared" si="542"/>
        <v/>
      </c>
      <c r="X5794" s="64">
        <f t="shared" si="543"/>
        <v>0</v>
      </c>
      <c r="Y5794" s="53">
        <f t="shared" si="544"/>
        <v>0</v>
      </c>
      <c r="Z5794" s="64">
        <f t="shared" si="545"/>
        <v>0</v>
      </c>
    </row>
    <row r="5795" spans="1:26">
      <c r="A5795" s="89" t="str">
        <f t="shared" si="540"/>
        <v/>
      </c>
      <c r="B5795" s="89" t="str">
        <f t="shared" si="541"/>
        <v/>
      </c>
      <c r="S5795" s="89" t="str">
        <f t="shared" si="542"/>
        <v/>
      </c>
      <c r="X5795" s="64">
        <f t="shared" si="543"/>
        <v>0</v>
      </c>
      <c r="Y5795" s="53">
        <f t="shared" si="544"/>
        <v>0</v>
      </c>
      <c r="Z5795" s="64">
        <f t="shared" si="545"/>
        <v>0</v>
      </c>
    </row>
    <row r="5796" spans="1:26">
      <c r="A5796" s="89" t="str">
        <f t="shared" si="540"/>
        <v/>
      </c>
      <c r="B5796" s="89" t="str">
        <f t="shared" si="541"/>
        <v/>
      </c>
      <c r="S5796" s="89" t="str">
        <f t="shared" si="542"/>
        <v/>
      </c>
      <c r="X5796" s="64">
        <f t="shared" si="543"/>
        <v>0</v>
      </c>
      <c r="Y5796" s="53">
        <f t="shared" si="544"/>
        <v>0</v>
      </c>
      <c r="Z5796" s="64">
        <f t="shared" si="545"/>
        <v>0</v>
      </c>
    </row>
    <row r="5797" spans="1:26">
      <c r="A5797" s="89" t="str">
        <f t="shared" si="540"/>
        <v/>
      </c>
      <c r="B5797" s="89" t="str">
        <f t="shared" si="541"/>
        <v/>
      </c>
      <c r="S5797" s="89" t="str">
        <f t="shared" si="542"/>
        <v/>
      </c>
      <c r="X5797" s="64">
        <f t="shared" si="543"/>
        <v>0</v>
      </c>
      <c r="Y5797" s="53">
        <f t="shared" si="544"/>
        <v>0</v>
      </c>
      <c r="Z5797" s="64">
        <f t="shared" si="545"/>
        <v>0</v>
      </c>
    </row>
    <row r="5798" spans="1:26">
      <c r="A5798" s="89" t="str">
        <f t="shared" si="540"/>
        <v/>
      </c>
      <c r="B5798" s="89" t="str">
        <f t="shared" si="541"/>
        <v/>
      </c>
      <c r="S5798" s="89" t="str">
        <f t="shared" si="542"/>
        <v/>
      </c>
      <c r="X5798" s="64">
        <f t="shared" si="543"/>
        <v>0</v>
      </c>
      <c r="Y5798" s="53">
        <f t="shared" si="544"/>
        <v>0</v>
      </c>
      <c r="Z5798" s="64">
        <f t="shared" si="545"/>
        <v>0</v>
      </c>
    </row>
    <row r="5799" spans="1:26">
      <c r="A5799" s="89" t="str">
        <f t="shared" si="540"/>
        <v/>
      </c>
      <c r="B5799" s="89" t="str">
        <f t="shared" si="541"/>
        <v/>
      </c>
      <c r="S5799" s="89" t="str">
        <f t="shared" si="542"/>
        <v/>
      </c>
      <c r="X5799" s="64">
        <f t="shared" si="543"/>
        <v>0</v>
      </c>
      <c r="Y5799" s="53">
        <f t="shared" si="544"/>
        <v>0</v>
      </c>
      <c r="Z5799" s="64">
        <f t="shared" si="545"/>
        <v>0</v>
      </c>
    </row>
    <row r="5800" spans="1:26">
      <c r="A5800" s="89" t="str">
        <f t="shared" si="540"/>
        <v/>
      </c>
      <c r="B5800" s="89" t="str">
        <f t="shared" si="541"/>
        <v/>
      </c>
      <c r="S5800" s="89" t="str">
        <f t="shared" si="542"/>
        <v/>
      </c>
      <c r="X5800" s="64">
        <f t="shared" si="543"/>
        <v>0</v>
      </c>
      <c r="Y5800" s="53">
        <f t="shared" si="544"/>
        <v>0</v>
      </c>
      <c r="Z5800" s="64">
        <f t="shared" si="545"/>
        <v>0</v>
      </c>
    </row>
    <row r="5801" spans="1:26">
      <c r="A5801" s="89" t="str">
        <f t="shared" si="540"/>
        <v/>
      </c>
      <c r="B5801" s="89" t="str">
        <f t="shared" si="541"/>
        <v/>
      </c>
      <c r="S5801" s="89" t="str">
        <f t="shared" si="542"/>
        <v/>
      </c>
      <c r="X5801" s="64">
        <f t="shared" si="543"/>
        <v>0</v>
      </c>
      <c r="Y5801" s="53">
        <f t="shared" si="544"/>
        <v>0</v>
      </c>
      <c r="Z5801" s="64">
        <f t="shared" si="545"/>
        <v>0</v>
      </c>
    </row>
    <row r="5802" spans="1:26">
      <c r="A5802" s="89" t="str">
        <f t="shared" si="540"/>
        <v/>
      </c>
      <c r="B5802" s="89" t="str">
        <f t="shared" si="541"/>
        <v/>
      </c>
      <c r="S5802" s="89" t="str">
        <f t="shared" si="542"/>
        <v/>
      </c>
      <c r="X5802" s="64">
        <f t="shared" si="543"/>
        <v>0</v>
      </c>
      <c r="Y5802" s="53">
        <f t="shared" si="544"/>
        <v>0</v>
      </c>
      <c r="Z5802" s="64">
        <f t="shared" si="545"/>
        <v>0</v>
      </c>
    </row>
    <row r="5803" spans="1:26">
      <c r="A5803" s="89" t="str">
        <f t="shared" si="540"/>
        <v/>
      </c>
      <c r="B5803" s="89" t="str">
        <f t="shared" si="541"/>
        <v/>
      </c>
      <c r="S5803" s="89" t="str">
        <f t="shared" si="542"/>
        <v/>
      </c>
      <c r="X5803" s="64">
        <f t="shared" si="543"/>
        <v>0</v>
      </c>
      <c r="Y5803" s="53">
        <f t="shared" si="544"/>
        <v>0</v>
      </c>
      <c r="Z5803" s="64">
        <f t="shared" si="545"/>
        <v>0</v>
      </c>
    </row>
    <row r="5804" spans="1:26">
      <c r="A5804" s="89" t="str">
        <f t="shared" si="540"/>
        <v/>
      </c>
      <c r="B5804" s="89" t="str">
        <f t="shared" si="541"/>
        <v/>
      </c>
      <c r="S5804" s="89" t="str">
        <f t="shared" si="542"/>
        <v/>
      </c>
      <c r="X5804" s="64">
        <f t="shared" si="543"/>
        <v>0</v>
      </c>
      <c r="Y5804" s="53">
        <f t="shared" si="544"/>
        <v>0</v>
      </c>
      <c r="Z5804" s="64">
        <f t="shared" si="545"/>
        <v>0</v>
      </c>
    </row>
    <row r="5805" spans="1:26">
      <c r="A5805" s="89" t="str">
        <f t="shared" si="540"/>
        <v/>
      </c>
      <c r="B5805" s="89" t="str">
        <f t="shared" si="541"/>
        <v/>
      </c>
      <c r="S5805" s="89" t="str">
        <f t="shared" si="542"/>
        <v/>
      </c>
      <c r="X5805" s="64">
        <f t="shared" si="543"/>
        <v>0</v>
      </c>
      <c r="Y5805" s="53">
        <f t="shared" si="544"/>
        <v>0</v>
      </c>
      <c r="Z5805" s="64">
        <f t="shared" si="545"/>
        <v>0</v>
      </c>
    </row>
    <row r="5806" spans="1:26">
      <c r="A5806" s="89" t="str">
        <f t="shared" si="540"/>
        <v/>
      </c>
      <c r="B5806" s="89" t="str">
        <f t="shared" si="541"/>
        <v/>
      </c>
      <c r="S5806" s="89" t="str">
        <f t="shared" si="542"/>
        <v/>
      </c>
      <c r="X5806" s="64">
        <f t="shared" si="543"/>
        <v>0</v>
      </c>
      <c r="Y5806" s="53">
        <f t="shared" si="544"/>
        <v>0</v>
      </c>
      <c r="Z5806" s="64">
        <f t="shared" si="545"/>
        <v>0</v>
      </c>
    </row>
    <row r="5807" spans="1:26">
      <c r="A5807" s="89" t="str">
        <f t="shared" si="540"/>
        <v/>
      </c>
      <c r="B5807" s="89" t="str">
        <f t="shared" si="541"/>
        <v/>
      </c>
      <c r="S5807" s="89" t="str">
        <f t="shared" si="542"/>
        <v/>
      </c>
      <c r="X5807" s="64">
        <f t="shared" si="543"/>
        <v>0</v>
      </c>
      <c r="Y5807" s="53">
        <f t="shared" si="544"/>
        <v>0</v>
      </c>
      <c r="Z5807" s="64">
        <f t="shared" si="545"/>
        <v>0</v>
      </c>
    </row>
    <row r="5808" spans="1:26">
      <c r="A5808" s="89" t="str">
        <f t="shared" si="540"/>
        <v/>
      </c>
      <c r="B5808" s="89" t="str">
        <f t="shared" si="541"/>
        <v/>
      </c>
      <c r="S5808" s="89" t="str">
        <f t="shared" si="542"/>
        <v/>
      </c>
      <c r="X5808" s="64">
        <f t="shared" si="543"/>
        <v>0</v>
      </c>
      <c r="Y5808" s="53">
        <f t="shared" si="544"/>
        <v>0</v>
      </c>
      <c r="Z5808" s="64">
        <f t="shared" si="545"/>
        <v>0</v>
      </c>
    </row>
    <row r="5809" spans="1:26">
      <c r="A5809" s="89" t="str">
        <f t="shared" si="540"/>
        <v/>
      </c>
      <c r="B5809" s="89" t="str">
        <f t="shared" si="541"/>
        <v/>
      </c>
      <c r="S5809" s="89" t="str">
        <f t="shared" si="542"/>
        <v/>
      </c>
      <c r="X5809" s="64">
        <f t="shared" si="543"/>
        <v>0</v>
      </c>
      <c r="Y5809" s="53">
        <f t="shared" si="544"/>
        <v>0</v>
      </c>
      <c r="Z5809" s="64">
        <f t="shared" si="545"/>
        <v>0</v>
      </c>
    </row>
    <row r="5810" spans="1:26">
      <c r="A5810" s="89" t="str">
        <f t="shared" si="540"/>
        <v/>
      </c>
      <c r="B5810" s="89" t="str">
        <f t="shared" si="541"/>
        <v/>
      </c>
      <c r="S5810" s="89" t="str">
        <f t="shared" si="542"/>
        <v/>
      </c>
      <c r="X5810" s="64">
        <f t="shared" si="543"/>
        <v>0</v>
      </c>
      <c r="Y5810" s="53">
        <f t="shared" si="544"/>
        <v>0</v>
      </c>
      <c r="Z5810" s="64">
        <f t="shared" si="545"/>
        <v>0</v>
      </c>
    </row>
    <row r="5811" spans="1:26">
      <c r="A5811" s="89" t="str">
        <f t="shared" si="540"/>
        <v/>
      </c>
      <c r="B5811" s="89" t="str">
        <f t="shared" si="541"/>
        <v/>
      </c>
      <c r="S5811" s="89" t="str">
        <f t="shared" si="542"/>
        <v/>
      </c>
      <c r="X5811" s="64">
        <f t="shared" si="543"/>
        <v>0</v>
      </c>
      <c r="Y5811" s="53">
        <f t="shared" si="544"/>
        <v>0</v>
      </c>
      <c r="Z5811" s="64">
        <f t="shared" si="545"/>
        <v>0</v>
      </c>
    </row>
    <row r="5812" spans="1:26">
      <c r="A5812" s="89" t="str">
        <f t="shared" si="540"/>
        <v/>
      </c>
      <c r="B5812" s="89" t="str">
        <f t="shared" si="541"/>
        <v/>
      </c>
      <c r="S5812" s="89" t="str">
        <f t="shared" si="542"/>
        <v/>
      </c>
      <c r="X5812" s="64">
        <f t="shared" si="543"/>
        <v>0</v>
      </c>
      <c r="Y5812" s="53">
        <f t="shared" si="544"/>
        <v>0</v>
      </c>
      <c r="Z5812" s="64">
        <f t="shared" si="545"/>
        <v>0</v>
      </c>
    </row>
    <row r="5813" spans="1:26">
      <c r="A5813" s="89" t="str">
        <f t="shared" si="540"/>
        <v/>
      </c>
      <c r="B5813" s="89" t="str">
        <f t="shared" si="541"/>
        <v/>
      </c>
      <c r="S5813" s="89" t="str">
        <f t="shared" si="542"/>
        <v/>
      </c>
      <c r="X5813" s="64">
        <f t="shared" si="543"/>
        <v>0</v>
      </c>
      <c r="Y5813" s="53">
        <f t="shared" si="544"/>
        <v>0</v>
      </c>
      <c r="Z5813" s="64">
        <f t="shared" si="545"/>
        <v>0</v>
      </c>
    </row>
    <row r="5814" spans="1:26">
      <c r="A5814" s="89" t="str">
        <f t="shared" si="540"/>
        <v/>
      </c>
      <c r="B5814" s="89" t="str">
        <f t="shared" si="541"/>
        <v/>
      </c>
      <c r="S5814" s="89" t="str">
        <f t="shared" si="542"/>
        <v/>
      </c>
      <c r="X5814" s="64">
        <f t="shared" si="543"/>
        <v>0</v>
      </c>
      <c r="Y5814" s="53">
        <f t="shared" si="544"/>
        <v>0</v>
      </c>
      <c r="Z5814" s="64">
        <f t="shared" si="545"/>
        <v>0</v>
      </c>
    </row>
    <row r="5815" spans="1:26">
      <c r="A5815" s="89" t="str">
        <f t="shared" si="540"/>
        <v/>
      </c>
      <c r="B5815" s="89" t="str">
        <f t="shared" si="541"/>
        <v/>
      </c>
      <c r="S5815" s="89" t="str">
        <f t="shared" si="542"/>
        <v/>
      </c>
      <c r="X5815" s="64">
        <f t="shared" si="543"/>
        <v>0</v>
      </c>
      <c r="Y5815" s="53">
        <f t="shared" si="544"/>
        <v>0</v>
      </c>
      <c r="Z5815" s="64">
        <f t="shared" si="545"/>
        <v>0</v>
      </c>
    </row>
    <row r="5816" spans="1:26">
      <c r="A5816" s="89" t="str">
        <f t="shared" si="540"/>
        <v/>
      </c>
      <c r="B5816" s="89" t="str">
        <f t="shared" si="541"/>
        <v/>
      </c>
      <c r="S5816" s="89" t="str">
        <f t="shared" si="542"/>
        <v/>
      </c>
      <c r="X5816" s="64">
        <f t="shared" si="543"/>
        <v>0</v>
      </c>
      <c r="Y5816" s="53">
        <f t="shared" si="544"/>
        <v>0</v>
      </c>
      <c r="Z5816" s="64">
        <f t="shared" si="545"/>
        <v>0</v>
      </c>
    </row>
    <row r="5817" spans="1:26">
      <c r="A5817" s="89" t="str">
        <f t="shared" si="540"/>
        <v/>
      </c>
      <c r="B5817" s="89" t="str">
        <f t="shared" si="541"/>
        <v/>
      </c>
      <c r="S5817" s="89" t="str">
        <f t="shared" si="542"/>
        <v/>
      </c>
      <c r="X5817" s="64">
        <f t="shared" si="543"/>
        <v>0</v>
      </c>
      <c r="Y5817" s="53">
        <f t="shared" si="544"/>
        <v>0</v>
      </c>
      <c r="Z5817" s="64">
        <f t="shared" si="545"/>
        <v>0</v>
      </c>
    </row>
    <row r="5818" spans="1:26">
      <c r="A5818" s="89" t="str">
        <f t="shared" si="540"/>
        <v/>
      </c>
      <c r="B5818" s="89" t="str">
        <f t="shared" si="541"/>
        <v/>
      </c>
      <c r="S5818" s="89" t="str">
        <f t="shared" si="542"/>
        <v/>
      </c>
      <c r="X5818" s="64">
        <f t="shared" si="543"/>
        <v>0</v>
      </c>
      <c r="Y5818" s="53">
        <f t="shared" si="544"/>
        <v>0</v>
      </c>
      <c r="Z5818" s="64">
        <f t="shared" si="545"/>
        <v>0</v>
      </c>
    </row>
    <row r="5819" spans="1:26">
      <c r="A5819" s="89" t="str">
        <f t="shared" si="540"/>
        <v/>
      </c>
      <c r="B5819" s="89" t="str">
        <f t="shared" si="541"/>
        <v/>
      </c>
      <c r="S5819" s="89" t="str">
        <f t="shared" si="542"/>
        <v/>
      </c>
      <c r="X5819" s="64">
        <f t="shared" si="543"/>
        <v>0</v>
      </c>
      <c r="Y5819" s="53">
        <f t="shared" si="544"/>
        <v>0</v>
      </c>
      <c r="Z5819" s="64">
        <f t="shared" si="545"/>
        <v>0</v>
      </c>
    </row>
    <row r="5820" spans="1:26">
      <c r="A5820" s="89" t="str">
        <f t="shared" si="540"/>
        <v/>
      </c>
      <c r="B5820" s="89" t="str">
        <f t="shared" si="541"/>
        <v/>
      </c>
      <c r="S5820" s="89" t="str">
        <f t="shared" si="542"/>
        <v/>
      </c>
      <c r="X5820" s="64">
        <f t="shared" si="543"/>
        <v>0</v>
      </c>
      <c r="Y5820" s="53">
        <f t="shared" si="544"/>
        <v>0</v>
      </c>
      <c r="Z5820" s="64">
        <f t="shared" si="545"/>
        <v>0</v>
      </c>
    </row>
    <row r="5821" spans="1:26">
      <c r="A5821" s="89" t="str">
        <f t="shared" si="540"/>
        <v/>
      </c>
      <c r="B5821" s="89" t="str">
        <f t="shared" si="541"/>
        <v/>
      </c>
      <c r="S5821" s="89" t="str">
        <f t="shared" si="542"/>
        <v/>
      </c>
      <c r="X5821" s="64">
        <f t="shared" si="543"/>
        <v>0</v>
      </c>
      <c r="Y5821" s="53">
        <f t="shared" si="544"/>
        <v>0</v>
      </c>
      <c r="Z5821" s="64">
        <f t="shared" si="545"/>
        <v>0</v>
      </c>
    </row>
    <row r="5822" spans="1:26">
      <c r="A5822" s="89" t="str">
        <f t="shared" si="540"/>
        <v/>
      </c>
      <c r="B5822" s="89" t="str">
        <f t="shared" si="541"/>
        <v/>
      </c>
      <c r="S5822" s="89" t="str">
        <f t="shared" si="542"/>
        <v/>
      </c>
      <c r="X5822" s="64">
        <f t="shared" si="543"/>
        <v>0</v>
      </c>
      <c r="Y5822" s="53">
        <f t="shared" si="544"/>
        <v>0</v>
      </c>
      <c r="Z5822" s="64">
        <f t="shared" si="545"/>
        <v>0</v>
      </c>
    </row>
    <row r="5823" spans="1:26">
      <c r="A5823" s="89" t="str">
        <f t="shared" si="540"/>
        <v/>
      </c>
      <c r="B5823" s="89" t="str">
        <f t="shared" si="541"/>
        <v/>
      </c>
      <c r="S5823" s="89" t="str">
        <f t="shared" si="542"/>
        <v/>
      </c>
      <c r="X5823" s="64">
        <f t="shared" si="543"/>
        <v>0</v>
      </c>
      <c r="Y5823" s="53">
        <f t="shared" si="544"/>
        <v>0</v>
      </c>
      <c r="Z5823" s="64">
        <f t="shared" si="545"/>
        <v>0</v>
      </c>
    </row>
    <row r="5824" spans="1:26">
      <c r="A5824" s="89" t="str">
        <f t="shared" si="540"/>
        <v/>
      </c>
      <c r="B5824" s="89" t="str">
        <f t="shared" si="541"/>
        <v/>
      </c>
      <c r="S5824" s="89" t="str">
        <f t="shared" si="542"/>
        <v/>
      </c>
      <c r="X5824" s="64">
        <f t="shared" si="543"/>
        <v>0</v>
      </c>
      <c r="Y5824" s="53">
        <f t="shared" si="544"/>
        <v>0</v>
      </c>
      <c r="Z5824" s="64">
        <f t="shared" si="545"/>
        <v>0</v>
      </c>
    </row>
    <row r="5825" spans="1:26">
      <c r="A5825" s="89" t="str">
        <f t="shared" si="540"/>
        <v/>
      </c>
      <c r="B5825" s="89" t="str">
        <f t="shared" si="541"/>
        <v/>
      </c>
      <c r="S5825" s="89" t="str">
        <f t="shared" si="542"/>
        <v/>
      </c>
      <c r="X5825" s="64">
        <f t="shared" si="543"/>
        <v>0</v>
      </c>
      <c r="Y5825" s="53">
        <f t="shared" si="544"/>
        <v>0</v>
      </c>
      <c r="Z5825" s="64">
        <f t="shared" si="545"/>
        <v>0</v>
      </c>
    </row>
    <row r="5826" spans="1:26">
      <c r="A5826" s="89" t="str">
        <f t="shared" si="540"/>
        <v/>
      </c>
      <c r="B5826" s="89" t="str">
        <f t="shared" si="541"/>
        <v/>
      </c>
      <c r="S5826" s="89" t="str">
        <f t="shared" si="542"/>
        <v/>
      </c>
      <c r="X5826" s="64">
        <f t="shared" si="543"/>
        <v>0</v>
      </c>
      <c r="Y5826" s="53">
        <f t="shared" si="544"/>
        <v>0</v>
      </c>
      <c r="Z5826" s="64">
        <f t="shared" si="545"/>
        <v>0</v>
      </c>
    </row>
    <row r="5827" spans="1:26">
      <c r="A5827" s="89" t="str">
        <f t="shared" ref="A5827:A5890" si="546">IF(G5827&amp;Q5827&lt;&gt;"",G5827&amp;Q5827,"")</f>
        <v/>
      </c>
      <c r="B5827" s="89" t="str">
        <f t="shared" ref="B5827:B5890" si="547">IF(C5827&lt;&gt;"",LEFT(C5827,9),"")</f>
        <v/>
      </c>
      <c r="S5827" s="89" t="str">
        <f t="shared" ref="S5827:S5890" si="548">IF(H5827&lt;&gt;"",H5827,"")</f>
        <v/>
      </c>
      <c r="X5827" s="64">
        <f t="shared" ref="X5827:X5890" si="549">IFERROR(VALUE(MID($C5827,1,2)),0)</f>
        <v>0</v>
      </c>
      <c r="Y5827" s="53">
        <f t="shared" ref="Y5827:Y5890" si="550">IFERROR(VALUE(MID($C5827,4,3)),0)</f>
        <v>0</v>
      </c>
      <c r="Z5827" s="64">
        <f t="shared" ref="Z5827:Z5890" si="551">VALUE(RIGHT("00"&amp;X5827,2)&amp;RIGHT("000"&amp;Y5827,3))</f>
        <v>0</v>
      </c>
    </row>
    <row r="5828" spans="1:26">
      <c r="A5828" s="89" t="str">
        <f t="shared" si="546"/>
        <v/>
      </c>
      <c r="B5828" s="89" t="str">
        <f t="shared" si="547"/>
        <v/>
      </c>
      <c r="S5828" s="89" t="str">
        <f t="shared" si="548"/>
        <v/>
      </c>
      <c r="X5828" s="64">
        <f t="shared" si="549"/>
        <v>0</v>
      </c>
      <c r="Y5828" s="53">
        <f t="shared" si="550"/>
        <v>0</v>
      </c>
      <c r="Z5828" s="64">
        <f t="shared" si="551"/>
        <v>0</v>
      </c>
    </row>
    <row r="5829" spans="1:26">
      <c r="A5829" s="89" t="str">
        <f t="shared" si="546"/>
        <v/>
      </c>
      <c r="B5829" s="89" t="str">
        <f t="shared" si="547"/>
        <v/>
      </c>
      <c r="S5829" s="89" t="str">
        <f t="shared" si="548"/>
        <v/>
      </c>
      <c r="X5829" s="64">
        <f t="shared" si="549"/>
        <v>0</v>
      </c>
      <c r="Y5829" s="53">
        <f t="shared" si="550"/>
        <v>0</v>
      </c>
      <c r="Z5829" s="64">
        <f t="shared" si="551"/>
        <v>0</v>
      </c>
    </row>
    <row r="5830" spans="1:26">
      <c r="A5830" s="89" t="str">
        <f t="shared" si="546"/>
        <v/>
      </c>
      <c r="B5830" s="89" t="str">
        <f t="shared" si="547"/>
        <v/>
      </c>
      <c r="S5830" s="89" t="str">
        <f t="shared" si="548"/>
        <v/>
      </c>
      <c r="X5830" s="64">
        <f t="shared" si="549"/>
        <v>0</v>
      </c>
      <c r="Y5830" s="53">
        <f t="shared" si="550"/>
        <v>0</v>
      </c>
      <c r="Z5830" s="64">
        <f t="shared" si="551"/>
        <v>0</v>
      </c>
    </row>
    <row r="5831" spans="1:26">
      <c r="A5831" s="89" t="str">
        <f t="shared" si="546"/>
        <v/>
      </c>
      <c r="B5831" s="89" t="str">
        <f t="shared" si="547"/>
        <v/>
      </c>
      <c r="S5831" s="89" t="str">
        <f t="shared" si="548"/>
        <v/>
      </c>
      <c r="X5831" s="64">
        <f t="shared" si="549"/>
        <v>0</v>
      </c>
      <c r="Y5831" s="53">
        <f t="shared" si="550"/>
        <v>0</v>
      </c>
      <c r="Z5831" s="64">
        <f t="shared" si="551"/>
        <v>0</v>
      </c>
    </row>
    <row r="5832" spans="1:26">
      <c r="A5832" s="89" t="str">
        <f t="shared" si="546"/>
        <v/>
      </c>
      <c r="B5832" s="89" t="str">
        <f t="shared" si="547"/>
        <v/>
      </c>
      <c r="S5832" s="89" t="str">
        <f t="shared" si="548"/>
        <v/>
      </c>
      <c r="X5832" s="64">
        <f t="shared" si="549"/>
        <v>0</v>
      </c>
      <c r="Y5832" s="53">
        <f t="shared" si="550"/>
        <v>0</v>
      </c>
      <c r="Z5832" s="64">
        <f t="shared" si="551"/>
        <v>0</v>
      </c>
    </row>
    <row r="5833" spans="1:26">
      <c r="A5833" s="89" t="str">
        <f t="shared" si="546"/>
        <v/>
      </c>
      <c r="B5833" s="89" t="str">
        <f t="shared" si="547"/>
        <v/>
      </c>
      <c r="S5833" s="89" t="str">
        <f t="shared" si="548"/>
        <v/>
      </c>
      <c r="X5833" s="64">
        <f t="shared" si="549"/>
        <v>0</v>
      </c>
      <c r="Y5833" s="53">
        <f t="shared" si="550"/>
        <v>0</v>
      </c>
      <c r="Z5833" s="64">
        <f t="shared" si="551"/>
        <v>0</v>
      </c>
    </row>
    <row r="5834" spans="1:26">
      <c r="A5834" s="89" t="str">
        <f t="shared" si="546"/>
        <v/>
      </c>
      <c r="B5834" s="89" t="str">
        <f t="shared" si="547"/>
        <v/>
      </c>
      <c r="S5834" s="89" t="str">
        <f t="shared" si="548"/>
        <v/>
      </c>
      <c r="X5834" s="64">
        <f t="shared" si="549"/>
        <v>0</v>
      </c>
      <c r="Y5834" s="53">
        <f t="shared" si="550"/>
        <v>0</v>
      </c>
      <c r="Z5834" s="64">
        <f t="shared" si="551"/>
        <v>0</v>
      </c>
    </row>
    <row r="5835" spans="1:26">
      <c r="A5835" s="89" t="str">
        <f t="shared" si="546"/>
        <v/>
      </c>
      <c r="B5835" s="89" t="str">
        <f t="shared" si="547"/>
        <v/>
      </c>
      <c r="S5835" s="89" t="str">
        <f t="shared" si="548"/>
        <v/>
      </c>
      <c r="X5835" s="64">
        <f t="shared" si="549"/>
        <v>0</v>
      </c>
      <c r="Y5835" s="53">
        <f t="shared" si="550"/>
        <v>0</v>
      </c>
      <c r="Z5835" s="64">
        <f t="shared" si="551"/>
        <v>0</v>
      </c>
    </row>
    <row r="5836" spans="1:26">
      <c r="A5836" s="89" t="str">
        <f t="shared" si="546"/>
        <v/>
      </c>
      <c r="B5836" s="89" t="str">
        <f t="shared" si="547"/>
        <v/>
      </c>
      <c r="S5836" s="89" t="str">
        <f t="shared" si="548"/>
        <v/>
      </c>
      <c r="X5836" s="64">
        <f t="shared" si="549"/>
        <v>0</v>
      </c>
      <c r="Y5836" s="53">
        <f t="shared" si="550"/>
        <v>0</v>
      </c>
      <c r="Z5836" s="64">
        <f t="shared" si="551"/>
        <v>0</v>
      </c>
    </row>
    <row r="5837" spans="1:26">
      <c r="A5837" s="89" t="str">
        <f t="shared" si="546"/>
        <v/>
      </c>
      <c r="B5837" s="89" t="str">
        <f t="shared" si="547"/>
        <v/>
      </c>
      <c r="S5837" s="89" t="str">
        <f t="shared" si="548"/>
        <v/>
      </c>
      <c r="X5837" s="64">
        <f t="shared" si="549"/>
        <v>0</v>
      </c>
      <c r="Y5837" s="53">
        <f t="shared" si="550"/>
        <v>0</v>
      </c>
      <c r="Z5837" s="64">
        <f t="shared" si="551"/>
        <v>0</v>
      </c>
    </row>
    <row r="5838" spans="1:26">
      <c r="A5838" s="89" t="str">
        <f t="shared" si="546"/>
        <v/>
      </c>
      <c r="B5838" s="89" t="str">
        <f t="shared" si="547"/>
        <v/>
      </c>
      <c r="S5838" s="89" t="str">
        <f t="shared" si="548"/>
        <v/>
      </c>
      <c r="X5838" s="64">
        <f t="shared" si="549"/>
        <v>0</v>
      </c>
      <c r="Y5838" s="53">
        <f t="shared" si="550"/>
        <v>0</v>
      </c>
      <c r="Z5838" s="64">
        <f t="shared" si="551"/>
        <v>0</v>
      </c>
    </row>
    <row r="5839" spans="1:26">
      <c r="A5839" s="89" t="str">
        <f t="shared" si="546"/>
        <v/>
      </c>
      <c r="B5839" s="89" t="str">
        <f t="shared" si="547"/>
        <v/>
      </c>
      <c r="S5839" s="89" t="str">
        <f t="shared" si="548"/>
        <v/>
      </c>
      <c r="X5839" s="64">
        <f t="shared" si="549"/>
        <v>0</v>
      </c>
      <c r="Y5839" s="53">
        <f t="shared" si="550"/>
        <v>0</v>
      </c>
      <c r="Z5839" s="64">
        <f t="shared" si="551"/>
        <v>0</v>
      </c>
    </row>
    <row r="5840" spans="1:26">
      <c r="A5840" s="89" t="str">
        <f t="shared" si="546"/>
        <v/>
      </c>
      <c r="B5840" s="89" t="str">
        <f t="shared" si="547"/>
        <v/>
      </c>
      <c r="S5840" s="89" t="str">
        <f t="shared" si="548"/>
        <v/>
      </c>
      <c r="X5840" s="64">
        <f t="shared" si="549"/>
        <v>0</v>
      </c>
      <c r="Y5840" s="53">
        <f t="shared" si="550"/>
        <v>0</v>
      </c>
      <c r="Z5840" s="64">
        <f t="shared" si="551"/>
        <v>0</v>
      </c>
    </row>
    <row r="5841" spans="1:26">
      <c r="A5841" s="89" t="str">
        <f t="shared" si="546"/>
        <v/>
      </c>
      <c r="B5841" s="89" t="str">
        <f t="shared" si="547"/>
        <v/>
      </c>
      <c r="S5841" s="89" t="str">
        <f t="shared" si="548"/>
        <v/>
      </c>
      <c r="X5841" s="64">
        <f t="shared" si="549"/>
        <v>0</v>
      </c>
      <c r="Y5841" s="53">
        <f t="shared" si="550"/>
        <v>0</v>
      </c>
      <c r="Z5841" s="64">
        <f t="shared" si="551"/>
        <v>0</v>
      </c>
    </row>
    <row r="5842" spans="1:26">
      <c r="A5842" s="89" t="str">
        <f t="shared" si="546"/>
        <v/>
      </c>
      <c r="B5842" s="89" t="str">
        <f t="shared" si="547"/>
        <v/>
      </c>
      <c r="S5842" s="89" t="str">
        <f t="shared" si="548"/>
        <v/>
      </c>
      <c r="X5842" s="64">
        <f t="shared" si="549"/>
        <v>0</v>
      </c>
      <c r="Y5842" s="53">
        <f t="shared" si="550"/>
        <v>0</v>
      </c>
      <c r="Z5842" s="64">
        <f t="shared" si="551"/>
        <v>0</v>
      </c>
    </row>
    <row r="5843" spans="1:26">
      <c r="A5843" s="89" t="str">
        <f t="shared" si="546"/>
        <v/>
      </c>
      <c r="B5843" s="89" t="str">
        <f t="shared" si="547"/>
        <v/>
      </c>
      <c r="S5843" s="89" t="str">
        <f t="shared" si="548"/>
        <v/>
      </c>
      <c r="X5843" s="64">
        <f t="shared" si="549"/>
        <v>0</v>
      </c>
      <c r="Y5843" s="53">
        <f t="shared" si="550"/>
        <v>0</v>
      </c>
      <c r="Z5843" s="64">
        <f t="shared" si="551"/>
        <v>0</v>
      </c>
    </row>
    <row r="5844" spans="1:26">
      <c r="A5844" s="89" t="str">
        <f t="shared" si="546"/>
        <v/>
      </c>
      <c r="B5844" s="89" t="str">
        <f t="shared" si="547"/>
        <v/>
      </c>
      <c r="S5844" s="89" t="str">
        <f t="shared" si="548"/>
        <v/>
      </c>
      <c r="X5844" s="64">
        <f t="shared" si="549"/>
        <v>0</v>
      </c>
      <c r="Y5844" s="53">
        <f t="shared" si="550"/>
        <v>0</v>
      </c>
      <c r="Z5844" s="64">
        <f t="shared" si="551"/>
        <v>0</v>
      </c>
    </row>
    <row r="5845" spans="1:26">
      <c r="A5845" s="89" t="str">
        <f t="shared" si="546"/>
        <v/>
      </c>
      <c r="B5845" s="89" t="str">
        <f t="shared" si="547"/>
        <v/>
      </c>
      <c r="S5845" s="89" t="str">
        <f t="shared" si="548"/>
        <v/>
      </c>
      <c r="X5845" s="64">
        <f t="shared" si="549"/>
        <v>0</v>
      </c>
      <c r="Y5845" s="53">
        <f t="shared" si="550"/>
        <v>0</v>
      </c>
      <c r="Z5845" s="64">
        <f t="shared" si="551"/>
        <v>0</v>
      </c>
    </row>
    <row r="5846" spans="1:26">
      <c r="A5846" s="89" t="str">
        <f t="shared" si="546"/>
        <v/>
      </c>
      <c r="B5846" s="89" t="str">
        <f t="shared" si="547"/>
        <v/>
      </c>
      <c r="S5846" s="89" t="str">
        <f t="shared" si="548"/>
        <v/>
      </c>
      <c r="X5846" s="64">
        <f t="shared" si="549"/>
        <v>0</v>
      </c>
      <c r="Y5846" s="53">
        <f t="shared" si="550"/>
        <v>0</v>
      </c>
      <c r="Z5846" s="64">
        <f t="shared" si="551"/>
        <v>0</v>
      </c>
    </row>
    <row r="5847" spans="1:26">
      <c r="A5847" s="89" t="str">
        <f t="shared" si="546"/>
        <v/>
      </c>
      <c r="B5847" s="89" t="str">
        <f t="shared" si="547"/>
        <v/>
      </c>
      <c r="S5847" s="89" t="str">
        <f t="shared" si="548"/>
        <v/>
      </c>
      <c r="X5847" s="64">
        <f t="shared" si="549"/>
        <v>0</v>
      </c>
      <c r="Y5847" s="53">
        <f t="shared" si="550"/>
        <v>0</v>
      </c>
      <c r="Z5847" s="64">
        <f t="shared" si="551"/>
        <v>0</v>
      </c>
    </row>
    <row r="5848" spans="1:26">
      <c r="A5848" s="89" t="str">
        <f t="shared" si="546"/>
        <v/>
      </c>
      <c r="B5848" s="89" t="str">
        <f t="shared" si="547"/>
        <v/>
      </c>
      <c r="S5848" s="89" t="str">
        <f t="shared" si="548"/>
        <v/>
      </c>
      <c r="X5848" s="64">
        <f t="shared" si="549"/>
        <v>0</v>
      </c>
      <c r="Y5848" s="53">
        <f t="shared" si="550"/>
        <v>0</v>
      </c>
      <c r="Z5848" s="64">
        <f t="shared" si="551"/>
        <v>0</v>
      </c>
    </row>
    <row r="5849" spans="1:26">
      <c r="A5849" s="89" t="str">
        <f t="shared" si="546"/>
        <v/>
      </c>
      <c r="B5849" s="89" t="str">
        <f t="shared" si="547"/>
        <v/>
      </c>
      <c r="S5849" s="89" t="str">
        <f t="shared" si="548"/>
        <v/>
      </c>
      <c r="X5849" s="64">
        <f t="shared" si="549"/>
        <v>0</v>
      </c>
      <c r="Y5849" s="53">
        <f t="shared" si="550"/>
        <v>0</v>
      </c>
      <c r="Z5849" s="64">
        <f t="shared" si="551"/>
        <v>0</v>
      </c>
    </row>
    <row r="5850" spans="1:26">
      <c r="A5850" s="89" t="str">
        <f t="shared" si="546"/>
        <v/>
      </c>
      <c r="B5850" s="89" t="str">
        <f t="shared" si="547"/>
        <v/>
      </c>
      <c r="S5850" s="89" t="str">
        <f t="shared" si="548"/>
        <v/>
      </c>
      <c r="X5850" s="64">
        <f t="shared" si="549"/>
        <v>0</v>
      </c>
      <c r="Y5850" s="53">
        <f t="shared" si="550"/>
        <v>0</v>
      </c>
      <c r="Z5850" s="64">
        <f t="shared" si="551"/>
        <v>0</v>
      </c>
    </row>
    <row r="5851" spans="1:26">
      <c r="A5851" s="89" t="str">
        <f t="shared" si="546"/>
        <v/>
      </c>
      <c r="B5851" s="89" t="str">
        <f t="shared" si="547"/>
        <v/>
      </c>
      <c r="S5851" s="89" t="str">
        <f t="shared" si="548"/>
        <v/>
      </c>
      <c r="X5851" s="64">
        <f t="shared" si="549"/>
        <v>0</v>
      </c>
      <c r="Y5851" s="53">
        <f t="shared" si="550"/>
        <v>0</v>
      </c>
      <c r="Z5851" s="64">
        <f t="shared" si="551"/>
        <v>0</v>
      </c>
    </row>
    <row r="5852" spans="1:26">
      <c r="A5852" s="89" t="str">
        <f t="shared" si="546"/>
        <v/>
      </c>
      <c r="B5852" s="89" t="str">
        <f t="shared" si="547"/>
        <v/>
      </c>
      <c r="S5852" s="89" t="str">
        <f t="shared" si="548"/>
        <v/>
      </c>
      <c r="X5852" s="64">
        <f t="shared" si="549"/>
        <v>0</v>
      </c>
      <c r="Y5852" s="53">
        <f t="shared" si="550"/>
        <v>0</v>
      </c>
      <c r="Z5852" s="64">
        <f t="shared" si="551"/>
        <v>0</v>
      </c>
    </row>
    <row r="5853" spans="1:26">
      <c r="A5853" s="89" t="str">
        <f t="shared" si="546"/>
        <v/>
      </c>
      <c r="B5853" s="89" t="str">
        <f t="shared" si="547"/>
        <v/>
      </c>
      <c r="S5853" s="89" t="str">
        <f t="shared" si="548"/>
        <v/>
      </c>
      <c r="X5853" s="64">
        <f t="shared" si="549"/>
        <v>0</v>
      </c>
      <c r="Y5853" s="53">
        <f t="shared" si="550"/>
        <v>0</v>
      </c>
      <c r="Z5853" s="64">
        <f t="shared" si="551"/>
        <v>0</v>
      </c>
    </row>
    <row r="5854" spans="1:26">
      <c r="A5854" s="89" t="str">
        <f t="shared" si="546"/>
        <v/>
      </c>
      <c r="B5854" s="89" t="str">
        <f t="shared" si="547"/>
        <v/>
      </c>
      <c r="S5854" s="89" t="str">
        <f t="shared" si="548"/>
        <v/>
      </c>
      <c r="X5854" s="64">
        <f t="shared" si="549"/>
        <v>0</v>
      </c>
      <c r="Y5854" s="53">
        <f t="shared" si="550"/>
        <v>0</v>
      </c>
      <c r="Z5854" s="64">
        <f t="shared" si="551"/>
        <v>0</v>
      </c>
    </row>
    <row r="5855" spans="1:26">
      <c r="A5855" s="89" t="str">
        <f t="shared" si="546"/>
        <v/>
      </c>
      <c r="B5855" s="89" t="str">
        <f t="shared" si="547"/>
        <v/>
      </c>
      <c r="S5855" s="89" t="str">
        <f t="shared" si="548"/>
        <v/>
      </c>
      <c r="X5855" s="64">
        <f t="shared" si="549"/>
        <v>0</v>
      </c>
      <c r="Y5855" s="53">
        <f t="shared" si="550"/>
        <v>0</v>
      </c>
      <c r="Z5855" s="64">
        <f t="shared" si="551"/>
        <v>0</v>
      </c>
    </row>
    <row r="5856" spans="1:26">
      <c r="A5856" s="89" t="str">
        <f t="shared" si="546"/>
        <v/>
      </c>
      <c r="B5856" s="89" t="str">
        <f t="shared" si="547"/>
        <v/>
      </c>
      <c r="S5856" s="89" t="str">
        <f t="shared" si="548"/>
        <v/>
      </c>
      <c r="X5856" s="64">
        <f t="shared" si="549"/>
        <v>0</v>
      </c>
      <c r="Y5856" s="53">
        <f t="shared" si="550"/>
        <v>0</v>
      </c>
      <c r="Z5856" s="64">
        <f t="shared" si="551"/>
        <v>0</v>
      </c>
    </row>
    <row r="5857" spans="1:26">
      <c r="A5857" s="89" t="str">
        <f t="shared" si="546"/>
        <v/>
      </c>
      <c r="B5857" s="89" t="str">
        <f t="shared" si="547"/>
        <v/>
      </c>
      <c r="S5857" s="89" t="str">
        <f t="shared" si="548"/>
        <v/>
      </c>
      <c r="X5857" s="64">
        <f t="shared" si="549"/>
        <v>0</v>
      </c>
      <c r="Y5857" s="53">
        <f t="shared" si="550"/>
        <v>0</v>
      </c>
      <c r="Z5857" s="64">
        <f t="shared" si="551"/>
        <v>0</v>
      </c>
    </row>
    <row r="5858" spans="1:26">
      <c r="A5858" s="89" t="str">
        <f t="shared" si="546"/>
        <v/>
      </c>
      <c r="B5858" s="89" t="str">
        <f t="shared" si="547"/>
        <v/>
      </c>
      <c r="S5858" s="89" t="str">
        <f t="shared" si="548"/>
        <v/>
      </c>
      <c r="X5858" s="64">
        <f t="shared" si="549"/>
        <v>0</v>
      </c>
      <c r="Y5858" s="53">
        <f t="shared" si="550"/>
        <v>0</v>
      </c>
      <c r="Z5858" s="64">
        <f t="shared" si="551"/>
        <v>0</v>
      </c>
    </row>
    <row r="5859" spans="1:26">
      <c r="A5859" s="89" t="str">
        <f t="shared" si="546"/>
        <v/>
      </c>
      <c r="B5859" s="89" t="str">
        <f t="shared" si="547"/>
        <v/>
      </c>
      <c r="S5859" s="89" t="str">
        <f t="shared" si="548"/>
        <v/>
      </c>
      <c r="X5859" s="64">
        <f t="shared" si="549"/>
        <v>0</v>
      </c>
      <c r="Y5859" s="53">
        <f t="shared" si="550"/>
        <v>0</v>
      </c>
      <c r="Z5859" s="64">
        <f t="shared" si="551"/>
        <v>0</v>
      </c>
    </row>
    <row r="5860" spans="1:26">
      <c r="A5860" s="89" t="str">
        <f t="shared" si="546"/>
        <v/>
      </c>
      <c r="B5860" s="89" t="str">
        <f t="shared" si="547"/>
        <v/>
      </c>
      <c r="S5860" s="89" t="str">
        <f t="shared" si="548"/>
        <v/>
      </c>
      <c r="X5860" s="64">
        <f t="shared" si="549"/>
        <v>0</v>
      </c>
      <c r="Y5860" s="53">
        <f t="shared" si="550"/>
        <v>0</v>
      </c>
      <c r="Z5860" s="64">
        <f t="shared" si="551"/>
        <v>0</v>
      </c>
    </row>
    <row r="5861" spans="1:26">
      <c r="A5861" s="89" t="str">
        <f t="shared" si="546"/>
        <v/>
      </c>
      <c r="B5861" s="89" t="str">
        <f t="shared" si="547"/>
        <v/>
      </c>
      <c r="S5861" s="89" t="str">
        <f t="shared" si="548"/>
        <v/>
      </c>
      <c r="X5861" s="64">
        <f t="shared" si="549"/>
        <v>0</v>
      </c>
      <c r="Y5861" s="53">
        <f t="shared" si="550"/>
        <v>0</v>
      </c>
      <c r="Z5861" s="64">
        <f t="shared" si="551"/>
        <v>0</v>
      </c>
    </row>
    <row r="5862" spans="1:26">
      <c r="A5862" s="89" t="str">
        <f t="shared" si="546"/>
        <v/>
      </c>
      <c r="B5862" s="89" t="str">
        <f t="shared" si="547"/>
        <v/>
      </c>
      <c r="S5862" s="89" t="str">
        <f t="shared" si="548"/>
        <v/>
      </c>
      <c r="X5862" s="64">
        <f t="shared" si="549"/>
        <v>0</v>
      </c>
      <c r="Y5862" s="53">
        <f t="shared" si="550"/>
        <v>0</v>
      </c>
      <c r="Z5862" s="64">
        <f t="shared" si="551"/>
        <v>0</v>
      </c>
    </row>
    <row r="5863" spans="1:26">
      <c r="A5863" s="89" t="str">
        <f t="shared" si="546"/>
        <v/>
      </c>
      <c r="B5863" s="89" t="str">
        <f t="shared" si="547"/>
        <v/>
      </c>
      <c r="S5863" s="89" t="str">
        <f t="shared" si="548"/>
        <v/>
      </c>
      <c r="X5863" s="64">
        <f t="shared" si="549"/>
        <v>0</v>
      </c>
      <c r="Y5863" s="53">
        <f t="shared" si="550"/>
        <v>0</v>
      </c>
      <c r="Z5863" s="64">
        <f t="shared" si="551"/>
        <v>0</v>
      </c>
    </row>
    <row r="5864" spans="1:26">
      <c r="A5864" s="89" t="str">
        <f t="shared" si="546"/>
        <v/>
      </c>
      <c r="B5864" s="89" t="str">
        <f t="shared" si="547"/>
        <v/>
      </c>
      <c r="S5864" s="89" t="str">
        <f t="shared" si="548"/>
        <v/>
      </c>
      <c r="X5864" s="64">
        <f t="shared" si="549"/>
        <v>0</v>
      </c>
      <c r="Y5864" s="53">
        <f t="shared" si="550"/>
        <v>0</v>
      </c>
      <c r="Z5864" s="64">
        <f t="shared" si="551"/>
        <v>0</v>
      </c>
    </row>
    <row r="5865" spans="1:26">
      <c r="A5865" s="89" t="str">
        <f t="shared" si="546"/>
        <v/>
      </c>
      <c r="B5865" s="89" t="str">
        <f t="shared" si="547"/>
        <v/>
      </c>
      <c r="S5865" s="89" t="str">
        <f t="shared" si="548"/>
        <v/>
      </c>
      <c r="X5865" s="64">
        <f t="shared" si="549"/>
        <v>0</v>
      </c>
      <c r="Y5865" s="53">
        <f t="shared" si="550"/>
        <v>0</v>
      </c>
      <c r="Z5865" s="64">
        <f t="shared" si="551"/>
        <v>0</v>
      </c>
    </row>
    <row r="5866" spans="1:26">
      <c r="A5866" s="89" t="str">
        <f t="shared" si="546"/>
        <v/>
      </c>
      <c r="B5866" s="89" t="str">
        <f t="shared" si="547"/>
        <v/>
      </c>
      <c r="S5866" s="89" t="str">
        <f t="shared" si="548"/>
        <v/>
      </c>
      <c r="X5866" s="64">
        <f t="shared" si="549"/>
        <v>0</v>
      </c>
      <c r="Y5866" s="53">
        <f t="shared" si="550"/>
        <v>0</v>
      </c>
      <c r="Z5866" s="64">
        <f t="shared" si="551"/>
        <v>0</v>
      </c>
    </row>
    <row r="5867" spans="1:26">
      <c r="A5867" s="89" t="str">
        <f t="shared" si="546"/>
        <v/>
      </c>
      <c r="B5867" s="89" t="str">
        <f t="shared" si="547"/>
        <v/>
      </c>
      <c r="S5867" s="89" t="str">
        <f t="shared" si="548"/>
        <v/>
      </c>
      <c r="X5867" s="64">
        <f t="shared" si="549"/>
        <v>0</v>
      </c>
      <c r="Y5867" s="53">
        <f t="shared" si="550"/>
        <v>0</v>
      </c>
      <c r="Z5867" s="64">
        <f t="shared" si="551"/>
        <v>0</v>
      </c>
    </row>
    <row r="5868" spans="1:26">
      <c r="A5868" s="89" t="str">
        <f t="shared" si="546"/>
        <v/>
      </c>
      <c r="B5868" s="89" t="str">
        <f t="shared" si="547"/>
        <v/>
      </c>
      <c r="S5868" s="89" t="str">
        <f t="shared" si="548"/>
        <v/>
      </c>
      <c r="X5868" s="64">
        <f t="shared" si="549"/>
        <v>0</v>
      </c>
      <c r="Y5868" s="53">
        <f t="shared" si="550"/>
        <v>0</v>
      </c>
      <c r="Z5868" s="64">
        <f t="shared" si="551"/>
        <v>0</v>
      </c>
    </row>
    <row r="5869" spans="1:26">
      <c r="A5869" s="89" t="str">
        <f t="shared" si="546"/>
        <v/>
      </c>
      <c r="B5869" s="89" t="str">
        <f t="shared" si="547"/>
        <v/>
      </c>
      <c r="S5869" s="89" t="str">
        <f t="shared" si="548"/>
        <v/>
      </c>
      <c r="X5869" s="64">
        <f t="shared" si="549"/>
        <v>0</v>
      </c>
      <c r="Y5869" s="53">
        <f t="shared" si="550"/>
        <v>0</v>
      </c>
      <c r="Z5869" s="64">
        <f t="shared" si="551"/>
        <v>0</v>
      </c>
    </row>
    <row r="5870" spans="1:26">
      <c r="A5870" s="89" t="str">
        <f t="shared" si="546"/>
        <v/>
      </c>
      <c r="B5870" s="89" t="str">
        <f t="shared" si="547"/>
        <v/>
      </c>
      <c r="S5870" s="89" t="str">
        <f t="shared" si="548"/>
        <v/>
      </c>
      <c r="X5870" s="64">
        <f t="shared" si="549"/>
        <v>0</v>
      </c>
      <c r="Y5870" s="53">
        <f t="shared" si="550"/>
        <v>0</v>
      </c>
      <c r="Z5870" s="64">
        <f t="shared" si="551"/>
        <v>0</v>
      </c>
    </row>
    <row r="5871" spans="1:26">
      <c r="A5871" s="89" t="str">
        <f t="shared" si="546"/>
        <v/>
      </c>
      <c r="B5871" s="89" t="str">
        <f t="shared" si="547"/>
        <v/>
      </c>
      <c r="S5871" s="89" t="str">
        <f t="shared" si="548"/>
        <v/>
      </c>
      <c r="X5871" s="64">
        <f t="shared" si="549"/>
        <v>0</v>
      </c>
      <c r="Y5871" s="53">
        <f t="shared" si="550"/>
        <v>0</v>
      </c>
      <c r="Z5871" s="64">
        <f t="shared" si="551"/>
        <v>0</v>
      </c>
    </row>
    <row r="5872" spans="1:26">
      <c r="A5872" s="89" t="str">
        <f t="shared" si="546"/>
        <v/>
      </c>
      <c r="B5872" s="89" t="str">
        <f t="shared" si="547"/>
        <v/>
      </c>
      <c r="S5872" s="89" t="str">
        <f t="shared" si="548"/>
        <v/>
      </c>
      <c r="X5872" s="64">
        <f t="shared" si="549"/>
        <v>0</v>
      </c>
      <c r="Y5872" s="53">
        <f t="shared" si="550"/>
        <v>0</v>
      </c>
      <c r="Z5872" s="64">
        <f t="shared" si="551"/>
        <v>0</v>
      </c>
    </row>
    <row r="5873" spans="1:26">
      <c r="A5873" s="89" t="str">
        <f t="shared" si="546"/>
        <v/>
      </c>
      <c r="B5873" s="89" t="str">
        <f t="shared" si="547"/>
        <v/>
      </c>
      <c r="S5873" s="89" t="str">
        <f t="shared" si="548"/>
        <v/>
      </c>
      <c r="X5873" s="64">
        <f t="shared" si="549"/>
        <v>0</v>
      </c>
      <c r="Y5873" s="53">
        <f t="shared" si="550"/>
        <v>0</v>
      </c>
      <c r="Z5873" s="64">
        <f t="shared" si="551"/>
        <v>0</v>
      </c>
    </row>
    <row r="5874" spans="1:26">
      <c r="A5874" s="89" t="str">
        <f t="shared" si="546"/>
        <v/>
      </c>
      <c r="B5874" s="89" t="str">
        <f t="shared" si="547"/>
        <v/>
      </c>
      <c r="S5874" s="89" t="str">
        <f t="shared" si="548"/>
        <v/>
      </c>
      <c r="X5874" s="64">
        <f t="shared" si="549"/>
        <v>0</v>
      </c>
      <c r="Y5874" s="53">
        <f t="shared" si="550"/>
        <v>0</v>
      </c>
      <c r="Z5874" s="64">
        <f t="shared" si="551"/>
        <v>0</v>
      </c>
    </row>
    <row r="5875" spans="1:26">
      <c r="A5875" s="89" t="str">
        <f t="shared" si="546"/>
        <v/>
      </c>
      <c r="B5875" s="89" t="str">
        <f t="shared" si="547"/>
        <v/>
      </c>
      <c r="S5875" s="89" t="str">
        <f t="shared" si="548"/>
        <v/>
      </c>
      <c r="X5875" s="64">
        <f t="shared" si="549"/>
        <v>0</v>
      </c>
      <c r="Y5875" s="53">
        <f t="shared" si="550"/>
        <v>0</v>
      </c>
      <c r="Z5875" s="64">
        <f t="shared" si="551"/>
        <v>0</v>
      </c>
    </row>
    <row r="5876" spans="1:26">
      <c r="A5876" s="89" t="str">
        <f t="shared" si="546"/>
        <v/>
      </c>
      <c r="B5876" s="89" t="str">
        <f t="shared" si="547"/>
        <v/>
      </c>
      <c r="S5876" s="89" t="str">
        <f t="shared" si="548"/>
        <v/>
      </c>
      <c r="X5876" s="64">
        <f t="shared" si="549"/>
        <v>0</v>
      </c>
      <c r="Y5876" s="53">
        <f t="shared" si="550"/>
        <v>0</v>
      </c>
      <c r="Z5876" s="64">
        <f t="shared" si="551"/>
        <v>0</v>
      </c>
    </row>
    <row r="5877" spans="1:26">
      <c r="A5877" s="89" t="str">
        <f t="shared" si="546"/>
        <v/>
      </c>
      <c r="B5877" s="89" t="str">
        <f t="shared" si="547"/>
        <v/>
      </c>
      <c r="S5877" s="89" t="str">
        <f t="shared" si="548"/>
        <v/>
      </c>
      <c r="X5877" s="64">
        <f t="shared" si="549"/>
        <v>0</v>
      </c>
      <c r="Y5877" s="53">
        <f t="shared" si="550"/>
        <v>0</v>
      </c>
      <c r="Z5877" s="64">
        <f t="shared" si="551"/>
        <v>0</v>
      </c>
    </row>
    <row r="5878" spans="1:26">
      <c r="A5878" s="89" t="str">
        <f t="shared" si="546"/>
        <v/>
      </c>
      <c r="B5878" s="89" t="str">
        <f t="shared" si="547"/>
        <v/>
      </c>
      <c r="S5878" s="89" t="str">
        <f t="shared" si="548"/>
        <v/>
      </c>
      <c r="X5878" s="64">
        <f t="shared" si="549"/>
        <v>0</v>
      </c>
      <c r="Y5878" s="53">
        <f t="shared" si="550"/>
        <v>0</v>
      </c>
      <c r="Z5878" s="64">
        <f t="shared" si="551"/>
        <v>0</v>
      </c>
    </row>
    <row r="5879" spans="1:26">
      <c r="A5879" s="89" t="str">
        <f t="shared" si="546"/>
        <v/>
      </c>
      <c r="B5879" s="89" t="str">
        <f t="shared" si="547"/>
        <v/>
      </c>
      <c r="S5879" s="89" t="str">
        <f t="shared" si="548"/>
        <v/>
      </c>
      <c r="X5879" s="64">
        <f t="shared" si="549"/>
        <v>0</v>
      </c>
      <c r="Y5879" s="53">
        <f t="shared" si="550"/>
        <v>0</v>
      </c>
      <c r="Z5879" s="64">
        <f t="shared" si="551"/>
        <v>0</v>
      </c>
    </row>
    <row r="5880" spans="1:26">
      <c r="A5880" s="89" t="str">
        <f t="shared" si="546"/>
        <v/>
      </c>
      <c r="B5880" s="89" t="str">
        <f t="shared" si="547"/>
        <v/>
      </c>
      <c r="S5880" s="89" t="str">
        <f t="shared" si="548"/>
        <v/>
      </c>
      <c r="X5880" s="64">
        <f t="shared" si="549"/>
        <v>0</v>
      </c>
      <c r="Y5880" s="53">
        <f t="shared" si="550"/>
        <v>0</v>
      </c>
      <c r="Z5880" s="64">
        <f t="shared" si="551"/>
        <v>0</v>
      </c>
    </row>
    <row r="5881" spans="1:26">
      <c r="A5881" s="89" t="str">
        <f t="shared" si="546"/>
        <v/>
      </c>
      <c r="B5881" s="89" t="str">
        <f t="shared" si="547"/>
        <v/>
      </c>
      <c r="S5881" s="89" t="str">
        <f t="shared" si="548"/>
        <v/>
      </c>
      <c r="X5881" s="64">
        <f t="shared" si="549"/>
        <v>0</v>
      </c>
      <c r="Y5881" s="53">
        <f t="shared" si="550"/>
        <v>0</v>
      </c>
      <c r="Z5881" s="64">
        <f t="shared" si="551"/>
        <v>0</v>
      </c>
    </row>
    <row r="5882" spans="1:26">
      <c r="A5882" s="89" t="str">
        <f t="shared" si="546"/>
        <v/>
      </c>
      <c r="B5882" s="89" t="str">
        <f t="shared" si="547"/>
        <v/>
      </c>
      <c r="S5882" s="89" t="str">
        <f t="shared" si="548"/>
        <v/>
      </c>
      <c r="X5882" s="64">
        <f t="shared" si="549"/>
        <v>0</v>
      </c>
      <c r="Y5882" s="53">
        <f t="shared" si="550"/>
        <v>0</v>
      </c>
      <c r="Z5882" s="64">
        <f t="shared" si="551"/>
        <v>0</v>
      </c>
    </row>
    <row r="5883" spans="1:26">
      <c r="A5883" s="89" t="str">
        <f t="shared" si="546"/>
        <v/>
      </c>
      <c r="B5883" s="89" t="str">
        <f t="shared" si="547"/>
        <v/>
      </c>
      <c r="S5883" s="89" t="str">
        <f t="shared" si="548"/>
        <v/>
      </c>
      <c r="X5883" s="64">
        <f t="shared" si="549"/>
        <v>0</v>
      </c>
      <c r="Y5883" s="53">
        <f t="shared" si="550"/>
        <v>0</v>
      </c>
      <c r="Z5883" s="64">
        <f t="shared" si="551"/>
        <v>0</v>
      </c>
    </row>
    <row r="5884" spans="1:26">
      <c r="A5884" s="89" t="str">
        <f t="shared" si="546"/>
        <v/>
      </c>
      <c r="B5884" s="89" t="str">
        <f t="shared" si="547"/>
        <v/>
      </c>
      <c r="S5884" s="89" t="str">
        <f t="shared" si="548"/>
        <v/>
      </c>
      <c r="X5884" s="64">
        <f t="shared" si="549"/>
        <v>0</v>
      </c>
      <c r="Y5884" s="53">
        <f t="shared" si="550"/>
        <v>0</v>
      </c>
      <c r="Z5884" s="64">
        <f t="shared" si="551"/>
        <v>0</v>
      </c>
    </row>
    <row r="5885" spans="1:26">
      <c r="A5885" s="89" t="str">
        <f t="shared" si="546"/>
        <v/>
      </c>
      <c r="B5885" s="89" t="str">
        <f t="shared" si="547"/>
        <v/>
      </c>
      <c r="S5885" s="89" t="str">
        <f t="shared" si="548"/>
        <v/>
      </c>
      <c r="X5885" s="64">
        <f t="shared" si="549"/>
        <v>0</v>
      </c>
      <c r="Y5885" s="53">
        <f t="shared" si="550"/>
        <v>0</v>
      </c>
      <c r="Z5885" s="64">
        <f t="shared" si="551"/>
        <v>0</v>
      </c>
    </row>
    <row r="5886" spans="1:26">
      <c r="A5886" s="89" t="str">
        <f t="shared" si="546"/>
        <v/>
      </c>
      <c r="B5886" s="89" t="str">
        <f t="shared" si="547"/>
        <v/>
      </c>
      <c r="S5886" s="89" t="str">
        <f t="shared" si="548"/>
        <v/>
      </c>
      <c r="X5886" s="64">
        <f t="shared" si="549"/>
        <v>0</v>
      </c>
      <c r="Y5886" s="53">
        <f t="shared" si="550"/>
        <v>0</v>
      </c>
      <c r="Z5886" s="64">
        <f t="shared" si="551"/>
        <v>0</v>
      </c>
    </row>
    <row r="5887" spans="1:26">
      <c r="A5887" s="89" t="str">
        <f t="shared" si="546"/>
        <v/>
      </c>
      <c r="B5887" s="89" t="str">
        <f t="shared" si="547"/>
        <v/>
      </c>
      <c r="S5887" s="89" t="str">
        <f t="shared" si="548"/>
        <v/>
      </c>
      <c r="X5887" s="64">
        <f t="shared" si="549"/>
        <v>0</v>
      </c>
      <c r="Y5887" s="53">
        <f t="shared" si="550"/>
        <v>0</v>
      </c>
      <c r="Z5887" s="64">
        <f t="shared" si="551"/>
        <v>0</v>
      </c>
    </row>
    <row r="5888" spans="1:26">
      <c r="A5888" s="89" t="str">
        <f t="shared" si="546"/>
        <v/>
      </c>
      <c r="B5888" s="89" t="str">
        <f t="shared" si="547"/>
        <v/>
      </c>
      <c r="S5888" s="89" t="str">
        <f t="shared" si="548"/>
        <v/>
      </c>
      <c r="X5888" s="64">
        <f t="shared" si="549"/>
        <v>0</v>
      </c>
      <c r="Y5888" s="53">
        <f t="shared" si="550"/>
        <v>0</v>
      </c>
      <c r="Z5888" s="64">
        <f t="shared" si="551"/>
        <v>0</v>
      </c>
    </row>
    <row r="5889" spans="1:26">
      <c r="A5889" s="89" t="str">
        <f t="shared" si="546"/>
        <v/>
      </c>
      <c r="B5889" s="89" t="str">
        <f t="shared" si="547"/>
        <v/>
      </c>
      <c r="S5889" s="89" t="str">
        <f t="shared" si="548"/>
        <v/>
      </c>
      <c r="X5889" s="64">
        <f t="shared" si="549"/>
        <v>0</v>
      </c>
      <c r="Y5889" s="53">
        <f t="shared" si="550"/>
        <v>0</v>
      </c>
      <c r="Z5889" s="64">
        <f t="shared" si="551"/>
        <v>0</v>
      </c>
    </row>
    <row r="5890" spans="1:26">
      <c r="A5890" s="89" t="str">
        <f t="shared" si="546"/>
        <v/>
      </c>
      <c r="B5890" s="89" t="str">
        <f t="shared" si="547"/>
        <v/>
      </c>
      <c r="S5890" s="89" t="str">
        <f t="shared" si="548"/>
        <v/>
      </c>
      <c r="X5890" s="64">
        <f t="shared" si="549"/>
        <v>0</v>
      </c>
      <c r="Y5890" s="53">
        <f t="shared" si="550"/>
        <v>0</v>
      </c>
      <c r="Z5890" s="64">
        <f t="shared" si="551"/>
        <v>0</v>
      </c>
    </row>
    <row r="5891" spans="1:26">
      <c r="A5891" s="89" t="str">
        <f t="shared" ref="A5891:A5954" si="552">IF(G5891&amp;Q5891&lt;&gt;"",G5891&amp;Q5891,"")</f>
        <v/>
      </c>
      <c r="B5891" s="89" t="str">
        <f t="shared" ref="B5891:B5954" si="553">IF(C5891&lt;&gt;"",LEFT(C5891,9),"")</f>
        <v/>
      </c>
      <c r="S5891" s="89" t="str">
        <f t="shared" ref="S5891:S5954" si="554">IF(H5891&lt;&gt;"",H5891,"")</f>
        <v/>
      </c>
      <c r="X5891" s="64">
        <f t="shared" ref="X5891:X5954" si="555">IFERROR(VALUE(MID($C5891,1,2)),0)</f>
        <v>0</v>
      </c>
      <c r="Y5891" s="53">
        <f t="shared" ref="Y5891:Y5954" si="556">IFERROR(VALUE(MID($C5891,4,3)),0)</f>
        <v>0</v>
      </c>
      <c r="Z5891" s="64">
        <f t="shared" ref="Z5891:Z5954" si="557">VALUE(RIGHT("00"&amp;X5891,2)&amp;RIGHT("000"&amp;Y5891,3))</f>
        <v>0</v>
      </c>
    </row>
    <row r="5892" spans="1:26">
      <c r="A5892" s="89" t="str">
        <f t="shared" si="552"/>
        <v/>
      </c>
      <c r="B5892" s="89" t="str">
        <f t="shared" si="553"/>
        <v/>
      </c>
      <c r="S5892" s="89" t="str">
        <f t="shared" si="554"/>
        <v/>
      </c>
      <c r="X5892" s="64">
        <f t="shared" si="555"/>
        <v>0</v>
      </c>
      <c r="Y5892" s="53">
        <f t="shared" si="556"/>
        <v>0</v>
      </c>
      <c r="Z5892" s="64">
        <f t="shared" si="557"/>
        <v>0</v>
      </c>
    </row>
    <row r="5893" spans="1:26">
      <c r="A5893" s="89" t="str">
        <f t="shared" si="552"/>
        <v/>
      </c>
      <c r="B5893" s="89" t="str">
        <f t="shared" si="553"/>
        <v/>
      </c>
      <c r="S5893" s="89" t="str">
        <f t="shared" si="554"/>
        <v/>
      </c>
      <c r="X5893" s="64">
        <f t="shared" si="555"/>
        <v>0</v>
      </c>
      <c r="Y5893" s="53">
        <f t="shared" si="556"/>
        <v>0</v>
      </c>
      <c r="Z5893" s="64">
        <f t="shared" si="557"/>
        <v>0</v>
      </c>
    </row>
    <row r="5894" spans="1:26">
      <c r="A5894" s="89" t="str">
        <f t="shared" si="552"/>
        <v/>
      </c>
      <c r="B5894" s="89" t="str">
        <f t="shared" si="553"/>
        <v/>
      </c>
      <c r="S5894" s="89" t="str">
        <f t="shared" si="554"/>
        <v/>
      </c>
      <c r="X5894" s="64">
        <f t="shared" si="555"/>
        <v>0</v>
      </c>
      <c r="Y5894" s="53">
        <f t="shared" si="556"/>
        <v>0</v>
      </c>
      <c r="Z5894" s="64">
        <f t="shared" si="557"/>
        <v>0</v>
      </c>
    </row>
    <row r="5895" spans="1:26">
      <c r="A5895" s="89" t="str">
        <f t="shared" si="552"/>
        <v/>
      </c>
      <c r="B5895" s="89" t="str">
        <f t="shared" si="553"/>
        <v/>
      </c>
      <c r="S5895" s="89" t="str">
        <f t="shared" si="554"/>
        <v/>
      </c>
      <c r="X5895" s="64">
        <f t="shared" si="555"/>
        <v>0</v>
      </c>
      <c r="Y5895" s="53">
        <f t="shared" si="556"/>
        <v>0</v>
      </c>
      <c r="Z5895" s="64">
        <f t="shared" si="557"/>
        <v>0</v>
      </c>
    </row>
    <row r="5896" spans="1:26">
      <c r="A5896" s="89" t="str">
        <f t="shared" si="552"/>
        <v/>
      </c>
      <c r="B5896" s="89" t="str">
        <f t="shared" si="553"/>
        <v/>
      </c>
      <c r="S5896" s="89" t="str">
        <f t="shared" si="554"/>
        <v/>
      </c>
      <c r="X5896" s="64">
        <f t="shared" si="555"/>
        <v>0</v>
      </c>
      <c r="Y5896" s="53">
        <f t="shared" si="556"/>
        <v>0</v>
      </c>
      <c r="Z5896" s="64">
        <f t="shared" si="557"/>
        <v>0</v>
      </c>
    </row>
    <row r="5897" spans="1:26">
      <c r="A5897" s="89" t="str">
        <f t="shared" si="552"/>
        <v/>
      </c>
      <c r="B5897" s="89" t="str">
        <f t="shared" si="553"/>
        <v/>
      </c>
      <c r="S5897" s="89" t="str">
        <f t="shared" si="554"/>
        <v/>
      </c>
      <c r="X5897" s="64">
        <f t="shared" si="555"/>
        <v>0</v>
      </c>
      <c r="Y5897" s="53">
        <f t="shared" si="556"/>
        <v>0</v>
      </c>
      <c r="Z5897" s="64">
        <f t="shared" si="557"/>
        <v>0</v>
      </c>
    </row>
    <row r="5898" spans="1:26">
      <c r="A5898" s="89" t="str">
        <f t="shared" si="552"/>
        <v/>
      </c>
      <c r="B5898" s="89" t="str">
        <f t="shared" si="553"/>
        <v/>
      </c>
      <c r="S5898" s="89" t="str">
        <f t="shared" si="554"/>
        <v/>
      </c>
      <c r="X5898" s="64">
        <f t="shared" si="555"/>
        <v>0</v>
      </c>
      <c r="Y5898" s="53">
        <f t="shared" si="556"/>
        <v>0</v>
      </c>
      <c r="Z5898" s="64">
        <f t="shared" si="557"/>
        <v>0</v>
      </c>
    </row>
    <row r="5899" spans="1:26">
      <c r="A5899" s="89" t="str">
        <f t="shared" si="552"/>
        <v/>
      </c>
      <c r="B5899" s="89" t="str">
        <f t="shared" si="553"/>
        <v/>
      </c>
      <c r="S5899" s="89" t="str">
        <f t="shared" si="554"/>
        <v/>
      </c>
      <c r="X5899" s="64">
        <f t="shared" si="555"/>
        <v>0</v>
      </c>
      <c r="Y5899" s="53">
        <f t="shared" si="556"/>
        <v>0</v>
      </c>
      <c r="Z5899" s="64">
        <f t="shared" si="557"/>
        <v>0</v>
      </c>
    </row>
    <row r="5900" spans="1:26">
      <c r="A5900" s="89" t="str">
        <f t="shared" si="552"/>
        <v/>
      </c>
      <c r="B5900" s="89" t="str">
        <f t="shared" si="553"/>
        <v/>
      </c>
      <c r="S5900" s="89" t="str">
        <f t="shared" si="554"/>
        <v/>
      </c>
      <c r="X5900" s="64">
        <f t="shared" si="555"/>
        <v>0</v>
      </c>
      <c r="Y5900" s="53">
        <f t="shared" si="556"/>
        <v>0</v>
      </c>
      <c r="Z5900" s="64">
        <f t="shared" si="557"/>
        <v>0</v>
      </c>
    </row>
    <row r="5901" spans="1:26">
      <c r="A5901" s="89" t="str">
        <f t="shared" si="552"/>
        <v/>
      </c>
      <c r="B5901" s="89" t="str">
        <f t="shared" si="553"/>
        <v/>
      </c>
      <c r="S5901" s="89" t="str">
        <f t="shared" si="554"/>
        <v/>
      </c>
      <c r="X5901" s="64">
        <f t="shared" si="555"/>
        <v>0</v>
      </c>
      <c r="Y5901" s="53">
        <f t="shared" si="556"/>
        <v>0</v>
      </c>
      <c r="Z5901" s="64">
        <f t="shared" si="557"/>
        <v>0</v>
      </c>
    </row>
    <row r="5902" spans="1:26">
      <c r="A5902" s="89" t="str">
        <f t="shared" si="552"/>
        <v/>
      </c>
      <c r="B5902" s="89" t="str">
        <f t="shared" si="553"/>
        <v/>
      </c>
      <c r="S5902" s="89" t="str">
        <f t="shared" si="554"/>
        <v/>
      </c>
      <c r="X5902" s="64">
        <f t="shared" si="555"/>
        <v>0</v>
      </c>
      <c r="Y5902" s="53">
        <f t="shared" si="556"/>
        <v>0</v>
      </c>
      <c r="Z5902" s="64">
        <f t="shared" si="557"/>
        <v>0</v>
      </c>
    </row>
    <row r="5903" spans="1:26">
      <c r="A5903" s="89" t="str">
        <f t="shared" si="552"/>
        <v/>
      </c>
      <c r="B5903" s="89" t="str">
        <f t="shared" si="553"/>
        <v/>
      </c>
      <c r="S5903" s="89" t="str">
        <f t="shared" si="554"/>
        <v/>
      </c>
      <c r="X5903" s="64">
        <f t="shared" si="555"/>
        <v>0</v>
      </c>
      <c r="Y5903" s="53">
        <f t="shared" si="556"/>
        <v>0</v>
      </c>
      <c r="Z5903" s="64">
        <f t="shared" si="557"/>
        <v>0</v>
      </c>
    </row>
    <row r="5904" spans="1:26">
      <c r="A5904" s="89" t="str">
        <f t="shared" si="552"/>
        <v/>
      </c>
      <c r="B5904" s="89" t="str">
        <f t="shared" si="553"/>
        <v/>
      </c>
      <c r="S5904" s="89" t="str">
        <f t="shared" si="554"/>
        <v/>
      </c>
      <c r="X5904" s="64">
        <f t="shared" si="555"/>
        <v>0</v>
      </c>
      <c r="Y5904" s="53">
        <f t="shared" si="556"/>
        <v>0</v>
      </c>
      <c r="Z5904" s="64">
        <f t="shared" si="557"/>
        <v>0</v>
      </c>
    </row>
    <row r="5905" spans="1:26">
      <c r="A5905" s="89" t="str">
        <f t="shared" si="552"/>
        <v/>
      </c>
      <c r="B5905" s="89" t="str">
        <f t="shared" si="553"/>
        <v/>
      </c>
      <c r="S5905" s="89" t="str">
        <f t="shared" si="554"/>
        <v/>
      </c>
      <c r="X5905" s="64">
        <f t="shared" si="555"/>
        <v>0</v>
      </c>
      <c r="Y5905" s="53">
        <f t="shared" si="556"/>
        <v>0</v>
      </c>
      <c r="Z5905" s="64">
        <f t="shared" si="557"/>
        <v>0</v>
      </c>
    </row>
    <row r="5906" spans="1:26">
      <c r="A5906" s="89" t="str">
        <f t="shared" si="552"/>
        <v/>
      </c>
      <c r="B5906" s="89" t="str">
        <f t="shared" si="553"/>
        <v/>
      </c>
      <c r="S5906" s="89" t="str">
        <f t="shared" si="554"/>
        <v/>
      </c>
      <c r="X5906" s="64">
        <f t="shared" si="555"/>
        <v>0</v>
      </c>
      <c r="Y5906" s="53">
        <f t="shared" si="556"/>
        <v>0</v>
      </c>
      <c r="Z5906" s="64">
        <f t="shared" si="557"/>
        <v>0</v>
      </c>
    </row>
    <row r="5907" spans="1:26">
      <c r="A5907" s="89" t="str">
        <f t="shared" si="552"/>
        <v/>
      </c>
      <c r="B5907" s="89" t="str">
        <f t="shared" si="553"/>
        <v/>
      </c>
      <c r="S5907" s="89" t="str">
        <f t="shared" si="554"/>
        <v/>
      </c>
      <c r="X5907" s="64">
        <f t="shared" si="555"/>
        <v>0</v>
      </c>
      <c r="Y5907" s="53">
        <f t="shared" si="556"/>
        <v>0</v>
      </c>
      <c r="Z5907" s="64">
        <f t="shared" si="557"/>
        <v>0</v>
      </c>
    </row>
    <row r="5908" spans="1:26">
      <c r="A5908" s="89" t="str">
        <f t="shared" si="552"/>
        <v/>
      </c>
      <c r="B5908" s="89" t="str">
        <f t="shared" si="553"/>
        <v/>
      </c>
      <c r="S5908" s="89" t="str">
        <f t="shared" si="554"/>
        <v/>
      </c>
      <c r="X5908" s="64">
        <f t="shared" si="555"/>
        <v>0</v>
      </c>
      <c r="Y5908" s="53">
        <f t="shared" si="556"/>
        <v>0</v>
      </c>
      <c r="Z5908" s="64">
        <f t="shared" si="557"/>
        <v>0</v>
      </c>
    </row>
    <row r="5909" spans="1:26">
      <c r="A5909" s="89" t="str">
        <f t="shared" si="552"/>
        <v/>
      </c>
      <c r="B5909" s="89" t="str">
        <f t="shared" si="553"/>
        <v/>
      </c>
      <c r="S5909" s="89" t="str">
        <f t="shared" si="554"/>
        <v/>
      </c>
      <c r="X5909" s="64">
        <f t="shared" si="555"/>
        <v>0</v>
      </c>
      <c r="Y5909" s="53">
        <f t="shared" si="556"/>
        <v>0</v>
      </c>
      <c r="Z5909" s="64">
        <f t="shared" si="557"/>
        <v>0</v>
      </c>
    </row>
    <row r="5910" spans="1:26">
      <c r="A5910" s="89" t="str">
        <f t="shared" si="552"/>
        <v/>
      </c>
      <c r="B5910" s="89" t="str">
        <f t="shared" si="553"/>
        <v/>
      </c>
      <c r="S5910" s="89" t="str">
        <f t="shared" si="554"/>
        <v/>
      </c>
      <c r="X5910" s="64">
        <f t="shared" si="555"/>
        <v>0</v>
      </c>
      <c r="Y5910" s="53">
        <f t="shared" si="556"/>
        <v>0</v>
      </c>
      <c r="Z5910" s="64">
        <f t="shared" si="557"/>
        <v>0</v>
      </c>
    </row>
    <row r="5911" spans="1:26">
      <c r="A5911" s="89" t="str">
        <f t="shared" si="552"/>
        <v/>
      </c>
      <c r="B5911" s="89" t="str">
        <f t="shared" si="553"/>
        <v/>
      </c>
      <c r="S5911" s="89" t="str">
        <f t="shared" si="554"/>
        <v/>
      </c>
      <c r="X5911" s="64">
        <f t="shared" si="555"/>
        <v>0</v>
      </c>
      <c r="Y5911" s="53">
        <f t="shared" si="556"/>
        <v>0</v>
      </c>
      <c r="Z5911" s="64">
        <f t="shared" si="557"/>
        <v>0</v>
      </c>
    </row>
    <row r="5912" spans="1:26">
      <c r="A5912" s="89" t="str">
        <f t="shared" si="552"/>
        <v/>
      </c>
      <c r="B5912" s="89" t="str">
        <f t="shared" si="553"/>
        <v/>
      </c>
      <c r="S5912" s="89" t="str">
        <f t="shared" si="554"/>
        <v/>
      </c>
      <c r="X5912" s="64">
        <f t="shared" si="555"/>
        <v>0</v>
      </c>
      <c r="Y5912" s="53">
        <f t="shared" si="556"/>
        <v>0</v>
      </c>
      <c r="Z5912" s="64">
        <f t="shared" si="557"/>
        <v>0</v>
      </c>
    </row>
    <row r="5913" spans="1:26">
      <c r="A5913" s="89" t="str">
        <f t="shared" si="552"/>
        <v/>
      </c>
      <c r="B5913" s="89" t="str">
        <f t="shared" si="553"/>
        <v/>
      </c>
      <c r="S5913" s="89" t="str">
        <f t="shared" si="554"/>
        <v/>
      </c>
      <c r="X5913" s="64">
        <f t="shared" si="555"/>
        <v>0</v>
      </c>
      <c r="Y5913" s="53">
        <f t="shared" si="556"/>
        <v>0</v>
      </c>
      <c r="Z5913" s="64">
        <f t="shared" si="557"/>
        <v>0</v>
      </c>
    </row>
    <row r="5914" spans="1:26">
      <c r="A5914" s="89" t="str">
        <f t="shared" si="552"/>
        <v/>
      </c>
      <c r="B5914" s="89" t="str">
        <f t="shared" si="553"/>
        <v/>
      </c>
      <c r="S5914" s="89" t="str">
        <f t="shared" si="554"/>
        <v/>
      </c>
      <c r="X5914" s="64">
        <f t="shared" si="555"/>
        <v>0</v>
      </c>
      <c r="Y5914" s="53">
        <f t="shared" si="556"/>
        <v>0</v>
      </c>
      <c r="Z5914" s="64">
        <f t="shared" si="557"/>
        <v>0</v>
      </c>
    </row>
    <row r="5915" spans="1:26">
      <c r="A5915" s="89" t="str">
        <f t="shared" si="552"/>
        <v/>
      </c>
      <c r="B5915" s="89" t="str">
        <f t="shared" si="553"/>
        <v/>
      </c>
      <c r="S5915" s="89" t="str">
        <f t="shared" si="554"/>
        <v/>
      </c>
      <c r="X5915" s="64">
        <f t="shared" si="555"/>
        <v>0</v>
      </c>
      <c r="Y5915" s="53">
        <f t="shared" si="556"/>
        <v>0</v>
      </c>
      <c r="Z5915" s="64">
        <f t="shared" si="557"/>
        <v>0</v>
      </c>
    </row>
    <row r="5916" spans="1:26">
      <c r="A5916" s="89" t="str">
        <f t="shared" si="552"/>
        <v/>
      </c>
      <c r="B5916" s="89" t="str">
        <f t="shared" si="553"/>
        <v/>
      </c>
      <c r="S5916" s="89" t="str">
        <f t="shared" si="554"/>
        <v/>
      </c>
      <c r="X5916" s="64">
        <f t="shared" si="555"/>
        <v>0</v>
      </c>
      <c r="Y5916" s="53">
        <f t="shared" si="556"/>
        <v>0</v>
      </c>
      <c r="Z5916" s="64">
        <f t="shared" si="557"/>
        <v>0</v>
      </c>
    </row>
    <row r="5917" spans="1:26">
      <c r="A5917" s="89" t="str">
        <f t="shared" si="552"/>
        <v/>
      </c>
      <c r="B5917" s="89" t="str">
        <f t="shared" si="553"/>
        <v/>
      </c>
      <c r="S5917" s="89" t="str">
        <f t="shared" si="554"/>
        <v/>
      </c>
      <c r="X5917" s="64">
        <f t="shared" si="555"/>
        <v>0</v>
      </c>
      <c r="Y5917" s="53">
        <f t="shared" si="556"/>
        <v>0</v>
      </c>
      <c r="Z5917" s="64">
        <f t="shared" si="557"/>
        <v>0</v>
      </c>
    </row>
    <row r="5918" spans="1:26">
      <c r="A5918" s="89" t="str">
        <f t="shared" si="552"/>
        <v/>
      </c>
      <c r="B5918" s="89" t="str">
        <f t="shared" si="553"/>
        <v/>
      </c>
      <c r="S5918" s="89" t="str">
        <f t="shared" si="554"/>
        <v/>
      </c>
      <c r="X5918" s="64">
        <f t="shared" si="555"/>
        <v>0</v>
      </c>
      <c r="Y5918" s="53">
        <f t="shared" si="556"/>
        <v>0</v>
      </c>
      <c r="Z5918" s="64">
        <f t="shared" si="557"/>
        <v>0</v>
      </c>
    </row>
    <row r="5919" spans="1:26">
      <c r="A5919" s="89" t="str">
        <f t="shared" si="552"/>
        <v/>
      </c>
      <c r="B5919" s="89" t="str">
        <f t="shared" si="553"/>
        <v/>
      </c>
      <c r="S5919" s="89" t="str">
        <f t="shared" si="554"/>
        <v/>
      </c>
      <c r="X5919" s="64">
        <f t="shared" si="555"/>
        <v>0</v>
      </c>
      <c r="Y5919" s="53">
        <f t="shared" si="556"/>
        <v>0</v>
      </c>
      <c r="Z5919" s="64">
        <f t="shared" si="557"/>
        <v>0</v>
      </c>
    </row>
    <row r="5920" spans="1:26">
      <c r="A5920" s="89" t="str">
        <f t="shared" si="552"/>
        <v/>
      </c>
      <c r="B5920" s="89" t="str">
        <f t="shared" si="553"/>
        <v/>
      </c>
      <c r="S5920" s="89" t="str">
        <f t="shared" si="554"/>
        <v/>
      </c>
      <c r="X5920" s="64">
        <f t="shared" si="555"/>
        <v>0</v>
      </c>
      <c r="Y5920" s="53">
        <f t="shared" si="556"/>
        <v>0</v>
      </c>
      <c r="Z5920" s="64">
        <f t="shared" si="557"/>
        <v>0</v>
      </c>
    </row>
    <row r="5921" spans="1:26">
      <c r="A5921" s="89" t="str">
        <f t="shared" si="552"/>
        <v/>
      </c>
      <c r="B5921" s="89" t="str">
        <f t="shared" si="553"/>
        <v/>
      </c>
      <c r="S5921" s="89" t="str">
        <f t="shared" si="554"/>
        <v/>
      </c>
      <c r="X5921" s="64">
        <f t="shared" si="555"/>
        <v>0</v>
      </c>
      <c r="Y5921" s="53">
        <f t="shared" si="556"/>
        <v>0</v>
      </c>
      <c r="Z5921" s="64">
        <f t="shared" si="557"/>
        <v>0</v>
      </c>
    </row>
    <row r="5922" spans="1:26">
      <c r="A5922" s="89" t="str">
        <f t="shared" si="552"/>
        <v/>
      </c>
      <c r="B5922" s="89" t="str">
        <f t="shared" si="553"/>
        <v/>
      </c>
      <c r="S5922" s="89" t="str">
        <f t="shared" si="554"/>
        <v/>
      </c>
      <c r="X5922" s="64">
        <f t="shared" si="555"/>
        <v>0</v>
      </c>
      <c r="Y5922" s="53">
        <f t="shared" si="556"/>
        <v>0</v>
      </c>
      <c r="Z5922" s="64">
        <f t="shared" si="557"/>
        <v>0</v>
      </c>
    </row>
    <row r="5923" spans="1:26">
      <c r="A5923" s="89" t="str">
        <f t="shared" si="552"/>
        <v/>
      </c>
      <c r="B5923" s="89" t="str">
        <f t="shared" si="553"/>
        <v/>
      </c>
      <c r="S5923" s="89" t="str">
        <f t="shared" si="554"/>
        <v/>
      </c>
      <c r="X5923" s="64">
        <f t="shared" si="555"/>
        <v>0</v>
      </c>
      <c r="Y5923" s="53">
        <f t="shared" si="556"/>
        <v>0</v>
      </c>
      <c r="Z5923" s="64">
        <f t="shared" si="557"/>
        <v>0</v>
      </c>
    </row>
    <row r="5924" spans="1:26">
      <c r="A5924" s="89" t="str">
        <f t="shared" si="552"/>
        <v/>
      </c>
      <c r="B5924" s="89" t="str">
        <f t="shared" si="553"/>
        <v/>
      </c>
      <c r="S5924" s="89" t="str">
        <f t="shared" si="554"/>
        <v/>
      </c>
      <c r="X5924" s="64">
        <f t="shared" si="555"/>
        <v>0</v>
      </c>
      <c r="Y5924" s="53">
        <f t="shared" si="556"/>
        <v>0</v>
      </c>
      <c r="Z5924" s="64">
        <f t="shared" si="557"/>
        <v>0</v>
      </c>
    </row>
    <row r="5925" spans="1:26">
      <c r="A5925" s="89" t="str">
        <f t="shared" si="552"/>
        <v/>
      </c>
      <c r="B5925" s="89" t="str">
        <f t="shared" si="553"/>
        <v/>
      </c>
      <c r="S5925" s="89" t="str">
        <f t="shared" si="554"/>
        <v/>
      </c>
      <c r="X5925" s="64">
        <f t="shared" si="555"/>
        <v>0</v>
      </c>
      <c r="Y5925" s="53">
        <f t="shared" si="556"/>
        <v>0</v>
      </c>
      <c r="Z5925" s="64">
        <f t="shared" si="557"/>
        <v>0</v>
      </c>
    </row>
    <row r="5926" spans="1:26">
      <c r="A5926" s="89" t="str">
        <f t="shared" si="552"/>
        <v/>
      </c>
      <c r="B5926" s="89" t="str">
        <f t="shared" si="553"/>
        <v/>
      </c>
      <c r="S5926" s="89" t="str">
        <f t="shared" si="554"/>
        <v/>
      </c>
      <c r="X5926" s="64">
        <f t="shared" si="555"/>
        <v>0</v>
      </c>
      <c r="Y5926" s="53">
        <f t="shared" si="556"/>
        <v>0</v>
      </c>
      <c r="Z5926" s="64">
        <f t="shared" si="557"/>
        <v>0</v>
      </c>
    </row>
    <row r="5927" spans="1:26">
      <c r="A5927" s="89" t="str">
        <f t="shared" si="552"/>
        <v/>
      </c>
      <c r="B5927" s="89" t="str">
        <f t="shared" si="553"/>
        <v/>
      </c>
      <c r="S5927" s="89" t="str">
        <f t="shared" si="554"/>
        <v/>
      </c>
      <c r="X5927" s="64">
        <f t="shared" si="555"/>
        <v>0</v>
      </c>
      <c r="Y5927" s="53">
        <f t="shared" si="556"/>
        <v>0</v>
      </c>
      <c r="Z5927" s="64">
        <f t="shared" si="557"/>
        <v>0</v>
      </c>
    </row>
    <row r="5928" spans="1:26">
      <c r="A5928" s="89" t="str">
        <f t="shared" si="552"/>
        <v/>
      </c>
      <c r="B5928" s="89" t="str">
        <f t="shared" si="553"/>
        <v/>
      </c>
      <c r="S5928" s="89" t="str">
        <f t="shared" si="554"/>
        <v/>
      </c>
      <c r="X5928" s="64">
        <f t="shared" si="555"/>
        <v>0</v>
      </c>
      <c r="Y5928" s="53">
        <f t="shared" si="556"/>
        <v>0</v>
      </c>
      <c r="Z5928" s="64">
        <f t="shared" si="557"/>
        <v>0</v>
      </c>
    </row>
    <row r="5929" spans="1:26">
      <c r="A5929" s="89" t="str">
        <f t="shared" si="552"/>
        <v/>
      </c>
      <c r="B5929" s="89" t="str">
        <f t="shared" si="553"/>
        <v/>
      </c>
      <c r="S5929" s="89" t="str">
        <f t="shared" si="554"/>
        <v/>
      </c>
      <c r="X5929" s="64">
        <f t="shared" si="555"/>
        <v>0</v>
      </c>
      <c r="Y5929" s="53">
        <f t="shared" si="556"/>
        <v>0</v>
      </c>
      <c r="Z5929" s="64">
        <f t="shared" si="557"/>
        <v>0</v>
      </c>
    </row>
    <row r="5930" spans="1:26">
      <c r="A5930" s="89" t="str">
        <f t="shared" si="552"/>
        <v/>
      </c>
      <c r="B5930" s="89" t="str">
        <f t="shared" si="553"/>
        <v/>
      </c>
      <c r="S5930" s="89" t="str">
        <f t="shared" si="554"/>
        <v/>
      </c>
      <c r="X5930" s="64">
        <f t="shared" si="555"/>
        <v>0</v>
      </c>
      <c r="Y5930" s="53">
        <f t="shared" si="556"/>
        <v>0</v>
      </c>
      <c r="Z5930" s="64">
        <f t="shared" si="557"/>
        <v>0</v>
      </c>
    </row>
    <row r="5931" spans="1:26">
      <c r="A5931" s="89" t="str">
        <f t="shared" si="552"/>
        <v/>
      </c>
      <c r="B5931" s="89" t="str">
        <f t="shared" si="553"/>
        <v/>
      </c>
      <c r="S5931" s="89" t="str">
        <f t="shared" si="554"/>
        <v/>
      </c>
      <c r="X5931" s="64">
        <f t="shared" si="555"/>
        <v>0</v>
      </c>
      <c r="Y5931" s="53">
        <f t="shared" si="556"/>
        <v>0</v>
      </c>
      <c r="Z5931" s="64">
        <f t="shared" si="557"/>
        <v>0</v>
      </c>
    </row>
    <row r="5932" spans="1:26">
      <c r="A5932" s="89" t="str">
        <f t="shared" si="552"/>
        <v/>
      </c>
      <c r="B5932" s="89" t="str">
        <f t="shared" si="553"/>
        <v/>
      </c>
      <c r="S5932" s="89" t="str">
        <f t="shared" si="554"/>
        <v/>
      </c>
      <c r="X5932" s="64">
        <f t="shared" si="555"/>
        <v>0</v>
      </c>
      <c r="Y5932" s="53">
        <f t="shared" si="556"/>
        <v>0</v>
      </c>
      <c r="Z5932" s="64">
        <f t="shared" si="557"/>
        <v>0</v>
      </c>
    </row>
    <row r="5933" spans="1:26">
      <c r="A5933" s="89" t="str">
        <f t="shared" si="552"/>
        <v/>
      </c>
      <c r="B5933" s="89" t="str">
        <f t="shared" si="553"/>
        <v/>
      </c>
      <c r="S5933" s="89" t="str">
        <f t="shared" si="554"/>
        <v/>
      </c>
      <c r="X5933" s="64">
        <f t="shared" si="555"/>
        <v>0</v>
      </c>
      <c r="Y5933" s="53">
        <f t="shared" si="556"/>
        <v>0</v>
      </c>
      <c r="Z5933" s="64">
        <f t="shared" si="557"/>
        <v>0</v>
      </c>
    </row>
    <row r="5934" spans="1:26">
      <c r="A5934" s="89" t="str">
        <f t="shared" si="552"/>
        <v/>
      </c>
      <c r="B5934" s="89" t="str">
        <f t="shared" si="553"/>
        <v/>
      </c>
      <c r="S5934" s="89" t="str">
        <f t="shared" si="554"/>
        <v/>
      </c>
      <c r="X5934" s="64">
        <f t="shared" si="555"/>
        <v>0</v>
      </c>
      <c r="Y5934" s="53">
        <f t="shared" si="556"/>
        <v>0</v>
      </c>
      <c r="Z5934" s="64">
        <f t="shared" si="557"/>
        <v>0</v>
      </c>
    </row>
    <row r="5935" spans="1:26">
      <c r="A5935" s="89" t="str">
        <f t="shared" si="552"/>
        <v/>
      </c>
      <c r="B5935" s="89" t="str">
        <f t="shared" si="553"/>
        <v/>
      </c>
      <c r="S5935" s="89" t="str">
        <f t="shared" si="554"/>
        <v/>
      </c>
      <c r="X5935" s="64">
        <f t="shared" si="555"/>
        <v>0</v>
      </c>
      <c r="Y5935" s="53">
        <f t="shared" si="556"/>
        <v>0</v>
      </c>
      <c r="Z5935" s="64">
        <f t="shared" si="557"/>
        <v>0</v>
      </c>
    </row>
    <row r="5936" spans="1:26">
      <c r="A5936" s="89" t="str">
        <f t="shared" si="552"/>
        <v/>
      </c>
      <c r="B5936" s="89" t="str">
        <f t="shared" si="553"/>
        <v/>
      </c>
      <c r="S5936" s="89" t="str">
        <f t="shared" si="554"/>
        <v/>
      </c>
      <c r="X5936" s="64">
        <f t="shared" si="555"/>
        <v>0</v>
      </c>
      <c r="Y5936" s="53">
        <f t="shared" si="556"/>
        <v>0</v>
      </c>
      <c r="Z5936" s="64">
        <f t="shared" si="557"/>
        <v>0</v>
      </c>
    </row>
    <row r="5937" spans="1:26">
      <c r="A5937" s="89" t="str">
        <f t="shared" si="552"/>
        <v/>
      </c>
      <c r="B5937" s="89" t="str">
        <f t="shared" si="553"/>
        <v/>
      </c>
      <c r="S5937" s="89" t="str">
        <f t="shared" si="554"/>
        <v/>
      </c>
      <c r="X5937" s="64">
        <f t="shared" si="555"/>
        <v>0</v>
      </c>
      <c r="Y5937" s="53">
        <f t="shared" si="556"/>
        <v>0</v>
      </c>
      <c r="Z5937" s="64">
        <f t="shared" si="557"/>
        <v>0</v>
      </c>
    </row>
    <row r="5938" spans="1:26">
      <c r="A5938" s="89" t="str">
        <f t="shared" si="552"/>
        <v/>
      </c>
      <c r="B5938" s="89" t="str">
        <f t="shared" si="553"/>
        <v/>
      </c>
      <c r="S5938" s="89" t="str">
        <f t="shared" si="554"/>
        <v/>
      </c>
      <c r="X5938" s="64">
        <f t="shared" si="555"/>
        <v>0</v>
      </c>
      <c r="Y5938" s="53">
        <f t="shared" si="556"/>
        <v>0</v>
      </c>
      <c r="Z5938" s="64">
        <f t="shared" si="557"/>
        <v>0</v>
      </c>
    </row>
    <row r="5939" spans="1:26">
      <c r="A5939" s="89" t="str">
        <f t="shared" si="552"/>
        <v/>
      </c>
      <c r="B5939" s="89" t="str">
        <f t="shared" si="553"/>
        <v/>
      </c>
      <c r="S5939" s="89" t="str">
        <f t="shared" si="554"/>
        <v/>
      </c>
      <c r="X5939" s="64">
        <f t="shared" si="555"/>
        <v>0</v>
      </c>
      <c r="Y5939" s="53">
        <f t="shared" si="556"/>
        <v>0</v>
      </c>
      <c r="Z5939" s="64">
        <f t="shared" si="557"/>
        <v>0</v>
      </c>
    </row>
    <row r="5940" spans="1:26">
      <c r="A5940" s="89" t="str">
        <f t="shared" si="552"/>
        <v/>
      </c>
      <c r="B5940" s="89" t="str">
        <f t="shared" si="553"/>
        <v/>
      </c>
      <c r="S5940" s="89" t="str">
        <f t="shared" si="554"/>
        <v/>
      </c>
      <c r="X5940" s="64">
        <f t="shared" si="555"/>
        <v>0</v>
      </c>
      <c r="Y5940" s="53">
        <f t="shared" si="556"/>
        <v>0</v>
      </c>
      <c r="Z5940" s="64">
        <f t="shared" si="557"/>
        <v>0</v>
      </c>
    </row>
    <row r="5941" spans="1:26">
      <c r="A5941" s="89" t="str">
        <f t="shared" si="552"/>
        <v/>
      </c>
      <c r="B5941" s="89" t="str">
        <f t="shared" si="553"/>
        <v/>
      </c>
      <c r="S5941" s="89" t="str">
        <f t="shared" si="554"/>
        <v/>
      </c>
      <c r="X5941" s="64">
        <f t="shared" si="555"/>
        <v>0</v>
      </c>
      <c r="Y5941" s="53">
        <f t="shared" si="556"/>
        <v>0</v>
      </c>
      <c r="Z5941" s="64">
        <f t="shared" si="557"/>
        <v>0</v>
      </c>
    </row>
    <row r="5942" spans="1:26">
      <c r="A5942" s="89" t="str">
        <f t="shared" si="552"/>
        <v/>
      </c>
      <c r="B5942" s="89" t="str">
        <f t="shared" si="553"/>
        <v/>
      </c>
      <c r="S5942" s="89" t="str">
        <f t="shared" si="554"/>
        <v/>
      </c>
      <c r="X5942" s="64">
        <f t="shared" si="555"/>
        <v>0</v>
      </c>
      <c r="Y5942" s="53">
        <f t="shared" si="556"/>
        <v>0</v>
      </c>
      <c r="Z5942" s="64">
        <f t="shared" si="557"/>
        <v>0</v>
      </c>
    </row>
    <row r="5943" spans="1:26">
      <c r="A5943" s="89" t="str">
        <f t="shared" si="552"/>
        <v/>
      </c>
      <c r="B5943" s="89" t="str">
        <f t="shared" si="553"/>
        <v/>
      </c>
      <c r="S5943" s="89" t="str">
        <f t="shared" si="554"/>
        <v/>
      </c>
      <c r="X5943" s="64">
        <f t="shared" si="555"/>
        <v>0</v>
      </c>
      <c r="Y5943" s="53">
        <f t="shared" si="556"/>
        <v>0</v>
      </c>
      <c r="Z5943" s="64">
        <f t="shared" si="557"/>
        <v>0</v>
      </c>
    </row>
    <row r="5944" spans="1:26">
      <c r="A5944" s="89" t="str">
        <f t="shared" si="552"/>
        <v/>
      </c>
      <c r="B5944" s="89" t="str">
        <f t="shared" si="553"/>
        <v/>
      </c>
      <c r="S5944" s="89" t="str">
        <f t="shared" si="554"/>
        <v/>
      </c>
      <c r="X5944" s="64">
        <f t="shared" si="555"/>
        <v>0</v>
      </c>
      <c r="Y5944" s="53">
        <f t="shared" si="556"/>
        <v>0</v>
      </c>
      <c r="Z5944" s="64">
        <f t="shared" si="557"/>
        <v>0</v>
      </c>
    </row>
    <row r="5945" spans="1:26">
      <c r="A5945" s="89" t="str">
        <f t="shared" si="552"/>
        <v/>
      </c>
      <c r="B5945" s="89" t="str">
        <f t="shared" si="553"/>
        <v/>
      </c>
      <c r="S5945" s="89" t="str">
        <f t="shared" si="554"/>
        <v/>
      </c>
      <c r="X5945" s="64">
        <f t="shared" si="555"/>
        <v>0</v>
      </c>
      <c r="Y5945" s="53">
        <f t="shared" si="556"/>
        <v>0</v>
      </c>
      <c r="Z5945" s="64">
        <f t="shared" si="557"/>
        <v>0</v>
      </c>
    </row>
    <row r="5946" spans="1:26">
      <c r="A5946" s="89" t="str">
        <f t="shared" si="552"/>
        <v/>
      </c>
      <c r="B5946" s="89" t="str">
        <f t="shared" si="553"/>
        <v/>
      </c>
      <c r="S5946" s="89" t="str">
        <f t="shared" si="554"/>
        <v/>
      </c>
      <c r="X5946" s="64">
        <f t="shared" si="555"/>
        <v>0</v>
      </c>
      <c r="Y5946" s="53">
        <f t="shared" si="556"/>
        <v>0</v>
      </c>
      <c r="Z5946" s="64">
        <f t="shared" si="557"/>
        <v>0</v>
      </c>
    </row>
    <row r="5947" spans="1:26">
      <c r="A5947" s="89" t="str">
        <f t="shared" si="552"/>
        <v/>
      </c>
      <c r="B5947" s="89" t="str">
        <f t="shared" si="553"/>
        <v/>
      </c>
      <c r="S5947" s="89" t="str">
        <f t="shared" si="554"/>
        <v/>
      </c>
      <c r="X5947" s="64">
        <f t="shared" si="555"/>
        <v>0</v>
      </c>
      <c r="Y5947" s="53">
        <f t="shared" si="556"/>
        <v>0</v>
      </c>
      <c r="Z5947" s="64">
        <f t="shared" si="557"/>
        <v>0</v>
      </c>
    </row>
    <row r="5948" spans="1:26">
      <c r="A5948" s="89" t="str">
        <f t="shared" si="552"/>
        <v/>
      </c>
      <c r="B5948" s="89" t="str">
        <f t="shared" si="553"/>
        <v/>
      </c>
      <c r="S5948" s="89" t="str">
        <f t="shared" si="554"/>
        <v/>
      </c>
      <c r="X5948" s="64">
        <f t="shared" si="555"/>
        <v>0</v>
      </c>
      <c r="Y5948" s="53">
        <f t="shared" si="556"/>
        <v>0</v>
      </c>
      <c r="Z5948" s="64">
        <f t="shared" si="557"/>
        <v>0</v>
      </c>
    </row>
    <row r="5949" spans="1:26">
      <c r="A5949" s="89" t="str">
        <f t="shared" si="552"/>
        <v/>
      </c>
      <c r="B5949" s="89" t="str">
        <f t="shared" si="553"/>
        <v/>
      </c>
      <c r="S5949" s="89" t="str">
        <f t="shared" si="554"/>
        <v/>
      </c>
      <c r="X5949" s="64">
        <f t="shared" si="555"/>
        <v>0</v>
      </c>
      <c r="Y5949" s="53">
        <f t="shared" si="556"/>
        <v>0</v>
      </c>
      <c r="Z5949" s="64">
        <f t="shared" si="557"/>
        <v>0</v>
      </c>
    </row>
    <row r="5950" spans="1:26">
      <c r="A5950" s="89" t="str">
        <f t="shared" si="552"/>
        <v/>
      </c>
      <c r="B5950" s="89" t="str">
        <f t="shared" si="553"/>
        <v/>
      </c>
      <c r="S5950" s="89" t="str">
        <f t="shared" si="554"/>
        <v/>
      </c>
      <c r="X5950" s="64">
        <f t="shared" si="555"/>
        <v>0</v>
      </c>
      <c r="Y5950" s="53">
        <f t="shared" si="556"/>
        <v>0</v>
      </c>
      <c r="Z5950" s="64">
        <f t="shared" si="557"/>
        <v>0</v>
      </c>
    </row>
    <row r="5951" spans="1:26">
      <c r="A5951" s="89" t="str">
        <f t="shared" si="552"/>
        <v/>
      </c>
      <c r="B5951" s="89" t="str">
        <f t="shared" si="553"/>
        <v/>
      </c>
      <c r="S5951" s="89" t="str">
        <f t="shared" si="554"/>
        <v/>
      </c>
      <c r="X5951" s="64">
        <f t="shared" si="555"/>
        <v>0</v>
      </c>
      <c r="Y5951" s="53">
        <f t="shared" si="556"/>
        <v>0</v>
      </c>
      <c r="Z5951" s="64">
        <f t="shared" si="557"/>
        <v>0</v>
      </c>
    </row>
    <row r="5952" spans="1:26">
      <c r="A5952" s="89" t="str">
        <f t="shared" si="552"/>
        <v/>
      </c>
      <c r="B5952" s="89" t="str">
        <f t="shared" si="553"/>
        <v/>
      </c>
      <c r="S5952" s="89" t="str">
        <f t="shared" si="554"/>
        <v/>
      </c>
      <c r="X5952" s="64">
        <f t="shared" si="555"/>
        <v>0</v>
      </c>
      <c r="Y5952" s="53">
        <f t="shared" si="556"/>
        <v>0</v>
      </c>
      <c r="Z5952" s="64">
        <f t="shared" si="557"/>
        <v>0</v>
      </c>
    </row>
    <row r="5953" spans="1:26">
      <c r="A5953" s="89" t="str">
        <f t="shared" si="552"/>
        <v/>
      </c>
      <c r="B5953" s="89" t="str">
        <f t="shared" si="553"/>
        <v/>
      </c>
      <c r="S5953" s="89" t="str">
        <f t="shared" si="554"/>
        <v/>
      </c>
      <c r="X5953" s="64">
        <f t="shared" si="555"/>
        <v>0</v>
      </c>
      <c r="Y5953" s="53">
        <f t="shared" si="556"/>
        <v>0</v>
      </c>
      <c r="Z5953" s="64">
        <f t="shared" si="557"/>
        <v>0</v>
      </c>
    </row>
    <row r="5954" spans="1:26">
      <c r="A5954" s="89" t="str">
        <f t="shared" si="552"/>
        <v/>
      </c>
      <c r="B5954" s="89" t="str">
        <f t="shared" si="553"/>
        <v/>
      </c>
      <c r="S5954" s="89" t="str">
        <f t="shared" si="554"/>
        <v/>
      </c>
      <c r="X5954" s="64">
        <f t="shared" si="555"/>
        <v>0</v>
      </c>
      <c r="Y5954" s="53">
        <f t="shared" si="556"/>
        <v>0</v>
      </c>
      <c r="Z5954" s="64">
        <f t="shared" si="557"/>
        <v>0</v>
      </c>
    </row>
    <row r="5955" spans="1:26">
      <c r="A5955" s="89" t="str">
        <f t="shared" ref="A5955:A6000" si="558">IF(G5955&amp;Q5955&lt;&gt;"",G5955&amp;Q5955,"")</f>
        <v/>
      </c>
      <c r="B5955" s="89" t="str">
        <f t="shared" ref="B5955:B6000" si="559">IF(C5955&lt;&gt;"",LEFT(C5955,9),"")</f>
        <v/>
      </c>
      <c r="S5955" s="89" t="str">
        <f t="shared" ref="S5955:S6000" si="560">IF(H5955&lt;&gt;"",H5955,"")</f>
        <v/>
      </c>
      <c r="X5955" s="64">
        <f t="shared" ref="X5955:X6000" si="561">IFERROR(VALUE(MID($C5955,1,2)),0)</f>
        <v>0</v>
      </c>
      <c r="Y5955" s="53">
        <f t="shared" ref="Y5955:Y6000" si="562">IFERROR(VALUE(MID($C5955,4,3)),0)</f>
        <v>0</v>
      </c>
      <c r="Z5955" s="64">
        <f t="shared" ref="Z5955:Z6000" si="563">VALUE(RIGHT("00"&amp;X5955,2)&amp;RIGHT("000"&amp;Y5955,3))</f>
        <v>0</v>
      </c>
    </row>
    <row r="5956" spans="1:26">
      <c r="A5956" s="89" t="str">
        <f t="shared" si="558"/>
        <v/>
      </c>
      <c r="B5956" s="89" t="str">
        <f t="shared" si="559"/>
        <v/>
      </c>
      <c r="S5956" s="89" t="str">
        <f t="shared" si="560"/>
        <v/>
      </c>
      <c r="X5956" s="64">
        <f t="shared" si="561"/>
        <v>0</v>
      </c>
      <c r="Y5956" s="53">
        <f t="shared" si="562"/>
        <v>0</v>
      </c>
      <c r="Z5956" s="64">
        <f t="shared" si="563"/>
        <v>0</v>
      </c>
    </row>
    <row r="5957" spans="1:26">
      <c r="A5957" s="89" t="str">
        <f t="shared" si="558"/>
        <v/>
      </c>
      <c r="B5957" s="89" t="str">
        <f t="shared" si="559"/>
        <v/>
      </c>
      <c r="S5957" s="89" t="str">
        <f t="shared" si="560"/>
        <v/>
      </c>
      <c r="X5957" s="64">
        <f t="shared" si="561"/>
        <v>0</v>
      </c>
      <c r="Y5957" s="53">
        <f t="shared" si="562"/>
        <v>0</v>
      </c>
      <c r="Z5957" s="64">
        <f t="shared" si="563"/>
        <v>0</v>
      </c>
    </row>
    <row r="5958" spans="1:26">
      <c r="A5958" s="89" t="str">
        <f t="shared" si="558"/>
        <v/>
      </c>
      <c r="B5958" s="89" t="str">
        <f t="shared" si="559"/>
        <v/>
      </c>
      <c r="S5958" s="89" t="str">
        <f t="shared" si="560"/>
        <v/>
      </c>
      <c r="X5958" s="64">
        <f t="shared" si="561"/>
        <v>0</v>
      </c>
      <c r="Y5958" s="53">
        <f t="shared" si="562"/>
        <v>0</v>
      </c>
      <c r="Z5958" s="64">
        <f t="shared" si="563"/>
        <v>0</v>
      </c>
    </row>
    <row r="5959" spans="1:26">
      <c r="A5959" s="89" t="str">
        <f t="shared" si="558"/>
        <v/>
      </c>
      <c r="B5959" s="89" t="str">
        <f t="shared" si="559"/>
        <v/>
      </c>
      <c r="S5959" s="89" t="str">
        <f t="shared" si="560"/>
        <v/>
      </c>
      <c r="X5959" s="64">
        <f t="shared" si="561"/>
        <v>0</v>
      </c>
      <c r="Y5959" s="53">
        <f t="shared" si="562"/>
        <v>0</v>
      </c>
      <c r="Z5959" s="64">
        <f t="shared" si="563"/>
        <v>0</v>
      </c>
    </row>
    <row r="5960" spans="1:26">
      <c r="A5960" s="89" t="str">
        <f t="shared" si="558"/>
        <v/>
      </c>
      <c r="B5960" s="89" t="str">
        <f t="shared" si="559"/>
        <v/>
      </c>
      <c r="S5960" s="89" t="str">
        <f t="shared" si="560"/>
        <v/>
      </c>
      <c r="X5960" s="64">
        <f t="shared" si="561"/>
        <v>0</v>
      </c>
      <c r="Y5960" s="53">
        <f t="shared" si="562"/>
        <v>0</v>
      </c>
      <c r="Z5960" s="64">
        <f t="shared" si="563"/>
        <v>0</v>
      </c>
    </row>
    <row r="5961" spans="1:26">
      <c r="A5961" s="89" t="str">
        <f t="shared" si="558"/>
        <v/>
      </c>
      <c r="B5961" s="89" t="str">
        <f t="shared" si="559"/>
        <v/>
      </c>
      <c r="S5961" s="89" t="str">
        <f t="shared" si="560"/>
        <v/>
      </c>
      <c r="X5961" s="64">
        <f t="shared" si="561"/>
        <v>0</v>
      </c>
      <c r="Y5961" s="53">
        <f t="shared" si="562"/>
        <v>0</v>
      </c>
      <c r="Z5961" s="64">
        <f t="shared" si="563"/>
        <v>0</v>
      </c>
    </row>
    <row r="5962" spans="1:26">
      <c r="A5962" s="89" t="str">
        <f t="shared" si="558"/>
        <v/>
      </c>
      <c r="B5962" s="89" t="str">
        <f t="shared" si="559"/>
        <v/>
      </c>
      <c r="S5962" s="89" t="str">
        <f t="shared" si="560"/>
        <v/>
      </c>
      <c r="X5962" s="64">
        <f t="shared" si="561"/>
        <v>0</v>
      </c>
      <c r="Y5962" s="53">
        <f t="shared" si="562"/>
        <v>0</v>
      </c>
      <c r="Z5962" s="64">
        <f t="shared" si="563"/>
        <v>0</v>
      </c>
    </row>
    <row r="5963" spans="1:26">
      <c r="A5963" s="89" t="str">
        <f t="shared" si="558"/>
        <v/>
      </c>
      <c r="B5963" s="89" t="str">
        <f t="shared" si="559"/>
        <v/>
      </c>
      <c r="S5963" s="89" t="str">
        <f t="shared" si="560"/>
        <v/>
      </c>
      <c r="X5963" s="64">
        <f t="shared" si="561"/>
        <v>0</v>
      </c>
      <c r="Y5963" s="53">
        <f t="shared" si="562"/>
        <v>0</v>
      </c>
      <c r="Z5963" s="64">
        <f t="shared" si="563"/>
        <v>0</v>
      </c>
    </row>
    <row r="5964" spans="1:26">
      <c r="A5964" s="89" t="str">
        <f t="shared" si="558"/>
        <v/>
      </c>
      <c r="B5964" s="89" t="str">
        <f t="shared" si="559"/>
        <v/>
      </c>
      <c r="S5964" s="89" t="str">
        <f t="shared" si="560"/>
        <v/>
      </c>
      <c r="X5964" s="64">
        <f t="shared" si="561"/>
        <v>0</v>
      </c>
      <c r="Y5964" s="53">
        <f t="shared" si="562"/>
        <v>0</v>
      </c>
      <c r="Z5964" s="64">
        <f t="shared" si="563"/>
        <v>0</v>
      </c>
    </row>
    <row r="5965" spans="1:26">
      <c r="A5965" s="89" t="str">
        <f t="shared" si="558"/>
        <v/>
      </c>
      <c r="B5965" s="89" t="str">
        <f t="shared" si="559"/>
        <v/>
      </c>
      <c r="S5965" s="89" t="str">
        <f t="shared" si="560"/>
        <v/>
      </c>
      <c r="X5965" s="64">
        <f t="shared" si="561"/>
        <v>0</v>
      </c>
      <c r="Y5965" s="53">
        <f t="shared" si="562"/>
        <v>0</v>
      </c>
      <c r="Z5965" s="64">
        <f t="shared" si="563"/>
        <v>0</v>
      </c>
    </row>
    <row r="5966" spans="1:26">
      <c r="A5966" s="89" t="str">
        <f t="shared" si="558"/>
        <v/>
      </c>
      <c r="B5966" s="89" t="str">
        <f t="shared" si="559"/>
        <v/>
      </c>
      <c r="S5966" s="89" t="str">
        <f t="shared" si="560"/>
        <v/>
      </c>
      <c r="X5966" s="64">
        <f t="shared" si="561"/>
        <v>0</v>
      </c>
      <c r="Y5966" s="53">
        <f t="shared" si="562"/>
        <v>0</v>
      </c>
      <c r="Z5966" s="64">
        <f t="shared" si="563"/>
        <v>0</v>
      </c>
    </row>
    <row r="5967" spans="1:26">
      <c r="A5967" s="89" t="str">
        <f t="shared" si="558"/>
        <v/>
      </c>
      <c r="B5967" s="89" t="str">
        <f t="shared" si="559"/>
        <v/>
      </c>
      <c r="S5967" s="89" t="str">
        <f t="shared" si="560"/>
        <v/>
      </c>
      <c r="X5967" s="64">
        <f t="shared" si="561"/>
        <v>0</v>
      </c>
      <c r="Y5967" s="53">
        <f t="shared" si="562"/>
        <v>0</v>
      </c>
      <c r="Z5967" s="64">
        <f t="shared" si="563"/>
        <v>0</v>
      </c>
    </row>
    <row r="5968" spans="1:26">
      <c r="A5968" s="89" t="str">
        <f t="shared" si="558"/>
        <v/>
      </c>
      <c r="B5968" s="89" t="str">
        <f t="shared" si="559"/>
        <v/>
      </c>
      <c r="S5968" s="89" t="str">
        <f t="shared" si="560"/>
        <v/>
      </c>
      <c r="X5968" s="64">
        <f t="shared" si="561"/>
        <v>0</v>
      </c>
      <c r="Y5968" s="53">
        <f t="shared" si="562"/>
        <v>0</v>
      </c>
      <c r="Z5968" s="64">
        <f t="shared" si="563"/>
        <v>0</v>
      </c>
    </row>
    <row r="5969" spans="1:26">
      <c r="A5969" s="89" t="str">
        <f t="shared" si="558"/>
        <v/>
      </c>
      <c r="B5969" s="89" t="str">
        <f t="shared" si="559"/>
        <v/>
      </c>
      <c r="S5969" s="89" t="str">
        <f t="shared" si="560"/>
        <v/>
      </c>
      <c r="X5969" s="64">
        <f t="shared" si="561"/>
        <v>0</v>
      </c>
      <c r="Y5969" s="53">
        <f t="shared" si="562"/>
        <v>0</v>
      </c>
      <c r="Z5969" s="64">
        <f t="shared" si="563"/>
        <v>0</v>
      </c>
    </row>
    <row r="5970" spans="1:26">
      <c r="A5970" s="89" t="str">
        <f t="shared" si="558"/>
        <v/>
      </c>
      <c r="B5970" s="89" t="str">
        <f t="shared" si="559"/>
        <v/>
      </c>
      <c r="S5970" s="89" t="str">
        <f t="shared" si="560"/>
        <v/>
      </c>
      <c r="X5970" s="64">
        <f t="shared" si="561"/>
        <v>0</v>
      </c>
      <c r="Y5970" s="53">
        <f t="shared" si="562"/>
        <v>0</v>
      </c>
      <c r="Z5970" s="64">
        <f t="shared" si="563"/>
        <v>0</v>
      </c>
    </row>
    <row r="5971" spans="1:26">
      <c r="A5971" s="89" t="str">
        <f t="shared" si="558"/>
        <v/>
      </c>
      <c r="B5971" s="89" t="str">
        <f t="shared" si="559"/>
        <v/>
      </c>
      <c r="S5971" s="89" t="str">
        <f t="shared" si="560"/>
        <v/>
      </c>
      <c r="X5971" s="64">
        <f t="shared" si="561"/>
        <v>0</v>
      </c>
      <c r="Y5971" s="53">
        <f t="shared" si="562"/>
        <v>0</v>
      </c>
      <c r="Z5971" s="64">
        <f t="shared" si="563"/>
        <v>0</v>
      </c>
    </row>
    <row r="5972" spans="1:26">
      <c r="A5972" s="89" t="str">
        <f t="shared" si="558"/>
        <v/>
      </c>
      <c r="B5972" s="89" t="str">
        <f t="shared" si="559"/>
        <v/>
      </c>
      <c r="S5972" s="89" t="str">
        <f t="shared" si="560"/>
        <v/>
      </c>
      <c r="X5972" s="64">
        <f t="shared" si="561"/>
        <v>0</v>
      </c>
      <c r="Y5972" s="53">
        <f t="shared" si="562"/>
        <v>0</v>
      </c>
      <c r="Z5972" s="64">
        <f t="shared" si="563"/>
        <v>0</v>
      </c>
    </row>
    <row r="5973" spans="1:26">
      <c r="A5973" s="89" t="str">
        <f t="shared" si="558"/>
        <v/>
      </c>
      <c r="B5973" s="89" t="str">
        <f t="shared" si="559"/>
        <v/>
      </c>
      <c r="S5973" s="89" t="str">
        <f t="shared" si="560"/>
        <v/>
      </c>
      <c r="X5973" s="64">
        <f t="shared" si="561"/>
        <v>0</v>
      </c>
      <c r="Y5973" s="53">
        <f t="shared" si="562"/>
        <v>0</v>
      </c>
      <c r="Z5973" s="64">
        <f t="shared" si="563"/>
        <v>0</v>
      </c>
    </row>
    <row r="5974" spans="1:26">
      <c r="A5974" s="89" t="str">
        <f t="shared" si="558"/>
        <v/>
      </c>
      <c r="B5974" s="89" t="str">
        <f t="shared" si="559"/>
        <v/>
      </c>
      <c r="S5974" s="89" t="str">
        <f t="shared" si="560"/>
        <v/>
      </c>
      <c r="X5974" s="64">
        <f t="shared" si="561"/>
        <v>0</v>
      </c>
      <c r="Y5974" s="53">
        <f t="shared" si="562"/>
        <v>0</v>
      </c>
      <c r="Z5974" s="64">
        <f t="shared" si="563"/>
        <v>0</v>
      </c>
    </row>
    <row r="5975" spans="1:26">
      <c r="A5975" s="89" t="str">
        <f t="shared" si="558"/>
        <v/>
      </c>
      <c r="B5975" s="89" t="str">
        <f t="shared" si="559"/>
        <v/>
      </c>
      <c r="S5975" s="89" t="str">
        <f t="shared" si="560"/>
        <v/>
      </c>
      <c r="X5975" s="64">
        <f t="shared" si="561"/>
        <v>0</v>
      </c>
      <c r="Y5975" s="53">
        <f t="shared" si="562"/>
        <v>0</v>
      </c>
      <c r="Z5975" s="64">
        <f t="shared" si="563"/>
        <v>0</v>
      </c>
    </row>
    <row r="5976" spans="1:26">
      <c r="A5976" s="89" t="str">
        <f t="shared" si="558"/>
        <v/>
      </c>
      <c r="B5976" s="89" t="str">
        <f t="shared" si="559"/>
        <v/>
      </c>
      <c r="S5976" s="89" t="str">
        <f t="shared" si="560"/>
        <v/>
      </c>
      <c r="X5976" s="64">
        <f t="shared" si="561"/>
        <v>0</v>
      </c>
      <c r="Y5976" s="53">
        <f t="shared" si="562"/>
        <v>0</v>
      </c>
      <c r="Z5976" s="64">
        <f t="shared" si="563"/>
        <v>0</v>
      </c>
    </row>
    <row r="5977" spans="1:26">
      <c r="A5977" s="89" t="str">
        <f t="shared" si="558"/>
        <v/>
      </c>
      <c r="B5977" s="89" t="str">
        <f t="shared" si="559"/>
        <v/>
      </c>
      <c r="S5977" s="89" t="str">
        <f t="shared" si="560"/>
        <v/>
      </c>
      <c r="X5977" s="64">
        <f t="shared" si="561"/>
        <v>0</v>
      </c>
      <c r="Y5977" s="53">
        <f t="shared" si="562"/>
        <v>0</v>
      </c>
      <c r="Z5977" s="64">
        <f t="shared" si="563"/>
        <v>0</v>
      </c>
    </row>
    <row r="5978" spans="1:26">
      <c r="A5978" s="89" t="str">
        <f t="shared" si="558"/>
        <v/>
      </c>
      <c r="B5978" s="89" t="str">
        <f t="shared" si="559"/>
        <v/>
      </c>
      <c r="S5978" s="89" t="str">
        <f t="shared" si="560"/>
        <v/>
      </c>
      <c r="X5978" s="64">
        <f t="shared" si="561"/>
        <v>0</v>
      </c>
      <c r="Y5978" s="53">
        <f t="shared" si="562"/>
        <v>0</v>
      </c>
      <c r="Z5978" s="64">
        <f t="shared" si="563"/>
        <v>0</v>
      </c>
    </row>
    <row r="5979" spans="1:26">
      <c r="A5979" s="89" t="str">
        <f t="shared" si="558"/>
        <v/>
      </c>
      <c r="B5979" s="89" t="str">
        <f t="shared" si="559"/>
        <v/>
      </c>
      <c r="S5979" s="89" t="str">
        <f t="shared" si="560"/>
        <v/>
      </c>
      <c r="X5979" s="64">
        <f t="shared" si="561"/>
        <v>0</v>
      </c>
      <c r="Y5979" s="53">
        <f t="shared" si="562"/>
        <v>0</v>
      </c>
      <c r="Z5979" s="64">
        <f t="shared" si="563"/>
        <v>0</v>
      </c>
    </row>
    <row r="5980" spans="1:26">
      <c r="A5980" s="89" t="str">
        <f t="shared" si="558"/>
        <v/>
      </c>
      <c r="B5980" s="89" t="str">
        <f t="shared" si="559"/>
        <v/>
      </c>
      <c r="S5980" s="89" t="str">
        <f t="shared" si="560"/>
        <v/>
      </c>
      <c r="X5980" s="64">
        <f t="shared" si="561"/>
        <v>0</v>
      </c>
      <c r="Y5980" s="53">
        <f t="shared" si="562"/>
        <v>0</v>
      </c>
      <c r="Z5980" s="64">
        <f t="shared" si="563"/>
        <v>0</v>
      </c>
    </row>
    <row r="5981" spans="1:26">
      <c r="A5981" s="89" t="str">
        <f t="shared" si="558"/>
        <v/>
      </c>
      <c r="B5981" s="89" t="str">
        <f t="shared" si="559"/>
        <v/>
      </c>
      <c r="S5981" s="89" t="str">
        <f t="shared" si="560"/>
        <v/>
      </c>
      <c r="X5981" s="64">
        <f t="shared" si="561"/>
        <v>0</v>
      </c>
      <c r="Y5981" s="53">
        <f t="shared" si="562"/>
        <v>0</v>
      </c>
      <c r="Z5981" s="64">
        <f t="shared" si="563"/>
        <v>0</v>
      </c>
    </row>
    <row r="5982" spans="1:26">
      <c r="A5982" s="89" t="str">
        <f t="shared" si="558"/>
        <v/>
      </c>
      <c r="B5982" s="89" t="str">
        <f t="shared" si="559"/>
        <v/>
      </c>
      <c r="S5982" s="89" t="str">
        <f t="shared" si="560"/>
        <v/>
      </c>
      <c r="X5982" s="64">
        <f t="shared" si="561"/>
        <v>0</v>
      </c>
      <c r="Y5982" s="53">
        <f t="shared" si="562"/>
        <v>0</v>
      </c>
      <c r="Z5982" s="64">
        <f t="shared" si="563"/>
        <v>0</v>
      </c>
    </row>
    <row r="5983" spans="1:26">
      <c r="A5983" s="89" t="str">
        <f t="shared" si="558"/>
        <v/>
      </c>
      <c r="B5983" s="89" t="str">
        <f t="shared" si="559"/>
        <v/>
      </c>
      <c r="S5983" s="89" t="str">
        <f t="shared" si="560"/>
        <v/>
      </c>
      <c r="X5983" s="64">
        <f t="shared" si="561"/>
        <v>0</v>
      </c>
      <c r="Y5983" s="53">
        <f t="shared" si="562"/>
        <v>0</v>
      </c>
      <c r="Z5983" s="64">
        <f t="shared" si="563"/>
        <v>0</v>
      </c>
    </row>
    <row r="5984" spans="1:26">
      <c r="A5984" s="89" t="str">
        <f t="shared" si="558"/>
        <v/>
      </c>
      <c r="B5984" s="89" t="str">
        <f t="shared" si="559"/>
        <v/>
      </c>
      <c r="S5984" s="89" t="str">
        <f t="shared" si="560"/>
        <v/>
      </c>
      <c r="X5984" s="64">
        <f t="shared" si="561"/>
        <v>0</v>
      </c>
      <c r="Y5984" s="53">
        <f t="shared" si="562"/>
        <v>0</v>
      </c>
      <c r="Z5984" s="64">
        <f t="shared" si="563"/>
        <v>0</v>
      </c>
    </row>
    <row r="5985" spans="1:26">
      <c r="A5985" s="89" t="str">
        <f t="shared" si="558"/>
        <v/>
      </c>
      <c r="B5985" s="89" t="str">
        <f t="shared" si="559"/>
        <v/>
      </c>
      <c r="S5985" s="89" t="str">
        <f t="shared" si="560"/>
        <v/>
      </c>
      <c r="X5985" s="64">
        <f t="shared" si="561"/>
        <v>0</v>
      </c>
      <c r="Y5985" s="53">
        <f t="shared" si="562"/>
        <v>0</v>
      </c>
      <c r="Z5985" s="64">
        <f t="shared" si="563"/>
        <v>0</v>
      </c>
    </row>
    <row r="5986" spans="1:26">
      <c r="A5986" s="89" t="str">
        <f t="shared" si="558"/>
        <v/>
      </c>
      <c r="B5986" s="89" t="str">
        <f t="shared" si="559"/>
        <v/>
      </c>
      <c r="S5986" s="89" t="str">
        <f t="shared" si="560"/>
        <v/>
      </c>
      <c r="X5986" s="64">
        <f t="shared" si="561"/>
        <v>0</v>
      </c>
      <c r="Y5986" s="53">
        <f t="shared" si="562"/>
        <v>0</v>
      </c>
      <c r="Z5986" s="64">
        <f t="shared" si="563"/>
        <v>0</v>
      </c>
    </row>
    <row r="5987" spans="1:26">
      <c r="A5987" s="89" t="str">
        <f t="shared" si="558"/>
        <v/>
      </c>
      <c r="B5987" s="89" t="str">
        <f t="shared" si="559"/>
        <v/>
      </c>
      <c r="S5987" s="89" t="str">
        <f t="shared" si="560"/>
        <v/>
      </c>
      <c r="X5987" s="64">
        <f t="shared" si="561"/>
        <v>0</v>
      </c>
      <c r="Y5987" s="53">
        <f t="shared" si="562"/>
        <v>0</v>
      </c>
      <c r="Z5987" s="64">
        <f t="shared" si="563"/>
        <v>0</v>
      </c>
    </row>
    <row r="5988" spans="1:26">
      <c r="A5988" s="89" t="str">
        <f t="shared" si="558"/>
        <v/>
      </c>
      <c r="B5988" s="89" t="str">
        <f t="shared" si="559"/>
        <v/>
      </c>
      <c r="S5988" s="89" t="str">
        <f t="shared" si="560"/>
        <v/>
      </c>
      <c r="X5988" s="64">
        <f t="shared" si="561"/>
        <v>0</v>
      </c>
      <c r="Y5988" s="53">
        <f t="shared" si="562"/>
        <v>0</v>
      </c>
      <c r="Z5988" s="64">
        <f t="shared" si="563"/>
        <v>0</v>
      </c>
    </row>
    <row r="5989" spans="1:26">
      <c r="A5989" s="89" t="str">
        <f t="shared" si="558"/>
        <v/>
      </c>
      <c r="B5989" s="89" t="str">
        <f t="shared" si="559"/>
        <v/>
      </c>
      <c r="S5989" s="89" t="str">
        <f t="shared" si="560"/>
        <v/>
      </c>
      <c r="X5989" s="64">
        <f t="shared" si="561"/>
        <v>0</v>
      </c>
      <c r="Y5989" s="53">
        <f t="shared" si="562"/>
        <v>0</v>
      </c>
      <c r="Z5989" s="64">
        <f t="shared" si="563"/>
        <v>0</v>
      </c>
    </row>
    <row r="5990" spans="1:26">
      <c r="A5990" s="89" t="str">
        <f t="shared" si="558"/>
        <v/>
      </c>
      <c r="B5990" s="89" t="str">
        <f t="shared" si="559"/>
        <v/>
      </c>
      <c r="S5990" s="89" t="str">
        <f t="shared" si="560"/>
        <v/>
      </c>
      <c r="X5990" s="64">
        <f t="shared" si="561"/>
        <v>0</v>
      </c>
      <c r="Y5990" s="53">
        <f t="shared" si="562"/>
        <v>0</v>
      </c>
      <c r="Z5990" s="64">
        <f t="shared" si="563"/>
        <v>0</v>
      </c>
    </row>
    <row r="5991" spans="1:26">
      <c r="A5991" s="89" t="str">
        <f t="shared" si="558"/>
        <v/>
      </c>
      <c r="B5991" s="89" t="str">
        <f t="shared" si="559"/>
        <v/>
      </c>
      <c r="S5991" s="89" t="str">
        <f t="shared" si="560"/>
        <v/>
      </c>
      <c r="X5991" s="64">
        <f t="shared" si="561"/>
        <v>0</v>
      </c>
      <c r="Y5991" s="53">
        <f t="shared" si="562"/>
        <v>0</v>
      </c>
      <c r="Z5991" s="64">
        <f t="shared" si="563"/>
        <v>0</v>
      </c>
    </row>
    <row r="5992" spans="1:26">
      <c r="A5992" s="89" t="str">
        <f t="shared" si="558"/>
        <v/>
      </c>
      <c r="B5992" s="89" t="str">
        <f t="shared" si="559"/>
        <v/>
      </c>
      <c r="S5992" s="89" t="str">
        <f t="shared" si="560"/>
        <v/>
      </c>
      <c r="X5992" s="64">
        <f t="shared" si="561"/>
        <v>0</v>
      </c>
      <c r="Y5992" s="53">
        <f t="shared" si="562"/>
        <v>0</v>
      </c>
      <c r="Z5992" s="64">
        <f t="shared" si="563"/>
        <v>0</v>
      </c>
    </row>
    <row r="5993" spans="1:26">
      <c r="A5993" s="89" t="str">
        <f t="shared" si="558"/>
        <v/>
      </c>
      <c r="B5993" s="89" t="str">
        <f t="shared" si="559"/>
        <v/>
      </c>
      <c r="S5993" s="89" t="str">
        <f t="shared" si="560"/>
        <v/>
      </c>
      <c r="X5993" s="64">
        <f t="shared" si="561"/>
        <v>0</v>
      </c>
      <c r="Y5993" s="53">
        <f t="shared" si="562"/>
        <v>0</v>
      </c>
      <c r="Z5993" s="64">
        <f t="shared" si="563"/>
        <v>0</v>
      </c>
    </row>
    <row r="5994" spans="1:26">
      <c r="A5994" s="89" t="str">
        <f t="shared" si="558"/>
        <v/>
      </c>
      <c r="B5994" s="89" t="str">
        <f t="shared" si="559"/>
        <v/>
      </c>
      <c r="S5994" s="89" t="str">
        <f t="shared" si="560"/>
        <v/>
      </c>
      <c r="X5994" s="64">
        <f t="shared" si="561"/>
        <v>0</v>
      </c>
      <c r="Y5994" s="53">
        <f t="shared" si="562"/>
        <v>0</v>
      </c>
      <c r="Z5994" s="64">
        <f t="shared" si="563"/>
        <v>0</v>
      </c>
    </row>
    <row r="5995" spans="1:26">
      <c r="A5995" s="89" t="str">
        <f t="shared" si="558"/>
        <v/>
      </c>
      <c r="B5995" s="89" t="str">
        <f t="shared" si="559"/>
        <v/>
      </c>
      <c r="S5995" s="89" t="str">
        <f t="shared" si="560"/>
        <v/>
      </c>
      <c r="X5995" s="64">
        <f t="shared" si="561"/>
        <v>0</v>
      </c>
      <c r="Y5995" s="53">
        <f t="shared" si="562"/>
        <v>0</v>
      </c>
      <c r="Z5995" s="64">
        <f t="shared" si="563"/>
        <v>0</v>
      </c>
    </row>
    <row r="5996" spans="1:26">
      <c r="A5996" s="89" t="str">
        <f t="shared" si="558"/>
        <v/>
      </c>
      <c r="B5996" s="89" t="str">
        <f t="shared" si="559"/>
        <v/>
      </c>
      <c r="S5996" s="89" t="str">
        <f t="shared" si="560"/>
        <v/>
      </c>
      <c r="X5996" s="64">
        <f t="shared" si="561"/>
        <v>0</v>
      </c>
      <c r="Y5996" s="53">
        <f t="shared" si="562"/>
        <v>0</v>
      </c>
      <c r="Z5996" s="64">
        <f t="shared" si="563"/>
        <v>0</v>
      </c>
    </row>
    <row r="5997" spans="1:26">
      <c r="A5997" s="89" t="str">
        <f t="shared" si="558"/>
        <v/>
      </c>
      <c r="B5997" s="89" t="str">
        <f t="shared" si="559"/>
        <v/>
      </c>
      <c r="S5997" s="89" t="str">
        <f t="shared" si="560"/>
        <v/>
      </c>
      <c r="X5997" s="64">
        <f t="shared" si="561"/>
        <v>0</v>
      </c>
      <c r="Y5997" s="53">
        <f t="shared" si="562"/>
        <v>0</v>
      </c>
      <c r="Z5997" s="64">
        <f t="shared" si="563"/>
        <v>0</v>
      </c>
    </row>
    <row r="5998" spans="1:26">
      <c r="A5998" s="89" t="str">
        <f t="shared" si="558"/>
        <v/>
      </c>
      <c r="B5998" s="89" t="str">
        <f t="shared" si="559"/>
        <v/>
      </c>
      <c r="S5998" s="89" t="str">
        <f t="shared" si="560"/>
        <v/>
      </c>
      <c r="X5998" s="64">
        <f t="shared" si="561"/>
        <v>0</v>
      </c>
      <c r="Y5998" s="53">
        <f t="shared" si="562"/>
        <v>0</v>
      </c>
      <c r="Z5998" s="64">
        <f t="shared" si="563"/>
        <v>0</v>
      </c>
    </row>
    <row r="5999" spans="1:26">
      <c r="A5999" s="89" t="str">
        <f t="shared" si="558"/>
        <v/>
      </c>
      <c r="B5999" s="89" t="str">
        <f t="shared" si="559"/>
        <v/>
      </c>
      <c r="S5999" s="89" t="str">
        <f t="shared" si="560"/>
        <v/>
      </c>
      <c r="X5999" s="64">
        <f t="shared" si="561"/>
        <v>0</v>
      </c>
      <c r="Y5999" s="53">
        <f t="shared" si="562"/>
        <v>0</v>
      </c>
      <c r="Z5999" s="64">
        <f t="shared" si="563"/>
        <v>0</v>
      </c>
    </row>
    <row r="6000" spans="1:26">
      <c r="A6000" s="89" t="str">
        <f t="shared" si="558"/>
        <v/>
      </c>
      <c r="B6000" s="89" t="str">
        <f t="shared" si="559"/>
        <v/>
      </c>
      <c r="S6000" s="89" t="str">
        <f t="shared" si="560"/>
        <v/>
      </c>
      <c r="X6000" s="64">
        <f t="shared" si="561"/>
        <v>0</v>
      </c>
      <c r="Y6000" s="53">
        <f t="shared" si="562"/>
        <v>0</v>
      </c>
      <c r="Z6000" s="64">
        <f t="shared" si="563"/>
        <v>0</v>
      </c>
    </row>
    <row r="6001" spans="3:38" s="96" customFormat="1">
      <c r="C6001" s="123"/>
      <c r="D6001" s="123"/>
      <c r="E6001" s="123"/>
      <c r="F6001" s="124"/>
      <c r="G6001" s="123"/>
      <c r="H6001" s="123"/>
      <c r="I6001" s="123"/>
      <c r="J6001" s="123"/>
      <c r="K6001" s="123"/>
      <c r="L6001" s="123"/>
      <c r="M6001" s="123"/>
      <c r="N6001" s="123"/>
      <c r="O6001" s="123"/>
      <c r="P6001" s="123"/>
      <c r="Q6001" s="123"/>
      <c r="R6001" s="123"/>
      <c r="X6001" s="97"/>
      <c r="Z6001" s="97"/>
      <c r="AD6001" s="97"/>
      <c r="AE6001" s="97"/>
      <c r="AF6001" s="131"/>
      <c r="AG6001" s="131"/>
      <c r="AH6001" s="131"/>
      <c r="AI6001" s="131"/>
      <c r="AJ6001" s="131"/>
      <c r="AK6001" s="131"/>
      <c r="AL6001" s="131"/>
    </row>
    <row r="6002" spans="3:38" s="96" customFormat="1">
      <c r="C6002" s="123"/>
      <c r="D6002" s="123"/>
      <c r="E6002" s="123"/>
      <c r="F6002" s="124"/>
      <c r="G6002" s="123"/>
      <c r="H6002" s="123"/>
      <c r="I6002" s="123"/>
      <c r="J6002" s="123"/>
      <c r="K6002" s="123"/>
      <c r="L6002" s="123"/>
      <c r="M6002" s="123"/>
      <c r="N6002" s="123"/>
      <c r="O6002" s="123"/>
      <c r="P6002" s="123"/>
      <c r="Q6002" s="123"/>
      <c r="R6002" s="123"/>
      <c r="X6002" s="97"/>
      <c r="Z6002" s="97"/>
      <c r="AD6002" s="97"/>
      <c r="AE6002" s="97"/>
      <c r="AF6002" s="131"/>
      <c r="AG6002" s="131"/>
      <c r="AH6002" s="131"/>
      <c r="AI6002" s="131"/>
      <c r="AJ6002" s="131"/>
      <c r="AK6002" s="131"/>
      <c r="AL6002" s="131"/>
    </row>
    <row r="6003" spans="3:38" s="96" customFormat="1">
      <c r="C6003" s="123"/>
      <c r="D6003" s="123"/>
      <c r="E6003" s="123"/>
      <c r="F6003" s="124"/>
      <c r="G6003" s="123"/>
      <c r="H6003" s="123"/>
      <c r="I6003" s="123"/>
      <c r="J6003" s="123"/>
      <c r="K6003" s="123"/>
      <c r="L6003" s="123"/>
      <c r="M6003" s="123"/>
      <c r="N6003" s="123"/>
      <c r="O6003" s="123"/>
      <c r="P6003" s="123"/>
      <c r="Q6003" s="123"/>
      <c r="R6003" s="123"/>
      <c r="X6003" s="97"/>
      <c r="Z6003" s="97"/>
      <c r="AD6003" s="97"/>
      <c r="AE6003" s="97"/>
      <c r="AF6003" s="131"/>
      <c r="AG6003" s="131"/>
      <c r="AH6003" s="131"/>
      <c r="AI6003" s="131"/>
      <c r="AJ6003" s="131"/>
      <c r="AK6003" s="131"/>
      <c r="AL6003" s="131"/>
    </row>
    <row r="6004" spans="3:38" s="96" customFormat="1">
      <c r="C6004" s="123"/>
      <c r="D6004" s="123"/>
      <c r="E6004" s="123"/>
      <c r="F6004" s="124"/>
      <c r="G6004" s="123"/>
      <c r="H6004" s="123"/>
      <c r="I6004" s="123"/>
      <c r="J6004" s="123"/>
      <c r="K6004" s="123"/>
      <c r="L6004" s="123"/>
      <c r="M6004" s="123"/>
      <c r="N6004" s="123"/>
      <c r="O6004" s="123"/>
      <c r="P6004" s="123"/>
      <c r="Q6004" s="123"/>
      <c r="R6004" s="123"/>
      <c r="X6004" s="97"/>
      <c r="Z6004" s="97"/>
      <c r="AD6004" s="97"/>
      <c r="AE6004" s="97"/>
      <c r="AF6004" s="131"/>
      <c r="AG6004" s="131"/>
      <c r="AH6004" s="131"/>
      <c r="AI6004" s="131"/>
      <c r="AJ6004" s="131"/>
      <c r="AK6004" s="131"/>
      <c r="AL6004" s="131"/>
    </row>
    <row r="6005" spans="3:38" s="96" customFormat="1">
      <c r="C6005" s="123"/>
      <c r="D6005" s="123"/>
      <c r="E6005" s="123"/>
      <c r="F6005" s="124"/>
      <c r="G6005" s="123"/>
      <c r="H6005" s="123"/>
      <c r="I6005" s="123"/>
      <c r="J6005" s="123"/>
      <c r="K6005" s="123"/>
      <c r="L6005" s="123"/>
      <c r="M6005" s="123"/>
      <c r="N6005" s="123"/>
      <c r="O6005" s="123"/>
      <c r="P6005" s="123"/>
      <c r="Q6005" s="123"/>
      <c r="R6005" s="123"/>
      <c r="X6005" s="97"/>
      <c r="Z6005" s="97"/>
      <c r="AD6005" s="97"/>
      <c r="AE6005" s="97"/>
      <c r="AF6005" s="131"/>
      <c r="AG6005" s="131"/>
      <c r="AH6005" s="131"/>
      <c r="AI6005" s="131"/>
      <c r="AJ6005" s="131"/>
      <c r="AK6005" s="131"/>
      <c r="AL6005" s="131"/>
    </row>
    <row r="6006" spans="3:38" s="96" customFormat="1">
      <c r="C6006" s="123"/>
      <c r="D6006" s="123"/>
      <c r="E6006" s="123"/>
      <c r="F6006" s="124"/>
      <c r="G6006" s="123"/>
      <c r="H6006" s="123"/>
      <c r="I6006" s="123"/>
      <c r="J6006" s="123"/>
      <c r="K6006" s="123"/>
      <c r="L6006" s="123"/>
      <c r="M6006" s="123"/>
      <c r="N6006" s="123"/>
      <c r="O6006" s="123"/>
      <c r="P6006" s="123"/>
      <c r="Q6006" s="123"/>
      <c r="R6006" s="123"/>
      <c r="X6006" s="97"/>
      <c r="Z6006" s="97"/>
      <c r="AD6006" s="97"/>
      <c r="AE6006" s="97"/>
      <c r="AF6006" s="131"/>
      <c r="AG6006" s="131"/>
      <c r="AH6006" s="131"/>
      <c r="AI6006" s="131"/>
      <c r="AJ6006" s="131"/>
      <c r="AK6006" s="131"/>
      <c r="AL6006" s="131"/>
    </row>
    <row r="6007" spans="3:38" s="96" customFormat="1">
      <c r="C6007" s="123"/>
      <c r="D6007" s="123"/>
      <c r="E6007" s="123"/>
      <c r="F6007" s="124"/>
      <c r="G6007" s="123"/>
      <c r="H6007" s="123"/>
      <c r="I6007" s="123"/>
      <c r="J6007" s="123"/>
      <c r="K6007" s="123"/>
      <c r="L6007" s="123"/>
      <c r="M6007" s="123"/>
      <c r="N6007" s="123"/>
      <c r="O6007" s="123"/>
      <c r="P6007" s="123"/>
      <c r="Q6007" s="123"/>
      <c r="R6007" s="123"/>
      <c r="X6007" s="97"/>
      <c r="Z6007" s="97"/>
      <c r="AD6007" s="97"/>
      <c r="AE6007" s="97"/>
      <c r="AF6007" s="131"/>
      <c r="AG6007" s="131"/>
      <c r="AH6007" s="131"/>
      <c r="AI6007" s="131"/>
      <c r="AJ6007" s="131"/>
      <c r="AK6007" s="131"/>
      <c r="AL6007" s="131"/>
    </row>
    <row r="6008" spans="3:38" s="96" customFormat="1">
      <c r="C6008" s="123"/>
      <c r="D6008" s="123"/>
      <c r="E6008" s="123"/>
      <c r="F6008" s="124"/>
      <c r="G6008" s="123"/>
      <c r="H6008" s="123"/>
      <c r="I6008" s="123"/>
      <c r="J6008" s="123"/>
      <c r="K6008" s="123"/>
      <c r="L6008" s="123"/>
      <c r="M6008" s="123"/>
      <c r="N6008" s="123"/>
      <c r="O6008" s="123"/>
      <c r="P6008" s="123"/>
      <c r="Q6008" s="123"/>
      <c r="R6008" s="123"/>
      <c r="X6008" s="97"/>
      <c r="Z6008" s="97"/>
      <c r="AD6008" s="97"/>
      <c r="AE6008" s="97"/>
      <c r="AF6008" s="131"/>
      <c r="AG6008" s="131"/>
      <c r="AH6008" s="131"/>
      <c r="AI6008" s="131"/>
      <c r="AJ6008" s="131"/>
      <c r="AK6008" s="131"/>
      <c r="AL6008" s="131"/>
    </row>
    <row r="6009" spans="3:38" s="96" customFormat="1">
      <c r="C6009" s="123"/>
      <c r="D6009" s="123"/>
      <c r="E6009" s="123"/>
      <c r="F6009" s="124"/>
      <c r="G6009" s="123"/>
      <c r="H6009" s="123"/>
      <c r="I6009" s="123"/>
      <c r="J6009" s="123"/>
      <c r="K6009" s="123"/>
      <c r="L6009" s="123"/>
      <c r="M6009" s="123"/>
      <c r="N6009" s="123"/>
      <c r="O6009" s="123"/>
      <c r="P6009" s="123"/>
      <c r="Q6009" s="123"/>
      <c r="R6009" s="123"/>
      <c r="X6009" s="97"/>
      <c r="Z6009" s="97"/>
      <c r="AD6009" s="97"/>
      <c r="AE6009" s="97"/>
      <c r="AF6009" s="131"/>
      <c r="AG6009" s="131"/>
      <c r="AH6009" s="131"/>
      <c r="AI6009" s="131"/>
      <c r="AJ6009" s="131"/>
      <c r="AK6009" s="131"/>
      <c r="AL6009" s="131"/>
    </row>
    <row r="6010" spans="3:38" s="96" customFormat="1">
      <c r="C6010" s="123"/>
      <c r="D6010" s="123"/>
      <c r="E6010" s="123"/>
      <c r="F6010" s="124"/>
      <c r="G6010" s="123"/>
      <c r="H6010" s="123"/>
      <c r="I6010" s="123"/>
      <c r="J6010" s="123"/>
      <c r="K6010" s="123"/>
      <c r="L6010" s="123"/>
      <c r="M6010" s="123"/>
      <c r="N6010" s="123"/>
      <c r="O6010" s="123"/>
      <c r="P6010" s="123"/>
      <c r="Q6010" s="123"/>
      <c r="R6010" s="123"/>
      <c r="X6010" s="97"/>
      <c r="Z6010" s="97"/>
      <c r="AD6010" s="97"/>
      <c r="AE6010" s="97"/>
      <c r="AF6010" s="131"/>
      <c r="AG6010" s="131"/>
      <c r="AH6010" s="131"/>
      <c r="AI6010" s="131"/>
      <c r="AJ6010" s="131"/>
      <c r="AK6010" s="131"/>
      <c r="AL6010" s="131"/>
    </row>
    <row r="6011" spans="3:38" s="96" customFormat="1">
      <c r="C6011" s="123"/>
      <c r="D6011" s="123"/>
      <c r="E6011" s="123"/>
      <c r="F6011" s="124"/>
      <c r="G6011" s="123"/>
      <c r="H6011" s="123"/>
      <c r="I6011" s="123"/>
      <c r="J6011" s="123"/>
      <c r="K6011" s="123"/>
      <c r="L6011" s="123"/>
      <c r="M6011" s="123"/>
      <c r="N6011" s="123"/>
      <c r="O6011" s="123"/>
      <c r="P6011" s="123"/>
      <c r="Q6011" s="123"/>
      <c r="R6011" s="123"/>
      <c r="X6011" s="97"/>
      <c r="Z6011" s="97"/>
      <c r="AD6011" s="97"/>
      <c r="AE6011" s="97"/>
      <c r="AF6011" s="131"/>
      <c r="AG6011" s="131"/>
      <c r="AH6011" s="131"/>
      <c r="AI6011" s="131"/>
      <c r="AJ6011" s="131"/>
      <c r="AK6011" s="131"/>
      <c r="AL6011" s="131"/>
    </row>
    <row r="6012" spans="3:38" s="96" customFormat="1">
      <c r="C6012" s="123"/>
      <c r="D6012" s="123"/>
      <c r="E6012" s="123"/>
      <c r="F6012" s="124"/>
      <c r="G6012" s="123"/>
      <c r="H6012" s="123"/>
      <c r="I6012" s="123"/>
      <c r="J6012" s="123"/>
      <c r="K6012" s="123"/>
      <c r="L6012" s="123"/>
      <c r="M6012" s="123"/>
      <c r="N6012" s="123"/>
      <c r="O6012" s="123"/>
      <c r="P6012" s="123"/>
      <c r="Q6012" s="123"/>
      <c r="R6012" s="123"/>
      <c r="X6012" s="97"/>
      <c r="Z6012" s="97"/>
      <c r="AD6012" s="97"/>
      <c r="AE6012" s="97"/>
      <c r="AF6012" s="131"/>
      <c r="AG6012" s="131"/>
      <c r="AH6012" s="131"/>
      <c r="AI6012" s="131"/>
      <c r="AJ6012" s="131"/>
      <c r="AK6012" s="131"/>
      <c r="AL6012" s="131"/>
    </row>
    <row r="6013" spans="3:38" s="96" customFormat="1">
      <c r="C6013" s="123"/>
      <c r="D6013" s="123"/>
      <c r="E6013" s="123"/>
      <c r="F6013" s="124"/>
      <c r="G6013" s="123"/>
      <c r="H6013" s="123"/>
      <c r="I6013" s="123"/>
      <c r="J6013" s="123"/>
      <c r="K6013" s="123"/>
      <c r="L6013" s="123"/>
      <c r="M6013" s="123"/>
      <c r="N6013" s="123"/>
      <c r="O6013" s="123"/>
      <c r="P6013" s="123"/>
      <c r="Q6013" s="123"/>
      <c r="R6013" s="123"/>
      <c r="X6013" s="97"/>
      <c r="Z6013" s="97"/>
      <c r="AD6013" s="97"/>
      <c r="AE6013" s="97"/>
      <c r="AF6013" s="131"/>
      <c r="AG6013" s="131"/>
      <c r="AH6013" s="131"/>
      <c r="AI6013" s="131"/>
      <c r="AJ6013" s="131"/>
      <c r="AK6013" s="131"/>
      <c r="AL6013" s="131"/>
    </row>
    <row r="6014" spans="3:38" s="96" customFormat="1">
      <c r="C6014" s="123"/>
      <c r="D6014" s="123"/>
      <c r="E6014" s="123"/>
      <c r="F6014" s="124"/>
      <c r="G6014" s="123"/>
      <c r="H6014" s="123"/>
      <c r="I6014" s="123"/>
      <c r="J6014" s="123"/>
      <c r="K6014" s="123"/>
      <c r="L6014" s="123"/>
      <c r="M6014" s="123"/>
      <c r="N6014" s="123"/>
      <c r="O6014" s="123"/>
      <c r="P6014" s="123"/>
      <c r="Q6014" s="123"/>
      <c r="R6014" s="123"/>
      <c r="X6014" s="97"/>
      <c r="Z6014" s="97"/>
      <c r="AD6014" s="97"/>
      <c r="AE6014" s="97"/>
      <c r="AF6014" s="131"/>
      <c r="AG6014" s="131"/>
      <c r="AH6014" s="131"/>
      <c r="AI6014" s="131"/>
      <c r="AJ6014" s="131"/>
      <c r="AK6014" s="131"/>
      <c r="AL6014" s="131"/>
    </row>
    <row r="6015" spans="3:38" s="96" customFormat="1">
      <c r="C6015" s="123"/>
      <c r="D6015" s="123"/>
      <c r="E6015" s="123"/>
      <c r="F6015" s="124"/>
      <c r="G6015" s="123"/>
      <c r="H6015" s="123"/>
      <c r="I6015" s="123"/>
      <c r="J6015" s="123"/>
      <c r="K6015" s="123"/>
      <c r="L6015" s="123"/>
      <c r="M6015" s="123"/>
      <c r="N6015" s="123"/>
      <c r="O6015" s="123"/>
      <c r="P6015" s="123"/>
      <c r="Q6015" s="123"/>
      <c r="R6015" s="123"/>
      <c r="X6015" s="97"/>
      <c r="Z6015" s="97"/>
      <c r="AD6015" s="97"/>
      <c r="AE6015" s="97"/>
      <c r="AF6015" s="131"/>
      <c r="AG6015" s="131"/>
      <c r="AH6015" s="131"/>
      <c r="AI6015" s="131"/>
      <c r="AJ6015" s="131"/>
      <c r="AK6015" s="131"/>
      <c r="AL6015" s="131"/>
    </row>
    <row r="6016" spans="3:38" s="96" customFormat="1">
      <c r="C6016" s="123"/>
      <c r="D6016" s="123"/>
      <c r="E6016" s="123"/>
      <c r="F6016" s="124"/>
      <c r="G6016" s="123"/>
      <c r="H6016" s="123"/>
      <c r="I6016" s="123"/>
      <c r="J6016" s="123"/>
      <c r="K6016" s="123"/>
      <c r="L6016" s="123"/>
      <c r="M6016" s="123"/>
      <c r="N6016" s="123"/>
      <c r="O6016" s="123"/>
      <c r="P6016" s="123"/>
      <c r="Q6016" s="123"/>
      <c r="R6016" s="123"/>
      <c r="X6016" s="97"/>
      <c r="Z6016" s="97"/>
      <c r="AD6016" s="97"/>
      <c r="AE6016" s="97"/>
      <c r="AF6016" s="131"/>
      <c r="AG6016" s="131"/>
      <c r="AH6016" s="131"/>
      <c r="AI6016" s="131"/>
      <c r="AJ6016" s="131"/>
      <c r="AK6016" s="131"/>
      <c r="AL6016" s="131"/>
    </row>
    <row r="6017" spans="1:38" s="96" customFormat="1">
      <c r="C6017" s="123"/>
      <c r="D6017" s="123"/>
      <c r="E6017" s="123"/>
      <c r="F6017" s="124"/>
      <c r="G6017" s="123"/>
      <c r="H6017" s="123"/>
      <c r="I6017" s="123"/>
      <c r="J6017" s="123"/>
      <c r="K6017" s="123"/>
      <c r="L6017" s="123"/>
      <c r="M6017" s="123"/>
      <c r="N6017" s="123"/>
      <c r="O6017" s="123"/>
      <c r="P6017" s="123"/>
      <c r="Q6017" s="123"/>
      <c r="R6017" s="123"/>
      <c r="X6017" s="97"/>
      <c r="Z6017" s="97"/>
      <c r="AD6017" s="97"/>
      <c r="AE6017" s="97"/>
      <c r="AF6017" s="131"/>
      <c r="AG6017" s="131"/>
      <c r="AH6017" s="131"/>
      <c r="AI6017" s="131"/>
      <c r="AJ6017" s="131"/>
      <c r="AK6017" s="131"/>
      <c r="AL6017" s="131"/>
    </row>
    <row r="6018" spans="1:38" s="96" customFormat="1">
      <c r="C6018" s="123"/>
      <c r="D6018" s="123"/>
      <c r="E6018" s="123"/>
      <c r="F6018" s="124"/>
      <c r="G6018" s="123"/>
      <c r="H6018" s="123"/>
      <c r="I6018" s="123"/>
      <c r="J6018" s="123"/>
      <c r="K6018" s="123"/>
      <c r="L6018" s="123"/>
      <c r="M6018" s="123"/>
      <c r="N6018" s="123"/>
      <c r="O6018" s="123"/>
      <c r="P6018" s="123"/>
      <c r="Q6018" s="123"/>
      <c r="R6018" s="123"/>
      <c r="X6018" s="97"/>
      <c r="Z6018" s="97"/>
      <c r="AD6018" s="97"/>
      <c r="AE6018" s="97"/>
      <c r="AF6018" s="131"/>
      <c r="AG6018" s="131"/>
      <c r="AH6018" s="131"/>
      <c r="AI6018" s="131"/>
      <c r="AJ6018" s="131"/>
      <c r="AK6018" s="131"/>
      <c r="AL6018" s="131"/>
    </row>
    <row r="6019" spans="1:38" s="96" customFormat="1">
      <c r="C6019" s="123"/>
      <c r="D6019" s="123"/>
      <c r="E6019" s="123"/>
      <c r="F6019" s="124"/>
      <c r="G6019" s="123"/>
      <c r="H6019" s="123"/>
      <c r="I6019" s="123"/>
      <c r="J6019" s="123"/>
      <c r="K6019" s="123"/>
      <c r="L6019" s="123"/>
      <c r="M6019" s="123"/>
      <c r="N6019" s="123"/>
      <c r="O6019" s="123"/>
      <c r="P6019" s="123"/>
      <c r="Q6019" s="123"/>
      <c r="R6019" s="123"/>
      <c r="X6019" s="97"/>
      <c r="Z6019" s="97"/>
      <c r="AD6019" s="97"/>
      <c r="AE6019" s="97"/>
      <c r="AF6019" s="131"/>
      <c r="AG6019" s="131"/>
      <c r="AH6019" s="131"/>
      <c r="AI6019" s="131"/>
      <c r="AJ6019" s="131"/>
      <c r="AK6019" s="131"/>
      <c r="AL6019" s="131"/>
    </row>
    <row r="6020" spans="1:38" s="96" customFormat="1">
      <c r="C6020" s="123"/>
      <c r="D6020" s="123"/>
      <c r="E6020" s="123"/>
      <c r="F6020" s="124"/>
      <c r="G6020" s="123"/>
      <c r="H6020" s="123"/>
      <c r="I6020" s="123"/>
      <c r="J6020" s="123"/>
      <c r="K6020" s="123"/>
      <c r="L6020" s="123"/>
      <c r="M6020" s="123"/>
      <c r="N6020" s="123"/>
      <c r="O6020" s="123"/>
      <c r="P6020" s="123"/>
      <c r="Q6020" s="123"/>
      <c r="R6020" s="123"/>
      <c r="X6020" s="97"/>
      <c r="Z6020" s="97"/>
      <c r="AD6020" s="97"/>
      <c r="AE6020" s="97"/>
      <c r="AF6020" s="131"/>
      <c r="AG6020" s="131"/>
      <c r="AH6020" s="131"/>
      <c r="AI6020" s="131"/>
      <c r="AJ6020" s="131"/>
      <c r="AK6020" s="131"/>
      <c r="AL6020" s="131"/>
    </row>
    <row r="6021" spans="1:38" s="96" customFormat="1">
      <c r="C6021" s="123"/>
      <c r="D6021" s="123"/>
      <c r="E6021" s="123"/>
      <c r="F6021" s="124"/>
      <c r="G6021" s="123"/>
      <c r="H6021" s="123"/>
      <c r="I6021" s="123"/>
      <c r="J6021" s="123"/>
      <c r="K6021" s="123"/>
      <c r="L6021" s="123"/>
      <c r="M6021" s="123"/>
      <c r="N6021" s="123"/>
      <c r="O6021" s="123"/>
      <c r="P6021" s="123"/>
      <c r="Q6021" s="123"/>
      <c r="R6021" s="123"/>
      <c r="X6021" s="97"/>
      <c r="Z6021" s="97"/>
      <c r="AD6021" s="97"/>
      <c r="AE6021" s="97"/>
      <c r="AF6021" s="131"/>
      <c r="AG6021" s="131"/>
      <c r="AH6021" s="131"/>
      <c r="AI6021" s="131"/>
      <c r="AJ6021" s="131"/>
      <c r="AK6021" s="131"/>
      <c r="AL6021" s="131"/>
    </row>
    <row r="6022" spans="1:38" s="96" customFormat="1">
      <c r="C6022" s="123"/>
      <c r="D6022" s="123"/>
      <c r="E6022" s="123"/>
      <c r="F6022" s="124"/>
      <c r="G6022" s="123"/>
      <c r="H6022" s="123"/>
      <c r="I6022" s="123"/>
      <c r="J6022" s="123"/>
      <c r="K6022" s="123"/>
      <c r="L6022" s="123"/>
      <c r="M6022" s="123"/>
      <c r="N6022" s="123"/>
      <c r="O6022" s="123"/>
      <c r="P6022" s="123"/>
      <c r="Q6022" s="123"/>
      <c r="R6022" s="123"/>
      <c r="X6022" s="97"/>
      <c r="Z6022" s="97"/>
      <c r="AD6022" s="97"/>
      <c r="AE6022" s="97"/>
      <c r="AF6022" s="131"/>
      <c r="AG6022" s="131"/>
      <c r="AH6022" s="131"/>
      <c r="AI6022" s="131"/>
      <c r="AJ6022" s="131"/>
      <c r="AK6022" s="131"/>
      <c r="AL6022" s="131"/>
    </row>
    <row r="6023" spans="1:38" s="96" customFormat="1">
      <c r="C6023" s="123"/>
      <c r="D6023" s="123"/>
      <c r="E6023" s="123"/>
      <c r="F6023" s="124"/>
      <c r="G6023" s="123"/>
      <c r="H6023" s="123"/>
      <c r="I6023" s="123"/>
      <c r="J6023" s="123"/>
      <c r="K6023" s="123"/>
      <c r="L6023" s="123"/>
      <c r="M6023" s="123"/>
      <c r="N6023" s="123"/>
      <c r="O6023" s="123"/>
      <c r="P6023" s="123"/>
      <c r="Q6023" s="123"/>
      <c r="R6023" s="123"/>
      <c r="X6023" s="97"/>
      <c r="Z6023" s="97"/>
      <c r="AD6023" s="97"/>
      <c r="AE6023" s="97"/>
      <c r="AF6023" s="131"/>
      <c r="AG6023" s="131"/>
      <c r="AH6023" s="131"/>
      <c r="AI6023" s="131"/>
      <c r="AJ6023" s="131"/>
      <c r="AK6023" s="131"/>
      <c r="AL6023" s="131"/>
    </row>
    <row r="6024" spans="1:38" s="96" customFormat="1">
      <c r="C6024" s="123"/>
      <c r="D6024" s="123"/>
      <c r="E6024" s="123"/>
      <c r="F6024" s="124"/>
      <c r="G6024" s="123"/>
      <c r="H6024" s="123"/>
      <c r="I6024" s="123"/>
      <c r="J6024" s="123"/>
      <c r="K6024" s="123"/>
      <c r="L6024" s="123"/>
      <c r="M6024" s="123"/>
      <c r="N6024" s="123"/>
      <c r="O6024" s="123"/>
      <c r="P6024" s="123"/>
      <c r="Q6024" s="123"/>
      <c r="R6024" s="123"/>
      <c r="X6024" s="97"/>
      <c r="Z6024" s="97"/>
      <c r="AD6024" s="97"/>
      <c r="AE6024" s="97"/>
      <c r="AF6024" s="131"/>
      <c r="AG6024" s="131"/>
      <c r="AH6024" s="131"/>
      <c r="AI6024" s="131"/>
      <c r="AJ6024" s="131"/>
      <c r="AK6024" s="131"/>
      <c r="AL6024" s="131"/>
    </row>
    <row r="6025" spans="1:38" s="96" customFormat="1">
      <c r="C6025" s="123"/>
      <c r="D6025" s="123"/>
      <c r="E6025" s="123"/>
      <c r="F6025" s="124"/>
      <c r="G6025" s="123"/>
      <c r="H6025" s="123"/>
      <c r="I6025" s="123"/>
      <c r="J6025" s="123"/>
      <c r="K6025" s="123"/>
      <c r="L6025" s="123"/>
      <c r="M6025" s="123"/>
      <c r="N6025" s="123"/>
      <c r="O6025" s="123"/>
      <c r="P6025" s="123"/>
      <c r="Q6025" s="123"/>
      <c r="R6025" s="123"/>
      <c r="X6025" s="97"/>
      <c r="Z6025" s="97"/>
      <c r="AD6025" s="97"/>
      <c r="AE6025" s="97"/>
      <c r="AF6025" s="131"/>
      <c r="AG6025" s="131"/>
      <c r="AH6025" s="131"/>
      <c r="AI6025" s="131"/>
      <c r="AJ6025" s="131"/>
      <c r="AK6025" s="131"/>
      <c r="AL6025" s="131"/>
    </row>
    <row r="6026" spans="1:38" s="96" customFormat="1">
      <c r="C6026" s="123"/>
      <c r="D6026" s="123"/>
      <c r="E6026" s="123"/>
      <c r="F6026" s="124"/>
      <c r="G6026" s="123"/>
      <c r="H6026" s="123"/>
      <c r="I6026" s="123"/>
      <c r="J6026" s="123"/>
      <c r="K6026" s="123"/>
      <c r="L6026" s="123"/>
      <c r="M6026" s="123"/>
      <c r="N6026" s="123"/>
      <c r="O6026" s="123"/>
      <c r="P6026" s="123"/>
      <c r="Q6026" s="123"/>
      <c r="R6026" s="123"/>
      <c r="X6026" s="97"/>
      <c r="Z6026" s="97"/>
      <c r="AD6026" s="97"/>
      <c r="AE6026" s="97"/>
      <c r="AF6026" s="131"/>
      <c r="AG6026" s="131"/>
      <c r="AH6026" s="131"/>
      <c r="AI6026" s="131"/>
      <c r="AJ6026" s="131"/>
      <c r="AK6026" s="131"/>
      <c r="AL6026" s="131"/>
    </row>
    <row r="6027" spans="1:38" s="96" customFormat="1">
      <c r="C6027" s="123"/>
      <c r="D6027" s="123"/>
      <c r="E6027" s="123"/>
      <c r="F6027" s="124"/>
      <c r="G6027" s="123"/>
      <c r="H6027" s="123"/>
      <c r="I6027" s="123"/>
      <c r="J6027" s="123"/>
      <c r="K6027" s="123"/>
      <c r="L6027" s="123"/>
      <c r="M6027" s="123"/>
      <c r="N6027" s="123"/>
      <c r="O6027" s="123"/>
      <c r="P6027" s="123"/>
      <c r="Q6027" s="123"/>
      <c r="R6027" s="123"/>
      <c r="X6027" s="97"/>
      <c r="Z6027" s="97"/>
      <c r="AD6027" s="97"/>
      <c r="AE6027" s="97"/>
      <c r="AF6027" s="131"/>
      <c r="AG6027" s="131"/>
      <c r="AH6027" s="131"/>
      <c r="AI6027" s="131"/>
      <c r="AJ6027" s="131"/>
      <c r="AK6027" s="131"/>
      <c r="AL6027" s="131"/>
    </row>
    <row r="6028" spans="1:38" s="96" customFormat="1">
      <c r="C6028" s="123"/>
      <c r="D6028" s="123"/>
      <c r="E6028" s="123"/>
      <c r="F6028" s="124"/>
      <c r="G6028" s="123"/>
      <c r="H6028" s="123"/>
      <c r="I6028" s="123"/>
      <c r="J6028" s="123"/>
      <c r="K6028" s="123"/>
      <c r="L6028" s="123"/>
      <c r="M6028" s="123"/>
      <c r="N6028" s="123"/>
      <c r="O6028" s="123"/>
      <c r="P6028" s="123"/>
      <c r="Q6028" s="123"/>
      <c r="R6028" s="123"/>
      <c r="X6028" s="97"/>
      <c r="Z6028" s="97"/>
      <c r="AD6028" s="97"/>
      <c r="AE6028" s="97"/>
      <c r="AF6028" s="131"/>
      <c r="AG6028" s="131"/>
      <c r="AH6028" s="131"/>
      <c r="AI6028" s="131"/>
      <c r="AJ6028" s="131"/>
      <c r="AK6028" s="131"/>
      <c r="AL6028" s="131"/>
    </row>
    <row r="6029" spans="1:38">
      <c r="A6029" s="95"/>
      <c r="B6029" s="95"/>
      <c r="C6029" s="125"/>
      <c r="D6029" s="125"/>
      <c r="E6029" s="125"/>
      <c r="F6029" s="126"/>
      <c r="G6029" s="125"/>
      <c r="H6029" s="125"/>
      <c r="I6029" s="125"/>
      <c r="J6029" s="125"/>
      <c r="K6029" s="125"/>
      <c r="L6029" s="125"/>
      <c r="M6029" s="125"/>
      <c r="N6029" s="125"/>
      <c r="O6029" s="125"/>
      <c r="P6029" s="125"/>
      <c r="Q6029" s="125"/>
      <c r="R6029" s="125"/>
      <c r="S6029" s="95"/>
    </row>
  </sheetData>
  <sheetProtection sheet="1" objects="1" scenarios="1"/>
  <dataValidations count="1">
    <dataValidation type="list" allowBlank="1" showInputMessage="1" showErrorMessage="1" sqref="AE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19</xdr:col>
                    <xdr:colOff>19050</xdr:colOff>
                    <xdr:row>0</xdr:row>
                    <xdr:rowOff>28575</xdr:rowOff>
                  </from>
                  <to>
                    <xdr:col>19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19</xdr:col>
                    <xdr:colOff>971550</xdr:colOff>
                    <xdr:row>0</xdr:row>
                    <xdr:rowOff>28575</xdr:rowOff>
                  </from>
                  <to>
                    <xdr:col>19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Z1" zoomScale="70" zoomScaleNormal="70" workbookViewId="0">
      <pane ySplit="1" topLeftCell="A2" activePane="bottomLeft" state="frozen"/>
      <selection pane="bottomLeft" activeCell="BS3" sqref="BS3"/>
    </sheetView>
  </sheetViews>
  <sheetFormatPr defaultColWidth="12.42578125" defaultRowHeight="18.75"/>
  <cols>
    <col min="1" max="1" width="19" style="40" customWidth="1"/>
    <col min="2" max="2" width="25.7109375" style="41" customWidth="1"/>
    <col min="3" max="3" width="26.7109375" style="40" customWidth="1"/>
    <col min="4" max="4" width="6.7109375" style="33" customWidth="1"/>
    <col min="5" max="5" width="19" style="40" customWidth="1"/>
    <col min="6" max="6" width="25.7109375" style="41" customWidth="1"/>
    <col min="7" max="7" width="18.140625" style="40" customWidth="1"/>
    <col min="8" max="8" width="6.7109375" style="33" customWidth="1"/>
    <col min="9" max="9" width="19" style="40" customWidth="1"/>
    <col min="10" max="10" width="25.7109375" style="41" customWidth="1"/>
    <col min="11" max="11" width="18.140625" style="40" customWidth="1"/>
    <col min="12" max="12" width="12.42578125" style="33"/>
    <col min="13" max="13" width="19" style="40" customWidth="1"/>
    <col min="14" max="14" width="25.7109375" style="41" customWidth="1"/>
    <col min="15" max="15" width="18.140625" style="40" customWidth="1"/>
    <col min="16" max="16" width="12.42578125" style="33"/>
    <col min="17" max="17" width="19" style="40" customWidth="1"/>
    <col min="18" max="18" width="25.7109375" style="41" customWidth="1"/>
    <col min="19" max="19" width="18.140625" style="40" customWidth="1"/>
    <col min="20" max="20" width="12.42578125" style="33"/>
    <col min="21" max="21" width="19" style="40" customWidth="1"/>
    <col min="22" max="22" width="25.7109375" style="41" customWidth="1"/>
    <col min="23" max="23" width="18.140625" style="40" customWidth="1"/>
    <col min="24" max="24" width="12.42578125" style="33"/>
    <col min="25" max="25" width="19" style="40" customWidth="1"/>
    <col min="26" max="26" width="25.7109375" style="41" customWidth="1"/>
    <col min="27" max="27" width="18.140625" style="40" customWidth="1"/>
    <col min="28" max="28" width="12.42578125" style="33"/>
    <col min="29" max="29" width="19" style="40" customWidth="1"/>
    <col min="30" max="30" width="25.7109375" style="41" customWidth="1"/>
    <col min="31" max="31" width="18.140625" style="40" customWidth="1"/>
    <col min="32" max="32" width="12.42578125" style="33"/>
    <col min="33" max="33" width="19" style="40" customWidth="1"/>
    <col min="34" max="34" width="25.7109375" style="41" customWidth="1"/>
    <col min="35" max="35" width="18.140625" style="40" customWidth="1"/>
    <col min="36" max="36" width="12.42578125" style="33"/>
    <col min="37" max="37" width="19" style="40" customWidth="1"/>
    <col min="38" max="38" width="25.7109375" style="41" customWidth="1"/>
    <col min="39" max="39" width="18.140625" style="40" customWidth="1"/>
    <col min="40" max="40" width="12.42578125" style="33"/>
    <col min="41" max="41" width="19" style="40" customWidth="1"/>
    <col min="42" max="42" width="25.7109375" style="41" customWidth="1"/>
    <col min="43" max="43" width="18.140625" style="40" customWidth="1"/>
    <col min="44" max="44" width="12.42578125" style="33"/>
    <col min="45" max="45" width="19" style="40" customWidth="1"/>
    <col min="46" max="46" width="25.7109375" style="41" customWidth="1"/>
    <col min="47" max="47" width="18.140625" style="40" customWidth="1"/>
    <col min="48" max="48" width="12.42578125" style="33"/>
    <col min="49" max="49" width="19" style="40" customWidth="1"/>
    <col min="50" max="50" width="25.7109375" style="41" customWidth="1"/>
    <col min="51" max="51" width="18.140625" style="40" customWidth="1"/>
    <col min="52" max="52" width="12.42578125" style="33"/>
    <col min="53" max="53" width="19" style="40" customWidth="1"/>
    <col min="54" max="54" width="25.7109375" style="41" customWidth="1"/>
    <col min="55" max="55" width="18.140625" style="40" customWidth="1"/>
    <col min="56" max="56" width="12.42578125" style="33"/>
    <col min="57" max="57" width="19" style="40" customWidth="1"/>
    <col min="58" max="58" width="25.7109375" style="41" customWidth="1"/>
    <col min="59" max="59" width="18.140625" style="40" customWidth="1"/>
    <col min="60" max="60" width="12.42578125" style="33"/>
    <col min="61" max="61" width="19" style="40" customWidth="1"/>
    <col min="62" max="62" width="25.7109375" style="41" customWidth="1"/>
    <col min="63" max="63" width="18.140625" style="40" customWidth="1"/>
    <col min="64" max="64" width="12.42578125" style="33"/>
    <col min="65" max="65" width="19" style="40" customWidth="1"/>
    <col min="66" max="66" width="25.7109375" style="41" customWidth="1"/>
    <col min="67" max="67" width="18.140625" style="40" customWidth="1"/>
    <col min="68" max="68" width="12.42578125" style="33"/>
    <col min="69" max="69" width="19" style="40" customWidth="1"/>
    <col min="70" max="70" width="25.7109375" style="41" customWidth="1"/>
    <col min="71" max="71" width="18.140625" style="40" customWidth="1"/>
    <col min="72" max="16384" width="12.42578125" style="33"/>
  </cols>
  <sheetData>
    <row r="1" spans="1:71" ht="26.25" customHeight="1">
      <c r="A1" s="28"/>
      <c r="B1" s="29" t="s">
        <v>441</v>
      </c>
      <c r="C1" s="30"/>
      <c r="D1" s="31"/>
      <c r="E1" s="28"/>
      <c r="F1" s="29" t="s">
        <v>573</v>
      </c>
      <c r="G1" s="32"/>
      <c r="I1" s="34"/>
      <c r="J1" s="29" t="s">
        <v>387</v>
      </c>
      <c r="K1" s="32"/>
      <c r="M1" s="34"/>
      <c r="N1" s="29" t="s">
        <v>542</v>
      </c>
      <c r="O1" s="32"/>
      <c r="Q1" s="34"/>
      <c r="R1" s="29" t="s">
        <v>543</v>
      </c>
      <c r="S1" s="32"/>
      <c r="U1" s="34"/>
      <c r="V1" s="29" t="s">
        <v>544</v>
      </c>
      <c r="W1" s="32"/>
      <c r="Y1" s="34"/>
      <c r="Z1" s="29" t="s">
        <v>545</v>
      </c>
      <c r="AA1" s="32"/>
      <c r="AC1" s="34"/>
      <c r="AD1" s="29" t="s">
        <v>546</v>
      </c>
      <c r="AE1" s="32"/>
      <c r="AG1" s="34"/>
      <c r="AH1" s="29" t="s">
        <v>547</v>
      </c>
      <c r="AI1" s="32"/>
      <c r="AK1" s="34"/>
      <c r="AL1" s="29" t="s">
        <v>575</v>
      </c>
      <c r="AM1" s="32"/>
      <c r="AO1" s="34"/>
      <c r="AP1" s="29" t="s">
        <v>576</v>
      </c>
      <c r="AQ1" s="32"/>
      <c r="AS1" s="34"/>
      <c r="AT1" s="29" t="s">
        <v>548</v>
      </c>
      <c r="AU1" s="32"/>
      <c r="AW1" s="34"/>
      <c r="AX1" s="29" t="s">
        <v>549</v>
      </c>
      <c r="AY1" s="32"/>
      <c r="BA1" s="34"/>
      <c r="BB1" s="29" t="s">
        <v>550</v>
      </c>
      <c r="BC1" s="32"/>
      <c r="BE1" s="34"/>
      <c r="BF1" s="29" t="s">
        <v>574</v>
      </c>
      <c r="BG1" s="32"/>
      <c r="BI1" s="34"/>
      <c r="BJ1" s="29" t="s">
        <v>551</v>
      </c>
      <c r="BK1" s="32"/>
      <c r="BM1" s="34"/>
      <c r="BN1" s="29" t="s">
        <v>552</v>
      </c>
      <c r="BO1" s="32"/>
      <c r="BQ1" s="34"/>
      <c r="BR1" s="29" t="s">
        <v>611</v>
      </c>
      <c r="BS1" s="32"/>
    </row>
    <row r="2" spans="1:71" ht="50.1" customHeight="1">
      <c r="A2" s="35" t="s">
        <v>49</v>
      </c>
      <c r="B2" s="35" t="s">
        <v>442</v>
      </c>
      <c r="C2" s="35" t="s">
        <v>443</v>
      </c>
      <c r="E2" s="35" t="s">
        <v>49</v>
      </c>
      <c r="F2" s="35" t="s">
        <v>442</v>
      </c>
      <c r="G2" s="35" t="s">
        <v>443</v>
      </c>
      <c r="I2" s="35" t="s">
        <v>49</v>
      </c>
      <c r="J2" s="35" t="s">
        <v>442</v>
      </c>
      <c r="K2" s="35" t="s">
        <v>443</v>
      </c>
      <c r="M2" s="35" t="s">
        <v>49</v>
      </c>
      <c r="N2" s="35" t="s">
        <v>442</v>
      </c>
      <c r="O2" s="35" t="s">
        <v>443</v>
      </c>
      <c r="Q2" s="35" t="s">
        <v>49</v>
      </c>
      <c r="R2" s="35" t="s">
        <v>442</v>
      </c>
      <c r="S2" s="35" t="s">
        <v>443</v>
      </c>
      <c r="U2" s="35" t="s">
        <v>49</v>
      </c>
      <c r="V2" s="35" t="s">
        <v>442</v>
      </c>
      <c r="W2" s="35" t="s">
        <v>443</v>
      </c>
      <c r="Y2" s="35" t="s">
        <v>49</v>
      </c>
      <c r="Z2" s="35" t="s">
        <v>442</v>
      </c>
      <c r="AA2" s="35" t="s">
        <v>443</v>
      </c>
      <c r="AC2" s="35" t="s">
        <v>49</v>
      </c>
      <c r="AD2" s="35" t="s">
        <v>442</v>
      </c>
      <c r="AE2" s="35" t="s">
        <v>443</v>
      </c>
      <c r="AG2" s="35" t="s">
        <v>49</v>
      </c>
      <c r="AH2" s="35" t="s">
        <v>442</v>
      </c>
      <c r="AI2" s="35" t="s">
        <v>443</v>
      </c>
      <c r="AK2" s="35" t="s">
        <v>49</v>
      </c>
      <c r="AL2" s="35" t="s">
        <v>442</v>
      </c>
      <c r="AM2" s="35" t="s">
        <v>443</v>
      </c>
      <c r="AO2" s="35" t="s">
        <v>49</v>
      </c>
      <c r="AP2" s="35" t="s">
        <v>442</v>
      </c>
      <c r="AQ2" s="35" t="s">
        <v>443</v>
      </c>
      <c r="AS2" s="35" t="s">
        <v>49</v>
      </c>
      <c r="AT2" s="35" t="s">
        <v>442</v>
      </c>
      <c r="AU2" s="35" t="s">
        <v>443</v>
      </c>
      <c r="AW2" s="35" t="s">
        <v>49</v>
      </c>
      <c r="AX2" s="35" t="s">
        <v>442</v>
      </c>
      <c r="AY2" s="35" t="s">
        <v>443</v>
      </c>
      <c r="BA2" s="35" t="s">
        <v>49</v>
      </c>
      <c r="BB2" s="35" t="s">
        <v>442</v>
      </c>
      <c r="BC2" s="35" t="s">
        <v>443</v>
      </c>
      <c r="BE2" s="35" t="s">
        <v>49</v>
      </c>
      <c r="BF2" s="35" t="s">
        <v>442</v>
      </c>
      <c r="BG2" s="35" t="s">
        <v>443</v>
      </c>
      <c r="BI2" s="35" t="s">
        <v>49</v>
      </c>
      <c r="BJ2" s="35" t="s">
        <v>442</v>
      </c>
      <c r="BK2" s="35" t="s">
        <v>443</v>
      </c>
      <c r="BM2" s="35" t="s">
        <v>49</v>
      </c>
      <c r="BN2" s="35" t="s">
        <v>442</v>
      </c>
      <c r="BO2" s="35" t="s">
        <v>443</v>
      </c>
      <c r="BQ2" s="35" t="s">
        <v>49</v>
      </c>
      <c r="BR2" s="35" t="s">
        <v>442</v>
      </c>
      <c r="BS2" s="35" t="s">
        <v>443</v>
      </c>
    </row>
    <row r="3" spans="1:71" ht="60" customHeight="1">
      <c r="A3" s="36" t="s">
        <v>444</v>
      </c>
      <c r="B3" s="37" t="s">
        <v>390</v>
      </c>
      <c r="C3" s="37" t="s">
        <v>445</v>
      </c>
      <c r="E3" s="36" t="s">
        <v>444</v>
      </c>
      <c r="F3" s="37" t="s">
        <v>390</v>
      </c>
      <c r="G3" s="37" t="s">
        <v>446</v>
      </c>
      <c r="I3" s="36" t="s">
        <v>444</v>
      </c>
      <c r="J3" s="37" t="s">
        <v>390</v>
      </c>
      <c r="K3" s="37" t="s">
        <v>447</v>
      </c>
      <c r="M3" s="36"/>
      <c r="N3" s="37"/>
      <c r="O3" s="37"/>
      <c r="Q3" s="36"/>
      <c r="R3" s="37"/>
      <c r="S3" s="37"/>
      <c r="U3" s="36"/>
      <c r="V3" s="37"/>
      <c r="W3" s="37"/>
      <c r="Y3" s="36"/>
      <c r="Z3" s="37"/>
      <c r="AA3" s="37"/>
      <c r="AC3" s="36"/>
      <c r="AD3" s="37"/>
      <c r="AE3" s="37"/>
      <c r="AG3" s="36"/>
      <c r="AH3" s="37"/>
      <c r="AI3" s="37"/>
      <c r="AK3" s="36"/>
      <c r="AL3" s="37"/>
      <c r="AM3" s="37"/>
      <c r="AO3" s="36"/>
      <c r="AP3" s="37"/>
      <c r="AQ3" s="37"/>
      <c r="AS3" s="36"/>
      <c r="AT3" s="37"/>
      <c r="AU3" s="37"/>
      <c r="AW3" s="36"/>
      <c r="AX3" s="37"/>
      <c r="AY3" s="37"/>
      <c r="BA3" s="36"/>
      <c r="BB3" s="37"/>
      <c r="BC3" s="37"/>
      <c r="BE3" s="36"/>
      <c r="BF3" s="37"/>
      <c r="BG3" s="37"/>
      <c r="BI3" s="36" t="s">
        <v>444</v>
      </c>
      <c r="BJ3" s="37" t="s">
        <v>390</v>
      </c>
      <c r="BK3" s="37" t="s">
        <v>604</v>
      </c>
      <c r="BM3" s="36"/>
      <c r="BN3" s="37"/>
      <c r="BO3" s="37"/>
      <c r="BQ3" s="36" t="s">
        <v>444</v>
      </c>
      <c r="BR3" s="37" t="s">
        <v>390</v>
      </c>
      <c r="BS3" s="37"/>
    </row>
    <row r="4" spans="1:71" ht="60" customHeight="1">
      <c r="A4" s="36" t="s">
        <v>448</v>
      </c>
      <c r="B4" s="37" t="s">
        <v>449</v>
      </c>
      <c r="C4" s="37" t="s">
        <v>450</v>
      </c>
      <c r="E4" s="36"/>
      <c r="F4" s="37"/>
      <c r="G4" s="37"/>
      <c r="I4" s="36" t="s">
        <v>451</v>
      </c>
      <c r="J4" s="37" t="s">
        <v>389</v>
      </c>
      <c r="K4" s="37" t="s">
        <v>452</v>
      </c>
      <c r="M4" s="36"/>
      <c r="N4" s="37"/>
      <c r="O4" s="37"/>
      <c r="Q4" s="36"/>
      <c r="R4" s="37"/>
      <c r="S4" s="37"/>
      <c r="U4" s="36"/>
      <c r="V4" s="37"/>
      <c r="W4" s="37"/>
      <c r="Y4" s="36"/>
      <c r="Z4" s="37"/>
      <c r="AA4" s="37"/>
      <c r="AC4" s="36"/>
      <c r="AD4" s="37"/>
      <c r="AE4" s="37"/>
      <c r="AG4" s="36"/>
      <c r="AH4" s="37"/>
      <c r="AI4" s="37"/>
      <c r="AK4" s="36"/>
      <c r="AL4" s="37"/>
      <c r="AM4" s="37"/>
      <c r="AO4" s="36"/>
      <c r="AP4" s="37"/>
      <c r="AQ4" s="37"/>
      <c r="AS4" s="36"/>
      <c r="AT4" s="37"/>
      <c r="AU4" s="37"/>
      <c r="AW4" s="36"/>
      <c r="AX4" s="37"/>
      <c r="AY4" s="37"/>
      <c r="BA4" s="36"/>
      <c r="BB4" s="37"/>
      <c r="BC4" s="37"/>
      <c r="BE4" s="36"/>
      <c r="BF4" s="37"/>
      <c r="BG4" s="37"/>
      <c r="BI4" s="36"/>
      <c r="BJ4" s="37"/>
      <c r="BK4" s="37"/>
      <c r="BM4" s="36"/>
      <c r="BN4" s="37"/>
      <c r="BO4" s="37"/>
      <c r="BQ4" s="36"/>
      <c r="BR4" s="37"/>
      <c r="BS4" s="37"/>
    </row>
    <row r="5" spans="1:71" ht="60" customHeight="1">
      <c r="A5" s="36" t="s">
        <v>453</v>
      </c>
      <c r="B5" s="37" t="s">
        <v>454</v>
      </c>
      <c r="C5" s="37" t="s">
        <v>455</v>
      </c>
      <c r="E5" s="36"/>
      <c r="F5" s="37"/>
      <c r="G5" s="37"/>
      <c r="I5" s="36" t="s">
        <v>456</v>
      </c>
      <c r="J5" s="37" t="s">
        <v>399</v>
      </c>
      <c r="K5" s="37" t="s">
        <v>457</v>
      </c>
      <c r="M5" s="36"/>
      <c r="N5" s="37"/>
      <c r="O5" s="37"/>
      <c r="Q5" s="36"/>
      <c r="R5" s="37"/>
      <c r="S5" s="37"/>
      <c r="U5" s="36"/>
      <c r="V5" s="37"/>
      <c r="W5" s="37"/>
      <c r="Y5" s="36"/>
      <c r="Z5" s="37"/>
      <c r="AA5" s="37"/>
      <c r="AC5" s="36"/>
      <c r="AD5" s="37"/>
      <c r="AE5" s="37"/>
      <c r="AG5" s="36"/>
      <c r="AH5" s="37"/>
      <c r="AI5" s="37"/>
      <c r="AK5" s="36"/>
      <c r="AL5" s="37"/>
      <c r="AM5" s="37"/>
      <c r="AO5" s="36"/>
      <c r="AP5" s="37"/>
      <c r="AQ5" s="37"/>
      <c r="AS5" s="36"/>
      <c r="AT5" s="37"/>
      <c r="AU5" s="37"/>
      <c r="AW5" s="36"/>
      <c r="AX5" s="37"/>
      <c r="AY5" s="37"/>
      <c r="BA5" s="36"/>
      <c r="BB5" s="37"/>
      <c r="BC5" s="37"/>
      <c r="BE5" s="36"/>
      <c r="BF5" s="37"/>
      <c r="BG5" s="37"/>
      <c r="BI5" s="36"/>
      <c r="BJ5" s="37"/>
      <c r="BK5" s="37"/>
      <c r="BM5" s="36"/>
      <c r="BN5" s="37"/>
      <c r="BO5" s="37"/>
      <c r="BQ5" s="36"/>
      <c r="BR5" s="37"/>
      <c r="BS5" s="37"/>
    </row>
    <row r="6" spans="1:71" ht="60" customHeight="1">
      <c r="A6" s="36" t="s">
        <v>451</v>
      </c>
      <c r="B6" s="37" t="s">
        <v>389</v>
      </c>
      <c r="C6" s="37" t="s">
        <v>458</v>
      </c>
      <c r="E6" s="36"/>
      <c r="F6" s="37"/>
      <c r="G6" s="37"/>
      <c r="I6" s="36"/>
      <c r="J6" s="37"/>
      <c r="K6" s="37"/>
      <c r="M6" s="36"/>
      <c r="N6" s="37"/>
      <c r="O6" s="37"/>
      <c r="Q6" s="36"/>
      <c r="R6" s="37"/>
      <c r="S6" s="37"/>
      <c r="U6" s="36"/>
      <c r="V6" s="37"/>
      <c r="W6" s="37"/>
      <c r="Y6" s="36"/>
      <c r="Z6" s="37"/>
      <c r="AA6" s="37"/>
      <c r="AC6" s="36"/>
      <c r="AD6" s="37"/>
      <c r="AE6" s="37"/>
      <c r="AG6" s="36"/>
      <c r="AH6" s="37"/>
      <c r="AI6" s="37"/>
      <c r="AK6" s="36"/>
      <c r="AL6" s="37"/>
      <c r="AM6" s="37"/>
      <c r="AO6" s="36"/>
      <c r="AP6" s="37"/>
      <c r="AQ6" s="37"/>
      <c r="AS6" s="36"/>
      <c r="AT6" s="37"/>
      <c r="AU6" s="37"/>
      <c r="AW6" s="36"/>
      <c r="AX6" s="37"/>
      <c r="AY6" s="37"/>
      <c r="BA6" s="36"/>
      <c r="BB6" s="37"/>
      <c r="BC6" s="37"/>
      <c r="BE6" s="36"/>
      <c r="BF6" s="37"/>
      <c r="BG6" s="37"/>
      <c r="BI6" s="36"/>
      <c r="BJ6" s="37"/>
      <c r="BK6" s="37"/>
      <c r="BM6" s="36"/>
      <c r="BN6" s="37"/>
      <c r="BO6" s="37"/>
      <c r="BQ6" s="36"/>
      <c r="BR6" s="37"/>
      <c r="BS6" s="37"/>
    </row>
    <row r="7" spans="1:71" ht="60" customHeight="1">
      <c r="A7" s="36" t="s">
        <v>459</v>
      </c>
      <c r="B7" s="37" t="s">
        <v>460</v>
      </c>
      <c r="C7" s="37" t="s">
        <v>461</v>
      </c>
      <c r="E7" s="36"/>
      <c r="F7" s="37"/>
      <c r="G7" s="37"/>
      <c r="I7" s="36"/>
      <c r="J7" s="37"/>
      <c r="K7" s="37"/>
      <c r="M7" s="36"/>
      <c r="N7" s="37"/>
      <c r="O7" s="37"/>
      <c r="Q7" s="36"/>
      <c r="R7" s="37"/>
      <c r="S7" s="37"/>
      <c r="U7" s="36"/>
      <c r="V7" s="37"/>
      <c r="W7" s="37"/>
      <c r="Y7" s="36"/>
      <c r="Z7" s="37"/>
      <c r="AA7" s="37"/>
      <c r="AC7" s="36"/>
      <c r="AD7" s="37"/>
      <c r="AE7" s="37"/>
      <c r="AG7" s="36"/>
      <c r="AH7" s="37"/>
      <c r="AI7" s="37"/>
      <c r="AK7" s="36"/>
      <c r="AL7" s="37"/>
      <c r="AM7" s="37"/>
      <c r="AO7" s="36"/>
      <c r="AP7" s="37"/>
      <c r="AQ7" s="37"/>
      <c r="AS7" s="36"/>
      <c r="AT7" s="37"/>
      <c r="AU7" s="37"/>
      <c r="AW7" s="36"/>
      <c r="AX7" s="37"/>
      <c r="AY7" s="37"/>
      <c r="BA7" s="36"/>
      <c r="BB7" s="37"/>
      <c r="BC7" s="37"/>
      <c r="BE7" s="36"/>
      <c r="BF7" s="37"/>
      <c r="BG7" s="37"/>
      <c r="BI7" s="36"/>
      <c r="BJ7" s="37"/>
      <c r="BK7" s="37"/>
      <c r="BM7" s="36"/>
      <c r="BN7" s="37"/>
      <c r="BO7" s="37"/>
      <c r="BQ7" s="36"/>
      <c r="BR7" s="37"/>
      <c r="BS7" s="37"/>
    </row>
    <row r="8" spans="1:71" ht="60" customHeight="1">
      <c r="A8" s="36" t="s">
        <v>462</v>
      </c>
      <c r="B8" s="37" t="s">
        <v>463</v>
      </c>
      <c r="C8" s="37" t="s">
        <v>464</v>
      </c>
      <c r="E8" s="36"/>
      <c r="F8" s="37"/>
      <c r="G8" s="37"/>
      <c r="I8" s="36"/>
      <c r="J8" s="37"/>
      <c r="K8" s="37"/>
      <c r="M8" s="36"/>
      <c r="N8" s="37"/>
      <c r="O8" s="37"/>
      <c r="Q8" s="36"/>
      <c r="R8" s="37"/>
      <c r="S8" s="37"/>
      <c r="U8" s="36"/>
      <c r="V8" s="37"/>
      <c r="W8" s="37"/>
      <c r="Y8" s="36"/>
      <c r="Z8" s="37"/>
      <c r="AA8" s="37"/>
      <c r="AC8" s="36"/>
      <c r="AD8" s="37"/>
      <c r="AE8" s="37"/>
      <c r="AG8" s="36"/>
      <c r="AH8" s="37"/>
      <c r="AI8" s="37"/>
      <c r="AK8" s="36"/>
      <c r="AL8" s="37"/>
      <c r="AM8" s="37"/>
      <c r="AO8" s="36"/>
      <c r="AP8" s="37"/>
      <c r="AQ8" s="37"/>
      <c r="AS8" s="36"/>
      <c r="AT8" s="37"/>
      <c r="AU8" s="37"/>
      <c r="AW8" s="36"/>
      <c r="AX8" s="37"/>
      <c r="AY8" s="37"/>
      <c r="BA8" s="36"/>
      <c r="BB8" s="37"/>
      <c r="BC8" s="37"/>
      <c r="BE8" s="36"/>
      <c r="BF8" s="37"/>
      <c r="BG8" s="37"/>
      <c r="BI8" s="36"/>
      <c r="BJ8" s="37"/>
      <c r="BK8" s="37"/>
      <c r="BM8" s="36"/>
      <c r="BN8" s="37"/>
      <c r="BO8" s="37"/>
      <c r="BQ8" s="36"/>
      <c r="BR8" s="37"/>
      <c r="BS8" s="37"/>
    </row>
    <row r="9" spans="1:71" ht="60" customHeight="1">
      <c r="A9" s="36" t="s">
        <v>465</v>
      </c>
      <c r="B9" s="37" t="s">
        <v>466</v>
      </c>
      <c r="C9" s="37" t="s">
        <v>467</v>
      </c>
      <c r="E9" s="36"/>
      <c r="F9" s="37"/>
      <c r="G9" s="37"/>
      <c r="I9" s="36"/>
      <c r="J9" s="37"/>
      <c r="K9" s="37"/>
      <c r="M9" s="36"/>
      <c r="N9" s="37"/>
      <c r="O9" s="37"/>
      <c r="Q9" s="36"/>
      <c r="R9" s="37"/>
      <c r="S9" s="37"/>
      <c r="U9" s="36"/>
      <c r="V9" s="37"/>
      <c r="W9" s="37"/>
      <c r="Y9" s="36"/>
      <c r="Z9" s="37"/>
      <c r="AA9" s="37"/>
      <c r="AC9" s="36"/>
      <c r="AD9" s="37"/>
      <c r="AE9" s="37"/>
      <c r="AG9" s="36"/>
      <c r="AH9" s="37"/>
      <c r="AI9" s="37"/>
      <c r="AK9" s="36"/>
      <c r="AL9" s="37"/>
      <c r="AM9" s="37"/>
      <c r="AO9" s="36"/>
      <c r="AP9" s="37"/>
      <c r="AQ9" s="37"/>
      <c r="AS9" s="36"/>
      <c r="AT9" s="37"/>
      <c r="AU9" s="37"/>
      <c r="AW9" s="36"/>
      <c r="AX9" s="37"/>
      <c r="AY9" s="37"/>
      <c r="BA9" s="36"/>
      <c r="BB9" s="37"/>
      <c r="BC9" s="37"/>
      <c r="BE9" s="36"/>
      <c r="BF9" s="37"/>
      <c r="BG9" s="37"/>
      <c r="BI9" s="36"/>
      <c r="BJ9" s="37"/>
      <c r="BK9" s="37"/>
      <c r="BM9" s="36"/>
      <c r="BN9" s="37"/>
      <c r="BO9" s="37"/>
      <c r="BQ9" s="36"/>
      <c r="BR9" s="37"/>
      <c r="BS9" s="37"/>
    </row>
    <row r="10" spans="1:71" ht="60" customHeight="1">
      <c r="A10" s="36" t="s">
        <v>468</v>
      </c>
      <c r="B10" s="37" t="s">
        <v>469</v>
      </c>
      <c r="C10" s="37" t="s">
        <v>470</v>
      </c>
      <c r="E10" s="36"/>
      <c r="F10" s="37"/>
      <c r="G10" s="37"/>
      <c r="I10" s="36"/>
      <c r="J10" s="37"/>
      <c r="K10" s="37"/>
      <c r="M10" s="36"/>
      <c r="N10" s="37"/>
      <c r="O10" s="37"/>
      <c r="Q10" s="36"/>
      <c r="R10" s="37"/>
      <c r="S10" s="37"/>
      <c r="U10" s="36"/>
      <c r="V10" s="37"/>
      <c r="W10" s="37"/>
      <c r="Y10" s="36"/>
      <c r="Z10" s="37"/>
      <c r="AA10" s="37"/>
      <c r="AC10" s="36"/>
      <c r="AD10" s="37"/>
      <c r="AE10" s="37"/>
      <c r="AG10" s="36"/>
      <c r="AH10" s="37"/>
      <c r="AI10" s="37"/>
      <c r="AK10" s="36"/>
      <c r="AL10" s="37"/>
      <c r="AM10" s="37"/>
      <c r="AO10" s="36"/>
      <c r="AP10" s="37"/>
      <c r="AQ10" s="37"/>
      <c r="AS10" s="36"/>
      <c r="AT10" s="37"/>
      <c r="AU10" s="37"/>
      <c r="AW10" s="36"/>
      <c r="AX10" s="37"/>
      <c r="AY10" s="37"/>
      <c r="BA10" s="36"/>
      <c r="BB10" s="37"/>
      <c r="BC10" s="37"/>
      <c r="BE10" s="36"/>
      <c r="BF10" s="37"/>
      <c r="BG10" s="37"/>
      <c r="BI10" s="36"/>
      <c r="BJ10" s="37"/>
      <c r="BK10" s="37"/>
      <c r="BM10" s="36"/>
      <c r="BN10" s="37"/>
      <c r="BO10" s="37"/>
      <c r="BQ10" s="36"/>
      <c r="BR10" s="37"/>
      <c r="BS10" s="37"/>
    </row>
    <row r="11" spans="1:71" ht="60" customHeight="1">
      <c r="A11" s="36" t="s">
        <v>471</v>
      </c>
      <c r="B11" s="37" t="s">
        <v>472</v>
      </c>
      <c r="C11" s="37" t="s">
        <v>473</v>
      </c>
      <c r="E11" s="36"/>
      <c r="F11" s="37"/>
      <c r="G11" s="37"/>
      <c r="I11" s="36"/>
      <c r="J11" s="37"/>
      <c r="K11" s="37"/>
      <c r="M11" s="36"/>
      <c r="N11" s="37"/>
      <c r="O11" s="37"/>
      <c r="Q11" s="36"/>
      <c r="R11" s="37"/>
      <c r="S11" s="37"/>
      <c r="U11" s="36"/>
      <c r="V11" s="37"/>
      <c r="W11" s="37"/>
      <c r="Y11" s="36"/>
      <c r="Z11" s="37"/>
      <c r="AA11" s="37"/>
      <c r="AC11" s="36"/>
      <c r="AD11" s="37"/>
      <c r="AE11" s="37"/>
      <c r="AG11" s="36"/>
      <c r="AH11" s="37"/>
      <c r="AI11" s="37"/>
      <c r="AK11" s="36"/>
      <c r="AL11" s="37"/>
      <c r="AM11" s="37"/>
      <c r="AO11" s="36"/>
      <c r="AP11" s="37"/>
      <c r="AQ11" s="37"/>
      <c r="AS11" s="36"/>
      <c r="AT11" s="37"/>
      <c r="AU11" s="37"/>
      <c r="AW11" s="36"/>
      <c r="AX11" s="37"/>
      <c r="AY11" s="37"/>
      <c r="BA11" s="36"/>
      <c r="BB11" s="37"/>
      <c r="BC11" s="37"/>
      <c r="BE11" s="36"/>
      <c r="BF11" s="37"/>
      <c r="BG11" s="37"/>
      <c r="BI11" s="36"/>
      <c r="BJ11" s="37"/>
      <c r="BK11" s="37"/>
      <c r="BM11" s="36"/>
      <c r="BN11" s="37"/>
      <c r="BO11" s="37"/>
      <c r="BQ11" s="36"/>
      <c r="BR11" s="37"/>
      <c r="BS11" s="37"/>
    </row>
    <row r="12" spans="1:71" ht="15.75">
      <c r="A12" s="33"/>
      <c r="B12" s="38"/>
      <c r="C12" s="33"/>
      <c r="E12" s="33"/>
      <c r="F12" s="38"/>
      <c r="G12" s="33"/>
      <c r="I12" s="33"/>
      <c r="J12" s="38"/>
      <c r="K12" s="33"/>
      <c r="M12" s="33"/>
      <c r="N12" s="38"/>
      <c r="O12" s="33"/>
      <c r="Q12" s="33"/>
      <c r="R12" s="38"/>
      <c r="S12" s="33"/>
      <c r="U12" s="33"/>
      <c r="V12" s="38"/>
      <c r="W12" s="33"/>
      <c r="Y12" s="33"/>
      <c r="Z12" s="38"/>
      <c r="AA12" s="33"/>
      <c r="AC12" s="33"/>
      <c r="AD12" s="38"/>
      <c r="AE12" s="33"/>
      <c r="AG12" s="33"/>
      <c r="AH12" s="38"/>
      <c r="AI12" s="33"/>
      <c r="AK12" s="33"/>
      <c r="AL12" s="38"/>
      <c r="AM12" s="33"/>
      <c r="AO12" s="33"/>
      <c r="AP12" s="38"/>
      <c r="AQ12" s="33"/>
      <c r="AS12" s="33"/>
      <c r="AT12" s="38"/>
      <c r="AU12" s="33"/>
      <c r="AW12" s="33"/>
      <c r="AX12" s="38"/>
      <c r="AY12" s="33"/>
      <c r="BA12" s="33"/>
      <c r="BB12" s="38"/>
      <c r="BC12" s="33"/>
      <c r="BE12" s="33"/>
      <c r="BF12" s="38"/>
      <c r="BG12" s="33"/>
      <c r="BI12" s="33"/>
      <c r="BJ12" s="38"/>
      <c r="BK12" s="33"/>
      <c r="BM12" s="33"/>
      <c r="BN12" s="38"/>
      <c r="BO12" s="33"/>
      <c r="BQ12" s="33"/>
      <c r="BR12" s="38"/>
      <c r="BS12" s="33"/>
    </row>
    <row r="13" spans="1:71" ht="15.75">
      <c r="A13" s="33"/>
      <c r="B13" s="38"/>
      <c r="C13" s="33"/>
      <c r="E13" s="33"/>
      <c r="F13" s="38"/>
      <c r="G13" s="33"/>
      <c r="I13" s="33"/>
      <c r="J13" s="38"/>
      <c r="K13" s="33"/>
      <c r="M13" s="33"/>
      <c r="N13" s="38"/>
      <c r="O13" s="33"/>
      <c r="Q13" s="33"/>
      <c r="R13" s="38"/>
      <c r="S13" s="33"/>
      <c r="U13" s="33"/>
      <c r="V13" s="38"/>
      <c r="W13" s="33"/>
      <c r="Y13" s="33"/>
      <c r="Z13" s="38"/>
      <c r="AA13" s="33"/>
      <c r="AC13" s="33"/>
      <c r="AD13" s="38"/>
      <c r="AE13" s="33"/>
      <c r="AG13" s="33"/>
      <c r="AH13" s="38"/>
      <c r="AI13" s="33"/>
      <c r="AK13" s="33"/>
      <c r="AL13" s="38"/>
      <c r="AM13" s="33"/>
      <c r="AO13" s="33"/>
      <c r="AP13" s="38"/>
      <c r="AQ13" s="33"/>
      <c r="AS13" s="33"/>
      <c r="AT13" s="38"/>
      <c r="AU13" s="33"/>
      <c r="AW13" s="33"/>
      <c r="AX13" s="38"/>
      <c r="AY13" s="33"/>
      <c r="BA13" s="33"/>
      <c r="BB13" s="38"/>
      <c r="BC13" s="33"/>
      <c r="BE13" s="33"/>
      <c r="BF13" s="38"/>
      <c r="BG13" s="33"/>
      <c r="BI13" s="33"/>
      <c r="BJ13" s="38"/>
      <c r="BK13" s="33"/>
      <c r="BM13" s="33"/>
      <c r="BN13" s="38"/>
      <c r="BO13" s="33"/>
      <c r="BQ13" s="33"/>
      <c r="BR13" s="38"/>
      <c r="BS13" s="33"/>
    </row>
    <row r="14" spans="1:71" ht="15.75">
      <c r="A14" s="33"/>
      <c r="B14" s="38"/>
      <c r="C14" s="33"/>
      <c r="E14" s="33"/>
      <c r="F14" s="38"/>
      <c r="G14" s="33"/>
      <c r="I14" s="33"/>
      <c r="J14" s="38"/>
      <c r="K14" s="33"/>
      <c r="M14" s="33"/>
      <c r="N14" s="38"/>
      <c r="O14" s="33"/>
      <c r="Q14" s="33"/>
      <c r="R14" s="38"/>
      <c r="S14" s="33"/>
      <c r="U14" s="33"/>
      <c r="V14" s="38"/>
      <c r="W14" s="33"/>
      <c r="Y14" s="33"/>
      <c r="Z14" s="38"/>
      <c r="AA14" s="33"/>
      <c r="AC14" s="33"/>
      <c r="AD14" s="38"/>
      <c r="AE14" s="33"/>
      <c r="AG14" s="33"/>
      <c r="AH14" s="38"/>
      <c r="AI14" s="33"/>
      <c r="AK14" s="33"/>
      <c r="AL14" s="38"/>
      <c r="AM14" s="33"/>
      <c r="AO14" s="33"/>
      <c r="AP14" s="38"/>
      <c r="AQ14" s="33"/>
      <c r="AS14" s="33"/>
      <c r="AT14" s="38"/>
      <c r="AU14" s="33"/>
      <c r="AW14" s="33"/>
      <c r="AX14" s="38"/>
      <c r="AY14" s="33"/>
      <c r="BA14" s="33"/>
      <c r="BB14" s="38"/>
      <c r="BC14" s="33"/>
      <c r="BE14" s="33"/>
      <c r="BF14" s="38"/>
      <c r="BG14" s="33"/>
      <c r="BI14" s="33"/>
      <c r="BJ14" s="38"/>
      <c r="BK14" s="33"/>
      <c r="BM14" s="33"/>
      <c r="BN14" s="38"/>
      <c r="BO14" s="33"/>
      <c r="BQ14" s="33"/>
      <c r="BR14" s="38"/>
      <c r="BS14" s="33"/>
    </row>
    <row r="15" spans="1:71" ht="15.75">
      <c r="A15" s="33"/>
      <c r="B15" s="38"/>
      <c r="C15" s="33"/>
      <c r="E15" s="33"/>
      <c r="F15" s="38"/>
      <c r="G15" s="33"/>
      <c r="I15" s="33"/>
      <c r="J15" s="38"/>
      <c r="K15" s="33"/>
      <c r="M15" s="33"/>
      <c r="N15" s="38"/>
      <c r="O15" s="33"/>
      <c r="Q15" s="33"/>
      <c r="R15" s="38"/>
      <c r="S15" s="33"/>
      <c r="U15" s="33"/>
      <c r="V15" s="38"/>
      <c r="W15" s="33"/>
      <c r="Y15" s="33"/>
      <c r="Z15" s="38"/>
      <c r="AA15" s="33"/>
      <c r="AC15" s="33"/>
      <c r="AD15" s="38"/>
      <c r="AE15" s="33"/>
      <c r="AG15" s="33"/>
      <c r="AH15" s="38"/>
      <c r="AI15" s="33"/>
      <c r="AK15" s="33"/>
      <c r="AL15" s="38"/>
      <c r="AM15" s="33"/>
      <c r="AO15" s="33"/>
      <c r="AP15" s="38"/>
      <c r="AQ15" s="33"/>
      <c r="AS15" s="33"/>
      <c r="AT15" s="38"/>
      <c r="AU15" s="33"/>
      <c r="AW15" s="33"/>
      <c r="AX15" s="38"/>
      <c r="AY15" s="33"/>
      <c r="BA15" s="33"/>
      <c r="BB15" s="38"/>
      <c r="BC15" s="33"/>
      <c r="BE15" s="33"/>
      <c r="BF15" s="38"/>
      <c r="BG15" s="33"/>
      <c r="BI15" s="33"/>
      <c r="BJ15" s="38"/>
      <c r="BK15" s="33"/>
      <c r="BM15" s="33"/>
      <c r="BN15" s="38"/>
      <c r="BO15" s="33"/>
      <c r="BQ15" s="33"/>
      <c r="BR15" s="38"/>
      <c r="BS15" s="33"/>
    </row>
    <row r="16" spans="1:71" ht="15.75">
      <c r="A16" s="33"/>
      <c r="B16" s="38"/>
      <c r="C16" s="33"/>
      <c r="E16" s="33"/>
      <c r="F16" s="38"/>
      <c r="G16" s="33"/>
      <c r="I16" s="33"/>
      <c r="J16" s="38"/>
      <c r="K16" s="33"/>
      <c r="M16" s="33"/>
      <c r="N16" s="38"/>
      <c r="O16" s="33"/>
      <c r="Q16" s="33"/>
      <c r="R16" s="38"/>
      <c r="S16" s="33"/>
      <c r="U16" s="33"/>
      <c r="V16" s="38"/>
      <c r="W16" s="33"/>
      <c r="Y16" s="33"/>
      <c r="Z16" s="38"/>
      <c r="AA16" s="33"/>
      <c r="AC16" s="33"/>
      <c r="AD16" s="38"/>
      <c r="AE16" s="33"/>
      <c r="AG16" s="33"/>
      <c r="AH16" s="38"/>
      <c r="AI16" s="33"/>
      <c r="AK16" s="33"/>
      <c r="AL16" s="38"/>
      <c r="AM16" s="33"/>
      <c r="AO16" s="33"/>
      <c r="AP16" s="38"/>
      <c r="AQ16" s="33"/>
      <c r="AS16" s="33"/>
      <c r="AT16" s="38"/>
      <c r="AU16" s="33"/>
      <c r="AW16" s="33"/>
      <c r="AX16" s="38"/>
      <c r="AY16" s="33"/>
      <c r="BA16" s="33"/>
      <c r="BB16" s="38"/>
      <c r="BC16" s="33"/>
      <c r="BE16" s="33"/>
      <c r="BF16" s="38"/>
      <c r="BG16" s="33"/>
      <c r="BI16" s="33"/>
      <c r="BJ16" s="38"/>
      <c r="BK16" s="33"/>
      <c r="BM16" s="33"/>
      <c r="BN16" s="38"/>
      <c r="BO16" s="33"/>
      <c r="BQ16" s="33"/>
      <c r="BR16" s="38"/>
      <c r="BS16" s="33"/>
    </row>
    <row r="17" spans="2:70" s="33" customFormat="1" ht="15.75">
      <c r="B17" s="38"/>
      <c r="F17" s="38"/>
      <c r="J17" s="38"/>
      <c r="N17" s="38"/>
      <c r="R17" s="38"/>
      <c r="V17" s="38"/>
      <c r="Z17" s="38"/>
      <c r="AD17" s="38"/>
      <c r="AH17" s="38"/>
      <c r="AL17" s="38"/>
      <c r="AP17" s="38"/>
      <c r="AT17" s="38"/>
      <c r="AX17" s="38"/>
      <c r="BB17" s="38"/>
      <c r="BF17" s="38"/>
      <c r="BJ17" s="38"/>
      <c r="BN17" s="38"/>
      <c r="BR17" s="38"/>
    </row>
    <row r="18" spans="2:70" s="33" customFormat="1" ht="15.75">
      <c r="B18" s="38"/>
      <c r="F18" s="38"/>
      <c r="J18" s="38"/>
      <c r="N18" s="38"/>
      <c r="R18" s="38"/>
      <c r="V18" s="38"/>
      <c r="Z18" s="38"/>
      <c r="AD18" s="38"/>
      <c r="AH18" s="38"/>
      <c r="AL18" s="38"/>
      <c r="AP18" s="38"/>
      <c r="AT18" s="38"/>
      <c r="AX18" s="38"/>
      <c r="BB18" s="38"/>
      <c r="BF18" s="38"/>
      <c r="BJ18" s="38"/>
      <c r="BN18" s="38"/>
      <c r="BR18" s="38"/>
    </row>
    <row r="19" spans="2:70" s="33" customFormat="1" ht="16.5" thickBot="1">
      <c r="B19" s="38"/>
      <c r="F19" s="38"/>
      <c r="J19" s="38"/>
      <c r="N19" s="38"/>
      <c r="R19" s="38"/>
      <c r="V19" s="38"/>
      <c r="Z19" s="38"/>
      <c r="AD19" s="38"/>
      <c r="AH19" s="38"/>
      <c r="AL19" s="38"/>
      <c r="AP19" s="38"/>
      <c r="AT19" s="38"/>
      <c r="AX19" s="38"/>
      <c r="BB19" s="38"/>
      <c r="BF19" s="38"/>
      <c r="BJ19" s="38"/>
      <c r="BN19" s="38"/>
      <c r="BR19" s="38"/>
    </row>
    <row r="20" spans="2:70" s="33" customFormat="1" ht="105.75" customHeight="1" thickBot="1">
      <c r="B20" s="146" t="s">
        <v>577</v>
      </c>
      <c r="C20" s="147"/>
      <c r="D20" s="147"/>
      <c r="E20" s="147"/>
      <c r="F20" s="147"/>
      <c r="G20" s="147"/>
      <c r="H20" s="147"/>
      <c r="I20" s="147"/>
      <c r="J20" s="148"/>
      <c r="N20" s="38"/>
      <c r="R20" s="38"/>
      <c r="V20" s="38"/>
      <c r="Z20" s="38"/>
      <c r="AD20" s="38"/>
      <c r="AH20" s="38"/>
      <c r="AL20" s="38"/>
      <c r="AP20" s="38"/>
      <c r="AT20" s="38"/>
      <c r="AX20" s="38"/>
      <c r="BB20" s="38"/>
      <c r="BF20" s="38"/>
      <c r="BJ20" s="38"/>
      <c r="BN20" s="38"/>
      <c r="BR20" s="38"/>
    </row>
    <row r="21" spans="2:70" s="33" customFormat="1" ht="15.75">
      <c r="B21" s="38"/>
      <c r="F21" s="38"/>
      <c r="J21" s="38"/>
      <c r="N21" s="38"/>
      <c r="R21" s="38"/>
      <c r="V21" s="38"/>
      <c r="Z21" s="38"/>
      <c r="AD21" s="38"/>
      <c r="AH21" s="38"/>
      <c r="AL21" s="38"/>
      <c r="AP21" s="38"/>
      <c r="AT21" s="38"/>
      <c r="AX21" s="38"/>
      <c r="BB21" s="38"/>
      <c r="BF21" s="38"/>
      <c r="BJ21" s="38"/>
      <c r="BN21" s="38"/>
      <c r="BR21" s="38"/>
    </row>
    <row r="22" spans="2:70" s="33" customFormat="1" ht="15.75">
      <c r="B22" s="38"/>
      <c r="D22" s="39"/>
      <c r="F22" s="38"/>
      <c r="J22" s="38"/>
      <c r="N22" s="38"/>
      <c r="R22" s="38"/>
      <c r="V22" s="38"/>
      <c r="Z22" s="38"/>
      <c r="AD22" s="38"/>
      <c r="AH22" s="38"/>
      <c r="AL22" s="38"/>
      <c r="AP22" s="38"/>
      <c r="AT22" s="38"/>
      <c r="AX22" s="38"/>
      <c r="BB22" s="38"/>
      <c r="BF22" s="38"/>
      <c r="BJ22" s="38"/>
      <c r="BN22" s="38"/>
      <c r="BR22" s="38"/>
    </row>
    <row r="23" spans="2:70" s="33" customFormat="1" ht="15.75">
      <c r="B23" s="38"/>
      <c r="F23" s="38"/>
      <c r="J23" s="38"/>
      <c r="N23" s="38"/>
      <c r="R23" s="38"/>
      <c r="V23" s="38"/>
      <c r="Z23" s="38"/>
      <c r="AD23" s="38"/>
      <c r="AH23" s="38"/>
      <c r="AL23" s="38"/>
      <c r="AP23" s="38"/>
      <c r="AT23" s="38"/>
      <c r="AX23" s="38"/>
      <c r="BB23" s="38"/>
      <c r="BF23" s="38"/>
      <c r="BJ23" s="38"/>
      <c r="BN23" s="38"/>
      <c r="BR23" s="38"/>
    </row>
    <row r="24" spans="2:70" s="33" customFormat="1" ht="15.75">
      <c r="B24" s="38"/>
      <c r="F24" s="38"/>
      <c r="J24" s="38"/>
      <c r="N24" s="38"/>
      <c r="R24" s="38"/>
      <c r="V24" s="38"/>
      <c r="Z24" s="38"/>
      <c r="AD24" s="38"/>
      <c r="AH24" s="38"/>
      <c r="AL24" s="38"/>
      <c r="AP24" s="38"/>
      <c r="AT24" s="38"/>
      <c r="AX24" s="38"/>
      <c r="BB24" s="38"/>
      <c r="BF24" s="38"/>
      <c r="BJ24" s="38"/>
      <c r="BN24" s="38"/>
      <c r="BR24" s="38"/>
    </row>
    <row r="25" spans="2:70" s="33" customFormat="1" ht="15.75">
      <c r="B25" s="38"/>
      <c r="F25" s="38"/>
      <c r="J25" s="38"/>
      <c r="N25" s="38"/>
      <c r="R25" s="38"/>
      <c r="V25" s="38"/>
      <c r="Z25" s="38"/>
      <c r="AD25" s="38"/>
      <c r="AH25" s="38"/>
      <c r="AL25" s="38"/>
      <c r="AP25" s="38"/>
      <c r="AT25" s="38"/>
      <c r="AX25" s="38"/>
      <c r="BB25" s="38"/>
      <c r="BF25" s="38"/>
      <c r="BJ25" s="38"/>
      <c r="BN25" s="38"/>
      <c r="BR25" s="38"/>
    </row>
    <row r="26" spans="2:70" s="33" customFormat="1" ht="15.75">
      <c r="B26" s="38"/>
      <c r="F26" s="38"/>
      <c r="J26" s="38"/>
      <c r="N26" s="38"/>
      <c r="R26" s="38"/>
      <c r="V26" s="38"/>
      <c r="Z26" s="38"/>
      <c r="AD26" s="38"/>
      <c r="AH26" s="38"/>
      <c r="AL26" s="38"/>
      <c r="AP26" s="38"/>
      <c r="AT26" s="38"/>
      <c r="AX26" s="38"/>
      <c r="BB26" s="38"/>
      <c r="BF26" s="38"/>
      <c r="BJ26" s="38"/>
      <c r="BN26" s="38"/>
      <c r="BR26" s="38"/>
    </row>
    <row r="27" spans="2:70" s="33" customFormat="1" ht="15.75">
      <c r="B27" s="38"/>
      <c r="F27" s="38"/>
      <c r="J27" s="38"/>
      <c r="N27" s="38"/>
      <c r="R27" s="38"/>
      <c r="V27" s="38"/>
      <c r="Z27" s="38"/>
      <c r="AD27" s="38"/>
      <c r="AH27" s="38"/>
      <c r="AL27" s="38"/>
      <c r="AP27" s="38"/>
      <c r="AT27" s="38"/>
      <c r="AX27" s="38"/>
      <c r="BB27" s="38"/>
      <c r="BF27" s="38"/>
      <c r="BJ27" s="38"/>
      <c r="BN27" s="38"/>
      <c r="BR27" s="38"/>
    </row>
    <row r="28" spans="2:70" s="33" customFormat="1" ht="15.75">
      <c r="B28" s="38"/>
      <c r="F28" s="38"/>
      <c r="J28" s="38"/>
      <c r="N28" s="38"/>
      <c r="R28" s="38"/>
      <c r="V28" s="38"/>
      <c r="Z28" s="38"/>
      <c r="AD28" s="38"/>
      <c r="AH28" s="38"/>
      <c r="AL28" s="38"/>
      <c r="AP28" s="38"/>
      <c r="AT28" s="38"/>
      <c r="AX28" s="38"/>
      <c r="BB28" s="38"/>
      <c r="BF28" s="38"/>
      <c r="BJ28" s="38"/>
      <c r="BN28" s="38"/>
      <c r="BR28" s="38"/>
    </row>
    <row r="29" spans="2:70" s="33" customFormat="1" ht="15.75">
      <c r="B29" s="38"/>
      <c r="F29" s="38"/>
      <c r="J29" s="38"/>
      <c r="N29" s="38"/>
      <c r="R29" s="38"/>
      <c r="V29" s="38"/>
      <c r="Z29" s="38"/>
      <c r="AD29" s="38"/>
      <c r="AH29" s="38"/>
      <c r="AL29" s="38"/>
      <c r="AP29" s="38"/>
      <c r="AT29" s="38"/>
      <c r="AX29" s="38"/>
      <c r="BB29" s="38"/>
      <c r="BF29" s="38"/>
      <c r="BJ29" s="38"/>
      <c r="BN29" s="38"/>
      <c r="BR29" s="38"/>
    </row>
    <row r="30" spans="2:70" s="33" customFormat="1" ht="15.75">
      <c r="B30" s="38"/>
      <c r="F30" s="38"/>
      <c r="J30" s="38"/>
      <c r="N30" s="38"/>
      <c r="R30" s="38"/>
      <c r="V30" s="38"/>
      <c r="Z30" s="38"/>
      <c r="AD30" s="38"/>
      <c r="AH30" s="38"/>
      <c r="AL30" s="38"/>
      <c r="AP30" s="38"/>
      <c r="AT30" s="38"/>
      <c r="AX30" s="38"/>
      <c r="BB30" s="38"/>
      <c r="BF30" s="38"/>
      <c r="BJ30" s="38"/>
      <c r="BN30" s="38"/>
      <c r="BR30" s="38"/>
    </row>
    <row r="31" spans="2:70" s="33" customFormat="1" ht="15.75">
      <c r="B31" s="38"/>
      <c r="F31" s="38"/>
      <c r="J31" s="38"/>
      <c r="N31" s="38"/>
      <c r="R31" s="38"/>
      <c r="V31" s="38"/>
      <c r="Z31" s="38"/>
      <c r="AD31" s="38"/>
      <c r="AH31" s="38"/>
      <c r="AL31" s="38"/>
      <c r="AP31" s="38"/>
      <c r="AT31" s="38"/>
      <c r="AX31" s="38"/>
      <c r="BB31" s="38"/>
      <c r="BF31" s="38"/>
      <c r="BJ31" s="38"/>
      <c r="BN31" s="38"/>
      <c r="BR31" s="38"/>
    </row>
    <row r="32" spans="2:70" s="33" customFormat="1" ht="15.75">
      <c r="B32" s="38"/>
      <c r="F32" s="38"/>
      <c r="J32" s="38"/>
      <c r="N32" s="38"/>
      <c r="R32" s="38"/>
      <c r="V32" s="38"/>
      <c r="Z32" s="38"/>
      <c r="AD32" s="38"/>
      <c r="AH32" s="38"/>
      <c r="AL32" s="38"/>
      <c r="AP32" s="38"/>
      <c r="AT32" s="38"/>
      <c r="AX32" s="38"/>
      <c r="BB32" s="38"/>
      <c r="BF32" s="38"/>
      <c r="BJ32" s="38"/>
      <c r="BN32" s="38"/>
      <c r="BR32" s="38"/>
    </row>
    <row r="33" spans="2:70" s="33" customFormat="1" ht="15.75">
      <c r="B33" s="38"/>
      <c r="F33" s="38"/>
      <c r="J33" s="38"/>
      <c r="N33" s="38"/>
      <c r="R33" s="38"/>
      <c r="V33" s="38"/>
      <c r="Z33" s="38"/>
      <c r="AD33" s="38"/>
      <c r="AH33" s="38"/>
      <c r="AL33" s="38"/>
      <c r="AP33" s="38"/>
      <c r="AT33" s="38"/>
      <c r="AX33" s="38"/>
      <c r="BB33" s="38"/>
      <c r="BF33" s="38"/>
      <c r="BJ33" s="38"/>
      <c r="BN33" s="38"/>
      <c r="BR33" s="38"/>
    </row>
    <row r="34" spans="2:70" s="33" customFormat="1" ht="15.75">
      <c r="B34" s="38"/>
      <c r="F34" s="38"/>
      <c r="J34" s="38"/>
      <c r="N34" s="38"/>
      <c r="R34" s="38"/>
      <c r="V34" s="38"/>
      <c r="Z34" s="38"/>
      <c r="AD34" s="38"/>
      <c r="AH34" s="38"/>
      <c r="AL34" s="38"/>
      <c r="AP34" s="38"/>
      <c r="AT34" s="38"/>
      <c r="AX34" s="38"/>
      <c r="BB34" s="38"/>
      <c r="BF34" s="38"/>
      <c r="BJ34" s="38"/>
      <c r="BN34" s="38"/>
      <c r="BR34" s="38"/>
    </row>
    <row r="35" spans="2:70" s="33" customFormat="1" ht="15.75">
      <c r="B35" s="38"/>
      <c r="F35" s="38"/>
      <c r="J35" s="38"/>
      <c r="N35" s="38"/>
      <c r="R35" s="38"/>
      <c r="V35" s="38"/>
      <c r="Z35" s="38"/>
      <c r="AD35" s="38"/>
      <c r="AH35" s="38"/>
      <c r="AL35" s="38"/>
      <c r="AP35" s="38"/>
      <c r="AT35" s="38"/>
      <c r="AX35" s="38"/>
      <c r="BB35" s="38"/>
      <c r="BF35" s="38"/>
      <c r="BJ35" s="38"/>
      <c r="BN35" s="38"/>
      <c r="BR35" s="38"/>
    </row>
    <row r="36" spans="2:70" s="33" customFormat="1" ht="15.75">
      <c r="B36" s="38"/>
      <c r="F36" s="38"/>
      <c r="J36" s="38"/>
      <c r="N36" s="38"/>
      <c r="R36" s="38"/>
      <c r="V36" s="38"/>
      <c r="Z36" s="38"/>
      <c r="AD36" s="38"/>
      <c r="AH36" s="38"/>
      <c r="AL36" s="38"/>
      <c r="AP36" s="38"/>
      <c r="AT36" s="38"/>
      <c r="AX36" s="38"/>
      <c r="BB36" s="38"/>
      <c r="BF36" s="38"/>
      <c r="BJ36" s="38"/>
      <c r="BN36" s="38"/>
      <c r="BR36" s="38"/>
    </row>
    <row r="37" spans="2:70" s="33" customFormat="1" ht="15.75">
      <c r="B37" s="38"/>
      <c r="F37" s="38"/>
      <c r="J37" s="38"/>
      <c r="N37" s="38"/>
      <c r="R37" s="38"/>
      <c r="V37" s="38"/>
      <c r="Z37" s="38"/>
      <c r="AD37" s="38"/>
      <c r="AH37" s="38"/>
      <c r="AL37" s="38"/>
      <c r="AP37" s="38"/>
      <c r="AT37" s="38"/>
      <c r="AX37" s="38"/>
      <c r="BB37" s="38"/>
      <c r="BF37" s="38"/>
      <c r="BJ37" s="38"/>
      <c r="BN37" s="38"/>
      <c r="BR37" s="38"/>
    </row>
    <row r="38" spans="2:70" s="33" customFormat="1" ht="15.75">
      <c r="B38" s="38"/>
      <c r="F38" s="38"/>
      <c r="J38" s="38"/>
      <c r="N38" s="38"/>
      <c r="R38" s="38"/>
      <c r="V38" s="38"/>
      <c r="Z38" s="38"/>
      <c r="AD38" s="38"/>
      <c r="AH38" s="38"/>
      <c r="AL38" s="38"/>
      <c r="AP38" s="38"/>
      <c r="AT38" s="38"/>
      <c r="AX38" s="38"/>
      <c r="BB38" s="38"/>
      <c r="BF38" s="38"/>
      <c r="BJ38" s="38"/>
      <c r="BN38" s="38"/>
      <c r="BR38" s="38"/>
    </row>
    <row r="39" spans="2:70" s="33" customFormat="1" ht="15.75">
      <c r="B39" s="38"/>
      <c r="F39" s="38"/>
      <c r="J39" s="38"/>
      <c r="N39" s="38"/>
      <c r="R39" s="38"/>
      <c r="V39" s="38"/>
      <c r="Z39" s="38"/>
      <c r="AD39" s="38"/>
      <c r="AH39" s="38"/>
      <c r="AL39" s="38"/>
      <c r="AP39" s="38"/>
      <c r="AT39" s="38"/>
      <c r="AX39" s="38"/>
      <c r="BB39" s="38"/>
      <c r="BF39" s="38"/>
      <c r="BJ39" s="38"/>
      <c r="BN39" s="38"/>
      <c r="BR39" s="38"/>
    </row>
    <row r="40" spans="2:70" s="33" customFormat="1" ht="15.75">
      <c r="B40" s="38"/>
      <c r="F40" s="38"/>
      <c r="J40" s="38"/>
      <c r="N40" s="38"/>
      <c r="R40" s="38"/>
      <c r="V40" s="38"/>
      <c r="Z40" s="38"/>
      <c r="AD40" s="38"/>
      <c r="AH40" s="38"/>
      <c r="AL40" s="38"/>
      <c r="AP40" s="38"/>
      <c r="AT40" s="38"/>
      <c r="AX40" s="38"/>
      <c r="BB40" s="38"/>
      <c r="BF40" s="38"/>
      <c r="BJ40" s="38"/>
      <c r="BN40" s="38"/>
      <c r="BR40" s="38"/>
    </row>
    <row r="41" spans="2:70" s="33" customFormat="1" ht="15.75">
      <c r="B41" s="38"/>
      <c r="F41" s="38"/>
      <c r="J41" s="38"/>
      <c r="N41" s="38"/>
      <c r="R41" s="38"/>
      <c r="V41" s="38"/>
      <c r="Z41" s="38"/>
      <c r="AD41" s="38"/>
      <c r="AH41" s="38"/>
      <c r="AL41" s="38"/>
      <c r="AP41" s="38"/>
      <c r="AT41" s="38"/>
      <c r="AX41" s="38"/>
      <c r="BB41" s="38"/>
      <c r="BF41" s="38"/>
      <c r="BJ41" s="38"/>
      <c r="BN41" s="38"/>
      <c r="BR41" s="38"/>
    </row>
    <row r="42" spans="2:70" s="33" customFormat="1" ht="15.75">
      <c r="B42" s="38"/>
      <c r="F42" s="38"/>
      <c r="J42" s="38"/>
      <c r="N42" s="38"/>
      <c r="R42" s="38"/>
      <c r="V42" s="38"/>
      <c r="Z42" s="38"/>
      <c r="AD42" s="38"/>
      <c r="AH42" s="38"/>
      <c r="AL42" s="38"/>
      <c r="AP42" s="38"/>
      <c r="AT42" s="38"/>
      <c r="AX42" s="38"/>
      <c r="BB42" s="38"/>
      <c r="BF42" s="38"/>
      <c r="BJ42" s="38"/>
      <c r="BN42" s="38"/>
      <c r="BR42" s="38"/>
    </row>
    <row r="43" spans="2:70" s="33" customFormat="1" ht="15.75">
      <c r="B43" s="38"/>
      <c r="F43" s="38"/>
      <c r="J43" s="38"/>
      <c r="N43" s="38"/>
      <c r="R43" s="38"/>
      <c r="V43" s="38"/>
      <c r="Z43" s="38"/>
      <c r="AD43" s="38"/>
      <c r="AH43" s="38"/>
      <c r="AL43" s="38"/>
      <c r="AP43" s="38"/>
      <c r="AT43" s="38"/>
      <c r="AX43" s="38"/>
      <c r="BB43" s="38"/>
      <c r="BF43" s="38"/>
      <c r="BJ43" s="38"/>
      <c r="BN43" s="38"/>
      <c r="BR43" s="38"/>
    </row>
    <row r="44" spans="2:70" s="33" customFormat="1" ht="15.75">
      <c r="B44" s="38"/>
      <c r="F44" s="38"/>
      <c r="J44" s="38"/>
      <c r="N44" s="38"/>
      <c r="R44" s="38"/>
      <c r="V44" s="38"/>
      <c r="Z44" s="38"/>
      <c r="AD44" s="38"/>
      <c r="AH44" s="38"/>
      <c r="AL44" s="38"/>
      <c r="AP44" s="38"/>
      <c r="AT44" s="38"/>
      <c r="AX44" s="38"/>
      <c r="BB44" s="38"/>
      <c r="BF44" s="38"/>
      <c r="BJ44" s="38"/>
      <c r="BN44" s="38"/>
      <c r="BR44" s="38"/>
    </row>
    <row r="45" spans="2:70" s="33" customFormat="1" ht="15.75">
      <c r="B45" s="38"/>
      <c r="F45" s="38"/>
      <c r="J45" s="38"/>
      <c r="N45" s="38"/>
      <c r="R45" s="38"/>
      <c r="V45" s="38"/>
      <c r="Z45" s="38"/>
      <c r="AD45" s="38"/>
      <c r="AH45" s="38"/>
      <c r="AL45" s="38"/>
      <c r="AP45" s="38"/>
      <c r="AT45" s="38"/>
      <c r="AX45" s="38"/>
      <c r="BB45" s="38"/>
      <c r="BF45" s="38"/>
      <c r="BJ45" s="38"/>
      <c r="BN45" s="38"/>
      <c r="BR45" s="38"/>
    </row>
    <row r="46" spans="2:70" s="33" customFormat="1" ht="15.75">
      <c r="B46" s="38"/>
      <c r="F46" s="38"/>
      <c r="J46" s="38"/>
      <c r="N46" s="38"/>
      <c r="R46" s="38"/>
      <c r="V46" s="38"/>
      <c r="Z46" s="38"/>
      <c r="AD46" s="38"/>
      <c r="AH46" s="38"/>
      <c r="AL46" s="38"/>
      <c r="AP46" s="38"/>
      <c r="AT46" s="38"/>
      <c r="AX46" s="38"/>
      <c r="BB46" s="38"/>
      <c r="BF46" s="38"/>
      <c r="BJ46" s="38"/>
      <c r="BN46" s="38"/>
      <c r="BR46" s="38"/>
    </row>
    <row r="47" spans="2:70" s="33" customFormat="1" ht="15.75">
      <c r="B47" s="38"/>
      <c r="F47" s="38"/>
      <c r="J47" s="38"/>
      <c r="N47" s="38"/>
      <c r="R47" s="38"/>
      <c r="V47" s="38"/>
      <c r="Z47" s="38"/>
      <c r="AD47" s="38"/>
      <c r="AH47" s="38"/>
      <c r="AL47" s="38"/>
      <c r="AP47" s="38"/>
      <c r="AT47" s="38"/>
      <c r="AX47" s="38"/>
      <c r="BB47" s="38"/>
      <c r="BF47" s="38"/>
      <c r="BJ47" s="38"/>
      <c r="BN47" s="38"/>
      <c r="BR47" s="38"/>
    </row>
    <row r="48" spans="2:70" s="33" customFormat="1" ht="15.75">
      <c r="B48" s="38"/>
      <c r="F48" s="38"/>
      <c r="J48" s="38"/>
      <c r="N48" s="38"/>
      <c r="R48" s="38"/>
      <c r="V48" s="38"/>
      <c r="Z48" s="38"/>
      <c r="AD48" s="38"/>
      <c r="AH48" s="38"/>
      <c r="AL48" s="38"/>
      <c r="AP48" s="38"/>
      <c r="AT48" s="38"/>
      <c r="AX48" s="38"/>
      <c r="BB48" s="38"/>
      <c r="BF48" s="38"/>
      <c r="BJ48" s="38"/>
      <c r="BN48" s="38"/>
      <c r="BR48" s="38"/>
    </row>
    <row r="49" spans="2:70" s="33" customFormat="1" ht="15.75">
      <c r="B49" s="38"/>
      <c r="F49" s="38"/>
      <c r="J49" s="38"/>
      <c r="N49" s="38"/>
      <c r="R49" s="38"/>
      <c r="V49" s="38"/>
      <c r="Z49" s="38"/>
      <c r="AD49" s="38"/>
      <c r="AH49" s="38"/>
      <c r="AL49" s="38"/>
      <c r="AP49" s="38"/>
      <c r="AT49" s="38"/>
      <c r="AX49" s="38"/>
      <c r="BB49" s="38"/>
      <c r="BF49" s="38"/>
      <c r="BJ49" s="38"/>
      <c r="BN49" s="38"/>
      <c r="BR49" s="38"/>
    </row>
    <row r="50" spans="2:70" s="33" customFormat="1" ht="15.75">
      <c r="B50" s="38"/>
      <c r="F50" s="38"/>
      <c r="J50" s="38"/>
      <c r="N50" s="38"/>
      <c r="R50" s="38"/>
      <c r="V50" s="38"/>
      <c r="Z50" s="38"/>
      <c r="AD50" s="38"/>
      <c r="AH50" s="38"/>
      <c r="AL50" s="38"/>
      <c r="AP50" s="38"/>
      <c r="AT50" s="38"/>
      <c r="AX50" s="38"/>
      <c r="BB50" s="38"/>
      <c r="BF50" s="38"/>
      <c r="BJ50" s="38"/>
      <c r="BN50" s="38"/>
      <c r="BR50" s="38"/>
    </row>
    <row r="51" spans="2:70" s="33" customFormat="1" ht="15.75">
      <c r="B51" s="38"/>
      <c r="F51" s="38"/>
      <c r="J51" s="38"/>
      <c r="N51" s="38"/>
      <c r="R51" s="38"/>
      <c r="V51" s="38"/>
      <c r="Z51" s="38"/>
      <c r="AD51" s="38"/>
      <c r="AH51" s="38"/>
      <c r="AL51" s="38"/>
      <c r="AP51" s="38"/>
      <c r="AT51" s="38"/>
      <c r="AX51" s="38"/>
      <c r="BB51" s="38"/>
      <c r="BF51" s="38"/>
      <c r="BJ51" s="38"/>
      <c r="BN51" s="38"/>
      <c r="BR51" s="38"/>
    </row>
    <row r="52" spans="2:70" s="33" customFormat="1" ht="15.75">
      <c r="B52" s="38"/>
      <c r="F52" s="38"/>
      <c r="J52" s="38"/>
      <c r="N52" s="38"/>
      <c r="R52" s="38"/>
      <c r="V52" s="38"/>
      <c r="Z52" s="38"/>
      <c r="AD52" s="38"/>
      <c r="AH52" s="38"/>
      <c r="AL52" s="38"/>
      <c r="AP52" s="38"/>
      <c r="AT52" s="38"/>
      <c r="AX52" s="38"/>
      <c r="BB52" s="38"/>
      <c r="BF52" s="38"/>
      <c r="BJ52" s="38"/>
      <c r="BN52" s="38"/>
      <c r="BR52" s="38"/>
    </row>
    <row r="53" spans="2:70" s="33" customFormat="1" ht="15.75">
      <c r="B53" s="38"/>
      <c r="F53" s="38"/>
      <c r="J53" s="38"/>
      <c r="N53" s="38"/>
      <c r="R53" s="38"/>
      <c r="V53" s="38"/>
      <c r="Z53" s="38"/>
      <c r="AD53" s="38"/>
      <c r="AH53" s="38"/>
      <c r="AL53" s="38"/>
      <c r="AP53" s="38"/>
      <c r="AT53" s="38"/>
      <c r="AX53" s="38"/>
      <c r="BB53" s="38"/>
      <c r="BF53" s="38"/>
      <c r="BJ53" s="38"/>
      <c r="BN53" s="38"/>
      <c r="BR53" s="38"/>
    </row>
    <row r="54" spans="2:70" s="33" customFormat="1" ht="15.75">
      <c r="B54" s="38"/>
      <c r="F54" s="38"/>
      <c r="J54" s="38"/>
      <c r="N54" s="38"/>
      <c r="R54" s="38"/>
      <c r="V54" s="38"/>
      <c r="Z54" s="38"/>
      <c r="AD54" s="38"/>
      <c r="AH54" s="38"/>
      <c r="AL54" s="38"/>
      <c r="AP54" s="38"/>
      <c r="AT54" s="38"/>
      <c r="AX54" s="38"/>
      <c r="BB54" s="38"/>
      <c r="BF54" s="38"/>
      <c r="BJ54" s="38"/>
      <c r="BN54" s="38"/>
      <c r="BR54" s="38"/>
    </row>
    <row r="55" spans="2:70" s="33" customFormat="1" ht="15.75">
      <c r="B55" s="38"/>
      <c r="F55" s="38"/>
      <c r="J55" s="38"/>
      <c r="N55" s="38"/>
      <c r="R55" s="38"/>
      <c r="V55" s="38"/>
      <c r="Z55" s="38"/>
      <c r="AD55" s="38"/>
      <c r="AH55" s="38"/>
      <c r="AL55" s="38"/>
      <c r="AP55" s="38"/>
      <c r="AT55" s="38"/>
      <c r="AX55" s="38"/>
      <c r="BB55" s="38"/>
      <c r="BF55" s="38"/>
      <c r="BJ55" s="38"/>
      <c r="BN55" s="38"/>
      <c r="BR55" s="38"/>
    </row>
    <row r="56" spans="2:70" s="33" customFormat="1" ht="15.75">
      <c r="B56" s="38"/>
      <c r="F56" s="38"/>
      <c r="J56" s="38"/>
      <c r="N56" s="38"/>
      <c r="R56" s="38"/>
      <c r="V56" s="38"/>
      <c r="Z56" s="38"/>
      <c r="AD56" s="38"/>
      <c r="AH56" s="38"/>
      <c r="AL56" s="38"/>
      <c r="AP56" s="38"/>
      <c r="AT56" s="38"/>
      <c r="AX56" s="38"/>
      <c r="BB56" s="38"/>
      <c r="BF56" s="38"/>
      <c r="BJ56" s="38"/>
      <c r="BN56" s="38"/>
      <c r="BR56" s="38"/>
    </row>
    <row r="57" spans="2:70" s="33" customFormat="1" ht="15.75">
      <c r="B57" s="38"/>
      <c r="F57" s="38"/>
      <c r="J57" s="38"/>
      <c r="N57" s="38"/>
      <c r="R57" s="38"/>
      <c r="V57" s="38"/>
      <c r="Z57" s="38"/>
      <c r="AD57" s="38"/>
      <c r="AH57" s="38"/>
      <c r="AL57" s="38"/>
      <c r="AP57" s="38"/>
      <c r="AT57" s="38"/>
      <c r="AX57" s="38"/>
      <c r="BB57" s="38"/>
      <c r="BF57" s="38"/>
      <c r="BJ57" s="38"/>
      <c r="BN57" s="38"/>
      <c r="BR57" s="38"/>
    </row>
    <row r="58" spans="2:70" s="33" customFormat="1" ht="15.75">
      <c r="B58" s="38"/>
      <c r="F58" s="38"/>
      <c r="J58" s="38"/>
      <c r="N58" s="38"/>
      <c r="R58" s="38"/>
      <c r="V58" s="38"/>
      <c r="Z58" s="38"/>
      <c r="AD58" s="38"/>
      <c r="AH58" s="38"/>
      <c r="AL58" s="38"/>
      <c r="AP58" s="38"/>
      <c r="AT58" s="38"/>
      <c r="AX58" s="38"/>
      <c r="BB58" s="38"/>
      <c r="BF58" s="38"/>
      <c r="BJ58" s="38"/>
      <c r="BN58" s="38"/>
      <c r="BR58" s="38"/>
    </row>
    <row r="59" spans="2:70" s="33" customFormat="1" ht="15.75">
      <c r="B59" s="38"/>
      <c r="F59" s="38"/>
      <c r="J59" s="38"/>
      <c r="N59" s="38"/>
      <c r="R59" s="38"/>
      <c r="V59" s="38"/>
      <c r="Z59" s="38"/>
      <c r="AD59" s="38"/>
      <c r="AH59" s="38"/>
      <c r="AL59" s="38"/>
      <c r="AP59" s="38"/>
      <c r="AT59" s="38"/>
      <c r="AX59" s="38"/>
      <c r="BB59" s="38"/>
      <c r="BF59" s="38"/>
      <c r="BJ59" s="38"/>
      <c r="BN59" s="38"/>
      <c r="BR59" s="38"/>
    </row>
    <row r="60" spans="2:70" s="33" customFormat="1" ht="15.75">
      <c r="B60" s="38"/>
      <c r="F60" s="38"/>
      <c r="J60" s="38"/>
      <c r="N60" s="38"/>
      <c r="R60" s="38"/>
      <c r="V60" s="38"/>
      <c r="Z60" s="38"/>
      <c r="AD60" s="38"/>
      <c r="AH60" s="38"/>
      <c r="AL60" s="38"/>
      <c r="AP60" s="38"/>
      <c r="AT60" s="38"/>
      <c r="AX60" s="38"/>
      <c r="BB60" s="38"/>
      <c r="BF60" s="38"/>
      <c r="BJ60" s="38"/>
      <c r="BN60" s="38"/>
      <c r="BR60" s="38"/>
    </row>
    <row r="61" spans="2:70" s="33" customFormat="1" ht="15.75">
      <c r="B61" s="38"/>
      <c r="F61" s="38"/>
      <c r="J61" s="38"/>
      <c r="N61" s="38"/>
      <c r="R61" s="38"/>
      <c r="V61" s="38"/>
      <c r="Z61" s="38"/>
      <c r="AD61" s="38"/>
      <c r="AH61" s="38"/>
      <c r="AL61" s="38"/>
      <c r="AP61" s="38"/>
      <c r="AT61" s="38"/>
      <c r="AX61" s="38"/>
      <c r="BB61" s="38"/>
      <c r="BF61" s="38"/>
      <c r="BJ61" s="38"/>
      <c r="BN61" s="38"/>
      <c r="BR61" s="38"/>
    </row>
    <row r="62" spans="2:70" s="33" customFormat="1" ht="15.75">
      <c r="B62" s="38"/>
      <c r="F62" s="38"/>
      <c r="J62" s="38"/>
      <c r="N62" s="38"/>
      <c r="R62" s="38"/>
      <c r="V62" s="38"/>
      <c r="Z62" s="38"/>
      <c r="AD62" s="38"/>
      <c r="AH62" s="38"/>
      <c r="AL62" s="38"/>
      <c r="AP62" s="38"/>
      <c r="AT62" s="38"/>
      <c r="AX62" s="38"/>
      <c r="BB62" s="38"/>
      <c r="BF62" s="38"/>
      <c r="BJ62" s="38"/>
      <c r="BN62" s="38"/>
      <c r="BR62" s="38"/>
    </row>
    <row r="63" spans="2:70" s="33" customFormat="1" ht="15.75">
      <c r="B63" s="38"/>
      <c r="F63" s="38"/>
      <c r="J63" s="38"/>
      <c r="N63" s="38"/>
      <c r="R63" s="38"/>
      <c r="V63" s="38"/>
      <c r="Z63" s="38"/>
      <c r="AD63" s="38"/>
      <c r="AH63" s="38"/>
      <c r="AL63" s="38"/>
      <c r="AP63" s="38"/>
      <c r="AT63" s="38"/>
      <c r="AX63" s="38"/>
      <c r="BB63" s="38"/>
      <c r="BF63" s="38"/>
      <c r="BJ63" s="38"/>
      <c r="BN63" s="38"/>
      <c r="BR63" s="38"/>
    </row>
    <row r="64" spans="2:70" s="33" customFormat="1" ht="15.75">
      <c r="B64" s="38"/>
      <c r="F64" s="38"/>
      <c r="J64" s="38"/>
      <c r="N64" s="38"/>
      <c r="R64" s="38"/>
      <c r="V64" s="38"/>
      <c r="Z64" s="38"/>
      <c r="AD64" s="38"/>
      <c r="AH64" s="38"/>
      <c r="AL64" s="38"/>
      <c r="AP64" s="38"/>
      <c r="AT64" s="38"/>
      <c r="AX64" s="38"/>
      <c r="BB64" s="38"/>
      <c r="BF64" s="38"/>
      <c r="BJ64" s="38"/>
      <c r="BN64" s="38"/>
      <c r="BR64" s="38"/>
    </row>
    <row r="65" spans="2:70" s="33" customFormat="1" ht="15.75">
      <c r="B65" s="38"/>
      <c r="F65" s="38"/>
      <c r="J65" s="38"/>
      <c r="N65" s="38"/>
      <c r="R65" s="38"/>
      <c r="V65" s="38"/>
      <c r="Z65" s="38"/>
      <c r="AD65" s="38"/>
      <c r="AH65" s="38"/>
      <c r="AL65" s="38"/>
      <c r="AP65" s="38"/>
      <c r="AT65" s="38"/>
      <c r="AX65" s="38"/>
      <c r="BB65" s="38"/>
      <c r="BF65" s="38"/>
      <c r="BJ65" s="38"/>
      <c r="BN65" s="38"/>
      <c r="BR65" s="38"/>
    </row>
    <row r="66" spans="2:70" s="33" customFormat="1" ht="15.75">
      <c r="B66" s="38"/>
      <c r="F66" s="38"/>
      <c r="J66" s="38"/>
      <c r="N66" s="38"/>
      <c r="R66" s="38"/>
      <c r="V66" s="38"/>
      <c r="Z66" s="38"/>
      <c r="AD66" s="38"/>
      <c r="AH66" s="38"/>
      <c r="AL66" s="38"/>
      <c r="AP66" s="38"/>
      <c r="AT66" s="38"/>
      <c r="AX66" s="38"/>
      <c r="BB66" s="38"/>
      <c r="BF66" s="38"/>
      <c r="BJ66" s="38"/>
      <c r="BN66" s="38"/>
      <c r="BR66" s="38"/>
    </row>
    <row r="67" spans="2:70" s="33" customFormat="1" ht="15.75">
      <c r="B67" s="38"/>
      <c r="F67" s="38"/>
      <c r="J67" s="38"/>
      <c r="N67" s="38"/>
      <c r="R67" s="38"/>
      <c r="V67" s="38"/>
      <c r="Z67" s="38"/>
      <c r="AD67" s="38"/>
      <c r="AH67" s="38"/>
      <c r="AL67" s="38"/>
      <c r="AP67" s="38"/>
      <c r="AT67" s="38"/>
      <c r="AX67" s="38"/>
      <c r="BB67" s="38"/>
      <c r="BF67" s="38"/>
      <c r="BJ67" s="38"/>
      <c r="BN67" s="38"/>
      <c r="BR67" s="38"/>
    </row>
    <row r="68" spans="2:70" s="33" customFormat="1" ht="15.75">
      <c r="B68" s="38"/>
      <c r="F68" s="38"/>
      <c r="J68" s="38"/>
      <c r="N68" s="38"/>
      <c r="R68" s="38"/>
      <c r="V68" s="38"/>
      <c r="Z68" s="38"/>
      <c r="AD68" s="38"/>
      <c r="AH68" s="38"/>
      <c r="AL68" s="38"/>
      <c r="AP68" s="38"/>
      <c r="AT68" s="38"/>
      <c r="AX68" s="38"/>
      <c r="BB68" s="38"/>
      <c r="BF68" s="38"/>
      <c r="BJ68" s="38"/>
      <c r="BN68" s="38"/>
      <c r="BR68" s="38"/>
    </row>
    <row r="69" spans="2:70" s="33" customFormat="1" ht="15.75">
      <c r="B69" s="38"/>
      <c r="F69" s="38"/>
      <c r="J69" s="38"/>
      <c r="N69" s="38"/>
      <c r="R69" s="38"/>
      <c r="V69" s="38"/>
      <c r="Z69" s="38"/>
      <c r="AD69" s="38"/>
      <c r="AH69" s="38"/>
      <c r="AL69" s="38"/>
      <c r="AP69" s="38"/>
      <c r="AT69" s="38"/>
      <c r="AX69" s="38"/>
      <c r="BB69" s="38"/>
      <c r="BF69" s="38"/>
      <c r="BJ69" s="38"/>
      <c r="BN69" s="38"/>
      <c r="BR69" s="38"/>
    </row>
    <row r="70" spans="2:70" s="33" customFormat="1" ht="15.75">
      <c r="B70" s="38"/>
      <c r="F70" s="38"/>
      <c r="J70" s="38"/>
      <c r="N70" s="38"/>
      <c r="R70" s="38"/>
      <c r="V70" s="38"/>
      <c r="Z70" s="38"/>
      <c r="AD70" s="38"/>
      <c r="AH70" s="38"/>
      <c r="AL70" s="38"/>
      <c r="AP70" s="38"/>
      <c r="AT70" s="38"/>
      <c r="AX70" s="38"/>
      <c r="BB70" s="38"/>
      <c r="BF70" s="38"/>
      <c r="BJ70" s="38"/>
      <c r="BN70" s="38"/>
      <c r="BR70" s="38"/>
    </row>
    <row r="71" spans="2:70" s="33" customFormat="1" ht="15.75">
      <c r="B71" s="38"/>
      <c r="F71" s="38"/>
      <c r="J71" s="38"/>
      <c r="N71" s="38"/>
      <c r="R71" s="38"/>
      <c r="V71" s="38"/>
      <c r="Z71" s="38"/>
      <c r="AD71" s="38"/>
      <c r="AH71" s="38"/>
      <c r="AL71" s="38"/>
      <c r="AP71" s="38"/>
      <c r="AT71" s="38"/>
      <c r="AX71" s="38"/>
      <c r="BB71" s="38"/>
      <c r="BF71" s="38"/>
      <c r="BJ71" s="38"/>
      <c r="BN71" s="38"/>
      <c r="BR71" s="38"/>
    </row>
    <row r="72" spans="2:70" s="33" customFormat="1" ht="15.75">
      <c r="B72" s="38"/>
      <c r="F72" s="38"/>
      <c r="J72" s="38"/>
      <c r="N72" s="38"/>
      <c r="R72" s="38"/>
      <c r="V72" s="38"/>
      <c r="Z72" s="38"/>
      <c r="AD72" s="38"/>
      <c r="AH72" s="38"/>
      <c r="AL72" s="38"/>
      <c r="AP72" s="38"/>
      <c r="AT72" s="38"/>
      <c r="AX72" s="38"/>
      <c r="BB72" s="38"/>
      <c r="BF72" s="38"/>
      <c r="BJ72" s="38"/>
      <c r="BN72" s="38"/>
      <c r="BR72" s="38"/>
    </row>
    <row r="73" spans="2:70" s="33" customFormat="1" ht="15.75">
      <c r="B73" s="38"/>
      <c r="F73" s="38"/>
      <c r="J73" s="38"/>
      <c r="N73" s="38"/>
      <c r="R73" s="38"/>
      <c r="V73" s="38"/>
      <c r="Z73" s="38"/>
      <c r="AD73" s="38"/>
      <c r="AH73" s="38"/>
      <c r="AL73" s="38"/>
      <c r="AP73" s="38"/>
      <c r="AT73" s="38"/>
      <c r="AX73" s="38"/>
      <c r="BB73" s="38"/>
      <c r="BF73" s="38"/>
      <c r="BJ73" s="38"/>
      <c r="BN73" s="38"/>
      <c r="BR73" s="38"/>
    </row>
    <row r="74" spans="2:70" s="33" customFormat="1" ht="15.75">
      <c r="B74" s="38"/>
      <c r="F74" s="38"/>
      <c r="J74" s="38"/>
      <c r="N74" s="38"/>
      <c r="R74" s="38"/>
      <c r="V74" s="38"/>
      <c r="Z74" s="38"/>
      <c r="AD74" s="38"/>
      <c r="AH74" s="38"/>
      <c r="AL74" s="38"/>
      <c r="AP74" s="38"/>
      <c r="AT74" s="38"/>
      <c r="AX74" s="38"/>
      <c r="BB74" s="38"/>
      <c r="BF74" s="38"/>
      <c r="BJ74" s="38"/>
      <c r="BN74" s="38"/>
      <c r="BR74" s="38"/>
    </row>
    <row r="75" spans="2:70" s="33" customFormat="1" ht="15.75">
      <c r="B75" s="38"/>
      <c r="F75" s="38"/>
      <c r="J75" s="38"/>
      <c r="N75" s="38"/>
      <c r="R75" s="38"/>
      <c r="V75" s="38"/>
      <c r="Z75" s="38"/>
      <c r="AD75" s="38"/>
      <c r="AH75" s="38"/>
      <c r="AL75" s="38"/>
      <c r="AP75" s="38"/>
      <c r="AT75" s="38"/>
      <c r="AX75" s="38"/>
      <c r="BB75" s="38"/>
      <c r="BF75" s="38"/>
      <c r="BJ75" s="38"/>
      <c r="BN75" s="38"/>
      <c r="BR75" s="38"/>
    </row>
    <row r="76" spans="2:70" s="33" customFormat="1" ht="15.75">
      <c r="B76" s="38"/>
      <c r="F76" s="38"/>
      <c r="J76" s="38"/>
      <c r="N76" s="38"/>
      <c r="R76" s="38"/>
      <c r="V76" s="38"/>
      <c r="Z76" s="38"/>
      <c r="AD76" s="38"/>
      <c r="AH76" s="38"/>
      <c r="AL76" s="38"/>
      <c r="AP76" s="38"/>
      <c r="AT76" s="38"/>
      <c r="AX76" s="38"/>
      <c r="BB76" s="38"/>
      <c r="BF76" s="38"/>
      <c r="BJ76" s="38"/>
      <c r="BN76" s="38"/>
      <c r="BR76" s="38"/>
    </row>
    <row r="77" spans="2:70" s="33" customFormat="1" ht="15.75">
      <c r="B77" s="38"/>
      <c r="F77" s="38"/>
      <c r="J77" s="38"/>
      <c r="N77" s="38"/>
      <c r="R77" s="38"/>
      <c r="V77" s="38"/>
      <c r="Z77" s="38"/>
      <c r="AD77" s="38"/>
      <c r="AH77" s="38"/>
      <c r="AL77" s="38"/>
      <c r="AP77" s="38"/>
      <c r="AT77" s="38"/>
      <c r="AX77" s="38"/>
      <c r="BB77" s="38"/>
      <c r="BF77" s="38"/>
      <c r="BJ77" s="38"/>
      <c r="BN77" s="38"/>
      <c r="BR77" s="38"/>
    </row>
    <row r="78" spans="2:70" s="33" customFormat="1" ht="15.75">
      <c r="B78" s="38"/>
      <c r="F78" s="38"/>
      <c r="J78" s="38"/>
      <c r="N78" s="38"/>
      <c r="R78" s="38"/>
      <c r="V78" s="38"/>
      <c r="Z78" s="38"/>
      <c r="AD78" s="38"/>
      <c r="AH78" s="38"/>
      <c r="AL78" s="38"/>
      <c r="AP78" s="38"/>
      <c r="AT78" s="38"/>
      <c r="AX78" s="38"/>
      <c r="BB78" s="38"/>
      <c r="BF78" s="38"/>
      <c r="BJ78" s="38"/>
      <c r="BN78" s="38"/>
      <c r="BR78" s="38"/>
    </row>
    <row r="79" spans="2:70" s="33" customFormat="1" ht="15.75">
      <c r="B79" s="38"/>
      <c r="F79" s="38"/>
      <c r="J79" s="38"/>
      <c r="N79" s="38"/>
      <c r="R79" s="38"/>
      <c r="V79" s="38"/>
      <c r="Z79" s="38"/>
      <c r="AD79" s="38"/>
      <c r="AH79" s="38"/>
      <c r="AL79" s="38"/>
      <c r="AP79" s="38"/>
      <c r="AT79" s="38"/>
      <c r="AX79" s="38"/>
      <c r="BB79" s="38"/>
      <c r="BF79" s="38"/>
      <c r="BJ79" s="38"/>
      <c r="BN79" s="38"/>
      <c r="BR79" s="38"/>
    </row>
    <row r="80" spans="2:70" s="33" customFormat="1" ht="15.75">
      <c r="B80" s="38"/>
      <c r="F80" s="38"/>
      <c r="J80" s="38"/>
      <c r="N80" s="38"/>
      <c r="R80" s="38"/>
      <c r="V80" s="38"/>
      <c r="Z80" s="38"/>
      <c r="AD80" s="38"/>
      <c r="AH80" s="38"/>
      <c r="AL80" s="38"/>
      <c r="AP80" s="38"/>
      <c r="AT80" s="38"/>
      <c r="AX80" s="38"/>
      <c r="BB80" s="38"/>
      <c r="BF80" s="38"/>
      <c r="BJ80" s="38"/>
      <c r="BN80" s="38"/>
      <c r="BR80" s="38"/>
    </row>
    <row r="81" spans="2:70" s="33" customFormat="1" ht="15.75">
      <c r="B81" s="38"/>
      <c r="F81" s="38"/>
      <c r="J81" s="38"/>
      <c r="N81" s="38"/>
      <c r="R81" s="38"/>
      <c r="V81" s="38"/>
      <c r="Z81" s="38"/>
      <c r="AD81" s="38"/>
      <c r="AH81" s="38"/>
      <c r="AL81" s="38"/>
      <c r="AP81" s="38"/>
      <c r="AT81" s="38"/>
      <c r="AX81" s="38"/>
      <c r="BB81" s="38"/>
      <c r="BF81" s="38"/>
      <c r="BJ81" s="38"/>
      <c r="BN81" s="38"/>
      <c r="BR81" s="38"/>
    </row>
    <row r="82" spans="2:70" s="33" customFormat="1" ht="15.75">
      <c r="B82" s="38"/>
      <c r="F82" s="38"/>
      <c r="J82" s="38"/>
      <c r="N82" s="38"/>
      <c r="R82" s="38"/>
      <c r="V82" s="38"/>
      <c r="Z82" s="38"/>
      <c r="AD82" s="38"/>
      <c r="AH82" s="38"/>
      <c r="AL82" s="38"/>
      <c r="AP82" s="38"/>
      <c r="AT82" s="38"/>
      <c r="AX82" s="38"/>
      <c r="BB82" s="38"/>
      <c r="BF82" s="38"/>
      <c r="BJ82" s="38"/>
      <c r="BN82" s="38"/>
      <c r="BR82" s="38"/>
    </row>
    <row r="83" spans="2:70" s="33" customFormat="1" ht="15.75">
      <c r="B83" s="38"/>
      <c r="F83" s="38"/>
      <c r="J83" s="38"/>
      <c r="N83" s="38"/>
      <c r="R83" s="38"/>
      <c r="V83" s="38"/>
      <c r="Z83" s="38"/>
      <c r="AD83" s="38"/>
      <c r="AH83" s="38"/>
      <c r="AL83" s="38"/>
      <c r="AP83" s="38"/>
      <c r="AT83" s="38"/>
      <c r="AX83" s="38"/>
      <c r="BB83" s="38"/>
      <c r="BF83" s="38"/>
      <c r="BJ83" s="38"/>
      <c r="BN83" s="38"/>
      <c r="BR83" s="38"/>
    </row>
    <row r="84" spans="2:70" s="33" customFormat="1" ht="15.75">
      <c r="B84" s="38"/>
      <c r="F84" s="38"/>
      <c r="J84" s="38"/>
      <c r="N84" s="38"/>
      <c r="R84" s="38"/>
      <c r="V84" s="38"/>
      <c r="Z84" s="38"/>
      <c r="AD84" s="38"/>
      <c r="AH84" s="38"/>
      <c r="AL84" s="38"/>
      <c r="AP84" s="38"/>
      <c r="AT84" s="38"/>
      <c r="AX84" s="38"/>
      <c r="BB84" s="38"/>
      <c r="BF84" s="38"/>
      <c r="BJ84" s="38"/>
      <c r="BN84" s="38"/>
      <c r="BR84" s="38"/>
    </row>
    <row r="85" spans="2:70" s="33" customFormat="1" ht="15.75">
      <c r="B85" s="38"/>
      <c r="F85" s="38"/>
      <c r="J85" s="38"/>
      <c r="N85" s="38"/>
      <c r="R85" s="38"/>
      <c r="V85" s="38"/>
      <c r="Z85" s="38"/>
      <c r="AD85" s="38"/>
      <c r="AH85" s="38"/>
      <c r="AL85" s="38"/>
      <c r="AP85" s="38"/>
      <c r="AT85" s="38"/>
      <c r="AX85" s="38"/>
      <c r="BB85" s="38"/>
      <c r="BF85" s="38"/>
      <c r="BJ85" s="38"/>
      <c r="BN85" s="38"/>
      <c r="BR85" s="38"/>
    </row>
    <row r="86" spans="2:70" s="33" customFormat="1" ht="15.75">
      <c r="B86" s="38"/>
      <c r="F86" s="38"/>
      <c r="J86" s="38"/>
      <c r="N86" s="38"/>
      <c r="R86" s="38"/>
      <c r="V86" s="38"/>
      <c r="Z86" s="38"/>
      <c r="AD86" s="38"/>
      <c r="AH86" s="38"/>
      <c r="AL86" s="38"/>
      <c r="AP86" s="38"/>
      <c r="AT86" s="38"/>
      <c r="AX86" s="38"/>
      <c r="BB86" s="38"/>
      <c r="BF86" s="38"/>
      <c r="BJ86" s="38"/>
      <c r="BN86" s="38"/>
      <c r="BR86" s="38"/>
    </row>
    <row r="87" spans="2:70" s="33" customFormat="1" ht="15.75">
      <c r="B87" s="38"/>
      <c r="F87" s="38"/>
      <c r="J87" s="38"/>
      <c r="N87" s="38"/>
      <c r="R87" s="38"/>
      <c r="V87" s="38"/>
      <c r="Z87" s="38"/>
      <c r="AD87" s="38"/>
      <c r="AH87" s="38"/>
      <c r="AL87" s="38"/>
      <c r="AP87" s="38"/>
      <c r="AT87" s="38"/>
      <c r="AX87" s="38"/>
      <c r="BB87" s="38"/>
      <c r="BF87" s="38"/>
      <c r="BJ87" s="38"/>
      <c r="BN87" s="38"/>
      <c r="BR87" s="38"/>
    </row>
    <row r="88" spans="2:70" s="33" customFormat="1" ht="15.75">
      <c r="B88" s="38"/>
      <c r="F88" s="38"/>
      <c r="J88" s="38"/>
      <c r="N88" s="38"/>
      <c r="R88" s="38"/>
      <c r="V88" s="38"/>
      <c r="Z88" s="38"/>
      <c r="AD88" s="38"/>
      <c r="AH88" s="38"/>
      <c r="AL88" s="38"/>
      <c r="AP88" s="38"/>
      <c r="AT88" s="38"/>
      <c r="AX88" s="38"/>
      <c r="BB88" s="38"/>
      <c r="BF88" s="38"/>
      <c r="BJ88" s="38"/>
      <c r="BN88" s="38"/>
      <c r="BR88" s="38"/>
    </row>
    <row r="89" spans="2:70" s="33" customFormat="1" ht="15.75">
      <c r="B89" s="38"/>
      <c r="F89" s="38"/>
      <c r="J89" s="38"/>
      <c r="N89" s="38"/>
      <c r="R89" s="38"/>
      <c r="V89" s="38"/>
      <c r="Z89" s="38"/>
      <c r="AD89" s="38"/>
      <c r="AH89" s="38"/>
      <c r="AL89" s="38"/>
      <c r="AP89" s="38"/>
      <c r="AT89" s="38"/>
      <c r="AX89" s="38"/>
      <c r="BB89" s="38"/>
      <c r="BF89" s="38"/>
      <c r="BJ89" s="38"/>
      <c r="BN89" s="38"/>
      <c r="BR89" s="38"/>
    </row>
    <row r="90" spans="2:70" s="33" customFormat="1" ht="15.75">
      <c r="B90" s="38"/>
      <c r="F90" s="38"/>
      <c r="J90" s="38"/>
      <c r="N90" s="38"/>
      <c r="R90" s="38"/>
      <c r="V90" s="38"/>
      <c r="Z90" s="38"/>
      <c r="AD90" s="38"/>
      <c r="AH90" s="38"/>
      <c r="AL90" s="38"/>
      <c r="AP90" s="38"/>
      <c r="AT90" s="38"/>
      <c r="AX90" s="38"/>
      <c r="BB90" s="38"/>
      <c r="BF90" s="38"/>
      <c r="BJ90" s="38"/>
      <c r="BN90" s="38"/>
      <c r="BR90" s="38"/>
    </row>
    <row r="91" spans="2:70" s="33" customFormat="1" ht="15.75">
      <c r="B91" s="38"/>
      <c r="F91" s="38"/>
      <c r="J91" s="38"/>
      <c r="N91" s="38"/>
      <c r="R91" s="38"/>
      <c r="V91" s="38"/>
      <c r="Z91" s="38"/>
      <c r="AD91" s="38"/>
      <c r="AH91" s="38"/>
      <c r="AL91" s="38"/>
      <c r="AP91" s="38"/>
      <c r="AT91" s="38"/>
      <c r="AX91" s="38"/>
      <c r="BB91" s="38"/>
      <c r="BF91" s="38"/>
      <c r="BJ91" s="38"/>
      <c r="BN91" s="38"/>
      <c r="BR91" s="38"/>
    </row>
    <row r="92" spans="2:70" s="33" customFormat="1" ht="15.75">
      <c r="B92" s="38"/>
      <c r="F92" s="38"/>
      <c r="J92" s="38"/>
      <c r="N92" s="38"/>
      <c r="R92" s="38"/>
      <c r="V92" s="38"/>
      <c r="Z92" s="38"/>
      <c r="AD92" s="38"/>
      <c r="AH92" s="38"/>
      <c r="AL92" s="38"/>
      <c r="AP92" s="38"/>
      <c r="AT92" s="38"/>
      <c r="AX92" s="38"/>
      <c r="BB92" s="38"/>
      <c r="BF92" s="38"/>
      <c r="BJ92" s="38"/>
      <c r="BN92" s="38"/>
      <c r="BR92" s="38"/>
    </row>
    <row r="93" spans="2:70" s="33" customFormat="1" ht="15.75">
      <c r="B93" s="38"/>
      <c r="F93" s="38"/>
      <c r="J93" s="38"/>
      <c r="N93" s="38"/>
      <c r="R93" s="38"/>
      <c r="V93" s="38"/>
      <c r="Z93" s="38"/>
      <c r="AD93" s="38"/>
      <c r="AH93" s="38"/>
      <c r="AL93" s="38"/>
      <c r="AP93" s="38"/>
      <c r="AT93" s="38"/>
      <c r="AX93" s="38"/>
      <c r="BB93" s="38"/>
      <c r="BF93" s="38"/>
      <c r="BJ93" s="38"/>
      <c r="BN93" s="38"/>
      <c r="BR93" s="38"/>
    </row>
    <row r="94" spans="2:70" s="33" customFormat="1" ht="15.75">
      <c r="B94" s="38"/>
      <c r="F94" s="38"/>
      <c r="J94" s="38"/>
      <c r="N94" s="38"/>
      <c r="R94" s="38"/>
      <c r="V94" s="38"/>
      <c r="Z94" s="38"/>
      <c r="AD94" s="38"/>
      <c r="AH94" s="38"/>
      <c r="AL94" s="38"/>
      <c r="AP94" s="38"/>
      <c r="AT94" s="38"/>
      <c r="AX94" s="38"/>
      <c r="BB94" s="38"/>
      <c r="BF94" s="38"/>
      <c r="BJ94" s="38"/>
      <c r="BN94" s="38"/>
      <c r="BR94" s="38"/>
    </row>
    <row r="95" spans="2:70" s="33" customFormat="1" ht="15.75">
      <c r="B95" s="38"/>
      <c r="F95" s="38"/>
      <c r="J95" s="38"/>
      <c r="N95" s="38"/>
      <c r="R95" s="38"/>
      <c r="V95" s="38"/>
      <c r="Z95" s="38"/>
      <c r="AD95" s="38"/>
      <c r="AH95" s="38"/>
      <c r="AL95" s="38"/>
      <c r="AP95" s="38"/>
      <c r="AT95" s="38"/>
      <c r="AX95" s="38"/>
      <c r="BB95" s="38"/>
      <c r="BF95" s="38"/>
      <c r="BJ95" s="38"/>
      <c r="BN95" s="38"/>
      <c r="BR95" s="38"/>
    </row>
    <row r="96" spans="2:70" s="33" customFormat="1" ht="15.75">
      <c r="B96" s="38"/>
      <c r="F96" s="38"/>
      <c r="J96" s="38"/>
      <c r="N96" s="38"/>
      <c r="R96" s="38"/>
      <c r="V96" s="38"/>
      <c r="Z96" s="38"/>
      <c r="AD96" s="38"/>
      <c r="AH96" s="38"/>
      <c r="AL96" s="38"/>
      <c r="AP96" s="38"/>
      <c r="AT96" s="38"/>
      <c r="AX96" s="38"/>
      <c r="BB96" s="38"/>
      <c r="BF96" s="38"/>
      <c r="BJ96" s="38"/>
      <c r="BN96" s="38"/>
      <c r="BR96" s="38"/>
    </row>
    <row r="97" spans="2:70" s="33" customFormat="1" ht="15.75">
      <c r="B97" s="38"/>
      <c r="F97" s="38"/>
      <c r="J97" s="38"/>
      <c r="N97" s="38"/>
      <c r="R97" s="38"/>
      <c r="V97" s="38"/>
      <c r="Z97" s="38"/>
      <c r="AD97" s="38"/>
      <c r="AH97" s="38"/>
      <c r="AL97" s="38"/>
      <c r="AP97" s="38"/>
      <c r="AT97" s="38"/>
      <c r="AX97" s="38"/>
      <c r="BB97" s="38"/>
      <c r="BF97" s="38"/>
      <c r="BJ97" s="38"/>
      <c r="BN97" s="38"/>
      <c r="BR97" s="38"/>
    </row>
    <row r="98" spans="2:70" s="33" customFormat="1" ht="15.75">
      <c r="B98" s="38"/>
      <c r="F98" s="38"/>
      <c r="J98" s="38"/>
      <c r="N98" s="38"/>
      <c r="R98" s="38"/>
      <c r="V98" s="38"/>
      <c r="Z98" s="38"/>
      <c r="AD98" s="38"/>
      <c r="AH98" s="38"/>
      <c r="AL98" s="38"/>
      <c r="AP98" s="38"/>
      <c r="AT98" s="38"/>
      <c r="AX98" s="38"/>
      <c r="BB98" s="38"/>
      <c r="BF98" s="38"/>
      <c r="BJ98" s="38"/>
      <c r="BN98" s="38"/>
      <c r="BR98" s="38"/>
    </row>
    <row r="99" spans="2:70" s="33" customFormat="1" ht="15.75">
      <c r="B99" s="38"/>
      <c r="F99" s="38"/>
      <c r="J99" s="38"/>
      <c r="N99" s="38"/>
      <c r="R99" s="38"/>
      <c r="V99" s="38"/>
      <c r="Z99" s="38"/>
      <c r="AD99" s="38"/>
      <c r="AH99" s="38"/>
      <c r="AL99" s="38"/>
      <c r="AP99" s="38"/>
      <c r="AT99" s="38"/>
      <c r="AX99" s="38"/>
      <c r="BB99" s="38"/>
      <c r="BF99" s="38"/>
      <c r="BJ99" s="38"/>
      <c r="BN99" s="38"/>
      <c r="BR99" s="38"/>
    </row>
    <row r="100" spans="2:70" s="33" customFormat="1" ht="15.75">
      <c r="B100" s="38"/>
      <c r="F100" s="38"/>
      <c r="J100" s="38"/>
      <c r="N100" s="38"/>
      <c r="R100" s="38"/>
      <c r="V100" s="38"/>
      <c r="Z100" s="38"/>
      <c r="AD100" s="38"/>
      <c r="AH100" s="38"/>
      <c r="AL100" s="38"/>
      <c r="AP100" s="38"/>
      <c r="AT100" s="38"/>
      <c r="AX100" s="38"/>
      <c r="BB100" s="38"/>
      <c r="BF100" s="38"/>
      <c r="BJ100" s="38"/>
      <c r="BN100" s="38"/>
      <c r="BR100" s="38"/>
    </row>
    <row r="101" spans="2:70" s="33" customFormat="1" ht="15.75">
      <c r="B101" s="38"/>
      <c r="F101" s="38"/>
      <c r="J101" s="38"/>
      <c r="N101" s="38"/>
      <c r="R101" s="38"/>
      <c r="V101" s="38"/>
      <c r="Z101" s="38"/>
      <c r="AD101" s="38"/>
      <c r="AH101" s="38"/>
      <c r="AL101" s="38"/>
      <c r="AP101" s="38"/>
      <c r="AT101" s="38"/>
      <c r="AX101" s="38"/>
      <c r="BB101" s="38"/>
      <c r="BF101" s="38"/>
      <c r="BJ101" s="38"/>
      <c r="BN101" s="38"/>
      <c r="BR101" s="38"/>
    </row>
    <row r="102" spans="2:70" s="33" customFormat="1" ht="15.75">
      <c r="B102" s="38"/>
      <c r="F102" s="38"/>
      <c r="J102" s="38"/>
      <c r="N102" s="38"/>
      <c r="R102" s="38"/>
      <c r="V102" s="38"/>
      <c r="Z102" s="38"/>
      <c r="AD102" s="38"/>
      <c r="AH102" s="38"/>
      <c r="AL102" s="38"/>
      <c r="AP102" s="38"/>
      <c r="AT102" s="38"/>
      <c r="AX102" s="38"/>
      <c r="BB102" s="38"/>
      <c r="BF102" s="38"/>
      <c r="BJ102" s="38"/>
      <c r="BN102" s="38"/>
      <c r="BR102" s="38"/>
    </row>
    <row r="103" spans="2:70" s="33" customFormat="1" ht="15.75">
      <c r="B103" s="38"/>
      <c r="F103" s="38"/>
      <c r="J103" s="38"/>
      <c r="N103" s="38"/>
      <c r="R103" s="38"/>
      <c r="V103" s="38"/>
      <c r="Z103" s="38"/>
      <c r="AD103" s="38"/>
      <c r="AH103" s="38"/>
      <c r="AL103" s="38"/>
      <c r="AP103" s="38"/>
      <c r="AT103" s="38"/>
      <c r="AX103" s="38"/>
      <c r="BB103" s="38"/>
      <c r="BF103" s="38"/>
      <c r="BJ103" s="38"/>
      <c r="BN103" s="38"/>
      <c r="BR103" s="38"/>
    </row>
    <row r="104" spans="2:70" s="33" customFormat="1" ht="15.75">
      <c r="B104" s="38"/>
      <c r="F104" s="38"/>
      <c r="J104" s="38"/>
      <c r="N104" s="38"/>
      <c r="R104" s="38"/>
      <c r="V104" s="38"/>
      <c r="Z104" s="38"/>
      <c r="AD104" s="38"/>
      <c r="AH104" s="38"/>
      <c r="AL104" s="38"/>
      <c r="AP104" s="38"/>
      <c r="AT104" s="38"/>
      <c r="AX104" s="38"/>
      <c r="BB104" s="38"/>
      <c r="BF104" s="38"/>
      <c r="BJ104" s="38"/>
      <c r="BN104" s="38"/>
      <c r="BR104" s="38"/>
    </row>
    <row r="105" spans="2:70" s="33" customFormat="1" ht="15.75">
      <c r="B105" s="38"/>
      <c r="F105" s="38"/>
      <c r="J105" s="38"/>
      <c r="N105" s="38"/>
      <c r="R105" s="38"/>
      <c r="V105" s="38"/>
      <c r="Z105" s="38"/>
      <c r="AD105" s="38"/>
      <c r="AH105" s="38"/>
      <c r="AL105" s="38"/>
      <c r="AP105" s="38"/>
      <c r="AT105" s="38"/>
      <c r="AX105" s="38"/>
      <c r="BB105" s="38"/>
      <c r="BF105" s="38"/>
      <c r="BJ105" s="38"/>
      <c r="BN105" s="38"/>
      <c r="BR105" s="38"/>
    </row>
    <row r="106" spans="2:70" s="33" customFormat="1" ht="15.75">
      <c r="B106" s="38"/>
      <c r="F106" s="38"/>
      <c r="J106" s="38"/>
      <c r="N106" s="38"/>
      <c r="R106" s="38"/>
      <c r="V106" s="38"/>
      <c r="Z106" s="38"/>
      <c r="AD106" s="38"/>
      <c r="AH106" s="38"/>
      <c r="AL106" s="38"/>
      <c r="AP106" s="38"/>
      <c r="AT106" s="38"/>
      <c r="AX106" s="38"/>
      <c r="BB106" s="38"/>
      <c r="BF106" s="38"/>
      <c r="BJ106" s="38"/>
      <c r="BN106" s="38"/>
      <c r="BR106" s="38"/>
    </row>
    <row r="107" spans="2:70" s="33" customFormat="1" ht="15.75">
      <c r="B107" s="38"/>
      <c r="F107" s="38"/>
      <c r="J107" s="38"/>
      <c r="N107" s="38"/>
      <c r="R107" s="38"/>
      <c r="V107" s="38"/>
      <c r="Z107" s="38"/>
      <c r="AD107" s="38"/>
      <c r="AH107" s="38"/>
      <c r="AL107" s="38"/>
      <c r="AP107" s="38"/>
      <c r="AT107" s="38"/>
      <c r="AX107" s="38"/>
      <c r="BB107" s="38"/>
      <c r="BF107" s="38"/>
      <c r="BJ107" s="38"/>
      <c r="BN107" s="38"/>
      <c r="BR107" s="38"/>
    </row>
    <row r="108" spans="2:70" s="33" customFormat="1" ht="15.75">
      <c r="B108" s="38"/>
      <c r="F108" s="38"/>
      <c r="J108" s="38"/>
      <c r="N108" s="38"/>
      <c r="R108" s="38"/>
      <c r="V108" s="38"/>
      <c r="Z108" s="38"/>
      <c r="AD108" s="38"/>
      <c r="AH108" s="38"/>
      <c r="AL108" s="38"/>
      <c r="AP108" s="38"/>
      <c r="AT108" s="38"/>
      <c r="AX108" s="38"/>
      <c r="BB108" s="38"/>
      <c r="BF108" s="38"/>
      <c r="BJ108" s="38"/>
      <c r="BN108" s="38"/>
      <c r="BR108" s="38"/>
    </row>
    <row r="109" spans="2:70" s="33" customFormat="1" ht="15.75">
      <c r="B109" s="38"/>
      <c r="F109" s="38"/>
      <c r="J109" s="38"/>
      <c r="N109" s="38"/>
      <c r="R109" s="38"/>
      <c r="V109" s="38"/>
      <c r="Z109" s="38"/>
      <c r="AD109" s="38"/>
      <c r="AH109" s="38"/>
      <c r="AL109" s="38"/>
      <c r="AP109" s="38"/>
      <c r="AT109" s="38"/>
      <c r="AX109" s="38"/>
      <c r="BB109" s="38"/>
      <c r="BF109" s="38"/>
      <c r="BJ109" s="38"/>
      <c r="BN109" s="38"/>
      <c r="BR109" s="38"/>
    </row>
    <row r="110" spans="2:70" s="33" customFormat="1" ht="15.75">
      <c r="B110" s="38"/>
      <c r="F110" s="38"/>
      <c r="J110" s="38"/>
      <c r="N110" s="38"/>
      <c r="R110" s="38"/>
      <c r="V110" s="38"/>
      <c r="Z110" s="38"/>
      <c r="AD110" s="38"/>
      <c r="AH110" s="38"/>
      <c r="AL110" s="38"/>
      <c r="AP110" s="38"/>
      <c r="AT110" s="38"/>
      <c r="AX110" s="38"/>
      <c r="BB110" s="38"/>
      <c r="BF110" s="38"/>
      <c r="BJ110" s="38"/>
      <c r="BN110" s="38"/>
      <c r="BR110" s="38"/>
    </row>
    <row r="111" spans="2:70" s="33" customFormat="1" ht="15.75">
      <c r="B111" s="38"/>
      <c r="F111" s="38"/>
      <c r="J111" s="38"/>
      <c r="N111" s="38"/>
      <c r="R111" s="38"/>
      <c r="V111" s="38"/>
      <c r="Z111" s="38"/>
      <c r="AD111" s="38"/>
      <c r="AH111" s="38"/>
      <c r="AL111" s="38"/>
      <c r="AP111" s="38"/>
      <c r="AT111" s="38"/>
      <c r="AX111" s="38"/>
      <c r="BB111" s="38"/>
      <c r="BF111" s="38"/>
      <c r="BJ111" s="38"/>
      <c r="BN111" s="38"/>
      <c r="BR111" s="38"/>
    </row>
    <row r="112" spans="2:70" s="33" customFormat="1" ht="15.75">
      <c r="B112" s="38"/>
      <c r="F112" s="38"/>
      <c r="J112" s="38"/>
      <c r="N112" s="38"/>
      <c r="R112" s="38"/>
      <c r="V112" s="38"/>
      <c r="Z112" s="38"/>
      <c r="AD112" s="38"/>
      <c r="AH112" s="38"/>
      <c r="AL112" s="38"/>
      <c r="AP112" s="38"/>
      <c r="AT112" s="38"/>
      <c r="AX112" s="38"/>
      <c r="BB112" s="38"/>
      <c r="BF112" s="38"/>
      <c r="BJ112" s="38"/>
      <c r="BN112" s="38"/>
      <c r="BR112" s="38"/>
    </row>
    <row r="113" spans="2:70" s="33" customFormat="1" ht="15.75">
      <c r="B113" s="38"/>
      <c r="F113" s="38"/>
      <c r="J113" s="38"/>
      <c r="N113" s="38"/>
      <c r="R113" s="38"/>
      <c r="V113" s="38"/>
      <c r="Z113" s="38"/>
      <c r="AD113" s="38"/>
      <c r="AH113" s="38"/>
      <c r="AL113" s="38"/>
      <c r="AP113" s="38"/>
      <c r="AT113" s="38"/>
      <c r="AX113" s="38"/>
      <c r="BB113" s="38"/>
      <c r="BF113" s="38"/>
      <c r="BJ113" s="38"/>
      <c r="BN113" s="38"/>
      <c r="BR113" s="38"/>
    </row>
    <row r="114" spans="2:70" s="33" customFormat="1" ht="15.75">
      <c r="B114" s="38"/>
      <c r="F114" s="38"/>
      <c r="J114" s="38"/>
      <c r="N114" s="38"/>
      <c r="R114" s="38"/>
      <c r="V114" s="38"/>
      <c r="Z114" s="38"/>
      <c r="AD114" s="38"/>
      <c r="AH114" s="38"/>
      <c r="AL114" s="38"/>
      <c r="AP114" s="38"/>
      <c r="AT114" s="38"/>
      <c r="AX114" s="38"/>
      <c r="BB114" s="38"/>
      <c r="BF114" s="38"/>
      <c r="BJ114" s="38"/>
      <c r="BN114" s="38"/>
      <c r="BR114" s="38"/>
    </row>
    <row r="115" spans="2:70" s="33" customFormat="1" ht="15.75">
      <c r="B115" s="38"/>
      <c r="F115" s="38"/>
      <c r="J115" s="38"/>
      <c r="N115" s="38"/>
      <c r="R115" s="38"/>
      <c r="V115" s="38"/>
      <c r="Z115" s="38"/>
      <c r="AD115" s="38"/>
      <c r="AH115" s="38"/>
      <c r="AL115" s="38"/>
      <c r="AP115" s="38"/>
      <c r="AT115" s="38"/>
      <c r="AX115" s="38"/>
      <c r="BB115" s="38"/>
      <c r="BF115" s="38"/>
      <c r="BJ115" s="38"/>
      <c r="BN115" s="38"/>
      <c r="BR115" s="38"/>
    </row>
    <row r="116" spans="2:70" s="33" customFormat="1" ht="15.75">
      <c r="B116" s="38"/>
      <c r="F116" s="38"/>
      <c r="J116" s="38"/>
      <c r="N116" s="38"/>
      <c r="R116" s="38"/>
      <c r="V116" s="38"/>
      <c r="Z116" s="38"/>
      <c r="AD116" s="38"/>
      <c r="AH116" s="38"/>
      <c r="AL116" s="38"/>
      <c r="AP116" s="38"/>
      <c r="AT116" s="38"/>
      <c r="AX116" s="38"/>
      <c r="BB116" s="38"/>
      <c r="BF116" s="38"/>
      <c r="BJ116" s="38"/>
      <c r="BN116" s="38"/>
      <c r="BR116" s="38"/>
    </row>
    <row r="117" spans="2:70" s="33" customFormat="1" ht="15.75">
      <c r="B117" s="38"/>
      <c r="F117" s="38"/>
      <c r="J117" s="38"/>
      <c r="N117" s="38"/>
      <c r="R117" s="38"/>
      <c r="V117" s="38"/>
      <c r="Z117" s="38"/>
      <c r="AD117" s="38"/>
      <c r="AH117" s="38"/>
      <c r="AL117" s="38"/>
      <c r="AP117" s="38"/>
      <c r="AT117" s="38"/>
      <c r="AX117" s="38"/>
      <c r="BB117" s="38"/>
      <c r="BF117" s="38"/>
      <c r="BJ117" s="38"/>
      <c r="BN117" s="38"/>
      <c r="BR117" s="38"/>
    </row>
    <row r="118" spans="2:70" s="33" customFormat="1" ht="15.75">
      <c r="B118" s="38"/>
      <c r="F118" s="38"/>
      <c r="J118" s="38"/>
      <c r="N118" s="38"/>
      <c r="R118" s="38"/>
      <c r="V118" s="38"/>
      <c r="Z118" s="38"/>
      <c r="AD118" s="38"/>
      <c r="AH118" s="38"/>
      <c r="AL118" s="38"/>
      <c r="AP118" s="38"/>
      <c r="AT118" s="38"/>
      <c r="AX118" s="38"/>
      <c r="BB118" s="38"/>
      <c r="BF118" s="38"/>
      <c r="BJ118" s="38"/>
      <c r="BN118" s="38"/>
      <c r="BR118" s="38"/>
    </row>
    <row r="119" spans="2:70" s="33" customFormat="1" ht="15.75">
      <c r="B119" s="38"/>
      <c r="F119" s="38"/>
      <c r="J119" s="38"/>
      <c r="N119" s="38"/>
      <c r="R119" s="38"/>
      <c r="V119" s="38"/>
      <c r="Z119" s="38"/>
      <c r="AD119" s="38"/>
      <c r="AH119" s="38"/>
      <c r="AL119" s="38"/>
      <c r="AP119" s="38"/>
      <c r="AT119" s="38"/>
      <c r="AX119" s="38"/>
      <c r="BB119" s="38"/>
      <c r="BF119" s="38"/>
      <c r="BJ119" s="38"/>
      <c r="BN119" s="38"/>
      <c r="BR119" s="38"/>
    </row>
    <row r="120" spans="2:70" s="33" customFormat="1" ht="15.75">
      <c r="B120" s="38"/>
      <c r="F120" s="38"/>
      <c r="J120" s="38"/>
      <c r="N120" s="38"/>
      <c r="R120" s="38"/>
      <c r="V120" s="38"/>
      <c r="Z120" s="38"/>
      <c r="AD120" s="38"/>
      <c r="AH120" s="38"/>
      <c r="AL120" s="38"/>
      <c r="AP120" s="38"/>
      <c r="AT120" s="38"/>
      <c r="AX120" s="38"/>
      <c r="BB120" s="38"/>
      <c r="BF120" s="38"/>
      <c r="BJ120" s="38"/>
      <c r="BN120" s="38"/>
      <c r="BR120" s="38"/>
    </row>
    <row r="121" spans="2:70" s="33" customFormat="1" ht="15.75">
      <c r="B121" s="38"/>
      <c r="F121" s="38"/>
      <c r="J121" s="38"/>
      <c r="N121" s="38"/>
      <c r="R121" s="38"/>
      <c r="V121" s="38"/>
      <c r="Z121" s="38"/>
      <c r="AD121" s="38"/>
      <c r="AH121" s="38"/>
      <c r="AL121" s="38"/>
      <c r="AP121" s="38"/>
      <c r="AT121" s="38"/>
      <c r="AX121" s="38"/>
      <c r="BB121" s="38"/>
      <c r="BF121" s="38"/>
      <c r="BJ121" s="38"/>
      <c r="BN121" s="38"/>
      <c r="BR121" s="38"/>
    </row>
    <row r="122" spans="2:70" s="33" customFormat="1" ht="15.75">
      <c r="B122" s="38"/>
      <c r="F122" s="38"/>
      <c r="J122" s="38"/>
      <c r="N122" s="38"/>
      <c r="R122" s="38"/>
      <c r="V122" s="38"/>
      <c r="Z122" s="38"/>
      <c r="AD122" s="38"/>
      <c r="AH122" s="38"/>
      <c r="AL122" s="38"/>
      <c r="AP122" s="38"/>
      <c r="AT122" s="38"/>
      <c r="AX122" s="38"/>
      <c r="BB122" s="38"/>
      <c r="BF122" s="38"/>
      <c r="BJ122" s="38"/>
      <c r="BN122" s="38"/>
      <c r="BR122" s="38"/>
    </row>
    <row r="123" spans="2:70" s="33" customFormat="1" ht="15.75">
      <c r="B123" s="38"/>
      <c r="F123" s="38"/>
      <c r="J123" s="38"/>
      <c r="N123" s="38"/>
      <c r="R123" s="38"/>
      <c r="V123" s="38"/>
      <c r="Z123" s="38"/>
      <c r="AD123" s="38"/>
      <c r="AH123" s="38"/>
      <c r="AL123" s="38"/>
      <c r="AP123" s="38"/>
      <c r="AT123" s="38"/>
      <c r="AX123" s="38"/>
      <c r="BB123" s="38"/>
      <c r="BF123" s="38"/>
      <c r="BJ123" s="38"/>
      <c r="BN123" s="38"/>
      <c r="BR123" s="38"/>
    </row>
    <row r="124" spans="2:70" s="33" customFormat="1" ht="15.75">
      <c r="B124" s="38"/>
      <c r="F124" s="38"/>
      <c r="J124" s="38"/>
      <c r="N124" s="38"/>
      <c r="R124" s="38"/>
      <c r="V124" s="38"/>
      <c r="Z124" s="38"/>
      <c r="AD124" s="38"/>
      <c r="AH124" s="38"/>
      <c r="AL124" s="38"/>
      <c r="AP124" s="38"/>
      <c r="AT124" s="38"/>
      <c r="AX124" s="38"/>
      <c r="BB124" s="38"/>
      <c r="BF124" s="38"/>
      <c r="BJ124" s="38"/>
      <c r="BN124" s="38"/>
      <c r="BR124" s="38"/>
    </row>
    <row r="125" spans="2:70" s="33" customFormat="1" ht="15.75">
      <c r="B125" s="38"/>
      <c r="F125" s="38"/>
      <c r="J125" s="38"/>
      <c r="N125" s="38"/>
      <c r="R125" s="38"/>
      <c r="V125" s="38"/>
      <c r="Z125" s="38"/>
      <c r="AD125" s="38"/>
      <c r="AH125" s="38"/>
      <c r="AL125" s="38"/>
      <c r="AP125" s="38"/>
      <c r="AT125" s="38"/>
      <c r="AX125" s="38"/>
      <c r="BB125" s="38"/>
      <c r="BF125" s="38"/>
      <c r="BJ125" s="38"/>
      <c r="BN125" s="38"/>
      <c r="BR125" s="38"/>
    </row>
    <row r="126" spans="2:70" s="33" customFormat="1" ht="15.75">
      <c r="B126" s="38"/>
      <c r="F126" s="38"/>
      <c r="J126" s="38"/>
      <c r="N126" s="38"/>
      <c r="R126" s="38"/>
      <c r="V126" s="38"/>
      <c r="Z126" s="38"/>
      <c r="AD126" s="38"/>
      <c r="AH126" s="38"/>
      <c r="AL126" s="38"/>
      <c r="AP126" s="38"/>
      <c r="AT126" s="38"/>
      <c r="AX126" s="38"/>
      <c r="BB126" s="38"/>
      <c r="BF126" s="38"/>
      <c r="BJ126" s="38"/>
      <c r="BN126" s="38"/>
      <c r="BR126" s="38"/>
    </row>
    <row r="127" spans="2:70" s="33" customFormat="1" ht="15.75">
      <c r="B127" s="38"/>
      <c r="F127" s="38"/>
      <c r="J127" s="38"/>
      <c r="N127" s="38"/>
      <c r="R127" s="38"/>
      <c r="V127" s="38"/>
      <c r="Z127" s="38"/>
      <c r="AD127" s="38"/>
      <c r="AH127" s="38"/>
      <c r="AL127" s="38"/>
      <c r="AP127" s="38"/>
      <c r="AT127" s="38"/>
      <c r="AX127" s="38"/>
      <c r="BB127" s="38"/>
      <c r="BF127" s="38"/>
      <c r="BJ127" s="38"/>
      <c r="BN127" s="38"/>
      <c r="BR127" s="38"/>
    </row>
    <row r="128" spans="2:70" s="33" customFormat="1" ht="15.75">
      <c r="B128" s="38"/>
      <c r="F128" s="38"/>
      <c r="J128" s="38"/>
      <c r="N128" s="38"/>
      <c r="R128" s="38"/>
      <c r="V128" s="38"/>
      <c r="Z128" s="38"/>
      <c r="AD128" s="38"/>
      <c r="AH128" s="38"/>
      <c r="AL128" s="38"/>
      <c r="AP128" s="38"/>
      <c r="AT128" s="38"/>
      <c r="AX128" s="38"/>
      <c r="BB128" s="38"/>
      <c r="BF128" s="38"/>
      <c r="BJ128" s="38"/>
      <c r="BN128" s="38"/>
      <c r="BR128" s="38"/>
    </row>
    <row r="129" spans="2:70" s="33" customFormat="1" ht="15.75">
      <c r="B129" s="38"/>
      <c r="F129" s="38"/>
      <c r="J129" s="38"/>
      <c r="N129" s="38"/>
      <c r="R129" s="38"/>
      <c r="V129" s="38"/>
      <c r="Z129" s="38"/>
      <c r="AD129" s="38"/>
      <c r="AH129" s="38"/>
      <c r="AL129" s="38"/>
      <c r="AP129" s="38"/>
      <c r="AT129" s="38"/>
      <c r="AX129" s="38"/>
      <c r="BB129" s="38"/>
      <c r="BF129" s="38"/>
      <c r="BJ129" s="38"/>
      <c r="BN129" s="38"/>
      <c r="BR129" s="38"/>
    </row>
    <row r="130" spans="2:70" s="33" customFormat="1" ht="15.75">
      <c r="B130" s="38"/>
      <c r="F130" s="38"/>
      <c r="J130" s="38"/>
      <c r="N130" s="38"/>
      <c r="R130" s="38"/>
      <c r="V130" s="38"/>
      <c r="Z130" s="38"/>
      <c r="AD130" s="38"/>
      <c r="AH130" s="38"/>
      <c r="AL130" s="38"/>
      <c r="AP130" s="38"/>
      <c r="AT130" s="38"/>
      <c r="AX130" s="38"/>
      <c r="BB130" s="38"/>
      <c r="BF130" s="38"/>
      <c r="BJ130" s="38"/>
      <c r="BN130" s="38"/>
      <c r="BR130" s="38"/>
    </row>
    <row r="131" spans="2:70" s="33" customFormat="1" ht="15.75">
      <c r="B131" s="38"/>
      <c r="F131" s="38"/>
      <c r="J131" s="38"/>
      <c r="N131" s="38"/>
      <c r="R131" s="38"/>
      <c r="V131" s="38"/>
      <c r="Z131" s="38"/>
      <c r="AD131" s="38"/>
      <c r="AH131" s="38"/>
      <c r="AL131" s="38"/>
      <c r="AP131" s="38"/>
      <c r="AT131" s="38"/>
      <c r="AX131" s="38"/>
      <c r="BB131" s="38"/>
      <c r="BF131" s="38"/>
      <c r="BJ131" s="38"/>
      <c r="BN131" s="38"/>
      <c r="BR131" s="38"/>
    </row>
    <row r="132" spans="2:70" s="33" customFormat="1" ht="15.75">
      <c r="B132" s="38"/>
      <c r="F132" s="38"/>
      <c r="J132" s="38"/>
      <c r="N132" s="38"/>
      <c r="R132" s="38"/>
      <c r="V132" s="38"/>
      <c r="Z132" s="38"/>
      <c r="AD132" s="38"/>
      <c r="AH132" s="38"/>
      <c r="AL132" s="38"/>
      <c r="AP132" s="38"/>
      <c r="AT132" s="38"/>
      <c r="AX132" s="38"/>
      <c r="BB132" s="38"/>
      <c r="BF132" s="38"/>
      <c r="BJ132" s="38"/>
      <c r="BN132" s="38"/>
      <c r="BR132" s="38"/>
    </row>
    <row r="133" spans="2:70" s="33" customFormat="1" ht="15.75">
      <c r="B133" s="38"/>
      <c r="F133" s="38"/>
      <c r="J133" s="38"/>
      <c r="N133" s="38"/>
      <c r="R133" s="38"/>
      <c r="V133" s="38"/>
      <c r="Z133" s="38"/>
      <c r="AD133" s="38"/>
      <c r="AH133" s="38"/>
      <c r="AL133" s="38"/>
      <c r="AP133" s="38"/>
      <c r="AT133" s="38"/>
      <c r="AX133" s="38"/>
      <c r="BB133" s="38"/>
      <c r="BF133" s="38"/>
      <c r="BJ133" s="38"/>
      <c r="BN133" s="38"/>
      <c r="BR133" s="38"/>
    </row>
    <row r="134" spans="2:70" s="33" customFormat="1" ht="15.75">
      <c r="B134" s="38"/>
      <c r="F134" s="38"/>
      <c r="J134" s="38"/>
      <c r="N134" s="38"/>
      <c r="R134" s="38"/>
      <c r="V134" s="38"/>
      <c r="Z134" s="38"/>
      <c r="AD134" s="38"/>
      <c r="AH134" s="38"/>
      <c r="AL134" s="38"/>
      <c r="AP134" s="38"/>
      <c r="AT134" s="38"/>
      <c r="AX134" s="38"/>
      <c r="BB134" s="38"/>
      <c r="BF134" s="38"/>
      <c r="BJ134" s="38"/>
      <c r="BN134" s="38"/>
      <c r="BR134" s="38"/>
    </row>
    <row r="135" spans="2:70" s="33" customFormat="1" ht="15.75">
      <c r="B135" s="38"/>
      <c r="F135" s="38"/>
      <c r="J135" s="38"/>
      <c r="N135" s="38"/>
      <c r="R135" s="38"/>
      <c r="V135" s="38"/>
      <c r="Z135" s="38"/>
      <c r="AD135" s="38"/>
      <c r="AH135" s="38"/>
      <c r="AL135" s="38"/>
      <c r="AP135" s="38"/>
      <c r="AT135" s="38"/>
      <c r="AX135" s="38"/>
      <c r="BB135" s="38"/>
      <c r="BF135" s="38"/>
      <c r="BJ135" s="38"/>
      <c r="BN135" s="38"/>
      <c r="BR135" s="38"/>
    </row>
    <row r="136" spans="2:70" s="33" customFormat="1" ht="15.75">
      <c r="B136" s="38"/>
      <c r="F136" s="38"/>
      <c r="J136" s="38"/>
      <c r="N136" s="38"/>
      <c r="R136" s="38"/>
      <c r="V136" s="38"/>
      <c r="Z136" s="38"/>
      <c r="AD136" s="38"/>
      <c r="AH136" s="38"/>
      <c r="AL136" s="38"/>
      <c r="AP136" s="38"/>
      <c r="AT136" s="38"/>
      <c r="AX136" s="38"/>
      <c r="BB136" s="38"/>
      <c r="BF136" s="38"/>
      <c r="BJ136" s="38"/>
      <c r="BN136" s="38"/>
      <c r="BR136" s="38"/>
    </row>
    <row r="137" spans="2:70" s="33" customFormat="1" ht="15.75">
      <c r="B137" s="38"/>
      <c r="F137" s="38"/>
      <c r="J137" s="38"/>
      <c r="N137" s="38"/>
      <c r="R137" s="38"/>
      <c r="V137" s="38"/>
      <c r="Z137" s="38"/>
      <c r="AD137" s="38"/>
      <c r="AH137" s="38"/>
      <c r="AL137" s="38"/>
      <c r="AP137" s="38"/>
      <c r="AT137" s="38"/>
      <c r="AX137" s="38"/>
      <c r="BB137" s="38"/>
      <c r="BF137" s="38"/>
      <c r="BJ137" s="38"/>
      <c r="BN137" s="38"/>
      <c r="BR137" s="38"/>
    </row>
    <row r="138" spans="2:70" s="33" customFormat="1" ht="15.75">
      <c r="B138" s="38"/>
      <c r="F138" s="38"/>
      <c r="J138" s="38"/>
      <c r="N138" s="38"/>
      <c r="R138" s="38"/>
      <c r="V138" s="38"/>
      <c r="Z138" s="38"/>
      <c r="AD138" s="38"/>
      <c r="AH138" s="38"/>
      <c r="AL138" s="38"/>
      <c r="AP138" s="38"/>
      <c r="AT138" s="38"/>
      <c r="AX138" s="38"/>
      <c r="BB138" s="38"/>
      <c r="BF138" s="38"/>
      <c r="BJ138" s="38"/>
      <c r="BN138" s="38"/>
      <c r="BR138" s="38"/>
    </row>
    <row r="139" spans="2:70" s="33" customFormat="1" ht="15.75">
      <c r="B139" s="38"/>
      <c r="F139" s="38"/>
      <c r="J139" s="38"/>
      <c r="N139" s="38"/>
      <c r="R139" s="38"/>
      <c r="V139" s="38"/>
      <c r="Z139" s="38"/>
      <c r="AD139" s="38"/>
      <c r="AH139" s="38"/>
      <c r="AL139" s="38"/>
      <c r="AP139" s="38"/>
      <c r="AT139" s="38"/>
      <c r="AX139" s="38"/>
      <c r="BB139" s="38"/>
      <c r="BF139" s="38"/>
      <c r="BJ139" s="38"/>
      <c r="BN139" s="38"/>
      <c r="BR139" s="38"/>
    </row>
    <row r="140" spans="2:70" s="33" customFormat="1" ht="15.75">
      <c r="B140" s="38"/>
      <c r="F140" s="38"/>
      <c r="J140" s="38"/>
      <c r="N140" s="38"/>
      <c r="R140" s="38"/>
      <c r="V140" s="38"/>
      <c r="Z140" s="38"/>
      <c r="AD140" s="38"/>
      <c r="AH140" s="38"/>
      <c r="AL140" s="38"/>
      <c r="AP140" s="38"/>
      <c r="AT140" s="38"/>
      <c r="AX140" s="38"/>
      <c r="BB140" s="38"/>
      <c r="BF140" s="38"/>
      <c r="BJ140" s="38"/>
      <c r="BN140" s="38"/>
      <c r="BR140" s="38"/>
    </row>
    <row r="141" spans="2:70" s="33" customFormat="1" ht="15.75">
      <c r="B141" s="38"/>
      <c r="F141" s="38"/>
      <c r="J141" s="38"/>
      <c r="N141" s="38"/>
      <c r="R141" s="38"/>
      <c r="V141" s="38"/>
      <c r="Z141" s="38"/>
      <c r="AD141" s="38"/>
      <c r="AH141" s="38"/>
      <c r="AL141" s="38"/>
      <c r="AP141" s="38"/>
      <c r="AT141" s="38"/>
      <c r="AX141" s="38"/>
      <c r="BB141" s="38"/>
      <c r="BF141" s="38"/>
      <c r="BJ141" s="38"/>
      <c r="BN141" s="38"/>
      <c r="BR141" s="38"/>
    </row>
    <row r="142" spans="2:70" s="33" customFormat="1" ht="15.75">
      <c r="B142" s="38"/>
      <c r="F142" s="38"/>
      <c r="J142" s="38"/>
      <c r="N142" s="38"/>
      <c r="R142" s="38"/>
      <c r="V142" s="38"/>
      <c r="Z142" s="38"/>
      <c r="AD142" s="38"/>
      <c r="AH142" s="38"/>
      <c r="AL142" s="38"/>
      <c r="AP142" s="38"/>
      <c r="AT142" s="38"/>
      <c r="AX142" s="38"/>
      <c r="BB142" s="38"/>
      <c r="BF142" s="38"/>
      <c r="BJ142" s="38"/>
      <c r="BN142" s="38"/>
      <c r="BR142" s="38"/>
    </row>
    <row r="143" spans="2:70" s="33" customFormat="1" ht="15.75">
      <c r="B143" s="38"/>
      <c r="F143" s="38"/>
      <c r="J143" s="38"/>
      <c r="N143" s="38"/>
      <c r="R143" s="38"/>
      <c r="V143" s="38"/>
      <c r="Z143" s="38"/>
      <c r="AD143" s="38"/>
      <c r="AH143" s="38"/>
      <c r="AL143" s="38"/>
      <c r="AP143" s="38"/>
      <c r="AT143" s="38"/>
      <c r="AX143" s="38"/>
      <c r="BB143" s="38"/>
      <c r="BF143" s="38"/>
      <c r="BJ143" s="38"/>
      <c r="BN143" s="38"/>
      <c r="BR143" s="38"/>
    </row>
    <row r="144" spans="2:70" s="33" customFormat="1" ht="15.75">
      <c r="B144" s="38"/>
      <c r="F144" s="38"/>
      <c r="J144" s="38"/>
      <c r="N144" s="38"/>
      <c r="R144" s="38"/>
      <c r="V144" s="38"/>
      <c r="Z144" s="38"/>
      <c r="AD144" s="38"/>
      <c r="AH144" s="38"/>
      <c r="AL144" s="38"/>
      <c r="AP144" s="38"/>
      <c r="AT144" s="38"/>
      <c r="AX144" s="38"/>
      <c r="BB144" s="38"/>
      <c r="BF144" s="38"/>
      <c r="BJ144" s="38"/>
      <c r="BN144" s="38"/>
      <c r="BR144" s="38"/>
    </row>
    <row r="145" spans="2:70" s="33" customFormat="1" ht="15.75">
      <c r="B145" s="38"/>
      <c r="F145" s="38"/>
      <c r="J145" s="38"/>
      <c r="N145" s="38"/>
      <c r="R145" s="38"/>
      <c r="V145" s="38"/>
      <c r="Z145" s="38"/>
      <c r="AD145" s="38"/>
      <c r="AH145" s="38"/>
      <c r="AL145" s="38"/>
      <c r="AP145" s="38"/>
      <c r="AT145" s="38"/>
      <c r="AX145" s="38"/>
      <c r="BB145" s="38"/>
      <c r="BF145" s="38"/>
      <c r="BJ145" s="38"/>
      <c r="BN145" s="38"/>
      <c r="BR145" s="38"/>
    </row>
    <row r="146" spans="2:70" s="33" customFormat="1" ht="15.75">
      <c r="B146" s="38"/>
      <c r="F146" s="38"/>
      <c r="J146" s="38"/>
      <c r="N146" s="38"/>
      <c r="R146" s="38"/>
      <c r="V146" s="38"/>
      <c r="Z146" s="38"/>
      <c r="AD146" s="38"/>
      <c r="AH146" s="38"/>
      <c r="AL146" s="38"/>
      <c r="AP146" s="38"/>
      <c r="AT146" s="38"/>
      <c r="AX146" s="38"/>
      <c r="BB146" s="38"/>
      <c r="BF146" s="38"/>
      <c r="BJ146" s="38"/>
      <c r="BN146" s="38"/>
      <c r="BR146" s="38"/>
    </row>
    <row r="147" spans="2:70" s="33" customFormat="1" ht="15.75">
      <c r="B147" s="38"/>
      <c r="F147" s="38"/>
      <c r="J147" s="38"/>
      <c r="N147" s="38"/>
      <c r="R147" s="38"/>
      <c r="V147" s="38"/>
      <c r="Z147" s="38"/>
      <c r="AD147" s="38"/>
      <c r="AH147" s="38"/>
      <c r="AL147" s="38"/>
      <c r="AP147" s="38"/>
      <c r="AT147" s="38"/>
      <c r="AX147" s="38"/>
      <c r="BB147" s="38"/>
      <c r="BF147" s="38"/>
      <c r="BJ147" s="38"/>
      <c r="BN147" s="38"/>
      <c r="BR147" s="38"/>
    </row>
    <row r="148" spans="2:70" s="33" customFormat="1" ht="15.75">
      <c r="B148" s="38"/>
      <c r="F148" s="38"/>
      <c r="J148" s="38"/>
      <c r="N148" s="38"/>
      <c r="R148" s="38"/>
      <c r="V148" s="38"/>
      <c r="Z148" s="38"/>
      <c r="AD148" s="38"/>
      <c r="AH148" s="38"/>
      <c r="AL148" s="38"/>
      <c r="AP148" s="38"/>
      <c r="AT148" s="38"/>
      <c r="AX148" s="38"/>
      <c r="BB148" s="38"/>
      <c r="BF148" s="38"/>
      <c r="BJ148" s="38"/>
      <c r="BN148" s="38"/>
      <c r="BR148" s="38"/>
    </row>
    <row r="149" spans="2:70" s="33" customFormat="1" ht="15.75">
      <c r="B149" s="38"/>
      <c r="F149" s="38"/>
      <c r="J149" s="38"/>
      <c r="N149" s="38"/>
      <c r="R149" s="38"/>
      <c r="V149" s="38"/>
      <c r="Z149" s="38"/>
      <c r="AD149" s="38"/>
      <c r="AH149" s="38"/>
      <c r="AL149" s="38"/>
      <c r="AP149" s="38"/>
      <c r="AT149" s="38"/>
      <c r="AX149" s="38"/>
      <c r="BB149" s="38"/>
      <c r="BF149" s="38"/>
      <c r="BJ149" s="38"/>
      <c r="BN149" s="38"/>
      <c r="BR149" s="38"/>
    </row>
    <row r="150" spans="2:70" s="33" customFormat="1" ht="15.75">
      <c r="B150" s="38"/>
      <c r="F150" s="38"/>
      <c r="J150" s="38"/>
      <c r="N150" s="38"/>
      <c r="R150" s="38"/>
      <c r="V150" s="38"/>
      <c r="Z150" s="38"/>
      <c r="AD150" s="38"/>
      <c r="AH150" s="38"/>
      <c r="AL150" s="38"/>
      <c r="AP150" s="38"/>
      <c r="AT150" s="38"/>
      <c r="AX150" s="38"/>
      <c r="BB150" s="38"/>
      <c r="BF150" s="38"/>
      <c r="BJ150" s="38"/>
      <c r="BN150" s="38"/>
      <c r="BR150" s="38"/>
    </row>
    <row r="151" spans="2:70" s="33" customFormat="1" ht="15.75">
      <c r="B151" s="38"/>
      <c r="F151" s="38"/>
      <c r="J151" s="38"/>
      <c r="N151" s="38"/>
      <c r="R151" s="38"/>
      <c r="V151" s="38"/>
      <c r="Z151" s="38"/>
      <c r="AD151" s="38"/>
      <c r="AH151" s="38"/>
      <c r="AL151" s="38"/>
      <c r="AP151" s="38"/>
      <c r="AT151" s="38"/>
      <c r="AX151" s="38"/>
      <c r="BB151" s="38"/>
      <c r="BF151" s="38"/>
      <c r="BJ151" s="38"/>
      <c r="BN151" s="38"/>
      <c r="BR151" s="38"/>
    </row>
    <row r="152" spans="2:70" s="33" customFormat="1" ht="15.75">
      <c r="B152" s="38"/>
      <c r="F152" s="38"/>
      <c r="J152" s="38"/>
      <c r="N152" s="38"/>
      <c r="R152" s="38"/>
      <c r="V152" s="38"/>
      <c r="Z152" s="38"/>
      <c r="AD152" s="38"/>
      <c r="AH152" s="38"/>
      <c r="AL152" s="38"/>
      <c r="AP152" s="38"/>
      <c r="AT152" s="38"/>
      <c r="AX152" s="38"/>
      <c r="BB152" s="38"/>
      <c r="BF152" s="38"/>
      <c r="BJ152" s="38"/>
      <c r="BN152" s="38"/>
      <c r="BR152" s="38"/>
    </row>
    <row r="153" spans="2:70" s="33" customFormat="1" ht="15.75">
      <c r="B153" s="38"/>
      <c r="F153" s="38"/>
      <c r="J153" s="38"/>
      <c r="N153" s="38"/>
      <c r="R153" s="38"/>
      <c r="V153" s="38"/>
      <c r="Z153" s="38"/>
      <c r="AD153" s="38"/>
      <c r="AH153" s="38"/>
      <c r="AL153" s="38"/>
      <c r="AP153" s="38"/>
      <c r="AT153" s="38"/>
      <c r="AX153" s="38"/>
      <c r="BB153" s="38"/>
      <c r="BF153" s="38"/>
      <c r="BJ153" s="38"/>
      <c r="BN153" s="38"/>
      <c r="BR153" s="38"/>
    </row>
    <row r="154" spans="2:70" s="33" customFormat="1" ht="15.75">
      <c r="B154" s="38"/>
      <c r="F154" s="38"/>
      <c r="J154" s="38"/>
      <c r="N154" s="38"/>
      <c r="R154" s="38"/>
      <c r="V154" s="38"/>
      <c r="Z154" s="38"/>
      <c r="AD154" s="38"/>
      <c r="AH154" s="38"/>
      <c r="AL154" s="38"/>
      <c r="AP154" s="38"/>
      <c r="AT154" s="38"/>
      <c r="AX154" s="38"/>
      <c r="BB154" s="38"/>
      <c r="BF154" s="38"/>
      <c r="BJ154" s="38"/>
      <c r="BN154" s="38"/>
      <c r="BR154" s="38"/>
    </row>
    <row r="155" spans="2:70" s="33" customFormat="1" ht="15.75">
      <c r="B155" s="38"/>
      <c r="F155" s="38"/>
      <c r="J155" s="38"/>
      <c r="N155" s="38"/>
      <c r="R155" s="38"/>
      <c r="V155" s="38"/>
      <c r="Z155" s="38"/>
      <c r="AD155" s="38"/>
      <c r="AH155" s="38"/>
      <c r="AL155" s="38"/>
      <c r="AP155" s="38"/>
      <c r="AT155" s="38"/>
      <c r="AX155" s="38"/>
      <c r="BB155" s="38"/>
      <c r="BF155" s="38"/>
      <c r="BJ155" s="38"/>
      <c r="BN155" s="38"/>
      <c r="BR155" s="38"/>
    </row>
    <row r="156" spans="2:70" s="33" customFormat="1" ht="15.75">
      <c r="B156" s="38"/>
      <c r="F156" s="38"/>
      <c r="J156" s="38"/>
      <c r="N156" s="38"/>
      <c r="R156" s="38"/>
      <c r="V156" s="38"/>
      <c r="Z156" s="38"/>
      <c r="AD156" s="38"/>
      <c r="AH156" s="38"/>
      <c r="AL156" s="38"/>
      <c r="AP156" s="38"/>
      <c r="AT156" s="38"/>
      <c r="AX156" s="38"/>
      <c r="BB156" s="38"/>
      <c r="BF156" s="38"/>
      <c r="BJ156" s="38"/>
      <c r="BN156" s="38"/>
      <c r="BR156" s="38"/>
    </row>
    <row r="157" spans="2:70" s="33" customFormat="1" ht="15.75">
      <c r="B157" s="38"/>
      <c r="F157" s="38"/>
      <c r="J157" s="38"/>
      <c r="N157" s="38"/>
      <c r="R157" s="38"/>
      <c r="V157" s="38"/>
      <c r="Z157" s="38"/>
      <c r="AD157" s="38"/>
      <c r="AH157" s="38"/>
      <c r="AL157" s="38"/>
      <c r="AP157" s="38"/>
      <c r="AT157" s="38"/>
      <c r="AX157" s="38"/>
      <c r="BB157" s="38"/>
      <c r="BF157" s="38"/>
      <c r="BJ157" s="38"/>
      <c r="BN157" s="38"/>
      <c r="BR157" s="38"/>
    </row>
    <row r="158" spans="2:70" s="33" customFormat="1" ht="15.75">
      <c r="B158" s="38"/>
      <c r="F158" s="38"/>
      <c r="J158" s="38"/>
      <c r="N158" s="38"/>
      <c r="R158" s="38"/>
      <c r="V158" s="38"/>
      <c r="Z158" s="38"/>
      <c r="AD158" s="38"/>
      <c r="AH158" s="38"/>
      <c r="AL158" s="38"/>
      <c r="AP158" s="38"/>
      <c r="AT158" s="38"/>
      <c r="AX158" s="38"/>
      <c r="BB158" s="38"/>
      <c r="BF158" s="38"/>
      <c r="BJ158" s="38"/>
      <c r="BN158" s="38"/>
      <c r="BR158" s="38"/>
    </row>
    <row r="159" spans="2:70" s="33" customFormat="1" ht="15.75">
      <c r="B159" s="38"/>
      <c r="F159" s="38"/>
      <c r="J159" s="38"/>
      <c r="N159" s="38"/>
      <c r="R159" s="38"/>
      <c r="V159" s="38"/>
      <c r="Z159" s="38"/>
      <c r="AD159" s="38"/>
      <c r="AH159" s="38"/>
      <c r="AL159" s="38"/>
      <c r="AP159" s="38"/>
      <c r="AT159" s="38"/>
      <c r="AX159" s="38"/>
      <c r="BB159" s="38"/>
      <c r="BF159" s="38"/>
      <c r="BJ159" s="38"/>
      <c r="BN159" s="38"/>
      <c r="BR159" s="38"/>
    </row>
    <row r="160" spans="2:70" s="33" customFormat="1" ht="15.75">
      <c r="B160" s="38"/>
      <c r="F160" s="38"/>
      <c r="J160" s="38"/>
      <c r="N160" s="38"/>
      <c r="R160" s="38"/>
      <c r="V160" s="38"/>
      <c r="Z160" s="38"/>
      <c r="AD160" s="38"/>
      <c r="AH160" s="38"/>
      <c r="AL160" s="38"/>
      <c r="AP160" s="38"/>
      <c r="AT160" s="38"/>
      <c r="AX160" s="38"/>
      <c r="BB160" s="38"/>
      <c r="BF160" s="38"/>
      <c r="BJ160" s="38"/>
      <c r="BN160" s="38"/>
      <c r="BR160" s="38"/>
    </row>
    <row r="161" spans="2:70" s="33" customFormat="1" ht="15.75">
      <c r="B161" s="38"/>
      <c r="F161" s="38"/>
      <c r="J161" s="38"/>
      <c r="N161" s="38"/>
      <c r="R161" s="38"/>
      <c r="V161" s="38"/>
      <c r="Z161" s="38"/>
      <c r="AD161" s="38"/>
      <c r="AH161" s="38"/>
      <c r="AL161" s="38"/>
      <c r="AP161" s="38"/>
      <c r="AT161" s="38"/>
      <c r="AX161" s="38"/>
      <c r="BB161" s="38"/>
      <c r="BF161" s="38"/>
      <c r="BJ161" s="38"/>
      <c r="BN161" s="38"/>
      <c r="BR161" s="38"/>
    </row>
    <row r="162" spans="2:70" s="33" customFormat="1" ht="15.75">
      <c r="B162" s="38"/>
      <c r="F162" s="38"/>
      <c r="J162" s="38"/>
      <c r="N162" s="38"/>
      <c r="R162" s="38"/>
      <c r="V162" s="38"/>
      <c r="Z162" s="38"/>
      <c r="AD162" s="38"/>
      <c r="AH162" s="38"/>
      <c r="AL162" s="38"/>
      <c r="AP162" s="38"/>
      <c r="AT162" s="38"/>
      <c r="AX162" s="38"/>
      <c r="BB162" s="38"/>
      <c r="BF162" s="38"/>
      <c r="BJ162" s="38"/>
      <c r="BN162" s="38"/>
      <c r="BR162" s="38"/>
    </row>
    <row r="163" spans="2:70" s="33" customFormat="1" ht="15.75">
      <c r="B163" s="38"/>
      <c r="F163" s="38"/>
      <c r="J163" s="38"/>
      <c r="N163" s="38"/>
      <c r="R163" s="38"/>
      <c r="V163" s="38"/>
      <c r="Z163" s="38"/>
      <c r="AD163" s="38"/>
      <c r="AH163" s="38"/>
      <c r="AL163" s="38"/>
      <c r="AP163" s="38"/>
      <c r="AT163" s="38"/>
      <c r="AX163" s="38"/>
      <c r="BB163" s="38"/>
      <c r="BF163" s="38"/>
      <c r="BJ163" s="38"/>
      <c r="BN163" s="38"/>
      <c r="BR163" s="38"/>
    </row>
    <row r="164" spans="2:70" s="33" customFormat="1" ht="15.75">
      <c r="B164" s="38"/>
      <c r="F164" s="38"/>
      <c r="J164" s="38"/>
      <c r="N164" s="38"/>
      <c r="R164" s="38"/>
      <c r="V164" s="38"/>
      <c r="Z164" s="38"/>
      <c r="AD164" s="38"/>
      <c r="AH164" s="38"/>
      <c r="AL164" s="38"/>
      <c r="AP164" s="38"/>
      <c r="AT164" s="38"/>
      <c r="AX164" s="38"/>
      <c r="BB164" s="38"/>
      <c r="BF164" s="38"/>
      <c r="BJ164" s="38"/>
      <c r="BN164" s="38"/>
      <c r="BR164" s="38"/>
    </row>
    <row r="165" spans="2:70" s="33" customFormat="1" ht="15.75">
      <c r="B165" s="38"/>
      <c r="F165" s="38"/>
      <c r="J165" s="38"/>
      <c r="N165" s="38"/>
      <c r="R165" s="38"/>
      <c r="V165" s="38"/>
      <c r="Z165" s="38"/>
      <c r="AD165" s="38"/>
      <c r="AH165" s="38"/>
      <c r="AL165" s="38"/>
      <c r="AP165" s="38"/>
      <c r="AT165" s="38"/>
      <c r="AX165" s="38"/>
      <c r="BB165" s="38"/>
      <c r="BF165" s="38"/>
      <c r="BJ165" s="38"/>
      <c r="BN165" s="38"/>
      <c r="BR165" s="38"/>
    </row>
    <row r="166" spans="2:70" s="33" customFormat="1" ht="15.75">
      <c r="B166" s="38"/>
      <c r="F166" s="38"/>
      <c r="J166" s="38"/>
      <c r="N166" s="38"/>
      <c r="R166" s="38"/>
      <c r="V166" s="38"/>
      <c r="Z166" s="38"/>
      <c r="AD166" s="38"/>
      <c r="AH166" s="38"/>
      <c r="AL166" s="38"/>
      <c r="AP166" s="38"/>
      <c r="AT166" s="38"/>
      <c r="AX166" s="38"/>
      <c r="BB166" s="38"/>
      <c r="BF166" s="38"/>
      <c r="BJ166" s="38"/>
      <c r="BN166" s="38"/>
      <c r="BR166" s="38"/>
    </row>
    <row r="167" spans="2:70" s="33" customFormat="1" ht="15.75">
      <c r="B167" s="38"/>
      <c r="F167" s="38"/>
      <c r="J167" s="38"/>
      <c r="N167" s="38"/>
      <c r="R167" s="38"/>
      <c r="V167" s="38"/>
      <c r="Z167" s="38"/>
      <c r="AD167" s="38"/>
      <c r="AH167" s="38"/>
      <c r="AL167" s="38"/>
      <c r="AP167" s="38"/>
      <c r="AT167" s="38"/>
      <c r="AX167" s="38"/>
      <c r="BB167" s="38"/>
      <c r="BF167" s="38"/>
      <c r="BJ167" s="38"/>
      <c r="BN167" s="38"/>
      <c r="BR167" s="38"/>
    </row>
    <row r="168" spans="2:70" s="33" customFormat="1" ht="15.75">
      <c r="B168" s="38"/>
      <c r="F168" s="38"/>
      <c r="J168" s="38"/>
      <c r="N168" s="38"/>
      <c r="R168" s="38"/>
      <c r="V168" s="38"/>
      <c r="Z168" s="38"/>
      <c r="AD168" s="38"/>
      <c r="AH168" s="38"/>
      <c r="AL168" s="38"/>
      <c r="AP168" s="38"/>
      <c r="AT168" s="38"/>
      <c r="AX168" s="38"/>
      <c r="BB168" s="38"/>
      <c r="BF168" s="38"/>
      <c r="BJ168" s="38"/>
      <c r="BN168" s="38"/>
      <c r="BR168" s="38"/>
    </row>
    <row r="169" spans="2:70" s="33" customFormat="1" ht="15.75">
      <c r="B169" s="38"/>
      <c r="F169" s="38"/>
      <c r="J169" s="38"/>
      <c r="N169" s="38"/>
      <c r="R169" s="38"/>
      <c r="V169" s="38"/>
      <c r="Z169" s="38"/>
      <c r="AD169" s="38"/>
      <c r="AH169" s="38"/>
      <c r="AL169" s="38"/>
      <c r="AP169" s="38"/>
      <c r="AT169" s="38"/>
      <c r="AX169" s="38"/>
      <c r="BB169" s="38"/>
      <c r="BF169" s="38"/>
      <c r="BJ169" s="38"/>
      <c r="BN169" s="38"/>
      <c r="BR169" s="38"/>
    </row>
    <row r="170" spans="2:70" s="33" customFormat="1" ht="15.75">
      <c r="B170" s="38"/>
      <c r="F170" s="38"/>
      <c r="J170" s="38"/>
      <c r="N170" s="38"/>
      <c r="R170" s="38"/>
      <c r="V170" s="38"/>
      <c r="Z170" s="38"/>
      <c r="AD170" s="38"/>
      <c r="AH170" s="38"/>
      <c r="AL170" s="38"/>
      <c r="AP170" s="38"/>
      <c r="AT170" s="38"/>
      <c r="AX170" s="38"/>
      <c r="BB170" s="38"/>
      <c r="BF170" s="38"/>
      <c r="BJ170" s="38"/>
      <c r="BN170" s="38"/>
      <c r="BR170" s="38"/>
    </row>
    <row r="171" spans="2:70" s="33" customFormat="1" ht="15.75">
      <c r="B171" s="38"/>
      <c r="F171" s="38"/>
      <c r="J171" s="38"/>
      <c r="N171" s="38"/>
      <c r="R171" s="38"/>
      <c r="V171" s="38"/>
      <c r="Z171" s="38"/>
      <c r="AD171" s="38"/>
      <c r="AH171" s="38"/>
      <c r="AL171" s="38"/>
      <c r="AP171" s="38"/>
      <c r="AT171" s="38"/>
      <c r="AX171" s="38"/>
      <c r="BB171" s="38"/>
      <c r="BF171" s="38"/>
      <c r="BJ171" s="38"/>
      <c r="BN171" s="38"/>
      <c r="BR171" s="38"/>
    </row>
    <row r="172" spans="2:70" s="33" customFormat="1" ht="15.75">
      <c r="B172" s="38"/>
      <c r="F172" s="38"/>
      <c r="J172" s="38"/>
      <c r="N172" s="38"/>
      <c r="R172" s="38"/>
      <c r="V172" s="38"/>
      <c r="Z172" s="38"/>
      <c r="AD172" s="38"/>
      <c r="AH172" s="38"/>
      <c r="AL172" s="38"/>
      <c r="AP172" s="38"/>
      <c r="AT172" s="38"/>
      <c r="AX172" s="38"/>
      <c r="BB172" s="38"/>
      <c r="BF172" s="38"/>
      <c r="BJ172" s="38"/>
      <c r="BN172" s="38"/>
      <c r="BR172" s="38"/>
    </row>
    <row r="173" spans="2:70" s="33" customFormat="1" ht="15.75">
      <c r="B173" s="38"/>
      <c r="F173" s="38"/>
      <c r="J173" s="38"/>
      <c r="N173" s="38"/>
      <c r="R173" s="38"/>
      <c r="V173" s="38"/>
      <c r="Z173" s="38"/>
      <c r="AD173" s="38"/>
      <c r="AH173" s="38"/>
      <c r="AL173" s="38"/>
      <c r="AP173" s="38"/>
      <c r="AT173" s="38"/>
      <c r="AX173" s="38"/>
      <c r="BB173" s="38"/>
      <c r="BF173" s="38"/>
      <c r="BJ173" s="38"/>
      <c r="BN173" s="38"/>
      <c r="BR173" s="38"/>
    </row>
    <row r="174" spans="2:70" s="33" customFormat="1" ht="15.75">
      <c r="B174" s="38"/>
      <c r="F174" s="38"/>
      <c r="J174" s="38"/>
      <c r="N174" s="38"/>
      <c r="R174" s="38"/>
      <c r="V174" s="38"/>
      <c r="Z174" s="38"/>
      <c r="AD174" s="38"/>
      <c r="AH174" s="38"/>
      <c r="AL174" s="38"/>
      <c r="AP174" s="38"/>
      <c r="AT174" s="38"/>
      <c r="AX174" s="38"/>
      <c r="BB174" s="38"/>
      <c r="BF174" s="38"/>
      <c r="BJ174" s="38"/>
      <c r="BN174" s="38"/>
      <c r="BR174" s="38"/>
    </row>
    <row r="175" spans="2:70" s="33" customFormat="1" ht="15.75">
      <c r="B175" s="38"/>
      <c r="F175" s="38"/>
      <c r="J175" s="38"/>
      <c r="N175" s="38"/>
      <c r="R175" s="38"/>
      <c r="V175" s="38"/>
      <c r="Z175" s="38"/>
      <c r="AD175" s="38"/>
      <c r="AH175" s="38"/>
      <c r="AL175" s="38"/>
      <c r="AP175" s="38"/>
      <c r="AT175" s="38"/>
      <c r="AX175" s="38"/>
      <c r="BB175" s="38"/>
      <c r="BF175" s="38"/>
      <c r="BJ175" s="38"/>
      <c r="BN175" s="38"/>
      <c r="BR175" s="38"/>
    </row>
    <row r="176" spans="2:70" s="33" customFormat="1" ht="15.75">
      <c r="B176" s="38"/>
      <c r="F176" s="38"/>
      <c r="J176" s="38"/>
      <c r="N176" s="38"/>
      <c r="R176" s="38"/>
      <c r="V176" s="38"/>
      <c r="Z176" s="38"/>
      <c r="AD176" s="38"/>
      <c r="AH176" s="38"/>
      <c r="AL176" s="38"/>
      <c r="AP176" s="38"/>
      <c r="AT176" s="38"/>
      <c r="AX176" s="38"/>
      <c r="BB176" s="38"/>
      <c r="BF176" s="38"/>
      <c r="BJ176" s="38"/>
      <c r="BN176" s="38"/>
      <c r="BR176" s="38"/>
    </row>
    <row r="177" spans="2:70" s="33" customFormat="1" ht="15.75">
      <c r="B177" s="38"/>
      <c r="F177" s="38"/>
      <c r="J177" s="38"/>
      <c r="N177" s="38"/>
      <c r="R177" s="38"/>
      <c r="V177" s="38"/>
      <c r="Z177" s="38"/>
      <c r="AD177" s="38"/>
      <c r="AH177" s="38"/>
      <c r="AL177" s="38"/>
      <c r="AP177" s="38"/>
      <c r="AT177" s="38"/>
      <c r="AX177" s="38"/>
      <c r="BB177" s="38"/>
      <c r="BF177" s="38"/>
      <c r="BJ177" s="38"/>
      <c r="BN177" s="38"/>
      <c r="BR177" s="38"/>
    </row>
    <row r="178" spans="2:70" s="33" customFormat="1" ht="15.75">
      <c r="B178" s="38"/>
      <c r="F178" s="38"/>
      <c r="J178" s="38"/>
      <c r="N178" s="38"/>
      <c r="R178" s="38"/>
      <c r="V178" s="38"/>
      <c r="Z178" s="38"/>
      <c r="AD178" s="38"/>
      <c r="AH178" s="38"/>
      <c r="AL178" s="38"/>
      <c r="AP178" s="38"/>
      <c r="AT178" s="38"/>
      <c r="AX178" s="38"/>
      <c r="BB178" s="38"/>
      <c r="BF178" s="38"/>
      <c r="BJ178" s="38"/>
      <c r="BN178" s="38"/>
      <c r="BR178" s="38"/>
    </row>
    <row r="179" spans="2:70" s="33" customFormat="1" ht="15.75">
      <c r="B179" s="38"/>
      <c r="F179" s="38"/>
      <c r="J179" s="38"/>
      <c r="N179" s="38"/>
      <c r="R179" s="38"/>
      <c r="V179" s="38"/>
      <c r="Z179" s="38"/>
      <c r="AD179" s="38"/>
      <c r="AH179" s="38"/>
      <c r="AL179" s="38"/>
      <c r="AP179" s="38"/>
      <c r="AT179" s="38"/>
      <c r="AX179" s="38"/>
      <c r="BB179" s="38"/>
      <c r="BF179" s="38"/>
      <c r="BJ179" s="38"/>
      <c r="BN179" s="38"/>
      <c r="BR179" s="38"/>
    </row>
    <row r="180" spans="2:70" s="33" customFormat="1" ht="15.75">
      <c r="B180" s="38"/>
      <c r="F180" s="38"/>
      <c r="J180" s="38"/>
      <c r="N180" s="38"/>
      <c r="R180" s="38"/>
      <c r="V180" s="38"/>
      <c r="Z180" s="38"/>
      <c r="AD180" s="38"/>
      <c r="AH180" s="38"/>
      <c r="AL180" s="38"/>
      <c r="AP180" s="38"/>
      <c r="AT180" s="38"/>
      <c r="AX180" s="38"/>
      <c r="BB180" s="38"/>
      <c r="BF180" s="38"/>
      <c r="BJ180" s="38"/>
      <c r="BN180" s="38"/>
      <c r="BR180" s="38"/>
    </row>
    <row r="181" spans="2:70" s="33" customFormat="1" ht="15.75">
      <c r="B181" s="38"/>
      <c r="F181" s="38"/>
      <c r="J181" s="38"/>
      <c r="N181" s="38"/>
      <c r="R181" s="38"/>
      <c r="V181" s="38"/>
      <c r="Z181" s="38"/>
      <c r="AD181" s="38"/>
      <c r="AH181" s="38"/>
      <c r="AL181" s="38"/>
      <c r="AP181" s="38"/>
      <c r="AT181" s="38"/>
      <c r="AX181" s="38"/>
      <c r="BB181" s="38"/>
      <c r="BF181" s="38"/>
      <c r="BJ181" s="38"/>
      <c r="BN181" s="38"/>
      <c r="BR181" s="38"/>
    </row>
    <row r="182" spans="2:70" s="33" customFormat="1" ht="15.75">
      <c r="B182" s="38"/>
      <c r="F182" s="38"/>
      <c r="J182" s="38"/>
      <c r="N182" s="38"/>
      <c r="R182" s="38"/>
      <c r="V182" s="38"/>
      <c r="Z182" s="38"/>
      <c r="AD182" s="38"/>
      <c r="AH182" s="38"/>
      <c r="AL182" s="38"/>
      <c r="AP182" s="38"/>
      <c r="AT182" s="38"/>
      <c r="AX182" s="38"/>
      <c r="BB182" s="38"/>
      <c r="BF182" s="38"/>
      <c r="BJ182" s="38"/>
      <c r="BN182" s="38"/>
      <c r="BR182" s="38"/>
    </row>
    <row r="183" spans="2:70" s="33" customFormat="1" ht="15.75">
      <c r="B183" s="38"/>
      <c r="F183" s="38"/>
      <c r="J183" s="38"/>
      <c r="N183" s="38"/>
      <c r="R183" s="38"/>
      <c r="V183" s="38"/>
      <c r="Z183" s="38"/>
      <c r="AD183" s="38"/>
      <c r="AH183" s="38"/>
      <c r="AL183" s="38"/>
      <c r="AP183" s="38"/>
      <c r="AT183" s="38"/>
      <c r="AX183" s="38"/>
      <c r="BB183" s="38"/>
      <c r="BF183" s="38"/>
      <c r="BJ183" s="38"/>
      <c r="BN183" s="38"/>
      <c r="BR183" s="38"/>
    </row>
    <row r="184" spans="2:70" s="33" customFormat="1" ht="15.75">
      <c r="B184" s="38"/>
      <c r="F184" s="38"/>
      <c r="J184" s="38"/>
      <c r="N184" s="38"/>
      <c r="R184" s="38"/>
      <c r="V184" s="38"/>
      <c r="Z184" s="38"/>
      <c r="AD184" s="38"/>
      <c r="AH184" s="38"/>
      <c r="AL184" s="38"/>
      <c r="AP184" s="38"/>
      <c r="AT184" s="38"/>
      <c r="AX184" s="38"/>
      <c r="BB184" s="38"/>
      <c r="BF184" s="38"/>
      <c r="BJ184" s="38"/>
      <c r="BN184" s="38"/>
      <c r="BR184" s="38"/>
    </row>
    <row r="185" spans="2:70" s="33" customFormat="1" ht="15.75">
      <c r="B185" s="38"/>
      <c r="F185" s="38"/>
      <c r="J185" s="38"/>
      <c r="N185" s="38"/>
      <c r="R185" s="38"/>
      <c r="V185" s="38"/>
      <c r="Z185" s="38"/>
      <c r="AD185" s="38"/>
      <c r="AH185" s="38"/>
      <c r="AL185" s="38"/>
      <c r="AP185" s="38"/>
      <c r="AT185" s="38"/>
      <c r="AX185" s="38"/>
      <c r="BB185" s="38"/>
      <c r="BF185" s="38"/>
      <c r="BJ185" s="38"/>
      <c r="BN185" s="38"/>
      <c r="BR185" s="38"/>
    </row>
    <row r="186" spans="2:70" s="33" customFormat="1" ht="15.75">
      <c r="B186" s="38"/>
      <c r="F186" s="38"/>
      <c r="J186" s="38"/>
      <c r="N186" s="38"/>
      <c r="R186" s="38"/>
      <c r="V186" s="38"/>
      <c r="Z186" s="38"/>
      <c r="AD186" s="38"/>
      <c r="AH186" s="38"/>
      <c r="AL186" s="38"/>
      <c r="AP186" s="38"/>
      <c r="AT186" s="38"/>
      <c r="AX186" s="38"/>
      <c r="BB186" s="38"/>
      <c r="BF186" s="38"/>
      <c r="BJ186" s="38"/>
      <c r="BN186" s="38"/>
      <c r="BR186" s="38"/>
    </row>
    <row r="187" spans="2:70" s="33" customFormat="1" ht="15.75">
      <c r="B187" s="38"/>
      <c r="F187" s="38"/>
      <c r="J187" s="38"/>
      <c r="N187" s="38"/>
      <c r="R187" s="38"/>
      <c r="V187" s="38"/>
      <c r="Z187" s="38"/>
      <c r="AD187" s="38"/>
      <c r="AH187" s="38"/>
      <c r="AL187" s="38"/>
      <c r="AP187" s="38"/>
      <c r="AT187" s="38"/>
      <c r="AX187" s="38"/>
      <c r="BB187" s="38"/>
      <c r="BF187" s="38"/>
      <c r="BJ187" s="38"/>
      <c r="BN187" s="38"/>
      <c r="BR187" s="38"/>
    </row>
    <row r="188" spans="2:70" s="33" customFormat="1" ht="15.75">
      <c r="B188" s="38"/>
      <c r="F188" s="38"/>
      <c r="J188" s="38"/>
      <c r="N188" s="38"/>
      <c r="R188" s="38"/>
      <c r="V188" s="38"/>
      <c r="Z188" s="38"/>
      <c r="AD188" s="38"/>
      <c r="AH188" s="38"/>
      <c r="AL188" s="38"/>
      <c r="AP188" s="38"/>
      <c r="AT188" s="38"/>
      <c r="AX188" s="38"/>
      <c r="BB188" s="38"/>
      <c r="BF188" s="38"/>
      <c r="BJ188" s="38"/>
      <c r="BN188" s="38"/>
      <c r="BR188" s="38"/>
    </row>
    <row r="189" spans="2:70" s="33" customFormat="1" ht="15.75">
      <c r="B189" s="38"/>
      <c r="F189" s="38"/>
      <c r="J189" s="38"/>
      <c r="N189" s="38"/>
      <c r="R189" s="38"/>
      <c r="V189" s="38"/>
      <c r="Z189" s="38"/>
      <c r="AD189" s="38"/>
      <c r="AH189" s="38"/>
      <c r="AL189" s="38"/>
      <c r="AP189" s="38"/>
      <c r="AT189" s="38"/>
      <c r="AX189" s="38"/>
      <c r="BB189" s="38"/>
      <c r="BF189" s="38"/>
      <c r="BJ189" s="38"/>
      <c r="BN189" s="38"/>
      <c r="BR189" s="38"/>
    </row>
    <row r="190" spans="2:70" s="33" customFormat="1" ht="15.75">
      <c r="B190" s="38"/>
      <c r="F190" s="38"/>
      <c r="J190" s="38"/>
      <c r="N190" s="38"/>
      <c r="R190" s="38"/>
      <c r="V190" s="38"/>
      <c r="Z190" s="38"/>
      <c r="AD190" s="38"/>
      <c r="AH190" s="38"/>
      <c r="AL190" s="38"/>
      <c r="AP190" s="38"/>
      <c r="AT190" s="38"/>
      <c r="AX190" s="38"/>
      <c r="BB190" s="38"/>
      <c r="BF190" s="38"/>
      <c r="BJ190" s="38"/>
      <c r="BN190" s="38"/>
      <c r="BR190" s="38"/>
    </row>
    <row r="191" spans="2:70" s="33" customFormat="1" ht="15.75">
      <c r="B191" s="38"/>
      <c r="F191" s="38"/>
      <c r="J191" s="38"/>
      <c r="N191" s="38"/>
      <c r="R191" s="38"/>
      <c r="V191" s="38"/>
      <c r="Z191" s="38"/>
      <c r="AD191" s="38"/>
      <c r="AH191" s="38"/>
      <c r="AL191" s="38"/>
      <c r="AP191" s="38"/>
      <c r="AT191" s="38"/>
      <c r="AX191" s="38"/>
      <c r="BB191" s="38"/>
      <c r="BF191" s="38"/>
      <c r="BJ191" s="38"/>
      <c r="BN191" s="38"/>
      <c r="BR191" s="38"/>
    </row>
    <row r="192" spans="2:70" s="33" customFormat="1" ht="15.75">
      <c r="B192" s="38"/>
      <c r="F192" s="38"/>
      <c r="J192" s="38"/>
      <c r="N192" s="38"/>
      <c r="R192" s="38"/>
      <c r="V192" s="38"/>
      <c r="Z192" s="38"/>
      <c r="AD192" s="38"/>
      <c r="AH192" s="38"/>
      <c r="AL192" s="38"/>
      <c r="AP192" s="38"/>
      <c r="AT192" s="38"/>
      <c r="AX192" s="38"/>
      <c r="BB192" s="38"/>
      <c r="BF192" s="38"/>
      <c r="BJ192" s="38"/>
      <c r="BN192" s="38"/>
      <c r="BR192" s="38"/>
    </row>
    <row r="193" spans="2:70" s="33" customFormat="1" ht="15.75">
      <c r="B193" s="38"/>
      <c r="F193" s="38"/>
      <c r="J193" s="38"/>
      <c r="N193" s="38"/>
      <c r="R193" s="38"/>
      <c r="V193" s="38"/>
      <c r="Z193" s="38"/>
      <c r="AD193" s="38"/>
      <c r="AH193" s="38"/>
      <c r="AL193" s="38"/>
      <c r="AP193" s="38"/>
      <c r="AT193" s="38"/>
      <c r="AX193" s="38"/>
      <c r="BB193" s="38"/>
      <c r="BF193" s="38"/>
      <c r="BJ193" s="38"/>
      <c r="BN193" s="38"/>
      <c r="BR193" s="38"/>
    </row>
    <row r="194" spans="2:70" s="33" customFormat="1" ht="15.75">
      <c r="B194" s="38"/>
      <c r="F194" s="38"/>
      <c r="J194" s="38"/>
      <c r="N194" s="38"/>
      <c r="R194" s="38"/>
      <c r="V194" s="38"/>
      <c r="Z194" s="38"/>
      <c r="AD194" s="38"/>
      <c r="AH194" s="38"/>
      <c r="AL194" s="38"/>
      <c r="AP194" s="38"/>
      <c r="AT194" s="38"/>
      <c r="AX194" s="38"/>
      <c r="BB194" s="38"/>
      <c r="BF194" s="38"/>
      <c r="BJ194" s="38"/>
      <c r="BN194" s="38"/>
      <c r="BR194" s="38"/>
    </row>
    <row r="195" spans="2:70" s="33" customFormat="1" ht="15.75">
      <c r="B195" s="38"/>
      <c r="F195" s="38"/>
      <c r="J195" s="38"/>
      <c r="N195" s="38"/>
      <c r="R195" s="38"/>
      <c r="V195" s="38"/>
      <c r="Z195" s="38"/>
      <c r="AD195" s="38"/>
      <c r="AH195" s="38"/>
      <c r="AL195" s="38"/>
      <c r="AP195" s="38"/>
      <c r="AT195" s="38"/>
      <c r="AX195" s="38"/>
      <c r="BB195" s="38"/>
      <c r="BF195" s="38"/>
      <c r="BJ195" s="38"/>
      <c r="BN195" s="38"/>
      <c r="BR195" s="38"/>
    </row>
    <row r="196" spans="2:70" s="33" customFormat="1" ht="15.75">
      <c r="B196" s="38"/>
      <c r="F196" s="38"/>
      <c r="J196" s="38"/>
      <c r="N196" s="38"/>
      <c r="R196" s="38"/>
      <c r="V196" s="38"/>
      <c r="Z196" s="38"/>
      <c r="AD196" s="38"/>
      <c r="AH196" s="38"/>
      <c r="AL196" s="38"/>
      <c r="AP196" s="38"/>
      <c r="AT196" s="38"/>
      <c r="AX196" s="38"/>
      <c r="BB196" s="38"/>
      <c r="BF196" s="38"/>
      <c r="BJ196" s="38"/>
      <c r="BN196" s="38"/>
      <c r="BR196" s="38"/>
    </row>
    <row r="197" spans="2:70" s="33" customFormat="1" ht="15.75">
      <c r="B197" s="38"/>
      <c r="F197" s="38"/>
      <c r="J197" s="38"/>
      <c r="N197" s="38"/>
      <c r="R197" s="38"/>
      <c r="V197" s="38"/>
      <c r="Z197" s="38"/>
      <c r="AD197" s="38"/>
      <c r="AH197" s="38"/>
      <c r="AL197" s="38"/>
      <c r="AP197" s="38"/>
      <c r="AT197" s="38"/>
      <c r="AX197" s="38"/>
      <c r="BB197" s="38"/>
      <c r="BF197" s="38"/>
      <c r="BJ197" s="38"/>
      <c r="BN197" s="38"/>
      <c r="BR197" s="38"/>
    </row>
    <row r="198" spans="2:70" s="33" customFormat="1" ht="15.75">
      <c r="B198" s="38"/>
      <c r="F198" s="38"/>
      <c r="J198" s="38"/>
      <c r="N198" s="38"/>
      <c r="R198" s="38"/>
      <c r="V198" s="38"/>
      <c r="Z198" s="38"/>
      <c r="AD198" s="38"/>
      <c r="AH198" s="38"/>
      <c r="AL198" s="38"/>
      <c r="AP198" s="38"/>
      <c r="AT198" s="38"/>
      <c r="AX198" s="38"/>
      <c r="BB198" s="38"/>
      <c r="BF198" s="38"/>
      <c r="BJ198" s="38"/>
      <c r="BN198" s="38"/>
      <c r="BR198" s="38"/>
    </row>
    <row r="199" spans="2:70" s="33" customFormat="1" ht="15.75">
      <c r="B199" s="38"/>
      <c r="F199" s="38"/>
      <c r="J199" s="38"/>
      <c r="N199" s="38"/>
      <c r="R199" s="38"/>
      <c r="V199" s="38"/>
      <c r="Z199" s="38"/>
      <c r="AD199" s="38"/>
      <c r="AH199" s="38"/>
      <c r="AL199" s="38"/>
      <c r="AP199" s="38"/>
      <c r="AT199" s="38"/>
      <c r="AX199" s="38"/>
      <c r="BB199" s="38"/>
      <c r="BF199" s="38"/>
      <c r="BJ199" s="38"/>
      <c r="BN199" s="38"/>
      <c r="BR199" s="38"/>
    </row>
    <row r="200" spans="2:70" s="33" customFormat="1" ht="15.75">
      <c r="B200" s="38"/>
      <c r="F200" s="38"/>
      <c r="J200" s="38"/>
      <c r="N200" s="38"/>
      <c r="R200" s="38"/>
      <c r="V200" s="38"/>
      <c r="Z200" s="38"/>
      <c r="AD200" s="38"/>
      <c r="AH200" s="38"/>
      <c r="AL200" s="38"/>
      <c r="AP200" s="38"/>
      <c r="AT200" s="38"/>
      <c r="AX200" s="38"/>
      <c r="BB200" s="38"/>
      <c r="BF200" s="38"/>
      <c r="BJ200" s="38"/>
      <c r="BN200" s="38"/>
      <c r="BR200" s="38"/>
    </row>
    <row r="201" spans="2:70" s="33" customFormat="1" ht="15.75">
      <c r="B201" s="38"/>
      <c r="F201" s="38"/>
      <c r="J201" s="38"/>
      <c r="N201" s="38"/>
      <c r="R201" s="38"/>
      <c r="V201" s="38"/>
      <c r="Z201" s="38"/>
      <c r="AD201" s="38"/>
      <c r="AH201" s="38"/>
      <c r="AL201" s="38"/>
      <c r="AP201" s="38"/>
      <c r="AT201" s="38"/>
      <c r="AX201" s="38"/>
      <c r="BB201" s="38"/>
      <c r="BF201" s="38"/>
      <c r="BJ201" s="38"/>
      <c r="BN201" s="38"/>
      <c r="BR201" s="38"/>
    </row>
    <row r="202" spans="2:70" s="33" customFormat="1" ht="15.75">
      <c r="B202" s="38"/>
      <c r="F202" s="38"/>
      <c r="J202" s="38"/>
      <c r="N202" s="38"/>
      <c r="R202" s="38"/>
      <c r="V202" s="38"/>
      <c r="Z202" s="38"/>
      <c r="AD202" s="38"/>
      <c r="AH202" s="38"/>
      <c r="AL202" s="38"/>
      <c r="AP202" s="38"/>
      <c r="AT202" s="38"/>
      <c r="AX202" s="38"/>
      <c r="BB202" s="38"/>
      <c r="BF202" s="38"/>
      <c r="BJ202" s="38"/>
      <c r="BN202" s="38"/>
      <c r="BR202" s="38"/>
    </row>
    <row r="203" spans="2:70" s="33" customFormat="1" ht="15.75">
      <c r="B203" s="38"/>
      <c r="F203" s="38"/>
      <c r="J203" s="38"/>
      <c r="N203" s="38"/>
      <c r="R203" s="38"/>
      <c r="V203" s="38"/>
      <c r="Z203" s="38"/>
      <c r="AD203" s="38"/>
      <c r="AH203" s="38"/>
      <c r="AL203" s="38"/>
      <c r="AP203" s="38"/>
      <c r="AT203" s="38"/>
      <c r="AX203" s="38"/>
      <c r="BB203" s="38"/>
      <c r="BF203" s="38"/>
      <c r="BJ203" s="38"/>
      <c r="BN203" s="38"/>
      <c r="BR203" s="38"/>
    </row>
    <row r="204" spans="2:70" s="33" customFormat="1" ht="15.75">
      <c r="B204" s="38"/>
      <c r="F204" s="38"/>
      <c r="J204" s="38"/>
      <c r="N204" s="38"/>
      <c r="R204" s="38"/>
      <c r="V204" s="38"/>
      <c r="Z204" s="38"/>
      <c r="AD204" s="38"/>
      <c r="AH204" s="38"/>
      <c r="AL204" s="38"/>
      <c r="AP204" s="38"/>
      <c r="AT204" s="38"/>
      <c r="AX204" s="38"/>
      <c r="BB204" s="38"/>
      <c r="BF204" s="38"/>
      <c r="BJ204" s="38"/>
      <c r="BN204" s="38"/>
      <c r="BR204" s="38"/>
    </row>
    <row r="205" spans="2:70" s="33" customFormat="1" ht="15.75">
      <c r="B205" s="38"/>
      <c r="F205" s="38"/>
      <c r="J205" s="38"/>
      <c r="N205" s="38"/>
      <c r="R205" s="38"/>
      <c r="V205" s="38"/>
      <c r="Z205" s="38"/>
      <c r="AD205" s="38"/>
      <c r="AH205" s="38"/>
      <c r="AL205" s="38"/>
      <c r="AP205" s="38"/>
      <c r="AT205" s="38"/>
      <c r="AX205" s="38"/>
      <c r="BB205" s="38"/>
      <c r="BF205" s="38"/>
      <c r="BJ205" s="38"/>
      <c r="BN205" s="38"/>
      <c r="BR205" s="38"/>
    </row>
    <row r="206" spans="2:70" s="33" customFormat="1" ht="15.75">
      <c r="B206" s="38"/>
      <c r="F206" s="38"/>
      <c r="J206" s="38"/>
      <c r="N206" s="38"/>
      <c r="R206" s="38"/>
      <c r="V206" s="38"/>
      <c r="Z206" s="38"/>
      <c r="AD206" s="38"/>
      <c r="AH206" s="38"/>
      <c r="AL206" s="38"/>
      <c r="AP206" s="38"/>
      <c r="AT206" s="38"/>
      <c r="AX206" s="38"/>
      <c r="BB206" s="38"/>
      <c r="BF206" s="38"/>
      <c r="BJ206" s="38"/>
      <c r="BN206" s="38"/>
      <c r="BR206" s="38"/>
    </row>
    <row r="207" spans="2:70" s="33" customFormat="1" ht="15.75">
      <c r="B207" s="38"/>
      <c r="F207" s="38"/>
      <c r="J207" s="38"/>
      <c r="N207" s="38"/>
      <c r="R207" s="38"/>
      <c r="V207" s="38"/>
      <c r="Z207" s="38"/>
      <c r="AD207" s="38"/>
      <c r="AH207" s="38"/>
      <c r="AL207" s="38"/>
      <c r="AP207" s="38"/>
      <c r="AT207" s="38"/>
      <c r="AX207" s="38"/>
      <c r="BB207" s="38"/>
      <c r="BF207" s="38"/>
      <c r="BJ207" s="38"/>
      <c r="BN207" s="38"/>
      <c r="BR207" s="38"/>
    </row>
    <row r="208" spans="2:70" s="33" customFormat="1" ht="15.75">
      <c r="B208" s="38"/>
      <c r="F208" s="38"/>
      <c r="J208" s="38"/>
      <c r="N208" s="38"/>
      <c r="R208" s="38"/>
      <c r="V208" s="38"/>
      <c r="Z208" s="38"/>
      <c r="AD208" s="38"/>
      <c r="AH208" s="38"/>
      <c r="AL208" s="38"/>
      <c r="AP208" s="38"/>
      <c r="AT208" s="38"/>
      <c r="AX208" s="38"/>
      <c r="BB208" s="38"/>
      <c r="BF208" s="38"/>
      <c r="BJ208" s="38"/>
      <c r="BN208" s="38"/>
      <c r="BR208" s="38"/>
    </row>
    <row r="209" spans="2:70" s="33" customFormat="1" ht="15.75">
      <c r="B209" s="38"/>
      <c r="F209" s="38"/>
      <c r="J209" s="38"/>
      <c r="N209" s="38"/>
      <c r="R209" s="38"/>
      <c r="V209" s="38"/>
      <c r="Z209" s="38"/>
      <c r="AD209" s="38"/>
      <c r="AH209" s="38"/>
      <c r="AL209" s="38"/>
      <c r="AP209" s="38"/>
      <c r="AT209" s="38"/>
      <c r="AX209" s="38"/>
      <c r="BB209" s="38"/>
      <c r="BF209" s="38"/>
      <c r="BJ209" s="38"/>
      <c r="BN209" s="38"/>
      <c r="BR209" s="38"/>
    </row>
    <row r="210" spans="2:70" s="33" customFormat="1" ht="15.75">
      <c r="B210" s="38"/>
      <c r="F210" s="38"/>
      <c r="J210" s="38"/>
      <c r="N210" s="38"/>
      <c r="R210" s="38"/>
      <c r="V210" s="38"/>
      <c r="Z210" s="38"/>
      <c r="AD210" s="38"/>
      <c r="AH210" s="38"/>
      <c r="AL210" s="38"/>
      <c r="AP210" s="38"/>
      <c r="AT210" s="38"/>
      <c r="AX210" s="38"/>
      <c r="BB210" s="38"/>
      <c r="BF210" s="38"/>
      <c r="BJ210" s="38"/>
      <c r="BN210" s="38"/>
      <c r="BR210" s="38"/>
    </row>
    <row r="211" spans="2:70" s="33" customFormat="1" ht="15.75">
      <c r="B211" s="38"/>
      <c r="F211" s="38"/>
      <c r="J211" s="38"/>
      <c r="N211" s="38"/>
      <c r="R211" s="38"/>
      <c r="V211" s="38"/>
      <c r="Z211" s="38"/>
      <c r="AD211" s="38"/>
      <c r="AH211" s="38"/>
      <c r="AL211" s="38"/>
      <c r="AP211" s="38"/>
      <c r="AT211" s="38"/>
      <c r="AX211" s="38"/>
      <c r="BB211" s="38"/>
      <c r="BF211" s="38"/>
      <c r="BJ211" s="38"/>
      <c r="BN211" s="38"/>
      <c r="BR211" s="38"/>
    </row>
    <row r="212" spans="2:70" s="33" customFormat="1" ht="15.75">
      <c r="B212" s="38"/>
      <c r="F212" s="38"/>
      <c r="J212" s="38"/>
      <c r="N212" s="38"/>
      <c r="R212" s="38"/>
      <c r="V212" s="38"/>
      <c r="Z212" s="38"/>
      <c r="AD212" s="38"/>
      <c r="AH212" s="38"/>
      <c r="AL212" s="38"/>
      <c r="AP212" s="38"/>
      <c r="AT212" s="38"/>
      <c r="AX212" s="38"/>
      <c r="BB212" s="38"/>
      <c r="BF212" s="38"/>
      <c r="BJ212" s="38"/>
      <c r="BN212" s="38"/>
      <c r="BR212" s="38"/>
    </row>
    <row r="213" spans="2:70" s="33" customFormat="1" ht="15.75">
      <c r="B213" s="38"/>
      <c r="F213" s="38"/>
      <c r="J213" s="38"/>
      <c r="N213" s="38"/>
      <c r="R213" s="38"/>
      <c r="V213" s="38"/>
      <c r="Z213" s="38"/>
      <c r="AD213" s="38"/>
      <c r="AH213" s="38"/>
      <c r="AL213" s="38"/>
      <c r="AP213" s="38"/>
      <c r="AT213" s="38"/>
      <c r="AX213" s="38"/>
      <c r="BB213" s="38"/>
      <c r="BF213" s="38"/>
      <c r="BJ213" s="38"/>
      <c r="BN213" s="38"/>
      <c r="BR213" s="38"/>
    </row>
    <row r="214" spans="2:70" s="33" customFormat="1" ht="15.75">
      <c r="B214" s="38"/>
      <c r="F214" s="38"/>
      <c r="J214" s="38"/>
      <c r="N214" s="38"/>
      <c r="R214" s="38"/>
      <c r="V214" s="38"/>
      <c r="Z214" s="38"/>
      <c r="AD214" s="38"/>
      <c r="AH214" s="38"/>
      <c r="AL214" s="38"/>
      <c r="AP214" s="38"/>
      <c r="AT214" s="38"/>
      <c r="AX214" s="38"/>
      <c r="BB214" s="38"/>
      <c r="BF214" s="38"/>
      <c r="BJ214" s="38"/>
      <c r="BN214" s="38"/>
      <c r="BR214" s="38"/>
    </row>
    <row r="215" spans="2:70" s="33" customFormat="1" ht="15.75">
      <c r="B215" s="38"/>
      <c r="F215" s="38"/>
      <c r="J215" s="38"/>
      <c r="N215" s="38"/>
      <c r="R215" s="38"/>
      <c r="V215" s="38"/>
      <c r="Z215" s="38"/>
      <c r="AD215" s="38"/>
      <c r="AH215" s="38"/>
      <c r="AL215" s="38"/>
      <c r="AP215" s="38"/>
      <c r="AT215" s="38"/>
      <c r="AX215" s="38"/>
      <c r="BB215" s="38"/>
      <c r="BF215" s="38"/>
      <c r="BJ215" s="38"/>
      <c r="BN215" s="38"/>
      <c r="BR215" s="38"/>
    </row>
    <row r="216" spans="2:70" s="33" customFormat="1" ht="15.75">
      <c r="B216" s="38"/>
      <c r="F216" s="38"/>
      <c r="J216" s="38"/>
      <c r="N216" s="38"/>
      <c r="R216" s="38"/>
      <c r="V216" s="38"/>
      <c r="Z216" s="38"/>
      <c r="AD216" s="38"/>
      <c r="AH216" s="38"/>
      <c r="AL216" s="38"/>
      <c r="AP216" s="38"/>
      <c r="AT216" s="38"/>
      <c r="AX216" s="38"/>
      <c r="BB216" s="38"/>
      <c r="BF216" s="38"/>
      <c r="BJ216" s="38"/>
      <c r="BN216" s="38"/>
      <c r="BR216" s="38"/>
    </row>
    <row r="217" spans="2:70" s="33" customFormat="1" ht="15.75">
      <c r="B217" s="38"/>
      <c r="F217" s="38"/>
      <c r="J217" s="38"/>
      <c r="N217" s="38"/>
      <c r="R217" s="38"/>
      <c r="V217" s="38"/>
      <c r="Z217" s="38"/>
      <c r="AD217" s="38"/>
      <c r="AH217" s="38"/>
      <c r="AL217" s="38"/>
      <c r="AP217" s="38"/>
      <c r="AT217" s="38"/>
      <c r="AX217" s="38"/>
      <c r="BB217" s="38"/>
      <c r="BF217" s="38"/>
      <c r="BJ217" s="38"/>
      <c r="BN217" s="38"/>
      <c r="BR217" s="38"/>
    </row>
    <row r="218" spans="2:70" s="33" customFormat="1" ht="15.75">
      <c r="B218" s="38"/>
      <c r="F218" s="38"/>
      <c r="J218" s="38"/>
      <c r="N218" s="38"/>
      <c r="R218" s="38"/>
      <c r="V218" s="38"/>
      <c r="Z218" s="38"/>
      <c r="AD218" s="38"/>
      <c r="AH218" s="38"/>
      <c r="AL218" s="38"/>
      <c r="AP218" s="38"/>
      <c r="AT218" s="38"/>
      <c r="AX218" s="38"/>
      <c r="BB218" s="38"/>
      <c r="BF218" s="38"/>
      <c r="BJ218" s="38"/>
      <c r="BN218" s="38"/>
      <c r="BR218" s="38"/>
    </row>
    <row r="219" spans="2:70" s="33" customFormat="1" ht="15.75">
      <c r="B219" s="38"/>
      <c r="F219" s="38"/>
      <c r="J219" s="38"/>
      <c r="N219" s="38"/>
      <c r="R219" s="38"/>
      <c r="V219" s="38"/>
      <c r="Z219" s="38"/>
      <c r="AD219" s="38"/>
      <c r="AH219" s="38"/>
      <c r="AL219" s="38"/>
      <c r="AP219" s="38"/>
      <c r="AT219" s="38"/>
      <c r="AX219" s="38"/>
      <c r="BB219" s="38"/>
      <c r="BF219" s="38"/>
      <c r="BJ219" s="38"/>
      <c r="BN219" s="38"/>
      <c r="BR219" s="38"/>
    </row>
    <row r="220" spans="2:70" s="33" customFormat="1" ht="15.75">
      <c r="B220" s="38"/>
      <c r="F220" s="38"/>
      <c r="J220" s="38"/>
      <c r="N220" s="38"/>
      <c r="R220" s="38"/>
      <c r="V220" s="38"/>
      <c r="Z220" s="38"/>
      <c r="AD220" s="38"/>
      <c r="AH220" s="38"/>
      <c r="AL220" s="38"/>
      <c r="AP220" s="38"/>
      <c r="AT220" s="38"/>
      <c r="AX220" s="38"/>
      <c r="BB220" s="38"/>
      <c r="BF220" s="38"/>
      <c r="BJ220" s="38"/>
      <c r="BN220" s="38"/>
      <c r="BR220" s="38"/>
    </row>
    <row r="221" spans="2:70" s="33" customFormat="1" ht="15.75">
      <c r="B221" s="38"/>
      <c r="F221" s="38"/>
      <c r="J221" s="38"/>
      <c r="N221" s="38"/>
      <c r="R221" s="38"/>
      <c r="V221" s="38"/>
      <c r="Z221" s="38"/>
      <c r="AD221" s="38"/>
      <c r="AH221" s="38"/>
      <c r="AL221" s="38"/>
      <c r="AP221" s="38"/>
      <c r="AT221" s="38"/>
      <c r="AX221" s="38"/>
      <c r="BB221" s="38"/>
      <c r="BF221" s="38"/>
      <c r="BJ221" s="38"/>
      <c r="BN221" s="38"/>
      <c r="BR221" s="38"/>
    </row>
    <row r="222" spans="2:70" s="33" customFormat="1" ht="15.75">
      <c r="B222" s="38"/>
      <c r="F222" s="38"/>
      <c r="J222" s="38"/>
      <c r="N222" s="38"/>
      <c r="R222" s="38"/>
      <c r="V222" s="38"/>
      <c r="Z222" s="38"/>
      <c r="AD222" s="38"/>
      <c r="AH222" s="38"/>
      <c r="AL222" s="38"/>
      <c r="AP222" s="38"/>
      <c r="AT222" s="38"/>
      <c r="AX222" s="38"/>
      <c r="BB222" s="38"/>
      <c r="BF222" s="38"/>
      <c r="BJ222" s="38"/>
      <c r="BN222" s="38"/>
      <c r="BR222" s="38"/>
    </row>
    <row r="223" spans="2:70" s="33" customFormat="1" ht="15.75">
      <c r="B223" s="38"/>
      <c r="F223" s="38"/>
      <c r="J223" s="38"/>
      <c r="N223" s="38"/>
      <c r="R223" s="38"/>
      <c r="V223" s="38"/>
      <c r="Z223" s="38"/>
      <c r="AD223" s="38"/>
      <c r="AH223" s="38"/>
      <c r="AL223" s="38"/>
      <c r="AP223" s="38"/>
      <c r="AT223" s="38"/>
      <c r="AX223" s="38"/>
      <c r="BB223" s="38"/>
      <c r="BF223" s="38"/>
      <c r="BJ223" s="38"/>
      <c r="BN223" s="38"/>
      <c r="BR223" s="38"/>
    </row>
    <row r="224" spans="2:70" s="33" customFormat="1" ht="15.75">
      <c r="B224" s="38"/>
      <c r="F224" s="38"/>
      <c r="J224" s="38"/>
      <c r="N224" s="38"/>
      <c r="R224" s="38"/>
      <c r="V224" s="38"/>
      <c r="Z224" s="38"/>
      <c r="AD224" s="38"/>
      <c r="AH224" s="38"/>
      <c r="AL224" s="38"/>
      <c r="AP224" s="38"/>
      <c r="AT224" s="38"/>
      <c r="AX224" s="38"/>
      <c r="BB224" s="38"/>
      <c r="BF224" s="38"/>
      <c r="BJ224" s="38"/>
      <c r="BN224" s="38"/>
      <c r="BR224" s="38"/>
    </row>
    <row r="225" spans="2:70" s="33" customFormat="1" ht="15.75">
      <c r="B225" s="38"/>
      <c r="F225" s="38"/>
      <c r="J225" s="38"/>
      <c r="N225" s="38"/>
      <c r="R225" s="38"/>
      <c r="V225" s="38"/>
      <c r="Z225" s="38"/>
      <c r="AD225" s="38"/>
      <c r="AH225" s="38"/>
      <c r="AL225" s="38"/>
      <c r="AP225" s="38"/>
      <c r="AT225" s="38"/>
      <c r="AX225" s="38"/>
      <c r="BB225" s="38"/>
      <c r="BF225" s="38"/>
      <c r="BJ225" s="38"/>
      <c r="BN225" s="38"/>
      <c r="BR225" s="38"/>
    </row>
    <row r="226" spans="2:70" s="33" customFormat="1" ht="15.75">
      <c r="B226" s="38"/>
      <c r="F226" s="38"/>
      <c r="J226" s="38"/>
      <c r="N226" s="38"/>
      <c r="R226" s="38"/>
      <c r="V226" s="38"/>
      <c r="Z226" s="38"/>
      <c r="AD226" s="38"/>
      <c r="AH226" s="38"/>
      <c r="AL226" s="38"/>
      <c r="AP226" s="38"/>
      <c r="AT226" s="38"/>
      <c r="AX226" s="38"/>
      <c r="BB226" s="38"/>
      <c r="BF226" s="38"/>
      <c r="BJ226" s="38"/>
      <c r="BN226" s="38"/>
      <c r="BR226" s="38"/>
    </row>
    <row r="227" spans="2:70" s="33" customFormat="1" ht="15.75">
      <c r="B227" s="38"/>
      <c r="F227" s="38"/>
      <c r="J227" s="38"/>
      <c r="N227" s="38"/>
      <c r="R227" s="38"/>
      <c r="V227" s="38"/>
      <c r="Z227" s="38"/>
      <c r="AD227" s="38"/>
      <c r="AH227" s="38"/>
      <c r="AL227" s="38"/>
      <c r="AP227" s="38"/>
      <c r="AT227" s="38"/>
      <c r="AX227" s="38"/>
      <c r="BB227" s="38"/>
      <c r="BF227" s="38"/>
      <c r="BJ227" s="38"/>
      <c r="BN227" s="38"/>
      <c r="BR227" s="38"/>
    </row>
    <row r="228" spans="2:70" s="33" customFormat="1" ht="15.75">
      <c r="B228" s="38"/>
      <c r="F228" s="38"/>
      <c r="J228" s="38"/>
      <c r="N228" s="38"/>
      <c r="R228" s="38"/>
      <c r="V228" s="38"/>
      <c r="Z228" s="38"/>
      <c r="AD228" s="38"/>
      <c r="AH228" s="38"/>
      <c r="AL228" s="38"/>
      <c r="AP228" s="38"/>
      <c r="AT228" s="38"/>
      <c r="AX228" s="38"/>
      <c r="BB228" s="38"/>
      <c r="BF228" s="38"/>
      <c r="BJ228" s="38"/>
      <c r="BN228" s="38"/>
      <c r="BR228" s="38"/>
    </row>
    <row r="229" spans="2:70" s="33" customFormat="1" ht="15.75">
      <c r="B229" s="38"/>
      <c r="F229" s="38"/>
      <c r="J229" s="38"/>
      <c r="N229" s="38"/>
      <c r="R229" s="38"/>
      <c r="V229" s="38"/>
      <c r="Z229" s="38"/>
      <c r="AD229" s="38"/>
      <c r="AH229" s="38"/>
      <c r="AL229" s="38"/>
      <c r="AP229" s="38"/>
      <c r="AT229" s="38"/>
      <c r="AX229" s="38"/>
      <c r="BB229" s="38"/>
      <c r="BF229" s="38"/>
      <c r="BJ229" s="38"/>
      <c r="BN229" s="38"/>
      <c r="BR229" s="38"/>
    </row>
    <row r="230" spans="2:70" s="33" customFormat="1" ht="15.75">
      <c r="B230" s="38"/>
      <c r="F230" s="38"/>
      <c r="J230" s="38"/>
      <c r="N230" s="38"/>
      <c r="R230" s="38"/>
      <c r="V230" s="38"/>
      <c r="Z230" s="38"/>
      <c r="AD230" s="38"/>
      <c r="AH230" s="38"/>
      <c r="AL230" s="38"/>
      <c r="AP230" s="38"/>
      <c r="AT230" s="38"/>
      <c r="AX230" s="38"/>
      <c r="BB230" s="38"/>
      <c r="BF230" s="38"/>
      <c r="BJ230" s="38"/>
      <c r="BN230" s="38"/>
      <c r="BR230" s="38"/>
    </row>
    <row r="231" spans="2:70" s="33" customFormat="1" ht="15.75">
      <c r="B231" s="38"/>
      <c r="F231" s="38"/>
      <c r="J231" s="38"/>
      <c r="N231" s="38"/>
      <c r="R231" s="38"/>
      <c r="V231" s="38"/>
      <c r="Z231" s="38"/>
      <c r="AD231" s="38"/>
      <c r="AH231" s="38"/>
      <c r="AL231" s="38"/>
      <c r="AP231" s="38"/>
      <c r="AT231" s="38"/>
      <c r="AX231" s="38"/>
      <c r="BB231" s="38"/>
      <c r="BF231" s="38"/>
      <c r="BJ231" s="38"/>
      <c r="BN231" s="38"/>
      <c r="BR231" s="38"/>
    </row>
    <row r="232" spans="2:70" s="33" customFormat="1" ht="15.75">
      <c r="B232" s="38"/>
      <c r="F232" s="38"/>
      <c r="J232" s="38"/>
      <c r="N232" s="38"/>
      <c r="R232" s="38"/>
      <c r="V232" s="38"/>
      <c r="Z232" s="38"/>
      <c r="AD232" s="38"/>
      <c r="AH232" s="38"/>
      <c r="AL232" s="38"/>
      <c r="AP232" s="38"/>
      <c r="AT232" s="38"/>
      <c r="AX232" s="38"/>
      <c r="BB232" s="38"/>
      <c r="BF232" s="38"/>
      <c r="BJ232" s="38"/>
      <c r="BN232" s="38"/>
      <c r="BR232" s="38"/>
    </row>
    <row r="233" spans="2:70" s="33" customFormat="1" ht="15.75">
      <c r="B233" s="38"/>
      <c r="F233" s="38"/>
      <c r="J233" s="38"/>
      <c r="N233" s="38"/>
      <c r="R233" s="38"/>
      <c r="V233" s="38"/>
      <c r="Z233" s="38"/>
      <c r="AD233" s="38"/>
      <c r="AH233" s="38"/>
      <c r="AL233" s="38"/>
      <c r="AP233" s="38"/>
      <c r="AT233" s="38"/>
      <c r="AX233" s="38"/>
      <c r="BB233" s="38"/>
      <c r="BF233" s="38"/>
      <c r="BJ233" s="38"/>
      <c r="BN233" s="38"/>
      <c r="BR233" s="38"/>
    </row>
    <row r="234" spans="2:70" s="33" customFormat="1" ht="15.75">
      <c r="B234" s="38"/>
      <c r="F234" s="38"/>
      <c r="J234" s="38"/>
      <c r="N234" s="38"/>
      <c r="R234" s="38"/>
      <c r="V234" s="38"/>
      <c r="Z234" s="38"/>
      <c r="AD234" s="38"/>
      <c r="AH234" s="38"/>
      <c r="AL234" s="38"/>
      <c r="AP234" s="38"/>
      <c r="AT234" s="38"/>
      <c r="AX234" s="38"/>
      <c r="BB234" s="38"/>
      <c r="BF234" s="38"/>
      <c r="BJ234" s="38"/>
      <c r="BN234" s="38"/>
      <c r="BR234" s="38"/>
    </row>
    <row r="235" spans="2:70" s="33" customFormat="1" ht="15.75">
      <c r="B235" s="38"/>
      <c r="F235" s="38"/>
      <c r="J235" s="38"/>
      <c r="N235" s="38"/>
      <c r="R235" s="38"/>
      <c r="V235" s="38"/>
      <c r="Z235" s="38"/>
      <c r="AD235" s="38"/>
      <c r="AH235" s="38"/>
      <c r="AL235" s="38"/>
      <c r="AP235" s="38"/>
      <c r="AT235" s="38"/>
      <c r="AX235" s="38"/>
      <c r="BB235" s="38"/>
      <c r="BF235" s="38"/>
      <c r="BJ235" s="38"/>
      <c r="BN235" s="38"/>
      <c r="BR235" s="38"/>
    </row>
    <row r="236" spans="2:70" s="33" customFormat="1" ht="15.75">
      <c r="B236" s="38"/>
      <c r="F236" s="38"/>
      <c r="J236" s="38"/>
      <c r="N236" s="38"/>
      <c r="R236" s="38"/>
      <c r="V236" s="38"/>
      <c r="Z236" s="38"/>
      <c r="AD236" s="38"/>
      <c r="AH236" s="38"/>
      <c r="AL236" s="38"/>
      <c r="AP236" s="38"/>
      <c r="AT236" s="38"/>
      <c r="AX236" s="38"/>
      <c r="BB236" s="38"/>
      <c r="BF236" s="38"/>
      <c r="BJ236" s="38"/>
      <c r="BN236" s="38"/>
      <c r="BR236" s="38"/>
    </row>
    <row r="237" spans="2:70" s="33" customFormat="1" ht="15.75">
      <c r="B237" s="38"/>
      <c r="F237" s="38"/>
      <c r="J237" s="38"/>
      <c r="N237" s="38"/>
      <c r="R237" s="38"/>
      <c r="V237" s="38"/>
      <c r="Z237" s="38"/>
      <c r="AD237" s="38"/>
      <c r="AH237" s="38"/>
      <c r="AL237" s="38"/>
      <c r="AP237" s="38"/>
      <c r="AT237" s="38"/>
      <c r="AX237" s="38"/>
      <c r="BB237" s="38"/>
      <c r="BF237" s="38"/>
      <c r="BJ237" s="38"/>
      <c r="BN237" s="38"/>
      <c r="BR237" s="38"/>
    </row>
    <row r="238" spans="2:70" s="33" customFormat="1" ht="15.75">
      <c r="B238" s="38"/>
      <c r="F238" s="38"/>
      <c r="J238" s="38"/>
      <c r="N238" s="38"/>
      <c r="R238" s="38"/>
      <c r="V238" s="38"/>
      <c r="Z238" s="38"/>
      <c r="AD238" s="38"/>
      <c r="AH238" s="38"/>
      <c r="AL238" s="38"/>
      <c r="AP238" s="38"/>
      <c r="AT238" s="38"/>
      <c r="AX238" s="38"/>
      <c r="BB238" s="38"/>
      <c r="BF238" s="38"/>
      <c r="BJ238" s="38"/>
      <c r="BN238" s="38"/>
      <c r="BR238" s="38"/>
    </row>
    <row r="239" spans="2:70" s="33" customFormat="1" ht="15.75">
      <c r="B239" s="38"/>
      <c r="F239" s="38"/>
      <c r="J239" s="38"/>
      <c r="N239" s="38"/>
      <c r="R239" s="38"/>
      <c r="V239" s="38"/>
      <c r="Z239" s="38"/>
      <c r="AD239" s="38"/>
      <c r="AH239" s="38"/>
      <c r="AL239" s="38"/>
      <c r="AP239" s="38"/>
      <c r="AT239" s="38"/>
      <c r="AX239" s="38"/>
      <c r="BB239" s="38"/>
      <c r="BF239" s="38"/>
      <c r="BJ239" s="38"/>
      <c r="BN239" s="38"/>
      <c r="BR239" s="38"/>
    </row>
    <row r="240" spans="2:70" s="33" customFormat="1" ht="15.75">
      <c r="B240" s="38"/>
      <c r="F240" s="38"/>
      <c r="J240" s="38"/>
      <c r="N240" s="38"/>
      <c r="R240" s="38"/>
      <c r="V240" s="38"/>
      <c r="Z240" s="38"/>
      <c r="AD240" s="38"/>
      <c r="AH240" s="38"/>
      <c r="AL240" s="38"/>
      <c r="AP240" s="38"/>
      <c r="AT240" s="38"/>
      <c r="AX240" s="38"/>
      <c r="BB240" s="38"/>
      <c r="BF240" s="38"/>
      <c r="BJ240" s="38"/>
      <c r="BN240" s="38"/>
      <c r="BR240" s="38"/>
    </row>
    <row r="241" spans="2:70" s="33" customFormat="1" ht="15.75">
      <c r="B241" s="38"/>
      <c r="F241" s="38"/>
      <c r="J241" s="38"/>
      <c r="N241" s="38"/>
      <c r="R241" s="38"/>
      <c r="V241" s="38"/>
      <c r="Z241" s="38"/>
      <c r="AD241" s="38"/>
      <c r="AH241" s="38"/>
      <c r="AL241" s="38"/>
      <c r="AP241" s="38"/>
      <c r="AT241" s="38"/>
      <c r="AX241" s="38"/>
      <c r="BB241" s="38"/>
      <c r="BF241" s="38"/>
      <c r="BJ241" s="38"/>
      <c r="BN241" s="38"/>
      <c r="BR241" s="38"/>
    </row>
    <row r="242" spans="2:70" s="33" customFormat="1" ht="15.75">
      <c r="B242" s="38"/>
      <c r="F242" s="38"/>
      <c r="J242" s="38"/>
      <c r="N242" s="38"/>
      <c r="R242" s="38"/>
      <c r="V242" s="38"/>
      <c r="Z242" s="38"/>
      <c r="AD242" s="38"/>
      <c r="AH242" s="38"/>
      <c r="AL242" s="38"/>
      <c r="AP242" s="38"/>
      <c r="AT242" s="38"/>
      <c r="AX242" s="38"/>
      <c r="BB242" s="38"/>
      <c r="BF242" s="38"/>
      <c r="BJ242" s="38"/>
      <c r="BN242" s="38"/>
      <c r="BR242" s="38"/>
    </row>
    <row r="243" spans="2:70" s="33" customFormat="1" ht="15.75">
      <c r="B243" s="38"/>
      <c r="F243" s="38"/>
      <c r="J243" s="38"/>
      <c r="N243" s="38"/>
      <c r="R243" s="38"/>
      <c r="V243" s="38"/>
      <c r="Z243" s="38"/>
      <c r="AD243" s="38"/>
      <c r="AH243" s="38"/>
      <c r="AL243" s="38"/>
      <c r="AP243" s="38"/>
      <c r="AT243" s="38"/>
      <c r="AX243" s="38"/>
      <c r="BB243" s="38"/>
      <c r="BF243" s="38"/>
      <c r="BJ243" s="38"/>
      <c r="BN243" s="38"/>
      <c r="BR243" s="38"/>
    </row>
    <row r="244" spans="2:70" s="33" customFormat="1" ht="15.75">
      <c r="B244" s="38"/>
      <c r="F244" s="38"/>
      <c r="J244" s="38"/>
      <c r="N244" s="38"/>
      <c r="R244" s="38"/>
      <c r="V244" s="38"/>
      <c r="Z244" s="38"/>
      <c r="AD244" s="38"/>
      <c r="AH244" s="38"/>
      <c r="AL244" s="38"/>
      <c r="AP244" s="38"/>
      <c r="AT244" s="38"/>
      <c r="AX244" s="38"/>
      <c r="BB244" s="38"/>
      <c r="BF244" s="38"/>
      <c r="BJ244" s="38"/>
      <c r="BN244" s="38"/>
      <c r="BR244" s="38"/>
    </row>
    <row r="245" spans="2:70" s="33" customFormat="1" ht="15.75">
      <c r="B245" s="38"/>
      <c r="F245" s="38"/>
      <c r="J245" s="38"/>
      <c r="N245" s="38"/>
      <c r="R245" s="38"/>
      <c r="V245" s="38"/>
      <c r="Z245" s="38"/>
      <c r="AD245" s="38"/>
      <c r="AH245" s="38"/>
      <c r="AL245" s="38"/>
      <c r="AP245" s="38"/>
      <c r="AT245" s="38"/>
      <c r="AX245" s="38"/>
      <c r="BB245" s="38"/>
      <c r="BF245" s="38"/>
      <c r="BJ245" s="38"/>
      <c r="BN245" s="38"/>
      <c r="BR245" s="38"/>
    </row>
    <row r="246" spans="2:70" s="33" customFormat="1" ht="15.75">
      <c r="B246" s="38"/>
      <c r="F246" s="38"/>
      <c r="J246" s="38"/>
      <c r="N246" s="38"/>
      <c r="R246" s="38"/>
      <c r="V246" s="38"/>
      <c r="Z246" s="38"/>
      <c r="AD246" s="38"/>
      <c r="AH246" s="38"/>
      <c r="AL246" s="38"/>
      <c r="AP246" s="38"/>
      <c r="AT246" s="38"/>
      <c r="AX246" s="38"/>
      <c r="BB246" s="38"/>
      <c r="BF246" s="38"/>
      <c r="BJ246" s="38"/>
      <c r="BN246" s="38"/>
      <c r="BR246" s="38"/>
    </row>
    <row r="247" spans="2:70" s="33" customFormat="1" ht="15.75">
      <c r="B247" s="38"/>
      <c r="F247" s="38"/>
      <c r="J247" s="38"/>
      <c r="N247" s="38"/>
      <c r="R247" s="38"/>
      <c r="V247" s="38"/>
      <c r="Z247" s="38"/>
      <c r="AD247" s="38"/>
      <c r="AH247" s="38"/>
      <c r="AL247" s="38"/>
      <c r="AP247" s="38"/>
      <c r="AT247" s="38"/>
      <c r="AX247" s="38"/>
      <c r="BB247" s="38"/>
      <c r="BF247" s="38"/>
      <c r="BJ247" s="38"/>
      <c r="BN247" s="38"/>
      <c r="BR247" s="38"/>
    </row>
    <row r="248" spans="2:70" s="33" customFormat="1" ht="15.75">
      <c r="B248" s="38"/>
      <c r="F248" s="38"/>
      <c r="J248" s="38"/>
      <c r="N248" s="38"/>
      <c r="R248" s="38"/>
      <c r="V248" s="38"/>
      <c r="Z248" s="38"/>
      <c r="AD248" s="38"/>
      <c r="AH248" s="38"/>
      <c r="AL248" s="38"/>
      <c r="AP248" s="38"/>
      <c r="AT248" s="38"/>
      <c r="AX248" s="38"/>
      <c r="BB248" s="38"/>
      <c r="BF248" s="38"/>
      <c r="BJ248" s="38"/>
      <c r="BN248" s="38"/>
      <c r="BR248" s="38"/>
    </row>
    <row r="249" spans="2:70" s="33" customFormat="1" ht="15.75">
      <c r="B249" s="38"/>
      <c r="F249" s="38"/>
      <c r="J249" s="38"/>
      <c r="N249" s="38"/>
      <c r="R249" s="38"/>
      <c r="V249" s="38"/>
      <c r="Z249" s="38"/>
      <c r="AD249" s="38"/>
      <c r="AH249" s="38"/>
      <c r="AL249" s="38"/>
      <c r="AP249" s="38"/>
      <c r="AT249" s="38"/>
      <c r="AX249" s="38"/>
      <c r="BB249" s="38"/>
      <c r="BF249" s="38"/>
      <c r="BJ249" s="38"/>
      <c r="BN249" s="38"/>
      <c r="BR249" s="38"/>
    </row>
    <row r="250" spans="2:70" s="33" customFormat="1" ht="15.75">
      <c r="B250" s="38"/>
      <c r="F250" s="38"/>
      <c r="J250" s="38"/>
      <c r="N250" s="38"/>
      <c r="R250" s="38"/>
      <c r="V250" s="38"/>
      <c r="Z250" s="38"/>
      <c r="AD250" s="38"/>
      <c r="AH250" s="38"/>
      <c r="AL250" s="38"/>
      <c r="AP250" s="38"/>
      <c r="AT250" s="38"/>
      <c r="AX250" s="38"/>
      <c r="BB250" s="38"/>
      <c r="BF250" s="38"/>
      <c r="BJ250" s="38"/>
      <c r="BN250" s="38"/>
      <c r="BR250" s="38"/>
    </row>
    <row r="251" spans="2:70" s="33" customFormat="1" ht="15.75">
      <c r="B251" s="38"/>
      <c r="F251" s="38"/>
      <c r="J251" s="38"/>
      <c r="N251" s="38"/>
      <c r="R251" s="38"/>
      <c r="V251" s="38"/>
      <c r="Z251" s="38"/>
      <c r="AD251" s="38"/>
      <c r="AH251" s="38"/>
      <c r="AL251" s="38"/>
      <c r="AP251" s="38"/>
      <c r="AT251" s="38"/>
      <c r="AX251" s="38"/>
      <c r="BB251" s="38"/>
      <c r="BF251" s="38"/>
      <c r="BJ251" s="38"/>
      <c r="BN251" s="38"/>
      <c r="BR251" s="38"/>
    </row>
    <row r="252" spans="2:70" s="33" customFormat="1" ht="15.75">
      <c r="B252" s="38"/>
      <c r="F252" s="38"/>
      <c r="J252" s="38"/>
      <c r="N252" s="38"/>
      <c r="R252" s="38"/>
      <c r="V252" s="38"/>
      <c r="Z252" s="38"/>
      <c r="AD252" s="38"/>
      <c r="AH252" s="38"/>
      <c r="AL252" s="38"/>
      <c r="AP252" s="38"/>
      <c r="AT252" s="38"/>
      <c r="AX252" s="38"/>
      <c r="BB252" s="38"/>
      <c r="BF252" s="38"/>
      <c r="BJ252" s="38"/>
      <c r="BN252" s="38"/>
      <c r="BR252" s="38"/>
    </row>
    <row r="253" spans="2:70" s="33" customFormat="1" ht="15.75">
      <c r="B253" s="38"/>
      <c r="F253" s="38"/>
      <c r="J253" s="38"/>
      <c r="N253" s="38"/>
      <c r="R253" s="38"/>
      <c r="V253" s="38"/>
      <c r="Z253" s="38"/>
      <c r="AD253" s="38"/>
      <c r="AH253" s="38"/>
      <c r="AL253" s="38"/>
      <c r="AP253" s="38"/>
      <c r="AT253" s="38"/>
      <c r="AX253" s="38"/>
      <c r="BB253" s="38"/>
      <c r="BF253" s="38"/>
      <c r="BJ253" s="38"/>
      <c r="BN253" s="38"/>
      <c r="BR253" s="38"/>
    </row>
    <row r="254" spans="2:70" s="33" customFormat="1" ht="15.75">
      <c r="B254" s="38"/>
      <c r="F254" s="38"/>
      <c r="J254" s="38"/>
      <c r="N254" s="38"/>
      <c r="R254" s="38"/>
      <c r="V254" s="38"/>
      <c r="Z254" s="38"/>
      <c r="AD254" s="38"/>
      <c r="AH254" s="38"/>
      <c r="AL254" s="38"/>
      <c r="AP254" s="38"/>
      <c r="AT254" s="38"/>
      <c r="AX254" s="38"/>
      <c r="BB254" s="38"/>
      <c r="BF254" s="38"/>
      <c r="BJ254" s="38"/>
      <c r="BN254" s="38"/>
      <c r="BR254" s="38"/>
    </row>
    <row r="255" spans="2:70" s="33" customFormat="1" ht="15.75">
      <c r="B255" s="38"/>
      <c r="F255" s="38"/>
      <c r="J255" s="38"/>
      <c r="N255" s="38"/>
      <c r="R255" s="38"/>
      <c r="V255" s="38"/>
      <c r="Z255" s="38"/>
      <c r="AD255" s="38"/>
      <c r="AH255" s="38"/>
      <c r="AL255" s="38"/>
      <c r="AP255" s="38"/>
      <c r="AT255" s="38"/>
      <c r="AX255" s="38"/>
      <c r="BB255" s="38"/>
      <c r="BF255" s="38"/>
      <c r="BJ255" s="38"/>
      <c r="BN255" s="38"/>
      <c r="BR255" s="38"/>
    </row>
    <row r="256" spans="2:70" s="33" customFormat="1" ht="15.75">
      <c r="B256" s="38"/>
      <c r="F256" s="38"/>
      <c r="J256" s="38"/>
      <c r="N256" s="38"/>
      <c r="R256" s="38"/>
      <c r="V256" s="38"/>
      <c r="Z256" s="38"/>
      <c r="AD256" s="38"/>
      <c r="AH256" s="38"/>
      <c r="AL256" s="38"/>
      <c r="AP256" s="38"/>
      <c r="AT256" s="38"/>
      <c r="AX256" s="38"/>
      <c r="BB256" s="38"/>
      <c r="BF256" s="38"/>
      <c r="BJ256" s="38"/>
      <c r="BN256" s="38"/>
      <c r="BR256" s="38"/>
    </row>
    <row r="257" spans="2:70" s="33" customFormat="1" ht="15.75">
      <c r="B257" s="38"/>
      <c r="F257" s="38"/>
      <c r="J257" s="38"/>
      <c r="N257" s="38"/>
      <c r="R257" s="38"/>
      <c r="V257" s="38"/>
      <c r="Z257" s="38"/>
      <c r="AD257" s="38"/>
      <c r="AH257" s="38"/>
      <c r="AL257" s="38"/>
      <c r="AP257" s="38"/>
      <c r="AT257" s="38"/>
      <c r="AX257" s="38"/>
      <c r="BB257" s="38"/>
      <c r="BF257" s="38"/>
      <c r="BJ257" s="38"/>
      <c r="BN257" s="38"/>
      <c r="BR257" s="38"/>
    </row>
    <row r="258" spans="2:70" s="33" customFormat="1" ht="15.75">
      <c r="B258" s="38"/>
      <c r="F258" s="38"/>
      <c r="J258" s="38"/>
      <c r="N258" s="38"/>
      <c r="R258" s="38"/>
      <c r="V258" s="38"/>
      <c r="Z258" s="38"/>
      <c r="AD258" s="38"/>
      <c r="AH258" s="38"/>
      <c r="AL258" s="38"/>
      <c r="AP258" s="38"/>
      <c r="AT258" s="38"/>
      <c r="AX258" s="38"/>
      <c r="BB258" s="38"/>
      <c r="BF258" s="38"/>
      <c r="BJ258" s="38"/>
      <c r="BN258" s="38"/>
      <c r="BR258" s="38"/>
    </row>
    <row r="259" spans="2:70" s="33" customFormat="1" ht="15.75">
      <c r="B259" s="38"/>
      <c r="F259" s="38"/>
      <c r="J259" s="38"/>
      <c r="N259" s="38"/>
      <c r="R259" s="38"/>
      <c r="V259" s="38"/>
      <c r="Z259" s="38"/>
      <c r="AD259" s="38"/>
      <c r="AH259" s="38"/>
      <c r="AL259" s="38"/>
      <c r="AP259" s="38"/>
      <c r="AT259" s="38"/>
      <c r="AX259" s="38"/>
      <c r="BB259" s="38"/>
      <c r="BF259" s="38"/>
      <c r="BJ259" s="38"/>
      <c r="BN259" s="38"/>
      <c r="BR259" s="38"/>
    </row>
    <row r="260" spans="2:70" s="33" customFormat="1" ht="15.75">
      <c r="B260" s="38"/>
      <c r="F260" s="38"/>
      <c r="J260" s="38"/>
      <c r="N260" s="38"/>
      <c r="R260" s="38"/>
      <c r="V260" s="38"/>
      <c r="Z260" s="38"/>
      <c r="AD260" s="38"/>
      <c r="AH260" s="38"/>
      <c r="AL260" s="38"/>
      <c r="AP260" s="38"/>
      <c r="AT260" s="38"/>
      <c r="AX260" s="38"/>
      <c r="BB260" s="38"/>
      <c r="BF260" s="38"/>
      <c r="BJ260" s="38"/>
      <c r="BN260" s="38"/>
      <c r="BR260" s="38"/>
    </row>
    <row r="261" spans="2:70" s="33" customFormat="1" ht="15.75">
      <c r="B261" s="38"/>
      <c r="F261" s="38"/>
      <c r="J261" s="38"/>
      <c r="N261" s="38"/>
      <c r="R261" s="38"/>
      <c r="V261" s="38"/>
      <c r="Z261" s="38"/>
      <c r="AD261" s="38"/>
      <c r="AH261" s="38"/>
      <c r="AL261" s="38"/>
      <c r="AP261" s="38"/>
      <c r="AT261" s="38"/>
      <c r="AX261" s="38"/>
      <c r="BB261" s="38"/>
      <c r="BF261" s="38"/>
      <c r="BJ261" s="38"/>
      <c r="BN261" s="38"/>
      <c r="BR261" s="38"/>
    </row>
    <row r="262" spans="2:70" s="33" customFormat="1" ht="15.75">
      <c r="B262" s="38"/>
      <c r="F262" s="38"/>
      <c r="J262" s="38"/>
      <c r="N262" s="38"/>
      <c r="R262" s="38"/>
      <c r="V262" s="38"/>
      <c r="Z262" s="38"/>
      <c r="AD262" s="38"/>
      <c r="AH262" s="38"/>
      <c r="AL262" s="38"/>
      <c r="AP262" s="38"/>
      <c r="AT262" s="38"/>
      <c r="AX262" s="38"/>
      <c r="BB262" s="38"/>
      <c r="BF262" s="38"/>
      <c r="BJ262" s="38"/>
      <c r="BN262" s="38"/>
      <c r="BR262" s="38"/>
    </row>
    <row r="263" spans="2:70" s="33" customFormat="1" ht="15.75">
      <c r="B263" s="38"/>
      <c r="F263" s="38"/>
      <c r="J263" s="38"/>
      <c r="N263" s="38"/>
      <c r="R263" s="38"/>
      <c r="V263" s="38"/>
      <c r="Z263" s="38"/>
      <c r="AD263" s="38"/>
      <c r="AH263" s="38"/>
      <c r="AL263" s="38"/>
      <c r="AP263" s="38"/>
      <c r="AT263" s="38"/>
      <c r="AX263" s="38"/>
      <c r="BB263" s="38"/>
      <c r="BF263" s="38"/>
      <c r="BJ263" s="38"/>
      <c r="BN263" s="38"/>
      <c r="BR263" s="38"/>
    </row>
    <row r="264" spans="2:70" s="33" customFormat="1" ht="15.75">
      <c r="B264" s="38"/>
      <c r="F264" s="38"/>
      <c r="J264" s="38"/>
      <c r="N264" s="38"/>
      <c r="R264" s="38"/>
      <c r="V264" s="38"/>
      <c r="Z264" s="38"/>
      <c r="AD264" s="38"/>
      <c r="AH264" s="38"/>
      <c r="AL264" s="38"/>
      <c r="AP264" s="38"/>
      <c r="AT264" s="38"/>
      <c r="AX264" s="38"/>
      <c r="BB264" s="38"/>
      <c r="BF264" s="38"/>
      <c r="BJ264" s="38"/>
      <c r="BN264" s="38"/>
      <c r="BR264" s="38"/>
    </row>
    <row r="265" spans="2:70" s="33" customFormat="1" ht="15.75">
      <c r="B265" s="38"/>
      <c r="F265" s="38"/>
      <c r="J265" s="38"/>
      <c r="N265" s="38"/>
      <c r="R265" s="38"/>
      <c r="V265" s="38"/>
      <c r="Z265" s="38"/>
      <c r="AD265" s="38"/>
      <c r="AH265" s="38"/>
      <c r="AL265" s="38"/>
      <c r="AP265" s="38"/>
      <c r="AT265" s="38"/>
      <c r="AX265" s="38"/>
      <c r="BB265" s="38"/>
      <c r="BF265" s="38"/>
      <c r="BJ265" s="38"/>
      <c r="BN265" s="38"/>
      <c r="BR265" s="38"/>
    </row>
    <row r="266" spans="2:70" s="33" customFormat="1" ht="15.75">
      <c r="B266" s="38"/>
      <c r="F266" s="38"/>
      <c r="J266" s="38"/>
      <c r="N266" s="38"/>
      <c r="R266" s="38"/>
      <c r="V266" s="38"/>
      <c r="Z266" s="38"/>
      <c r="AD266" s="38"/>
      <c r="AH266" s="38"/>
      <c r="AL266" s="38"/>
      <c r="AP266" s="38"/>
      <c r="AT266" s="38"/>
      <c r="AX266" s="38"/>
      <c r="BB266" s="38"/>
      <c r="BF266" s="38"/>
      <c r="BJ266" s="38"/>
      <c r="BN266" s="38"/>
      <c r="BR266" s="38"/>
    </row>
    <row r="267" spans="2:70" s="33" customFormat="1" ht="15.75">
      <c r="B267" s="38"/>
      <c r="F267" s="38"/>
      <c r="J267" s="38"/>
      <c r="N267" s="38"/>
      <c r="R267" s="38"/>
      <c r="V267" s="38"/>
      <c r="Z267" s="38"/>
      <c r="AD267" s="38"/>
      <c r="AH267" s="38"/>
      <c r="AL267" s="38"/>
      <c r="AP267" s="38"/>
      <c r="AT267" s="38"/>
      <c r="AX267" s="38"/>
      <c r="BB267" s="38"/>
      <c r="BF267" s="38"/>
      <c r="BJ267" s="38"/>
      <c r="BN267" s="38"/>
      <c r="BR267" s="38"/>
    </row>
    <row r="268" spans="2:70" s="33" customFormat="1" ht="15.75">
      <c r="B268" s="38"/>
      <c r="F268" s="38"/>
      <c r="J268" s="38"/>
      <c r="N268" s="38"/>
      <c r="R268" s="38"/>
      <c r="V268" s="38"/>
      <c r="Z268" s="38"/>
      <c r="AD268" s="38"/>
      <c r="AH268" s="38"/>
      <c r="AL268" s="38"/>
      <c r="AP268" s="38"/>
      <c r="AT268" s="38"/>
      <c r="AX268" s="38"/>
      <c r="BB268" s="38"/>
      <c r="BF268" s="38"/>
      <c r="BJ268" s="38"/>
      <c r="BN268" s="38"/>
      <c r="BR268" s="38"/>
    </row>
    <row r="269" spans="2:70" s="33" customFormat="1" ht="15.75">
      <c r="B269" s="38"/>
      <c r="F269" s="38"/>
      <c r="J269" s="38"/>
      <c r="N269" s="38"/>
      <c r="R269" s="38"/>
      <c r="V269" s="38"/>
      <c r="Z269" s="38"/>
      <c r="AD269" s="38"/>
      <c r="AH269" s="38"/>
      <c r="AL269" s="38"/>
      <c r="AP269" s="38"/>
      <c r="AT269" s="38"/>
      <c r="AX269" s="38"/>
      <c r="BB269" s="38"/>
      <c r="BF269" s="38"/>
      <c r="BJ269" s="38"/>
      <c r="BN269" s="38"/>
      <c r="BR269" s="38"/>
    </row>
    <row r="270" spans="2:70" s="33" customFormat="1" ht="15.75">
      <c r="B270" s="38"/>
      <c r="F270" s="38"/>
      <c r="J270" s="38"/>
      <c r="N270" s="38"/>
      <c r="R270" s="38"/>
      <c r="V270" s="38"/>
      <c r="Z270" s="38"/>
      <c r="AD270" s="38"/>
      <c r="AH270" s="38"/>
      <c r="AL270" s="38"/>
      <c r="AP270" s="38"/>
      <c r="AT270" s="38"/>
      <c r="AX270" s="38"/>
      <c r="BB270" s="38"/>
      <c r="BF270" s="38"/>
      <c r="BJ270" s="38"/>
      <c r="BN270" s="38"/>
      <c r="BR270" s="38"/>
    </row>
    <row r="271" spans="2:70" s="33" customFormat="1" ht="15.75">
      <c r="B271" s="38"/>
      <c r="F271" s="38"/>
      <c r="J271" s="38"/>
      <c r="N271" s="38"/>
      <c r="R271" s="38"/>
      <c r="V271" s="38"/>
      <c r="Z271" s="38"/>
      <c r="AD271" s="38"/>
      <c r="AH271" s="38"/>
      <c r="AL271" s="38"/>
      <c r="AP271" s="38"/>
      <c r="AT271" s="38"/>
      <c r="AX271" s="38"/>
      <c r="BB271" s="38"/>
      <c r="BF271" s="38"/>
      <c r="BJ271" s="38"/>
      <c r="BN271" s="38"/>
      <c r="BR271" s="38"/>
    </row>
    <row r="272" spans="2:70" s="33" customFormat="1" ht="15.75">
      <c r="B272" s="38"/>
      <c r="F272" s="38"/>
      <c r="J272" s="38"/>
      <c r="N272" s="38"/>
      <c r="R272" s="38"/>
      <c r="V272" s="38"/>
      <c r="Z272" s="38"/>
      <c r="AD272" s="38"/>
      <c r="AH272" s="38"/>
      <c r="AL272" s="38"/>
      <c r="AP272" s="38"/>
      <c r="AT272" s="38"/>
      <c r="AX272" s="38"/>
      <c r="BB272" s="38"/>
      <c r="BF272" s="38"/>
      <c r="BJ272" s="38"/>
      <c r="BN272" s="38"/>
      <c r="BR272" s="38"/>
    </row>
    <row r="273" spans="2:70" s="33" customFormat="1" ht="15.75">
      <c r="B273" s="38"/>
      <c r="F273" s="38"/>
      <c r="J273" s="38"/>
      <c r="N273" s="38"/>
      <c r="R273" s="38"/>
      <c r="V273" s="38"/>
      <c r="Z273" s="38"/>
      <c r="AD273" s="38"/>
      <c r="AH273" s="38"/>
      <c r="AL273" s="38"/>
      <c r="AP273" s="38"/>
      <c r="AT273" s="38"/>
      <c r="AX273" s="38"/>
      <c r="BB273" s="38"/>
      <c r="BF273" s="38"/>
      <c r="BJ273" s="38"/>
      <c r="BN273" s="38"/>
      <c r="BR273" s="38"/>
    </row>
    <row r="274" spans="2:70" s="33" customFormat="1" ht="15.75">
      <c r="B274" s="38"/>
      <c r="F274" s="38"/>
      <c r="J274" s="38"/>
      <c r="N274" s="38"/>
      <c r="R274" s="38"/>
      <c r="V274" s="38"/>
      <c r="Z274" s="38"/>
      <c r="AD274" s="38"/>
      <c r="AH274" s="38"/>
      <c r="AL274" s="38"/>
      <c r="AP274" s="38"/>
      <c r="AT274" s="38"/>
      <c r="AX274" s="38"/>
      <c r="BB274" s="38"/>
      <c r="BF274" s="38"/>
      <c r="BJ274" s="38"/>
      <c r="BN274" s="38"/>
      <c r="BR274" s="38"/>
    </row>
    <row r="275" spans="2:70" s="33" customFormat="1" ht="15.75">
      <c r="B275" s="38"/>
      <c r="F275" s="38"/>
      <c r="J275" s="38"/>
      <c r="N275" s="38"/>
      <c r="R275" s="38"/>
      <c r="V275" s="38"/>
      <c r="Z275" s="38"/>
      <c r="AD275" s="38"/>
      <c r="AH275" s="38"/>
      <c r="AL275" s="38"/>
      <c r="AP275" s="38"/>
      <c r="AT275" s="38"/>
      <c r="AX275" s="38"/>
      <c r="BB275" s="38"/>
      <c r="BF275" s="38"/>
      <c r="BJ275" s="38"/>
      <c r="BN275" s="38"/>
      <c r="BR275" s="38"/>
    </row>
    <row r="276" spans="2:70" s="33" customFormat="1" ht="15.75">
      <c r="B276" s="38"/>
      <c r="F276" s="38"/>
      <c r="J276" s="38"/>
      <c r="N276" s="38"/>
      <c r="R276" s="38"/>
      <c r="V276" s="38"/>
      <c r="Z276" s="38"/>
      <c r="AD276" s="38"/>
      <c r="AH276" s="38"/>
      <c r="AL276" s="38"/>
      <c r="AP276" s="38"/>
      <c r="AT276" s="38"/>
      <c r="AX276" s="38"/>
      <c r="BB276" s="38"/>
      <c r="BF276" s="38"/>
      <c r="BJ276" s="38"/>
      <c r="BN276" s="38"/>
      <c r="BR276" s="38"/>
    </row>
    <row r="277" spans="2:70" s="33" customFormat="1" ht="15.75">
      <c r="B277" s="38"/>
      <c r="F277" s="38"/>
      <c r="J277" s="38"/>
      <c r="N277" s="38"/>
      <c r="R277" s="38"/>
      <c r="V277" s="38"/>
      <c r="Z277" s="38"/>
      <c r="AD277" s="38"/>
      <c r="AH277" s="38"/>
      <c r="AL277" s="38"/>
      <c r="AP277" s="38"/>
      <c r="AT277" s="38"/>
      <c r="AX277" s="38"/>
      <c r="BB277" s="38"/>
      <c r="BF277" s="38"/>
      <c r="BJ277" s="38"/>
      <c r="BN277" s="38"/>
      <c r="BR277" s="38"/>
    </row>
    <row r="278" spans="2:70" s="33" customFormat="1" ht="15.75">
      <c r="B278" s="38"/>
      <c r="F278" s="38"/>
      <c r="J278" s="38"/>
      <c r="N278" s="38"/>
      <c r="R278" s="38"/>
      <c r="V278" s="38"/>
      <c r="Z278" s="38"/>
      <c r="AD278" s="38"/>
      <c r="AH278" s="38"/>
      <c r="AL278" s="38"/>
      <c r="AP278" s="38"/>
      <c r="AT278" s="38"/>
      <c r="AX278" s="38"/>
      <c r="BB278" s="38"/>
      <c r="BF278" s="38"/>
      <c r="BJ278" s="38"/>
      <c r="BN278" s="38"/>
      <c r="BR278" s="38"/>
    </row>
    <row r="279" spans="2:70" s="33" customFormat="1" ht="15.75">
      <c r="B279" s="38"/>
      <c r="F279" s="38"/>
      <c r="J279" s="38"/>
      <c r="N279" s="38"/>
      <c r="R279" s="38"/>
      <c r="V279" s="38"/>
      <c r="Z279" s="38"/>
      <c r="AD279" s="38"/>
      <c r="AH279" s="38"/>
      <c r="AL279" s="38"/>
      <c r="AP279" s="38"/>
      <c r="AT279" s="38"/>
      <c r="AX279" s="38"/>
      <c r="BB279" s="38"/>
      <c r="BF279" s="38"/>
      <c r="BJ279" s="38"/>
      <c r="BN279" s="38"/>
      <c r="BR279" s="38"/>
    </row>
    <row r="280" spans="2:70" s="33" customFormat="1" ht="15.75">
      <c r="B280" s="38"/>
      <c r="F280" s="38"/>
      <c r="J280" s="38"/>
      <c r="N280" s="38"/>
      <c r="R280" s="38"/>
      <c r="V280" s="38"/>
      <c r="Z280" s="38"/>
      <c r="AD280" s="38"/>
      <c r="AH280" s="38"/>
      <c r="AL280" s="38"/>
      <c r="AP280" s="38"/>
      <c r="AT280" s="38"/>
      <c r="AX280" s="38"/>
      <c r="BB280" s="38"/>
      <c r="BF280" s="38"/>
      <c r="BJ280" s="38"/>
      <c r="BN280" s="38"/>
      <c r="BR280" s="38"/>
    </row>
    <row r="281" spans="2:70" s="33" customFormat="1" ht="15.75">
      <c r="B281" s="38"/>
      <c r="F281" s="38"/>
      <c r="J281" s="38"/>
      <c r="N281" s="38"/>
      <c r="R281" s="38"/>
      <c r="V281" s="38"/>
      <c r="Z281" s="38"/>
      <c r="AD281" s="38"/>
      <c r="AH281" s="38"/>
      <c r="AL281" s="38"/>
      <c r="AP281" s="38"/>
      <c r="AT281" s="38"/>
      <c r="AX281" s="38"/>
      <c r="BB281" s="38"/>
      <c r="BF281" s="38"/>
      <c r="BJ281" s="38"/>
      <c r="BN281" s="38"/>
      <c r="BR281" s="38"/>
    </row>
    <row r="282" spans="2:70" s="33" customFormat="1" ht="15.75">
      <c r="B282" s="38"/>
      <c r="F282" s="38"/>
      <c r="J282" s="38"/>
      <c r="N282" s="38"/>
      <c r="R282" s="38"/>
      <c r="V282" s="38"/>
      <c r="Z282" s="38"/>
      <c r="AD282" s="38"/>
      <c r="AH282" s="38"/>
      <c r="AL282" s="38"/>
      <c r="AP282" s="38"/>
      <c r="AT282" s="38"/>
      <c r="AX282" s="38"/>
      <c r="BB282" s="38"/>
      <c r="BF282" s="38"/>
      <c r="BJ282" s="38"/>
      <c r="BN282" s="38"/>
      <c r="BR282" s="38"/>
    </row>
    <row r="283" spans="2:70" s="33" customFormat="1" ht="15.75">
      <c r="B283" s="38"/>
      <c r="F283" s="38"/>
      <c r="J283" s="38"/>
      <c r="N283" s="38"/>
      <c r="R283" s="38"/>
      <c r="V283" s="38"/>
      <c r="Z283" s="38"/>
      <c r="AD283" s="38"/>
      <c r="AH283" s="38"/>
      <c r="AL283" s="38"/>
      <c r="AP283" s="38"/>
      <c r="AT283" s="38"/>
      <c r="AX283" s="38"/>
      <c r="BB283" s="38"/>
      <c r="BF283" s="38"/>
      <c r="BJ283" s="38"/>
      <c r="BN283" s="38"/>
      <c r="BR283" s="38"/>
    </row>
    <row r="284" spans="2:70" s="33" customFormat="1" ht="15.75">
      <c r="B284" s="38"/>
      <c r="F284" s="38"/>
      <c r="J284" s="38"/>
      <c r="N284" s="38"/>
      <c r="R284" s="38"/>
      <c r="V284" s="38"/>
      <c r="Z284" s="38"/>
      <c r="AD284" s="38"/>
      <c r="AH284" s="38"/>
      <c r="AL284" s="38"/>
      <c r="AP284" s="38"/>
      <c r="AT284" s="38"/>
      <c r="AX284" s="38"/>
      <c r="BB284" s="38"/>
      <c r="BF284" s="38"/>
      <c r="BJ284" s="38"/>
      <c r="BN284" s="38"/>
      <c r="BR284" s="38"/>
    </row>
    <row r="285" spans="2:70" s="33" customFormat="1" ht="15.75">
      <c r="B285" s="38"/>
      <c r="F285" s="38"/>
      <c r="J285" s="38"/>
      <c r="N285" s="38"/>
      <c r="R285" s="38"/>
      <c r="V285" s="38"/>
      <c r="Z285" s="38"/>
      <c r="AD285" s="38"/>
      <c r="AH285" s="38"/>
      <c r="AL285" s="38"/>
      <c r="AP285" s="38"/>
      <c r="AT285" s="38"/>
      <c r="AX285" s="38"/>
      <c r="BB285" s="38"/>
      <c r="BF285" s="38"/>
      <c r="BJ285" s="38"/>
      <c r="BN285" s="38"/>
      <c r="BR285" s="38"/>
    </row>
    <row r="286" spans="2:70" s="33" customFormat="1" ht="15.75">
      <c r="B286" s="38"/>
      <c r="F286" s="38"/>
      <c r="J286" s="38"/>
      <c r="N286" s="38"/>
      <c r="R286" s="38"/>
      <c r="V286" s="38"/>
      <c r="Z286" s="38"/>
      <c r="AD286" s="38"/>
      <c r="AH286" s="38"/>
      <c r="AL286" s="38"/>
      <c r="AP286" s="38"/>
      <c r="AT286" s="38"/>
      <c r="AX286" s="38"/>
      <c r="BB286" s="38"/>
      <c r="BF286" s="38"/>
      <c r="BJ286" s="38"/>
      <c r="BN286" s="38"/>
      <c r="BR286" s="38"/>
    </row>
    <row r="287" spans="2:70" s="33" customFormat="1" ht="15.75">
      <c r="B287" s="38"/>
      <c r="F287" s="38"/>
      <c r="J287" s="38"/>
      <c r="N287" s="38"/>
      <c r="R287" s="38"/>
      <c r="V287" s="38"/>
      <c r="Z287" s="38"/>
      <c r="AD287" s="38"/>
      <c r="AH287" s="38"/>
      <c r="AL287" s="38"/>
      <c r="AP287" s="38"/>
      <c r="AT287" s="38"/>
      <c r="AX287" s="38"/>
      <c r="BB287" s="38"/>
      <c r="BF287" s="38"/>
      <c r="BJ287" s="38"/>
      <c r="BN287" s="38"/>
      <c r="BR287" s="38"/>
    </row>
    <row r="288" spans="2:70" s="33" customFormat="1" ht="15.75">
      <c r="B288" s="38"/>
      <c r="F288" s="38"/>
      <c r="J288" s="38"/>
      <c r="N288" s="38"/>
      <c r="R288" s="38"/>
      <c r="V288" s="38"/>
      <c r="Z288" s="38"/>
      <c r="AD288" s="38"/>
      <c r="AH288" s="38"/>
      <c r="AL288" s="38"/>
      <c r="AP288" s="38"/>
      <c r="AT288" s="38"/>
      <c r="AX288" s="38"/>
      <c r="BB288" s="38"/>
      <c r="BF288" s="38"/>
      <c r="BJ288" s="38"/>
      <c r="BN288" s="38"/>
      <c r="BR288" s="38"/>
    </row>
    <row r="289" spans="2:70" s="33" customFormat="1" ht="15.75">
      <c r="B289" s="38"/>
      <c r="F289" s="38"/>
      <c r="J289" s="38"/>
      <c r="N289" s="38"/>
      <c r="R289" s="38"/>
      <c r="V289" s="38"/>
      <c r="Z289" s="38"/>
      <c r="AD289" s="38"/>
      <c r="AH289" s="38"/>
      <c r="AL289" s="38"/>
      <c r="AP289" s="38"/>
      <c r="AT289" s="38"/>
      <c r="AX289" s="38"/>
      <c r="BB289" s="38"/>
      <c r="BF289" s="38"/>
      <c r="BJ289" s="38"/>
      <c r="BN289" s="38"/>
      <c r="BR289" s="38"/>
    </row>
    <row r="290" spans="2:70" s="33" customFormat="1" ht="15.75">
      <c r="B290" s="38"/>
      <c r="F290" s="38"/>
      <c r="J290" s="38"/>
      <c r="N290" s="38"/>
      <c r="R290" s="38"/>
      <c r="V290" s="38"/>
      <c r="Z290" s="38"/>
      <c r="AD290" s="38"/>
      <c r="AH290" s="38"/>
      <c r="AL290" s="38"/>
      <c r="AP290" s="38"/>
      <c r="AT290" s="38"/>
      <c r="AX290" s="38"/>
      <c r="BB290" s="38"/>
      <c r="BF290" s="38"/>
      <c r="BJ290" s="38"/>
      <c r="BN290" s="38"/>
      <c r="BR290" s="38"/>
    </row>
    <row r="291" spans="2:70" s="33" customFormat="1" ht="15.75">
      <c r="B291" s="38"/>
      <c r="F291" s="38"/>
      <c r="J291" s="38"/>
      <c r="N291" s="38"/>
      <c r="R291" s="38"/>
      <c r="V291" s="38"/>
      <c r="Z291" s="38"/>
      <c r="AD291" s="38"/>
      <c r="AH291" s="38"/>
      <c r="AL291" s="38"/>
      <c r="AP291" s="38"/>
      <c r="AT291" s="38"/>
      <c r="AX291" s="38"/>
      <c r="BB291" s="38"/>
      <c r="BF291" s="38"/>
      <c r="BJ291" s="38"/>
      <c r="BN291" s="38"/>
      <c r="BR291" s="38"/>
    </row>
    <row r="292" spans="2:70" s="33" customFormat="1" ht="15.75">
      <c r="B292" s="38"/>
      <c r="F292" s="38"/>
      <c r="J292" s="38"/>
      <c r="N292" s="38"/>
      <c r="R292" s="38"/>
      <c r="V292" s="38"/>
      <c r="Z292" s="38"/>
      <c r="AD292" s="38"/>
      <c r="AH292" s="38"/>
      <c r="AL292" s="38"/>
      <c r="AP292" s="38"/>
      <c r="AT292" s="38"/>
      <c r="AX292" s="38"/>
      <c r="BB292" s="38"/>
      <c r="BF292" s="38"/>
      <c r="BJ292" s="38"/>
      <c r="BN292" s="38"/>
      <c r="BR292" s="38"/>
    </row>
    <row r="293" spans="2:70" s="33" customFormat="1" ht="15.75">
      <c r="B293" s="38"/>
      <c r="F293" s="38"/>
      <c r="J293" s="38"/>
      <c r="N293" s="38"/>
      <c r="R293" s="38"/>
      <c r="V293" s="38"/>
      <c r="Z293" s="38"/>
      <c r="AD293" s="38"/>
      <c r="AH293" s="38"/>
      <c r="AL293" s="38"/>
      <c r="AP293" s="38"/>
      <c r="AT293" s="38"/>
      <c r="AX293" s="38"/>
      <c r="BB293" s="38"/>
      <c r="BF293" s="38"/>
      <c r="BJ293" s="38"/>
      <c r="BN293" s="38"/>
      <c r="BR293" s="38"/>
    </row>
    <row r="294" spans="2:70" s="33" customFormat="1" ht="15.75">
      <c r="B294" s="38"/>
      <c r="F294" s="38"/>
      <c r="J294" s="38"/>
      <c r="N294" s="38"/>
      <c r="R294" s="38"/>
      <c r="V294" s="38"/>
      <c r="Z294" s="38"/>
      <c r="AD294" s="38"/>
      <c r="AH294" s="38"/>
      <c r="AL294" s="38"/>
      <c r="AP294" s="38"/>
      <c r="AT294" s="38"/>
      <c r="AX294" s="38"/>
      <c r="BB294" s="38"/>
      <c r="BF294" s="38"/>
      <c r="BJ294" s="38"/>
      <c r="BN294" s="38"/>
      <c r="BR294" s="38"/>
    </row>
    <row r="295" spans="2:70" s="33" customFormat="1" ht="15.75">
      <c r="B295" s="38"/>
      <c r="F295" s="38"/>
      <c r="J295" s="38"/>
      <c r="N295" s="38"/>
      <c r="R295" s="38"/>
      <c r="V295" s="38"/>
      <c r="Z295" s="38"/>
      <c r="AD295" s="38"/>
      <c r="AH295" s="38"/>
      <c r="AL295" s="38"/>
      <c r="AP295" s="38"/>
      <c r="AT295" s="38"/>
      <c r="AX295" s="38"/>
      <c r="BB295" s="38"/>
      <c r="BF295" s="38"/>
      <c r="BJ295" s="38"/>
      <c r="BN295" s="38"/>
      <c r="BR295" s="38"/>
    </row>
    <row r="296" spans="2:70" s="33" customFormat="1" ht="15.75">
      <c r="B296" s="38"/>
      <c r="F296" s="38"/>
      <c r="J296" s="38"/>
      <c r="N296" s="38"/>
      <c r="R296" s="38"/>
      <c r="V296" s="38"/>
      <c r="Z296" s="38"/>
      <c r="AD296" s="38"/>
      <c r="AH296" s="38"/>
      <c r="AL296" s="38"/>
      <c r="AP296" s="38"/>
      <c r="AT296" s="38"/>
      <c r="AX296" s="38"/>
      <c r="BB296" s="38"/>
      <c r="BF296" s="38"/>
      <c r="BJ296" s="38"/>
      <c r="BN296" s="38"/>
      <c r="BR296" s="38"/>
    </row>
    <row r="297" spans="2:70" s="33" customFormat="1" ht="15.75">
      <c r="B297" s="38"/>
      <c r="F297" s="38"/>
      <c r="J297" s="38"/>
      <c r="N297" s="38"/>
      <c r="R297" s="38"/>
      <c r="V297" s="38"/>
      <c r="Z297" s="38"/>
      <c r="AD297" s="38"/>
      <c r="AH297" s="38"/>
      <c r="AL297" s="38"/>
      <c r="AP297" s="38"/>
      <c r="AT297" s="38"/>
      <c r="AX297" s="38"/>
      <c r="BB297" s="38"/>
      <c r="BF297" s="38"/>
      <c r="BJ297" s="38"/>
      <c r="BN297" s="38"/>
      <c r="BR297" s="38"/>
    </row>
    <row r="298" spans="2:70" s="33" customFormat="1" ht="15.75">
      <c r="B298" s="38"/>
      <c r="F298" s="38"/>
      <c r="J298" s="38"/>
      <c r="N298" s="38"/>
      <c r="R298" s="38"/>
      <c r="V298" s="38"/>
      <c r="Z298" s="38"/>
      <c r="AD298" s="38"/>
      <c r="AH298" s="38"/>
      <c r="AL298" s="38"/>
      <c r="AP298" s="38"/>
      <c r="AT298" s="38"/>
      <c r="AX298" s="38"/>
      <c r="BB298" s="38"/>
      <c r="BF298" s="38"/>
      <c r="BJ298" s="38"/>
      <c r="BN298" s="38"/>
      <c r="BR298" s="38"/>
    </row>
    <row r="299" spans="2:70" s="33" customFormat="1" ht="15.75">
      <c r="B299" s="38"/>
      <c r="F299" s="38"/>
      <c r="J299" s="38"/>
      <c r="N299" s="38"/>
      <c r="R299" s="38"/>
      <c r="V299" s="38"/>
      <c r="Z299" s="38"/>
      <c r="AD299" s="38"/>
      <c r="AH299" s="38"/>
      <c r="AL299" s="38"/>
      <c r="AP299" s="38"/>
      <c r="AT299" s="38"/>
      <c r="AX299" s="38"/>
      <c r="BB299" s="38"/>
      <c r="BF299" s="38"/>
      <c r="BJ299" s="38"/>
      <c r="BN299" s="38"/>
      <c r="BR299" s="38"/>
    </row>
    <row r="300" spans="2:70" s="33" customFormat="1" ht="15.75">
      <c r="B300" s="38"/>
      <c r="F300" s="38"/>
      <c r="J300" s="38"/>
      <c r="N300" s="38"/>
      <c r="R300" s="38"/>
      <c r="V300" s="38"/>
      <c r="Z300" s="38"/>
      <c r="AD300" s="38"/>
      <c r="AH300" s="38"/>
      <c r="AL300" s="38"/>
      <c r="AP300" s="38"/>
      <c r="AT300" s="38"/>
      <c r="AX300" s="38"/>
      <c r="BB300" s="38"/>
      <c r="BF300" s="38"/>
      <c r="BJ300" s="38"/>
      <c r="BN300" s="38"/>
      <c r="BR300" s="38"/>
    </row>
    <row r="301" spans="2:70" s="33" customFormat="1" ht="15.75">
      <c r="B301" s="38"/>
      <c r="F301" s="38"/>
      <c r="J301" s="38"/>
      <c r="N301" s="38"/>
      <c r="R301" s="38"/>
      <c r="V301" s="38"/>
      <c r="Z301" s="38"/>
      <c r="AD301" s="38"/>
      <c r="AH301" s="38"/>
      <c r="AL301" s="38"/>
      <c r="AP301" s="38"/>
      <c r="AT301" s="38"/>
      <c r="AX301" s="38"/>
      <c r="BB301" s="38"/>
      <c r="BF301" s="38"/>
      <c r="BJ301" s="38"/>
      <c r="BN301" s="38"/>
      <c r="BR301" s="38"/>
    </row>
    <row r="302" spans="2:70" s="33" customFormat="1" ht="15.75">
      <c r="B302" s="38"/>
      <c r="F302" s="38"/>
      <c r="J302" s="38"/>
      <c r="N302" s="38"/>
      <c r="R302" s="38"/>
      <c r="V302" s="38"/>
      <c r="Z302" s="38"/>
      <c r="AD302" s="38"/>
      <c r="AH302" s="38"/>
      <c r="AL302" s="38"/>
      <c r="AP302" s="38"/>
      <c r="AT302" s="38"/>
      <c r="AX302" s="38"/>
      <c r="BB302" s="38"/>
      <c r="BF302" s="38"/>
      <c r="BJ302" s="38"/>
      <c r="BN302" s="38"/>
      <c r="BR302" s="38"/>
    </row>
    <row r="303" spans="2:70" s="33" customFormat="1" ht="15.75">
      <c r="B303" s="38"/>
      <c r="F303" s="38"/>
      <c r="J303" s="38"/>
      <c r="N303" s="38"/>
      <c r="R303" s="38"/>
      <c r="V303" s="38"/>
      <c r="Z303" s="38"/>
      <c r="AD303" s="38"/>
      <c r="AH303" s="38"/>
      <c r="AL303" s="38"/>
      <c r="AP303" s="38"/>
      <c r="AT303" s="38"/>
      <c r="AX303" s="38"/>
      <c r="BB303" s="38"/>
      <c r="BF303" s="38"/>
      <c r="BJ303" s="38"/>
      <c r="BN303" s="38"/>
      <c r="BR303" s="38"/>
    </row>
    <row r="304" spans="2:70" s="33" customFormat="1" ht="15.75">
      <c r="B304" s="38"/>
      <c r="F304" s="38"/>
      <c r="J304" s="38"/>
      <c r="N304" s="38"/>
      <c r="R304" s="38"/>
      <c r="V304" s="38"/>
      <c r="Z304" s="38"/>
      <c r="AD304" s="38"/>
      <c r="AH304" s="38"/>
      <c r="AL304" s="38"/>
      <c r="AP304" s="38"/>
      <c r="AT304" s="38"/>
      <c r="AX304" s="38"/>
      <c r="BB304" s="38"/>
      <c r="BF304" s="38"/>
      <c r="BJ304" s="38"/>
      <c r="BN304" s="38"/>
      <c r="BR304" s="38"/>
    </row>
    <row r="305" spans="2:70" s="33" customFormat="1" ht="15.75">
      <c r="B305" s="38"/>
      <c r="F305" s="38"/>
      <c r="J305" s="38"/>
      <c r="N305" s="38"/>
      <c r="R305" s="38"/>
      <c r="V305" s="38"/>
      <c r="Z305" s="38"/>
      <c r="AD305" s="38"/>
      <c r="AH305" s="38"/>
      <c r="AL305" s="38"/>
      <c r="AP305" s="38"/>
      <c r="AT305" s="38"/>
      <c r="AX305" s="38"/>
      <c r="BB305" s="38"/>
      <c r="BF305" s="38"/>
      <c r="BJ305" s="38"/>
      <c r="BN305" s="38"/>
      <c r="BR305" s="38"/>
    </row>
    <row r="306" spans="2:70" s="33" customFormat="1" ht="15.75">
      <c r="B306" s="38"/>
      <c r="F306" s="38"/>
      <c r="J306" s="38"/>
      <c r="N306" s="38"/>
      <c r="R306" s="38"/>
      <c r="V306" s="38"/>
      <c r="Z306" s="38"/>
      <c r="AD306" s="38"/>
      <c r="AH306" s="38"/>
      <c r="AL306" s="38"/>
      <c r="AP306" s="38"/>
      <c r="AT306" s="38"/>
      <c r="AX306" s="38"/>
      <c r="BB306" s="38"/>
      <c r="BF306" s="38"/>
      <c r="BJ306" s="38"/>
      <c r="BN306" s="38"/>
      <c r="BR306" s="38"/>
    </row>
    <row r="307" spans="2:70" s="33" customFormat="1" ht="15.75">
      <c r="B307" s="38"/>
      <c r="F307" s="38"/>
      <c r="J307" s="38"/>
      <c r="N307" s="38"/>
      <c r="R307" s="38"/>
      <c r="V307" s="38"/>
      <c r="Z307" s="38"/>
      <c r="AD307" s="38"/>
      <c r="AH307" s="38"/>
      <c r="AL307" s="38"/>
      <c r="AP307" s="38"/>
      <c r="AT307" s="38"/>
      <c r="AX307" s="38"/>
      <c r="BB307" s="38"/>
      <c r="BF307" s="38"/>
      <c r="BJ307" s="38"/>
      <c r="BN307" s="38"/>
      <c r="BR307" s="38"/>
    </row>
    <row r="308" spans="2:70" s="33" customFormat="1" ht="15.75">
      <c r="B308" s="38"/>
      <c r="F308" s="38"/>
      <c r="J308" s="38"/>
      <c r="N308" s="38"/>
      <c r="R308" s="38"/>
      <c r="V308" s="38"/>
      <c r="Z308" s="38"/>
      <c r="AD308" s="38"/>
      <c r="AH308" s="38"/>
      <c r="AL308" s="38"/>
      <c r="AP308" s="38"/>
      <c r="AT308" s="38"/>
      <c r="AX308" s="38"/>
      <c r="BB308" s="38"/>
      <c r="BF308" s="38"/>
      <c r="BJ308" s="38"/>
      <c r="BN308" s="38"/>
      <c r="BR308" s="38"/>
    </row>
    <row r="309" spans="2:70" s="33" customFormat="1" ht="15.75">
      <c r="B309" s="38"/>
      <c r="F309" s="38"/>
      <c r="J309" s="38"/>
      <c r="N309" s="38"/>
      <c r="R309" s="38"/>
      <c r="V309" s="38"/>
      <c r="Z309" s="38"/>
      <c r="AD309" s="38"/>
      <c r="AH309" s="38"/>
      <c r="AL309" s="38"/>
      <c r="AP309" s="38"/>
      <c r="AT309" s="38"/>
      <c r="AX309" s="38"/>
      <c r="BB309" s="38"/>
      <c r="BF309" s="38"/>
      <c r="BJ309" s="38"/>
      <c r="BN309" s="38"/>
      <c r="BR309" s="38"/>
    </row>
    <row r="310" spans="2:70" s="33" customFormat="1" ht="15.75">
      <c r="B310" s="38"/>
      <c r="F310" s="38"/>
      <c r="J310" s="38"/>
      <c r="N310" s="38"/>
      <c r="R310" s="38"/>
      <c r="V310" s="38"/>
      <c r="Z310" s="38"/>
      <c r="AD310" s="38"/>
      <c r="AH310" s="38"/>
      <c r="AL310" s="38"/>
      <c r="AP310" s="38"/>
      <c r="AT310" s="38"/>
      <c r="AX310" s="38"/>
      <c r="BB310" s="38"/>
      <c r="BF310" s="38"/>
      <c r="BJ310" s="38"/>
      <c r="BN310" s="38"/>
      <c r="BR310" s="38"/>
    </row>
    <row r="311" spans="2:70" s="33" customFormat="1" ht="15.75">
      <c r="B311" s="38"/>
      <c r="F311" s="38"/>
      <c r="J311" s="38"/>
      <c r="N311" s="38"/>
      <c r="R311" s="38"/>
      <c r="V311" s="38"/>
      <c r="Z311" s="38"/>
      <c r="AD311" s="38"/>
      <c r="AH311" s="38"/>
      <c r="AL311" s="38"/>
      <c r="AP311" s="38"/>
      <c r="AT311" s="38"/>
      <c r="AX311" s="38"/>
      <c r="BB311" s="38"/>
      <c r="BF311" s="38"/>
      <c r="BJ311" s="38"/>
      <c r="BN311" s="38"/>
      <c r="BR311" s="38"/>
    </row>
    <row r="312" spans="2:70" s="33" customFormat="1" ht="15.75">
      <c r="B312" s="38"/>
      <c r="F312" s="38"/>
      <c r="J312" s="38"/>
      <c r="N312" s="38"/>
      <c r="R312" s="38"/>
      <c r="V312" s="38"/>
      <c r="Z312" s="38"/>
      <c r="AD312" s="38"/>
      <c r="AH312" s="38"/>
      <c r="AL312" s="38"/>
      <c r="AP312" s="38"/>
      <c r="AT312" s="38"/>
      <c r="AX312" s="38"/>
      <c r="BB312" s="38"/>
      <c r="BF312" s="38"/>
      <c r="BJ312" s="38"/>
      <c r="BN312" s="38"/>
      <c r="BR312" s="38"/>
    </row>
    <row r="313" spans="2:70" s="33" customFormat="1" ht="15.75">
      <c r="B313" s="38"/>
      <c r="F313" s="38"/>
      <c r="J313" s="38"/>
      <c r="N313" s="38"/>
      <c r="R313" s="38"/>
      <c r="V313" s="38"/>
      <c r="Z313" s="38"/>
      <c r="AD313" s="38"/>
      <c r="AH313" s="38"/>
      <c r="AL313" s="38"/>
      <c r="AP313" s="38"/>
      <c r="AT313" s="38"/>
      <c r="AX313" s="38"/>
      <c r="BB313" s="38"/>
      <c r="BF313" s="38"/>
      <c r="BJ313" s="38"/>
      <c r="BN313" s="38"/>
      <c r="BR313" s="38"/>
    </row>
    <row r="314" spans="2:70" s="33" customFormat="1" ht="15.75">
      <c r="B314" s="38"/>
      <c r="F314" s="38"/>
      <c r="J314" s="38"/>
      <c r="N314" s="38"/>
      <c r="R314" s="38"/>
      <c r="V314" s="38"/>
      <c r="Z314" s="38"/>
      <c r="AD314" s="38"/>
      <c r="AH314" s="38"/>
      <c r="AL314" s="38"/>
      <c r="AP314" s="38"/>
      <c r="AT314" s="38"/>
      <c r="AX314" s="38"/>
      <c r="BB314" s="38"/>
      <c r="BF314" s="38"/>
      <c r="BJ314" s="38"/>
      <c r="BN314" s="38"/>
      <c r="BR314" s="38"/>
    </row>
    <row r="315" spans="2:70" s="33" customFormat="1" ht="15.75">
      <c r="B315" s="38"/>
      <c r="F315" s="38"/>
      <c r="J315" s="38"/>
      <c r="N315" s="38"/>
      <c r="R315" s="38"/>
      <c r="V315" s="38"/>
      <c r="Z315" s="38"/>
      <c r="AD315" s="38"/>
      <c r="AH315" s="38"/>
      <c r="AL315" s="38"/>
      <c r="AP315" s="38"/>
      <c r="AT315" s="38"/>
      <c r="AX315" s="38"/>
      <c r="BB315" s="38"/>
      <c r="BF315" s="38"/>
      <c r="BJ315" s="38"/>
      <c r="BN315" s="38"/>
      <c r="BR315" s="38"/>
    </row>
    <row r="316" spans="2:70" s="33" customFormat="1" ht="15.75">
      <c r="B316" s="38"/>
      <c r="F316" s="38"/>
      <c r="J316" s="38"/>
      <c r="N316" s="38"/>
      <c r="R316" s="38"/>
      <c r="V316" s="38"/>
      <c r="Z316" s="38"/>
      <c r="AD316" s="38"/>
      <c r="AH316" s="38"/>
      <c r="AL316" s="38"/>
      <c r="AP316" s="38"/>
      <c r="AT316" s="38"/>
      <c r="AX316" s="38"/>
      <c r="BB316" s="38"/>
      <c r="BF316" s="38"/>
      <c r="BJ316" s="38"/>
      <c r="BN316" s="38"/>
      <c r="BR316" s="38"/>
    </row>
    <row r="317" spans="2:70" s="33" customFormat="1" ht="15.75">
      <c r="B317" s="38"/>
      <c r="F317" s="38"/>
      <c r="J317" s="38"/>
      <c r="N317" s="38"/>
      <c r="R317" s="38"/>
      <c r="V317" s="38"/>
      <c r="Z317" s="38"/>
      <c r="AD317" s="38"/>
      <c r="AH317" s="38"/>
      <c r="AL317" s="38"/>
      <c r="AP317" s="38"/>
      <c r="AT317" s="38"/>
      <c r="AX317" s="38"/>
      <c r="BB317" s="38"/>
      <c r="BF317" s="38"/>
      <c r="BJ317" s="38"/>
      <c r="BN317" s="38"/>
      <c r="BR317" s="38"/>
    </row>
    <row r="318" spans="2:70" s="33" customFormat="1" ht="15.75">
      <c r="B318" s="38"/>
      <c r="F318" s="38"/>
      <c r="J318" s="38"/>
      <c r="N318" s="38"/>
      <c r="R318" s="38"/>
      <c r="V318" s="38"/>
      <c r="Z318" s="38"/>
      <c r="AD318" s="38"/>
      <c r="AH318" s="38"/>
      <c r="AL318" s="38"/>
      <c r="AP318" s="38"/>
      <c r="AT318" s="38"/>
      <c r="AX318" s="38"/>
      <c r="BB318" s="38"/>
      <c r="BF318" s="38"/>
      <c r="BJ318" s="38"/>
      <c r="BN318" s="38"/>
      <c r="BR318" s="38"/>
    </row>
    <row r="319" spans="2:70" s="33" customFormat="1" ht="15.75">
      <c r="B319" s="38"/>
      <c r="F319" s="38"/>
      <c r="J319" s="38"/>
      <c r="N319" s="38"/>
      <c r="R319" s="38"/>
      <c r="V319" s="38"/>
      <c r="Z319" s="38"/>
      <c r="AD319" s="38"/>
      <c r="AH319" s="38"/>
      <c r="AL319" s="38"/>
      <c r="AP319" s="38"/>
      <c r="AT319" s="38"/>
      <c r="AX319" s="38"/>
      <c r="BB319" s="38"/>
      <c r="BF319" s="38"/>
      <c r="BJ319" s="38"/>
      <c r="BN319" s="38"/>
      <c r="BR319" s="38"/>
    </row>
    <row r="320" spans="2:70" s="33" customFormat="1" ht="15.75">
      <c r="B320" s="38"/>
      <c r="F320" s="38"/>
      <c r="J320" s="38"/>
      <c r="N320" s="38"/>
      <c r="R320" s="38"/>
      <c r="V320" s="38"/>
      <c r="Z320" s="38"/>
      <c r="AD320" s="38"/>
      <c r="AH320" s="38"/>
      <c r="AL320" s="38"/>
      <c r="AP320" s="38"/>
      <c r="AT320" s="38"/>
      <c r="AX320" s="38"/>
      <c r="BB320" s="38"/>
      <c r="BF320" s="38"/>
      <c r="BJ320" s="38"/>
      <c r="BN320" s="38"/>
      <c r="BR320" s="38"/>
    </row>
    <row r="321" spans="2:70" s="33" customFormat="1" ht="15.75">
      <c r="B321" s="38"/>
      <c r="F321" s="38"/>
      <c r="J321" s="38"/>
      <c r="N321" s="38"/>
      <c r="R321" s="38"/>
      <c r="V321" s="38"/>
      <c r="Z321" s="38"/>
      <c r="AD321" s="38"/>
      <c r="AH321" s="38"/>
      <c r="AL321" s="38"/>
      <c r="AP321" s="38"/>
      <c r="AT321" s="38"/>
      <c r="AX321" s="38"/>
      <c r="BB321" s="38"/>
      <c r="BF321" s="38"/>
      <c r="BJ321" s="38"/>
      <c r="BN321" s="38"/>
      <c r="BR321" s="38"/>
    </row>
    <row r="322" spans="2:70" s="33" customFormat="1" ht="15.75">
      <c r="B322" s="38"/>
      <c r="F322" s="38"/>
      <c r="J322" s="38"/>
      <c r="N322" s="38"/>
      <c r="R322" s="38"/>
      <c r="V322" s="38"/>
      <c r="Z322" s="38"/>
      <c r="AD322" s="38"/>
      <c r="AH322" s="38"/>
      <c r="AL322" s="38"/>
      <c r="AP322" s="38"/>
      <c r="AT322" s="38"/>
      <c r="AX322" s="38"/>
      <c r="BB322" s="38"/>
      <c r="BF322" s="38"/>
      <c r="BJ322" s="38"/>
      <c r="BN322" s="38"/>
      <c r="BR322" s="38"/>
    </row>
    <row r="323" spans="2:70" s="33" customFormat="1" ht="15.75">
      <c r="B323" s="38"/>
      <c r="F323" s="38"/>
      <c r="J323" s="38"/>
      <c r="N323" s="38"/>
      <c r="R323" s="38"/>
      <c r="V323" s="38"/>
      <c r="Z323" s="38"/>
      <c r="AD323" s="38"/>
      <c r="AH323" s="38"/>
      <c r="AL323" s="38"/>
      <c r="AP323" s="38"/>
      <c r="AT323" s="38"/>
      <c r="AX323" s="38"/>
      <c r="BB323" s="38"/>
      <c r="BF323" s="38"/>
      <c r="BJ323" s="38"/>
      <c r="BN323" s="38"/>
      <c r="BR323" s="38"/>
    </row>
    <row r="324" spans="2:70" s="33" customFormat="1" ht="15.75">
      <c r="B324" s="38"/>
      <c r="F324" s="38"/>
      <c r="J324" s="38"/>
      <c r="N324" s="38"/>
      <c r="R324" s="38"/>
      <c r="V324" s="38"/>
      <c r="Z324" s="38"/>
      <c r="AD324" s="38"/>
      <c r="AH324" s="38"/>
      <c r="AL324" s="38"/>
      <c r="AP324" s="38"/>
      <c r="AT324" s="38"/>
      <c r="AX324" s="38"/>
      <c r="BB324" s="38"/>
      <c r="BF324" s="38"/>
      <c r="BJ324" s="38"/>
      <c r="BN324" s="38"/>
      <c r="BR324" s="38"/>
    </row>
    <row r="325" spans="2:70" s="33" customFormat="1" ht="15.75">
      <c r="B325" s="38"/>
      <c r="F325" s="38"/>
      <c r="J325" s="38"/>
      <c r="N325" s="38"/>
      <c r="R325" s="38"/>
      <c r="V325" s="38"/>
      <c r="Z325" s="38"/>
      <c r="AD325" s="38"/>
      <c r="AH325" s="38"/>
      <c r="AL325" s="38"/>
      <c r="AP325" s="38"/>
      <c r="AT325" s="38"/>
      <c r="AX325" s="38"/>
      <c r="BB325" s="38"/>
      <c r="BF325" s="38"/>
      <c r="BJ325" s="38"/>
      <c r="BN325" s="38"/>
      <c r="BR325" s="38"/>
    </row>
    <row r="326" spans="2:70" s="33" customFormat="1" ht="15.75">
      <c r="B326" s="38"/>
      <c r="F326" s="38"/>
      <c r="J326" s="38"/>
      <c r="N326" s="38"/>
      <c r="R326" s="38"/>
      <c r="V326" s="38"/>
      <c r="Z326" s="38"/>
      <c r="AD326" s="38"/>
      <c r="AH326" s="38"/>
      <c r="AL326" s="38"/>
      <c r="AP326" s="38"/>
      <c r="AT326" s="38"/>
      <c r="AX326" s="38"/>
      <c r="BB326" s="38"/>
      <c r="BF326" s="38"/>
      <c r="BJ326" s="38"/>
      <c r="BN326" s="38"/>
      <c r="BR326" s="38"/>
    </row>
    <row r="327" spans="2:70" s="33" customFormat="1" ht="15.75">
      <c r="B327" s="38"/>
      <c r="F327" s="38"/>
      <c r="J327" s="38"/>
      <c r="N327" s="38"/>
      <c r="R327" s="38"/>
      <c r="V327" s="38"/>
      <c r="Z327" s="38"/>
      <c r="AD327" s="38"/>
      <c r="AH327" s="38"/>
      <c r="AL327" s="38"/>
      <c r="AP327" s="38"/>
      <c r="AT327" s="38"/>
      <c r="AX327" s="38"/>
      <c r="BB327" s="38"/>
      <c r="BF327" s="38"/>
      <c r="BJ327" s="38"/>
      <c r="BN327" s="38"/>
      <c r="BR327" s="38"/>
    </row>
    <row r="328" spans="2:70" s="33" customFormat="1" ht="15.75">
      <c r="B328" s="38"/>
      <c r="F328" s="38"/>
      <c r="J328" s="38"/>
      <c r="N328" s="38"/>
      <c r="R328" s="38"/>
      <c r="V328" s="38"/>
      <c r="Z328" s="38"/>
      <c r="AD328" s="38"/>
      <c r="AH328" s="38"/>
      <c r="AL328" s="38"/>
      <c r="AP328" s="38"/>
      <c r="AT328" s="38"/>
      <c r="AX328" s="38"/>
      <c r="BB328" s="38"/>
      <c r="BF328" s="38"/>
      <c r="BJ328" s="38"/>
      <c r="BN328" s="38"/>
      <c r="BR328" s="38"/>
    </row>
    <row r="329" spans="2:70" s="33" customFormat="1" ht="15.75">
      <c r="B329" s="38"/>
      <c r="F329" s="38"/>
      <c r="J329" s="38"/>
      <c r="N329" s="38"/>
      <c r="R329" s="38"/>
      <c r="V329" s="38"/>
      <c r="Z329" s="38"/>
      <c r="AD329" s="38"/>
      <c r="AH329" s="38"/>
      <c r="AL329" s="38"/>
      <c r="AP329" s="38"/>
      <c r="AT329" s="38"/>
      <c r="AX329" s="38"/>
      <c r="BB329" s="38"/>
      <c r="BF329" s="38"/>
      <c r="BJ329" s="38"/>
      <c r="BN329" s="38"/>
      <c r="BR329" s="38"/>
    </row>
    <row r="330" spans="2:70" s="33" customFormat="1" ht="15.75">
      <c r="B330" s="38"/>
      <c r="F330" s="38"/>
      <c r="J330" s="38"/>
      <c r="N330" s="38"/>
      <c r="R330" s="38"/>
      <c r="V330" s="38"/>
      <c r="Z330" s="38"/>
      <c r="AD330" s="38"/>
      <c r="AH330" s="38"/>
      <c r="AL330" s="38"/>
      <c r="AP330" s="38"/>
      <c r="AT330" s="38"/>
      <c r="AX330" s="38"/>
      <c r="BB330" s="38"/>
      <c r="BF330" s="38"/>
      <c r="BJ330" s="38"/>
      <c r="BN330" s="38"/>
      <c r="BR330" s="38"/>
    </row>
    <row r="331" spans="2:70" s="33" customFormat="1" ht="15.75">
      <c r="B331" s="38"/>
      <c r="F331" s="38"/>
      <c r="J331" s="38"/>
      <c r="N331" s="38"/>
      <c r="R331" s="38"/>
      <c r="V331" s="38"/>
      <c r="Z331" s="38"/>
      <c r="AD331" s="38"/>
      <c r="AH331" s="38"/>
      <c r="AL331" s="38"/>
      <c r="AP331" s="38"/>
      <c r="AT331" s="38"/>
      <c r="AX331" s="38"/>
      <c r="BB331" s="38"/>
      <c r="BF331" s="38"/>
      <c r="BJ331" s="38"/>
      <c r="BN331" s="38"/>
      <c r="BR331" s="38"/>
    </row>
    <row r="332" spans="2:70" s="33" customFormat="1" ht="15.75">
      <c r="B332" s="38"/>
      <c r="F332" s="38"/>
      <c r="J332" s="38"/>
      <c r="N332" s="38"/>
      <c r="R332" s="38"/>
      <c r="V332" s="38"/>
      <c r="Z332" s="38"/>
      <c r="AD332" s="38"/>
      <c r="AH332" s="38"/>
      <c r="AL332" s="38"/>
      <c r="AP332" s="38"/>
      <c r="AT332" s="38"/>
      <c r="AX332" s="38"/>
      <c r="BB332" s="38"/>
      <c r="BF332" s="38"/>
      <c r="BJ332" s="38"/>
      <c r="BN332" s="38"/>
      <c r="BR332" s="38"/>
    </row>
    <row r="333" spans="2:70" s="33" customFormat="1" ht="15.75">
      <c r="B333" s="38"/>
      <c r="F333" s="38"/>
      <c r="J333" s="38"/>
      <c r="N333" s="38"/>
      <c r="R333" s="38"/>
      <c r="V333" s="38"/>
      <c r="Z333" s="38"/>
      <c r="AD333" s="38"/>
      <c r="AH333" s="38"/>
      <c r="AL333" s="38"/>
      <c r="AP333" s="38"/>
      <c r="AT333" s="38"/>
      <c r="AX333" s="38"/>
      <c r="BB333" s="38"/>
      <c r="BF333" s="38"/>
      <c r="BJ333" s="38"/>
      <c r="BN333" s="38"/>
      <c r="BR333" s="38"/>
    </row>
    <row r="334" spans="2:70" s="33" customFormat="1" ht="15.75">
      <c r="B334" s="38"/>
      <c r="F334" s="38"/>
      <c r="J334" s="38"/>
      <c r="N334" s="38"/>
      <c r="R334" s="38"/>
      <c r="V334" s="38"/>
      <c r="Z334" s="38"/>
      <c r="AD334" s="38"/>
      <c r="AH334" s="38"/>
      <c r="AL334" s="38"/>
      <c r="AP334" s="38"/>
      <c r="AT334" s="38"/>
      <c r="AX334" s="38"/>
      <c r="BB334" s="38"/>
      <c r="BF334" s="38"/>
      <c r="BJ334" s="38"/>
      <c r="BN334" s="38"/>
      <c r="BR334" s="38"/>
    </row>
    <row r="335" spans="2:70" s="33" customFormat="1" ht="15.75">
      <c r="B335" s="38"/>
      <c r="F335" s="38"/>
      <c r="J335" s="38"/>
      <c r="N335" s="38"/>
      <c r="R335" s="38"/>
      <c r="V335" s="38"/>
      <c r="Z335" s="38"/>
      <c r="AD335" s="38"/>
      <c r="AH335" s="38"/>
      <c r="AL335" s="38"/>
      <c r="AP335" s="38"/>
      <c r="AT335" s="38"/>
      <c r="AX335" s="38"/>
      <c r="BB335" s="38"/>
      <c r="BF335" s="38"/>
      <c r="BJ335" s="38"/>
      <c r="BN335" s="38"/>
      <c r="BR335" s="38"/>
    </row>
    <row r="336" spans="2:70" s="33" customFormat="1" ht="15.75">
      <c r="B336" s="38"/>
      <c r="F336" s="38"/>
      <c r="J336" s="38"/>
      <c r="N336" s="38"/>
      <c r="R336" s="38"/>
      <c r="V336" s="38"/>
      <c r="Z336" s="38"/>
      <c r="AD336" s="38"/>
      <c r="AH336" s="38"/>
      <c r="AL336" s="38"/>
      <c r="AP336" s="38"/>
      <c r="AT336" s="38"/>
      <c r="AX336" s="38"/>
      <c r="BB336" s="38"/>
      <c r="BF336" s="38"/>
      <c r="BJ336" s="38"/>
      <c r="BN336" s="38"/>
      <c r="BR336" s="38"/>
    </row>
    <row r="337" spans="2:70" s="33" customFormat="1" ht="15.75">
      <c r="B337" s="38"/>
      <c r="F337" s="38"/>
      <c r="J337" s="38"/>
      <c r="N337" s="38"/>
      <c r="R337" s="38"/>
      <c r="V337" s="38"/>
      <c r="Z337" s="38"/>
      <c r="AD337" s="38"/>
      <c r="AH337" s="38"/>
      <c r="AL337" s="38"/>
      <c r="AP337" s="38"/>
      <c r="AT337" s="38"/>
      <c r="AX337" s="38"/>
      <c r="BB337" s="38"/>
      <c r="BF337" s="38"/>
      <c r="BJ337" s="38"/>
      <c r="BN337" s="38"/>
      <c r="BR337" s="38"/>
    </row>
    <row r="338" spans="2:70" s="33" customFormat="1" ht="15.75">
      <c r="B338" s="38"/>
      <c r="F338" s="38"/>
      <c r="J338" s="38"/>
      <c r="N338" s="38"/>
      <c r="R338" s="38"/>
      <c r="V338" s="38"/>
      <c r="Z338" s="38"/>
      <c r="AD338" s="38"/>
      <c r="AH338" s="38"/>
      <c r="AL338" s="38"/>
      <c r="AP338" s="38"/>
      <c r="AT338" s="38"/>
      <c r="AX338" s="38"/>
      <c r="BB338" s="38"/>
      <c r="BF338" s="38"/>
      <c r="BJ338" s="38"/>
      <c r="BN338" s="38"/>
      <c r="BR338" s="38"/>
    </row>
    <row r="339" spans="2:70" s="33" customFormat="1" ht="15.75">
      <c r="B339" s="38"/>
      <c r="F339" s="38"/>
      <c r="J339" s="38"/>
      <c r="N339" s="38"/>
      <c r="R339" s="38"/>
      <c r="V339" s="38"/>
      <c r="Z339" s="38"/>
      <c r="AD339" s="38"/>
      <c r="AH339" s="38"/>
      <c r="AL339" s="38"/>
      <c r="AP339" s="38"/>
      <c r="AT339" s="38"/>
      <c r="AX339" s="38"/>
      <c r="BB339" s="38"/>
      <c r="BF339" s="38"/>
      <c r="BJ339" s="38"/>
      <c r="BN339" s="38"/>
      <c r="BR339" s="38"/>
    </row>
    <row r="340" spans="2:70" s="33" customFormat="1" ht="15.75">
      <c r="B340" s="38"/>
      <c r="F340" s="38"/>
      <c r="J340" s="38"/>
      <c r="N340" s="38"/>
      <c r="R340" s="38"/>
      <c r="V340" s="38"/>
      <c r="Z340" s="38"/>
      <c r="AD340" s="38"/>
      <c r="AH340" s="38"/>
      <c r="AL340" s="38"/>
      <c r="AP340" s="38"/>
      <c r="AT340" s="38"/>
      <c r="AX340" s="38"/>
      <c r="BB340" s="38"/>
      <c r="BF340" s="38"/>
      <c r="BJ340" s="38"/>
      <c r="BN340" s="38"/>
      <c r="BR340" s="38"/>
    </row>
    <row r="341" spans="2:70" s="33" customFormat="1" ht="15.75">
      <c r="B341" s="38"/>
      <c r="F341" s="38"/>
      <c r="J341" s="38"/>
      <c r="N341" s="38"/>
      <c r="R341" s="38"/>
      <c r="V341" s="38"/>
      <c r="Z341" s="38"/>
      <c r="AD341" s="38"/>
      <c r="AH341" s="38"/>
      <c r="AL341" s="38"/>
      <c r="AP341" s="38"/>
      <c r="AT341" s="38"/>
      <c r="AX341" s="38"/>
      <c r="BB341" s="38"/>
      <c r="BF341" s="38"/>
      <c r="BJ341" s="38"/>
      <c r="BN341" s="38"/>
      <c r="BR341" s="38"/>
    </row>
    <row r="342" spans="2:70" s="33" customFormat="1" ht="15.75">
      <c r="B342" s="38"/>
      <c r="F342" s="38"/>
      <c r="J342" s="38"/>
      <c r="N342" s="38"/>
      <c r="R342" s="38"/>
      <c r="V342" s="38"/>
      <c r="Z342" s="38"/>
      <c r="AD342" s="38"/>
      <c r="AH342" s="38"/>
      <c r="AL342" s="38"/>
      <c r="AP342" s="38"/>
      <c r="AT342" s="38"/>
      <c r="AX342" s="38"/>
      <c r="BB342" s="38"/>
      <c r="BF342" s="38"/>
      <c r="BJ342" s="38"/>
      <c r="BN342" s="38"/>
      <c r="BR342" s="38"/>
    </row>
    <row r="343" spans="2:70" s="33" customFormat="1" ht="15.75">
      <c r="B343" s="38"/>
      <c r="F343" s="38"/>
      <c r="J343" s="38"/>
      <c r="N343" s="38"/>
      <c r="R343" s="38"/>
      <c r="V343" s="38"/>
      <c r="Z343" s="38"/>
      <c r="AD343" s="38"/>
      <c r="AH343" s="38"/>
      <c r="AL343" s="38"/>
      <c r="AP343" s="38"/>
      <c r="AT343" s="38"/>
      <c r="AX343" s="38"/>
      <c r="BB343" s="38"/>
      <c r="BF343" s="38"/>
      <c r="BJ343" s="38"/>
      <c r="BN343" s="38"/>
      <c r="BR343" s="38"/>
    </row>
    <row r="344" spans="2:70" s="33" customFormat="1" ht="15.75">
      <c r="B344" s="38"/>
      <c r="F344" s="38"/>
      <c r="J344" s="38"/>
      <c r="N344" s="38"/>
      <c r="R344" s="38"/>
      <c r="V344" s="38"/>
      <c r="Z344" s="38"/>
      <c r="AD344" s="38"/>
      <c r="AH344" s="38"/>
      <c r="AL344" s="38"/>
      <c r="AP344" s="38"/>
      <c r="AT344" s="38"/>
      <c r="AX344" s="38"/>
      <c r="BB344" s="38"/>
      <c r="BF344" s="38"/>
      <c r="BJ344" s="38"/>
      <c r="BN344" s="38"/>
      <c r="BR344" s="38"/>
    </row>
    <row r="345" spans="2:70" s="33" customFormat="1" ht="15.75">
      <c r="B345" s="38"/>
      <c r="F345" s="38"/>
      <c r="J345" s="38"/>
      <c r="N345" s="38"/>
      <c r="R345" s="38"/>
      <c r="V345" s="38"/>
      <c r="Z345" s="38"/>
      <c r="AD345" s="38"/>
      <c r="AH345" s="38"/>
      <c r="AL345" s="38"/>
      <c r="AP345" s="38"/>
      <c r="AT345" s="38"/>
      <c r="AX345" s="38"/>
      <c r="BB345" s="38"/>
      <c r="BF345" s="38"/>
      <c r="BJ345" s="38"/>
      <c r="BN345" s="38"/>
      <c r="BR345" s="38"/>
    </row>
    <row r="346" spans="2:70" s="33" customFormat="1" ht="15.75">
      <c r="B346" s="38"/>
      <c r="F346" s="38"/>
      <c r="J346" s="38"/>
      <c r="N346" s="38"/>
      <c r="R346" s="38"/>
      <c r="V346" s="38"/>
      <c r="Z346" s="38"/>
      <c r="AD346" s="38"/>
      <c r="AH346" s="38"/>
      <c r="AL346" s="38"/>
      <c r="AP346" s="38"/>
      <c r="AT346" s="38"/>
      <c r="AX346" s="38"/>
      <c r="BB346" s="38"/>
      <c r="BF346" s="38"/>
      <c r="BJ346" s="38"/>
      <c r="BN346" s="38"/>
      <c r="BR346" s="38"/>
    </row>
    <row r="347" spans="2:70" s="33" customFormat="1" ht="15.75">
      <c r="B347" s="38"/>
      <c r="F347" s="38"/>
      <c r="J347" s="38"/>
      <c r="N347" s="38"/>
      <c r="R347" s="38"/>
      <c r="V347" s="38"/>
      <c r="Z347" s="38"/>
      <c r="AD347" s="38"/>
      <c r="AH347" s="38"/>
      <c r="AL347" s="38"/>
      <c r="AP347" s="38"/>
      <c r="AT347" s="38"/>
      <c r="AX347" s="38"/>
      <c r="BB347" s="38"/>
      <c r="BF347" s="38"/>
      <c r="BJ347" s="38"/>
      <c r="BN347" s="38"/>
      <c r="BR347" s="38"/>
    </row>
    <row r="348" spans="2:70" s="33" customFormat="1" ht="15.75">
      <c r="B348" s="38"/>
      <c r="F348" s="38"/>
      <c r="J348" s="38"/>
      <c r="N348" s="38"/>
      <c r="R348" s="38"/>
      <c r="V348" s="38"/>
      <c r="Z348" s="38"/>
      <c r="AD348" s="38"/>
      <c r="AH348" s="38"/>
      <c r="AL348" s="38"/>
      <c r="AP348" s="38"/>
      <c r="AT348" s="38"/>
      <c r="AX348" s="38"/>
      <c r="BB348" s="38"/>
      <c r="BF348" s="38"/>
      <c r="BJ348" s="38"/>
      <c r="BN348" s="38"/>
      <c r="BR348" s="38"/>
    </row>
    <row r="349" spans="2:70" s="33" customFormat="1" ht="15.75">
      <c r="B349" s="38"/>
      <c r="F349" s="38"/>
      <c r="J349" s="38"/>
      <c r="N349" s="38"/>
      <c r="R349" s="38"/>
      <c r="V349" s="38"/>
      <c r="Z349" s="38"/>
      <c r="AD349" s="38"/>
      <c r="AH349" s="38"/>
      <c r="AL349" s="38"/>
      <c r="AP349" s="38"/>
      <c r="AT349" s="38"/>
      <c r="AX349" s="38"/>
      <c r="BB349" s="38"/>
      <c r="BF349" s="38"/>
      <c r="BJ349" s="38"/>
      <c r="BN349" s="38"/>
      <c r="BR349" s="38"/>
    </row>
    <row r="350" spans="2:70" s="33" customFormat="1" ht="15.75">
      <c r="B350" s="38"/>
      <c r="F350" s="38"/>
      <c r="J350" s="38"/>
      <c r="N350" s="38"/>
      <c r="R350" s="38"/>
      <c r="V350" s="38"/>
      <c r="Z350" s="38"/>
      <c r="AD350" s="38"/>
      <c r="AH350" s="38"/>
      <c r="AL350" s="38"/>
      <c r="AP350" s="38"/>
      <c r="AT350" s="38"/>
      <c r="AX350" s="38"/>
      <c r="BB350" s="38"/>
      <c r="BF350" s="38"/>
      <c r="BJ350" s="38"/>
      <c r="BN350" s="38"/>
      <c r="BR350" s="38"/>
    </row>
    <row r="351" spans="2:70" s="33" customFormat="1" ht="15.75">
      <c r="B351" s="38"/>
      <c r="F351" s="38"/>
      <c r="J351" s="38"/>
      <c r="N351" s="38"/>
      <c r="R351" s="38"/>
      <c r="V351" s="38"/>
      <c r="Z351" s="38"/>
      <c r="AD351" s="38"/>
      <c r="AH351" s="38"/>
      <c r="AL351" s="38"/>
      <c r="AP351" s="38"/>
      <c r="AT351" s="38"/>
      <c r="AX351" s="38"/>
      <c r="BB351" s="38"/>
      <c r="BF351" s="38"/>
      <c r="BJ351" s="38"/>
      <c r="BN351" s="38"/>
      <c r="BR351" s="38"/>
    </row>
    <row r="352" spans="2:70" s="33" customFormat="1" ht="15.75">
      <c r="B352" s="38"/>
      <c r="F352" s="38"/>
      <c r="J352" s="38"/>
      <c r="N352" s="38"/>
      <c r="R352" s="38"/>
      <c r="V352" s="38"/>
      <c r="Z352" s="38"/>
      <c r="AD352" s="38"/>
      <c r="AH352" s="38"/>
      <c r="AL352" s="38"/>
      <c r="AP352" s="38"/>
      <c r="AT352" s="38"/>
      <c r="AX352" s="38"/>
      <c r="BB352" s="38"/>
      <c r="BF352" s="38"/>
      <c r="BJ352" s="38"/>
      <c r="BN352" s="38"/>
      <c r="BR352" s="38"/>
    </row>
    <row r="353" spans="2:70" s="33" customFormat="1" ht="15.75">
      <c r="B353" s="38"/>
      <c r="F353" s="38"/>
      <c r="J353" s="38"/>
      <c r="N353" s="38"/>
      <c r="R353" s="38"/>
      <c r="V353" s="38"/>
      <c r="Z353" s="38"/>
      <c r="AD353" s="38"/>
      <c r="AH353" s="38"/>
      <c r="AL353" s="38"/>
      <c r="AP353" s="38"/>
      <c r="AT353" s="38"/>
      <c r="AX353" s="38"/>
      <c r="BB353" s="38"/>
      <c r="BF353" s="38"/>
      <c r="BJ353" s="38"/>
      <c r="BN353" s="38"/>
      <c r="BR353" s="38"/>
    </row>
    <row r="354" spans="2:70" s="33" customFormat="1" ht="15.75">
      <c r="B354" s="38"/>
      <c r="F354" s="38"/>
      <c r="J354" s="38"/>
      <c r="N354" s="38"/>
      <c r="R354" s="38"/>
      <c r="V354" s="38"/>
      <c r="Z354" s="38"/>
      <c r="AD354" s="38"/>
      <c r="AH354" s="38"/>
      <c r="AL354" s="38"/>
      <c r="AP354" s="38"/>
      <c r="AT354" s="38"/>
      <c r="AX354" s="38"/>
      <c r="BB354" s="38"/>
      <c r="BF354" s="38"/>
      <c r="BJ354" s="38"/>
      <c r="BN354" s="38"/>
      <c r="BR354" s="38"/>
    </row>
    <row r="355" spans="2:70" s="33" customFormat="1" ht="15.75">
      <c r="B355" s="38"/>
      <c r="F355" s="38"/>
      <c r="J355" s="38"/>
      <c r="N355" s="38"/>
      <c r="R355" s="38"/>
      <c r="V355" s="38"/>
      <c r="Z355" s="38"/>
      <c r="AD355" s="38"/>
      <c r="AH355" s="38"/>
      <c r="AL355" s="38"/>
      <c r="AP355" s="38"/>
      <c r="AT355" s="38"/>
      <c r="AX355" s="38"/>
      <c r="BB355" s="38"/>
      <c r="BF355" s="38"/>
      <c r="BJ355" s="38"/>
      <c r="BN355" s="38"/>
      <c r="BR355" s="38"/>
    </row>
    <row r="356" spans="2:70" s="33" customFormat="1" ht="15.75">
      <c r="B356" s="38"/>
      <c r="F356" s="38"/>
      <c r="J356" s="38"/>
      <c r="N356" s="38"/>
      <c r="R356" s="38"/>
      <c r="V356" s="38"/>
      <c r="Z356" s="38"/>
      <c r="AD356" s="38"/>
      <c r="AH356" s="38"/>
      <c r="AL356" s="38"/>
      <c r="AP356" s="38"/>
      <c r="AT356" s="38"/>
      <c r="AX356" s="38"/>
      <c r="BB356" s="38"/>
      <c r="BF356" s="38"/>
      <c r="BJ356" s="38"/>
      <c r="BN356" s="38"/>
      <c r="BR356" s="38"/>
    </row>
    <row r="357" spans="2:70" s="33" customFormat="1" ht="15.75">
      <c r="B357" s="38"/>
      <c r="F357" s="38"/>
      <c r="J357" s="38"/>
      <c r="N357" s="38"/>
      <c r="R357" s="38"/>
      <c r="V357" s="38"/>
      <c r="Z357" s="38"/>
      <c r="AD357" s="38"/>
      <c r="AH357" s="38"/>
      <c r="AL357" s="38"/>
      <c r="AP357" s="38"/>
      <c r="AT357" s="38"/>
      <c r="AX357" s="38"/>
      <c r="BB357" s="38"/>
      <c r="BF357" s="38"/>
      <c r="BJ357" s="38"/>
      <c r="BN357" s="38"/>
      <c r="BR357" s="38"/>
    </row>
    <row r="358" spans="2:70" s="33" customFormat="1" ht="15.75">
      <c r="B358" s="38"/>
      <c r="F358" s="38"/>
      <c r="J358" s="38"/>
      <c r="N358" s="38"/>
      <c r="R358" s="38"/>
      <c r="V358" s="38"/>
      <c r="Z358" s="38"/>
      <c r="AD358" s="38"/>
      <c r="AH358" s="38"/>
      <c r="AL358" s="38"/>
      <c r="AP358" s="38"/>
      <c r="AT358" s="38"/>
      <c r="AX358" s="38"/>
      <c r="BB358" s="38"/>
      <c r="BF358" s="38"/>
      <c r="BJ358" s="38"/>
      <c r="BN358" s="38"/>
      <c r="BR358" s="38"/>
    </row>
    <row r="359" spans="2:70" s="33" customFormat="1" ht="15.75">
      <c r="B359" s="38"/>
      <c r="F359" s="38"/>
      <c r="J359" s="38"/>
      <c r="N359" s="38"/>
      <c r="R359" s="38"/>
      <c r="V359" s="38"/>
      <c r="Z359" s="38"/>
      <c r="AD359" s="38"/>
      <c r="AH359" s="38"/>
      <c r="AL359" s="38"/>
      <c r="AP359" s="38"/>
      <c r="AT359" s="38"/>
      <c r="AX359" s="38"/>
      <c r="BB359" s="38"/>
      <c r="BF359" s="38"/>
      <c r="BJ359" s="38"/>
      <c r="BN359" s="38"/>
      <c r="BR359" s="38"/>
    </row>
    <row r="360" spans="2:70" s="33" customFormat="1" ht="15.75">
      <c r="B360" s="38"/>
      <c r="F360" s="38"/>
      <c r="J360" s="38"/>
      <c r="N360" s="38"/>
      <c r="R360" s="38"/>
      <c r="V360" s="38"/>
      <c r="Z360" s="38"/>
      <c r="AD360" s="38"/>
      <c r="AH360" s="38"/>
      <c r="AL360" s="38"/>
      <c r="AP360" s="38"/>
      <c r="AT360" s="38"/>
      <c r="AX360" s="38"/>
      <c r="BB360" s="38"/>
      <c r="BF360" s="38"/>
      <c r="BJ360" s="38"/>
      <c r="BN360" s="38"/>
      <c r="BR360" s="38"/>
    </row>
    <row r="361" spans="2:70" s="33" customFormat="1" ht="15.75">
      <c r="B361" s="38"/>
      <c r="F361" s="38"/>
      <c r="J361" s="38"/>
      <c r="N361" s="38"/>
      <c r="R361" s="38"/>
      <c r="V361" s="38"/>
      <c r="Z361" s="38"/>
      <c r="AD361" s="38"/>
      <c r="AH361" s="38"/>
      <c r="AL361" s="38"/>
      <c r="AP361" s="38"/>
      <c r="AT361" s="38"/>
      <c r="AX361" s="38"/>
      <c r="BB361" s="38"/>
      <c r="BF361" s="38"/>
      <c r="BJ361" s="38"/>
      <c r="BN361" s="38"/>
      <c r="BR361" s="38"/>
    </row>
    <row r="362" spans="2:70" s="33" customFormat="1" ht="15.75">
      <c r="B362" s="38"/>
      <c r="F362" s="38"/>
      <c r="J362" s="38"/>
      <c r="N362" s="38"/>
      <c r="R362" s="38"/>
      <c r="V362" s="38"/>
      <c r="Z362" s="38"/>
      <c r="AD362" s="38"/>
      <c r="AH362" s="38"/>
      <c r="AL362" s="38"/>
      <c r="AP362" s="38"/>
      <c r="AT362" s="38"/>
      <c r="AX362" s="38"/>
      <c r="BB362" s="38"/>
      <c r="BF362" s="38"/>
      <c r="BJ362" s="38"/>
      <c r="BN362" s="38"/>
      <c r="BR362" s="38"/>
    </row>
    <row r="363" spans="2:70" s="33" customFormat="1" ht="15.75">
      <c r="B363" s="38"/>
      <c r="F363" s="38"/>
      <c r="J363" s="38"/>
      <c r="N363" s="38"/>
      <c r="R363" s="38"/>
      <c r="V363" s="38"/>
      <c r="Z363" s="38"/>
      <c r="AD363" s="38"/>
      <c r="AH363" s="38"/>
      <c r="AL363" s="38"/>
      <c r="AP363" s="38"/>
      <c r="AT363" s="38"/>
      <c r="AX363" s="38"/>
      <c r="BB363" s="38"/>
      <c r="BF363" s="38"/>
      <c r="BJ363" s="38"/>
      <c r="BN363" s="38"/>
      <c r="BR363" s="38"/>
    </row>
    <row r="364" spans="2:70" s="33" customFormat="1" ht="15.75">
      <c r="B364" s="38"/>
      <c r="F364" s="38"/>
      <c r="J364" s="38"/>
      <c r="N364" s="38"/>
      <c r="R364" s="38"/>
      <c r="V364" s="38"/>
      <c r="Z364" s="38"/>
      <c r="AD364" s="38"/>
      <c r="AH364" s="38"/>
      <c r="AL364" s="38"/>
      <c r="AP364" s="38"/>
      <c r="AT364" s="38"/>
      <c r="AX364" s="38"/>
      <c r="BB364" s="38"/>
      <c r="BF364" s="38"/>
      <c r="BJ364" s="38"/>
      <c r="BN364" s="38"/>
      <c r="BR364" s="38"/>
    </row>
    <row r="365" spans="2:70" s="33" customFormat="1" ht="15.75">
      <c r="B365" s="38"/>
      <c r="F365" s="38"/>
      <c r="J365" s="38"/>
      <c r="N365" s="38"/>
      <c r="R365" s="38"/>
      <c r="V365" s="38"/>
      <c r="Z365" s="38"/>
      <c r="AD365" s="38"/>
      <c r="AH365" s="38"/>
      <c r="AL365" s="38"/>
      <c r="AP365" s="38"/>
      <c r="AT365" s="38"/>
      <c r="AX365" s="38"/>
      <c r="BB365" s="38"/>
      <c r="BF365" s="38"/>
      <c r="BJ365" s="38"/>
      <c r="BN365" s="38"/>
      <c r="BR365" s="38"/>
    </row>
    <row r="366" spans="2:70" s="33" customFormat="1" ht="15.75">
      <c r="B366" s="38"/>
      <c r="F366" s="38"/>
      <c r="J366" s="38"/>
      <c r="N366" s="38"/>
      <c r="R366" s="38"/>
      <c r="V366" s="38"/>
      <c r="Z366" s="38"/>
      <c r="AD366" s="38"/>
      <c r="AH366" s="38"/>
      <c r="AL366" s="38"/>
      <c r="AP366" s="38"/>
      <c r="AT366" s="38"/>
      <c r="AX366" s="38"/>
      <c r="BB366" s="38"/>
      <c r="BF366" s="38"/>
      <c r="BJ366" s="38"/>
      <c r="BN366" s="38"/>
      <c r="BR366" s="38"/>
    </row>
    <row r="367" spans="2:70" s="33" customFormat="1" ht="15.75">
      <c r="B367" s="38"/>
      <c r="F367" s="38"/>
      <c r="J367" s="38"/>
      <c r="N367" s="38"/>
      <c r="R367" s="38"/>
      <c r="V367" s="38"/>
      <c r="Z367" s="38"/>
      <c r="AD367" s="38"/>
      <c r="AH367" s="38"/>
      <c r="AL367" s="38"/>
      <c r="AP367" s="38"/>
      <c r="AT367" s="38"/>
      <c r="AX367" s="38"/>
      <c r="BB367" s="38"/>
      <c r="BF367" s="38"/>
      <c r="BJ367" s="38"/>
      <c r="BN367" s="38"/>
      <c r="BR367" s="38"/>
    </row>
    <row r="368" spans="2:70" s="33" customFormat="1" ht="15.75">
      <c r="B368" s="38"/>
      <c r="F368" s="38"/>
      <c r="J368" s="38"/>
      <c r="N368" s="38"/>
      <c r="R368" s="38"/>
      <c r="V368" s="38"/>
      <c r="Z368" s="38"/>
      <c r="AD368" s="38"/>
      <c r="AH368" s="38"/>
      <c r="AL368" s="38"/>
      <c r="AP368" s="38"/>
      <c r="AT368" s="38"/>
      <c r="AX368" s="38"/>
      <c r="BB368" s="38"/>
      <c r="BF368" s="38"/>
      <c r="BJ368" s="38"/>
      <c r="BN368" s="38"/>
      <c r="BR368" s="38"/>
    </row>
    <row r="369" spans="2:70" s="33" customFormat="1" ht="15.75">
      <c r="B369" s="38"/>
      <c r="F369" s="38"/>
      <c r="J369" s="38"/>
      <c r="N369" s="38"/>
      <c r="R369" s="38"/>
      <c r="V369" s="38"/>
      <c r="Z369" s="38"/>
      <c r="AD369" s="38"/>
      <c r="AH369" s="38"/>
      <c r="AL369" s="38"/>
      <c r="AP369" s="38"/>
      <c r="AT369" s="38"/>
      <c r="AX369" s="38"/>
      <c r="BB369" s="38"/>
      <c r="BF369" s="38"/>
      <c r="BJ369" s="38"/>
      <c r="BN369" s="38"/>
      <c r="BR369" s="38"/>
    </row>
    <row r="370" spans="2:70" s="33" customFormat="1" ht="15.75">
      <c r="B370" s="38"/>
      <c r="F370" s="38"/>
      <c r="J370" s="38"/>
      <c r="N370" s="38"/>
      <c r="R370" s="38"/>
      <c r="V370" s="38"/>
      <c r="Z370" s="38"/>
      <c r="AD370" s="38"/>
      <c r="AH370" s="38"/>
      <c r="AL370" s="38"/>
      <c r="AP370" s="38"/>
      <c r="AT370" s="38"/>
      <c r="AX370" s="38"/>
      <c r="BB370" s="38"/>
      <c r="BF370" s="38"/>
      <c r="BJ370" s="38"/>
      <c r="BN370" s="38"/>
      <c r="BR370" s="38"/>
    </row>
    <row r="371" spans="2:70" s="33" customFormat="1" ht="15.75">
      <c r="B371" s="38"/>
      <c r="F371" s="38"/>
      <c r="J371" s="38"/>
      <c r="N371" s="38"/>
      <c r="R371" s="38"/>
      <c r="V371" s="38"/>
      <c r="Z371" s="38"/>
      <c r="AD371" s="38"/>
      <c r="AH371" s="38"/>
      <c r="AL371" s="38"/>
      <c r="AP371" s="38"/>
      <c r="AT371" s="38"/>
      <c r="AX371" s="38"/>
      <c r="BB371" s="38"/>
      <c r="BF371" s="38"/>
      <c r="BJ371" s="38"/>
      <c r="BN371" s="38"/>
      <c r="BR371" s="38"/>
    </row>
    <row r="372" spans="2:70" s="33" customFormat="1" ht="15.75">
      <c r="B372" s="38"/>
      <c r="F372" s="38"/>
      <c r="J372" s="38"/>
      <c r="N372" s="38"/>
      <c r="R372" s="38"/>
      <c r="V372" s="38"/>
      <c r="Z372" s="38"/>
      <c r="AD372" s="38"/>
      <c r="AH372" s="38"/>
      <c r="AL372" s="38"/>
      <c r="AP372" s="38"/>
      <c r="AT372" s="38"/>
      <c r="AX372" s="38"/>
      <c r="BB372" s="38"/>
      <c r="BF372" s="38"/>
      <c r="BJ372" s="38"/>
      <c r="BN372" s="38"/>
      <c r="BR372" s="38"/>
    </row>
    <row r="373" spans="2:70" s="33" customFormat="1" ht="15.75">
      <c r="B373" s="38"/>
      <c r="F373" s="38"/>
      <c r="J373" s="38"/>
      <c r="N373" s="38"/>
      <c r="R373" s="38"/>
      <c r="V373" s="38"/>
      <c r="Z373" s="38"/>
      <c r="AD373" s="38"/>
      <c r="AH373" s="38"/>
      <c r="AL373" s="38"/>
      <c r="AP373" s="38"/>
      <c r="AT373" s="38"/>
      <c r="AX373" s="38"/>
      <c r="BB373" s="38"/>
      <c r="BF373" s="38"/>
      <c r="BJ373" s="38"/>
      <c r="BN373" s="38"/>
      <c r="BR373" s="38"/>
    </row>
    <row r="374" spans="2:70" s="33" customFormat="1" ht="15.75">
      <c r="B374" s="38"/>
      <c r="F374" s="38"/>
      <c r="J374" s="38"/>
      <c r="N374" s="38"/>
      <c r="R374" s="38"/>
      <c r="V374" s="38"/>
      <c r="Z374" s="38"/>
      <c r="AD374" s="38"/>
      <c r="AH374" s="38"/>
      <c r="AL374" s="38"/>
      <c r="AP374" s="38"/>
      <c r="AT374" s="38"/>
      <c r="AX374" s="38"/>
      <c r="BB374" s="38"/>
      <c r="BF374" s="38"/>
      <c r="BJ374" s="38"/>
      <c r="BN374" s="38"/>
      <c r="BR374" s="38"/>
    </row>
    <row r="375" spans="2:70" s="33" customFormat="1" ht="15.75">
      <c r="B375" s="38"/>
      <c r="F375" s="38"/>
      <c r="J375" s="38"/>
      <c r="N375" s="38"/>
      <c r="R375" s="38"/>
      <c r="V375" s="38"/>
      <c r="Z375" s="38"/>
      <c r="AD375" s="38"/>
      <c r="AH375" s="38"/>
      <c r="AL375" s="38"/>
      <c r="AP375" s="38"/>
      <c r="AT375" s="38"/>
      <c r="AX375" s="38"/>
      <c r="BB375" s="38"/>
      <c r="BF375" s="38"/>
      <c r="BJ375" s="38"/>
      <c r="BN375" s="38"/>
      <c r="BR375" s="38"/>
    </row>
    <row r="376" spans="2:70" s="33" customFormat="1" ht="15.75">
      <c r="B376" s="38"/>
      <c r="F376" s="38"/>
      <c r="J376" s="38"/>
      <c r="N376" s="38"/>
      <c r="R376" s="38"/>
      <c r="V376" s="38"/>
      <c r="Z376" s="38"/>
      <c r="AD376" s="38"/>
      <c r="AH376" s="38"/>
      <c r="AL376" s="38"/>
      <c r="AP376" s="38"/>
      <c r="AT376" s="38"/>
      <c r="AX376" s="38"/>
      <c r="BB376" s="38"/>
      <c r="BF376" s="38"/>
      <c r="BJ376" s="38"/>
      <c r="BN376" s="38"/>
      <c r="BR376" s="38"/>
    </row>
    <row r="377" spans="2:70" s="33" customFormat="1" ht="15.75">
      <c r="B377" s="38"/>
      <c r="F377" s="38"/>
      <c r="J377" s="38"/>
      <c r="N377" s="38"/>
      <c r="R377" s="38"/>
      <c r="V377" s="38"/>
      <c r="Z377" s="38"/>
      <c r="AD377" s="38"/>
      <c r="AH377" s="38"/>
      <c r="AL377" s="38"/>
      <c r="AP377" s="38"/>
      <c r="AT377" s="38"/>
      <c r="AX377" s="38"/>
      <c r="BB377" s="38"/>
      <c r="BF377" s="38"/>
      <c r="BJ377" s="38"/>
      <c r="BN377" s="38"/>
      <c r="BR377" s="38"/>
    </row>
    <row r="378" spans="2:70" s="33" customFormat="1" ht="15.75">
      <c r="B378" s="38"/>
      <c r="F378" s="38"/>
      <c r="J378" s="38"/>
      <c r="N378" s="38"/>
      <c r="R378" s="38"/>
      <c r="V378" s="38"/>
      <c r="Z378" s="38"/>
      <c r="AD378" s="38"/>
      <c r="AH378" s="38"/>
      <c r="AL378" s="38"/>
      <c r="AP378" s="38"/>
      <c r="AT378" s="38"/>
      <c r="AX378" s="38"/>
      <c r="BB378" s="38"/>
      <c r="BF378" s="38"/>
      <c r="BJ378" s="38"/>
      <c r="BN378" s="38"/>
      <c r="BR378" s="38"/>
    </row>
    <row r="379" spans="2:70" s="33" customFormat="1" ht="15.75">
      <c r="B379" s="38"/>
      <c r="F379" s="38"/>
      <c r="J379" s="38"/>
      <c r="N379" s="38"/>
      <c r="R379" s="38"/>
      <c r="V379" s="38"/>
      <c r="Z379" s="38"/>
      <c r="AD379" s="38"/>
      <c r="AH379" s="38"/>
      <c r="AL379" s="38"/>
      <c r="AP379" s="38"/>
      <c r="AT379" s="38"/>
      <c r="AX379" s="38"/>
      <c r="BB379" s="38"/>
      <c r="BF379" s="38"/>
      <c r="BJ379" s="38"/>
      <c r="BN379" s="38"/>
      <c r="BR379" s="38"/>
    </row>
    <row r="380" spans="2:70" s="33" customFormat="1" ht="15.75">
      <c r="B380" s="38"/>
      <c r="F380" s="38"/>
      <c r="J380" s="38"/>
      <c r="N380" s="38"/>
      <c r="R380" s="38"/>
      <c r="V380" s="38"/>
      <c r="Z380" s="38"/>
      <c r="AD380" s="38"/>
      <c r="AH380" s="38"/>
      <c r="AL380" s="38"/>
      <c r="AP380" s="38"/>
      <c r="AT380" s="38"/>
      <c r="AX380" s="38"/>
      <c r="BB380" s="38"/>
      <c r="BF380" s="38"/>
      <c r="BJ380" s="38"/>
      <c r="BN380" s="38"/>
      <c r="BR380" s="38"/>
    </row>
    <row r="381" spans="2:70" s="33" customFormat="1" ht="15.75">
      <c r="B381" s="38"/>
      <c r="F381" s="38"/>
      <c r="J381" s="38"/>
      <c r="N381" s="38"/>
      <c r="R381" s="38"/>
      <c r="V381" s="38"/>
      <c r="Z381" s="38"/>
      <c r="AD381" s="38"/>
      <c r="AH381" s="38"/>
      <c r="AL381" s="38"/>
      <c r="AP381" s="38"/>
      <c r="AT381" s="38"/>
      <c r="AX381" s="38"/>
      <c r="BB381" s="38"/>
      <c r="BF381" s="38"/>
      <c r="BJ381" s="38"/>
      <c r="BN381" s="38"/>
      <c r="BR381" s="38"/>
    </row>
    <row r="382" spans="2:70" s="33" customFormat="1" ht="15.75">
      <c r="B382" s="38"/>
      <c r="F382" s="38"/>
      <c r="J382" s="38"/>
      <c r="N382" s="38"/>
      <c r="R382" s="38"/>
      <c r="V382" s="38"/>
      <c r="Z382" s="38"/>
      <c r="AD382" s="38"/>
      <c r="AH382" s="38"/>
      <c r="AL382" s="38"/>
      <c r="AP382" s="38"/>
      <c r="AT382" s="38"/>
      <c r="AX382" s="38"/>
      <c r="BB382" s="38"/>
      <c r="BF382" s="38"/>
      <c r="BJ382" s="38"/>
      <c r="BN382" s="38"/>
      <c r="BR382" s="38"/>
    </row>
    <row r="383" spans="2:70" s="33" customFormat="1" ht="15.75">
      <c r="B383" s="38"/>
      <c r="F383" s="38"/>
      <c r="J383" s="38"/>
      <c r="N383" s="38"/>
      <c r="R383" s="38"/>
      <c r="V383" s="38"/>
      <c r="Z383" s="38"/>
      <c r="AD383" s="38"/>
      <c r="AH383" s="38"/>
      <c r="AL383" s="38"/>
      <c r="AP383" s="38"/>
      <c r="AT383" s="38"/>
      <c r="AX383" s="38"/>
      <c r="BB383" s="38"/>
      <c r="BF383" s="38"/>
      <c r="BJ383" s="38"/>
      <c r="BN383" s="38"/>
      <c r="BR383" s="38"/>
    </row>
    <row r="384" spans="2:70" s="33" customFormat="1" ht="15.75">
      <c r="B384" s="38"/>
      <c r="F384" s="38"/>
      <c r="J384" s="38"/>
      <c r="N384" s="38"/>
      <c r="R384" s="38"/>
      <c r="V384" s="38"/>
      <c r="Z384" s="38"/>
      <c r="AD384" s="38"/>
      <c r="AH384" s="38"/>
      <c r="AL384" s="38"/>
      <c r="AP384" s="38"/>
      <c r="AT384" s="38"/>
      <c r="AX384" s="38"/>
      <c r="BB384" s="38"/>
      <c r="BF384" s="38"/>
      <c r="BJ384" s="38"/>
      <c r="BN384" s="38"/>
      <c r="BR384" s="38"/>
    </row>
    <row r="385" spans="2:70" s="33" customFormat="1" ht="15.75">
      <c r="B385" s="38"/>
      <c r="F385" s="38"/>
      <c r="J385" s="38"/>
      <c r="N385" s="38"/>
      <c r="R385" s="38"/>
      <c r="V385" s="38"/>
      <c r="Z385" s="38"/>
      <c r="AD385" s="38"/>
      <c r="AH385" s="38"/>
      <c r="AL385" s="38"/>
      <c r="AP385" s="38"/>
      <c r="AT385" s="38"/>
      <c r="AX385" s="38"/>
      <c r="BB385" s="38"/>
      <c r="BF385" s="38"/>
      <c r="BJ385" s="38"/>
      <c r="BN385" s="38"/>
      <c r="BR385" s="38"/>
    </row>
    <row r="386" spans="2:70" s="33" customFormat="1" ht="15.75">
      <c r="B386" s="38"/>
      <c r="F386" s="38"/>
      <c r="J386" s="38"/>
      <c r="N386" s="38"/>
      <c r="R386" s="38"/>
      <c r="V386" s="38"/>
      <c r="Z386" s="38"/>
      <c r="AD386" s="38"/>
      <c r="AH386" s="38"/>
      <c r="AL386" s="38"/>
      <c r="AP386" s="38"/>
      <c r="AT386" s="38"/>
      <c r="AX386" s="38"/>
      <c r="BB386" s="38"/>
      <c r="BF386" s="38"/>
      <c r="BJ386" s="38"/>
      <c r="BN386" s="38"/>
      <c r="BR386" s="38"/>
    </row>
    <row r="387" spans="2:70" s="33" customFormat="1" ht="15.75">
      <c r="B387" s="38"/>
      <c r="F387" s="38"/>
      <c r="J387" s="38"/>
      <c r="N387" s="38"/>
      <c r="R387" s="38"/>
      <c r="V387" s="38"/>
      <c r="Z387" s="38"/>
      <c r="AD387" s="38"/>
      <c r="AH387" s="38"/>
      <c r="AL387" s="38"/>
      <c r="AP387" s="38"/>
      <c r="AT387" s="38"/>
      <c r="AX387" s="38"/>
      <c r="BB387" s="38"/>
      <c r="BF387" s="38"/>
      <c r="BJ387" s="38"/>
      <c r="BN387" s="38"/>
      <c r="BR387" s="38"/>
    </row>
    <row r="388" spans="2:70" s="33" customFormat="1" ht="15.75">
      <c r="B388" s="38"/>
      <c r="F388" s="38"/>
      <c r="J388" s="38"/>
      <c r="N388" s="38"/>
      <c r="R388" s="38"/>
      <c r="V388" s="38"/>
      <c r="Z388" s="38"/>
      <c r="AD388" s="38"/>
      <c r="AH388" s="38"/>
      <c r="AL388" s="38"/>
      <c r="AP388" s="38"/>
      <c r="AT388" s="38"/>
      <c r="AX388" s="38"/>
      <c r="BB388" s="38"/>
      <c r="BF388" s="38"/>
      <c r="BJ388" s="38"/>
      <c r="BN388" s="38"/>
      <c r="BR388" s="38"/>
    </row>
    <row r="389" spans="2:70" s="33" customFormat="1" ht="15.75">
      <c r="B389" s="38"/>
      <c r="F389" s="38"/>
      <c r="J389" s="38"/>
      <c r="N389" s="38"/>
      <c r="R389" s="38"/>
      <c r="V389" s="38"/>
      <c r="Z389" s="38"/>
      <c r="AD389" s="38"/>
      <c r="AH389" s="38"/>
      <c r="AL389" s="38"/>
      <c r="AP389" s="38"/>
      <c r="AT389" s="38"/>
      <c r="AX389" s="38"/>
      <c r="BB389" s="38"/>
      <c r="BF389" s="38"/>
      <c r="BJ389" s="38"/>
      <c r="BN389" s="38"/>
      <c r="BR389" s="38"/>
    </row>
    <row r="390" spans="2:70" s="33" customFormat="1" ht="15.75">
      <c r="B390" s="38"/>
      <c r="F390" s="38"/>
      <c r="J390" s="38"/>
      <c r="N390" s="38"/>
      <c r="R390" s="38"/>
      <c r="V390" s="38"/>
      <c r="Z390" s="38"/>
      <c r="AD390" s="38"/>
      <c r="AH390" s="38"/>
      <c r="AL390" s="38"/>
      <c r="AP390" s="38"/>
      <c r="AT390" s="38"/>
      <c r="AX390" s="38"/>
      <c r="BB390" s="38"/>
      <c r="BF390" s="38"/>
      <c r="BJ390" s="38"/>
      <c r="BN390" s="38"/>
      <c r="BR390" s="38"/>
    </row>
    <row r="391" spans="2:70" s="33" customFormat="1" ht="15.75">
      <c r="B391" s="38"/>
      <c r="F391" s="38"/>
      <c r="J391" s="38"/>
      <c r="N391" s="38"/>
      <c r="R391" s="38"/>
      <c r="V391" s="38"/>
      <c r="Z391" s="38"/>
      <c r="AD391" s="38"/>
      <c r="AH391" s="38"/>
      <c r="AL391" s="38"/>
      <c r="AP391" s="38"/>
      <c r="AT391" s="38"/>
      <c r="AX391" s="38"/>
      <c r="BB391" s="38"/>
      <c r="BF391" s="38"/>
      <c r="BJ391" s="38"/>
      <c r="BN391" s="38"/>
      <c r="BR391" s="38"/>
    </row>
    <row r="392" spans="2:70" s="33" customFormat="1" ht="15.75">
      <c r="B392" s="38"/>
      <c r="F392" s="38"/>
      <c r="J392" s="38"/>
      <c r="N392" s="38"/>
      <c r="R392" s="38"/>
      <c r="V392" s="38"/>
      <c r="Z392" s="38"/>
      <c r="AD392" s="38"/>
      <c r="AH392" s="38"/>
      <c r="AL392" s="38"/>
      <c r="AP392" s="38"/>
      <c r="AT392" s="38"/>
      <c r="AX392" s="38"/>
      <c r="BB392" s="38"/>
      <c r="BF392" s="38"/>
      <c r="BJ392" s="38"/>
      <c r="BN392" s="38"/>
      <c r="BR392" s="38"/>
    </row>
    <row r="393" spans="2:70" s="33" customFormat="1" ht="15.75">
      <c r="B393" s="38"/>
      <c r="F393" s="38"/>
      <c r="J393" s="38"/>
      <c r="N393" s="38"/>
      <c r="R393" s="38"/>
      <c r="V393" s="38"/>
      <c r="Z393" s="38"/>
      <c r="AD393" s="38"/>
      <c r="AH393" s="38"/>
      <c r="AL393" s="38"/>
      <c r="AP393" s="38"/>
      <c r="AT393" s="38"/>
      <c r="AX393" s="38"/>
      <c r="BB393" s="38"/>
      <c r="BF393" s="38"/>
      <c r="BJ393" s="38"/>
      <c r="BN393" s="38"/>
      <c r="BR393" s="38"/>
    </row>
    <row r="394" spans="2:70" s="33" customFormat="1" ht="15.75">
      <c r="B394" s="38"/>
      <c r="F394" s="38"/>
      <c r="J394" s="38"/>
      <c r="N394" s="38"/>
      <c r="R394" s="38"/>
      <c r="V394" s="38"/>
      <c r="Z394" s="38"/>
      <c r="AD394" s="38"/>
      <c r="AH394" s="38"/>
      <c r="AL394" s="38"/>
      <c r="AP394" s="38"/>
      <c r="AT394" s="38"/>
      <c r="AX394" s="38"/>
      <c r="BB394" s="38"/>
      <c r="BF394" s="38"/>
      <c r="BJ394" s="38"/>
      <c r="BN394" s="38"/>
      <c r="BR394" s="38"/>
    </row>
    <row r="395" spans="2:70" s="33" customFormat="1" ht="15.75">
      <c r="B395" s="38"/>
      <c r="F395" s="38"/>
      <c r="J395" s="38"/>
      <c r="N395" s="38"/>
      <c r="R395" s="38"/>
      <c r="V395" s="38"/>
      <c r="Z395" s="38"/>
      <c r="AD395" s="38"/>
      <c r="AH395" s="38"/>
      <c r="AL395" s="38"/>
      <c r="AP395" s="38"/>
      <c r="AT395" s="38"/>
      <c r="AX395" s="38"/>
      <c r="BB395" s="38"/>
      <c r="BF395" s="38"/>
      <c r="BJ395" s="38"/>
      <c r="BN395" s="38"/>
      <c r="BR395" s="38"/>
    </row>
    <row r="396" spans="2:70" s="33" customFormat="1" ht="15.75">
      <c r="B396" s="38"/>
      <c r="F396" s="38"/>
      <c r="J396" s="38"/>
      <c r="N396" s="38"/>
      <c r="R396" s="38"/>
      <c r="V396" s="38"/>
      <c r="Z396" s="38"/>
      <c r="AD396" s="38"/>
      <c r="AH396" s="38"/>
      <c r="AL396" s="38"/>
      <c r="AP396" s="38"/>
      <c r="AT396" s="38"/>
      <c r="AX396" s="38"/>
      <c r="BB396" s="38"/>
      <c r="BF396" s="38"/>
      <c r="BJ396" s="38"/>
      <c r="BN396" s="38"/>
      <c r="BR396" s="38"/>
    </row>
    <row r="397" spans="2:70" s="33" customFormat="1" ht="15.75">
      <c r="B397" s="38"/>
      <c r="F397" s="38"/>
      <c r="J397" s="38"/>
      <c r="N397" s="38"/>
      <c r="R397" s="38"/>
      <c r="V397" s="38"/>
      <c r="Z397" s="38"/>
      <c r="AD397" s="38"/>
      <c r="AH397" s="38"/>
      <c r="AL397" s="38"/>
      <c r="AP397" s="38"/>
      <c r="AT397" s="38"/>
      <c r="AX397" s="38"/>
      <c r="BB397" s="38"/>
      <c r="BF397" s="38"/>
      <c r="BJ397" s="38"/>
      <c r="BN397" s="38"/>
      <c r="BR397" s="38"/>
    </row>
    <row r="398" spans="2:70" s="33" customFormat="1" ht="15.75">
      <c r="B398" s="38"/>
      <c r="F398" s="38"/>
      <c r="J398" s="38"/>
      <c r="N398" s="38"/>
      <c r="R398" s="38"/>
      <c r="V398" s="38"/>
      <c r="Z398" s="38"/>
      <c r="AD398" s="38"/>
      <c r="AH398" s="38"/>
      <c r="AL398" s="38"/>
      <c r="AP398" s="38"/>
      <c r="AT398" s="38"/>
      <c r="AX398" s="38"/>
      <c r="BB398" s="38"/>
      <c r="BF398" s="38"/>
      <c r="BJ398" s="38"/>
      <c r="BN398" s="38"/>
      <c r="BR398" s="38"/>
    </row>
    <row r="399" spans="2:70" s="33" customFormat="1" ht="15.75">
      <c r="B399" s="38"/>
      <c r="F399" s="38"/>
      <c r="J399" s="38"/>
      <c r="N399" s="38"/>
      <c r="R399" s="38"/>
      <c r="V399" s="38"/>
      <c r="Z399" s="38"/>
      <c r="AD399" s="38"/>
      <c r="AH399" s="38"/>
      <c r="AL399" s="38"/>
      <c r="AP399" s="38"/>
      <c r="AT399" s="38"/>
      <c r="AX399" s="38"/>
      <c r="BB399" s="38"/>
      <c r="BF399" s="38"/>
      <c r="BJ399" s="38"/>
      <c r="BN399" s="38"/>
      <c r="BR399" s="38"/>
    </row>
    <row r="400" spans="2:70" s="33" customFormat="1" ht="15.75">
      <c r="B400" s="38"/>
      <c r="F400" s="38"/>
      <c r="J400" s="38"/>
      <c r="N400" s="38"/>
      <c r="R400" s="38"/>
      <c r="V400" s="38"/>
      <c r="Z400" s="38"/>
      <c r="AD400" s="38"/>
      <c r="AH400" s="38"/>
      <c r="AL400" s="38"/>
      <c r="AP400" s="38"/>
      <c r="AT400" s="38"/>
      <c r="AX400" s="38"/>
      <c r="BB400" s="38"/>
      <c r="BF400" s="38"/>
      <c r="BJ400" s="38"/>
      <c r="BN400" s="38"/>
      <c r="BR400" s="38"/>
    </row>
    <row r="401" spans="2:70" s="33" customFormat="1" ht="15.75">
      <c r="B401" s="38"/>
      <c r="F401" s="38"/>
      <c r="J401" s="38"/>
      <c r="N401" s="38"/>
      <c r="R401" s="38"/>
      <c r="V401" s="38"/>
      <c r="Z401" s="38"/>
      <c r="AD401" s="38"/>
      <c r="AH401" s="38"/>
      <c r="AL401" s="38"/>
      <c r="AP401" s="38"/>
      <c r="AT401" s="38"/>
      <c r="AX401" s="38"/>
      <c r="BB401" s="38"/>
      <c r="BF401" s="38"/>
      <c r="BJ401" s="38"/>
      <c r="BN401" s="38"/>
      <c r="BR401" s="38"/>
    </row>
    <row r="402" spans="2:70" s="33" customFormat="1" ht="15.75">
      <c r="B402" s="38"/>
      <c r="F402" s="38"/>
      <c r="J402" s="38"/>
      <c r="N402" s="38"/>
      <c r="R402" s="38"/>
      <c r="V402" s="38"/>
      <c r="Z402" s="38"/>
      <c r="AD402" s="38"/>
      <c r="AH402" s="38"/>
      <c r="AL402" s="38"/>
      <c r="AP402" s="38"/>
      <c r="AT402" s="38"/>
      <c r="AX402" s="38"/>
      <c r="BB402" s="38"/>
      <c r="BF402" s="38"/>
      <c r="BJ402" s="38"/>
      <c r="BN402" s="38"/>
      <c r="BR402" s="38"/>
    </row>
    <row r="403" spans="2:70" s="33" customFormat="1" ht="15.75">
      <c r="B403" s="38"/>
      <c r="F403" s="38"/>
      <c r="J403" s="38"/>
      <c r="N403" s="38"/>
      <c r="R403" s="38"/>
      <c r="V403" s="38"/>
      <c r="Z403" s="38"/>
      <c r="AD403" s="38"/>
      <c r="AH403" s="38"/>
      <c r="AL403" s="38"/>
      <c r="AP403" s="38"/>
      <c r="AT403" s="38"/>
      <c r="AX403" s="38"/>
      <c r="BB403" s="38"/>
      <c r="BF403" s="38"/>
      <c r="BJ403" s="38"/>
      <c r="BN403" s="38"/>
      <c r="BR403" s="38"/>
    </row>
    <row r="404" spans="2:70" s="33" customFormat="1" ht="15.75">
      <c r="B404" s="38"/>
      <c r="F404" s="38"/>
      <c r="J404" s="38"/>
      <c r="N404" s="38"/>
      <c r="R404" s="38"/>
      <c r="V404" s="38"/>
      <c r="Z404" s="38"/>
      <c r="AD404" s="38"/>
      <c r="AH404" s="38"/>
      <c r="AL404" s="38"/>
      <c r="AP404" s="38"/>
      <c r="AT404" s="38"/>
      <c r="AX404" s="38"/>
      <c r="BB404" s="38"/>
      <c r="BF404" s="38"/>
      <c r="BJ404" s="38"/>
      <c r="BN404" s="38"/>
      <c r="BR404" s="38"/>
    </row>
    <row r="405" spans="2:70" s="33" customFormat="1" ht="15.75">
      <c r="B405" s="38"/>
      <c r="F405" s="38"/>
      <c r="J405" s="38"/>
      <c r="N405" s="38"/>
      <c r="R405" s="38"/>
      <c r="V405" s="38"/>
      <c r="Z405" s="38"/>
      <c r="AD405" s="38"/>
      <c r="AH405" s="38"/>
      <c r="AL405" s="38"/>
      <c r="AP405" s="38"/>
      <c r="AT405" s="38"/>
      <c r="AX405" s="38"/>
      <c r="BB405" s="38"/>
      <c r="BF405" s="38"/>
      <c r="BJ405" s="38"/>
      <c r="BN405" s="38"/>
      <c r="BR405" s="38"/>
    </row>
    <row r="406" spans="2:70" s="33" customFormat="1" ht="15.75">
      <c r="B406" s="38"/>
      <c r="F406" s="38"/>
      <c r="J406" s="38"/>
      <c r="N406" s="38"/>
      <c r="R406" s="38"/>
      <c r="V406" s="38"/>
      <c r="Z406" s="38"/>
      <c r="AD406" s="38"/>
      <c r="AH406" s="38"/>
      <c r="AL406" s="38"/>
      <c r="AP406" s="38"/>
      <c r="AT406" s="38"/>
      <c r="AX406" s="38"/>
      <c r="BB406" s="38"/>
      <c r="BF406" s="38"/>
      <c r="BJ406" s="38"/>
      <c r="BN406" s="38"/>
      <c r="BR406" s="38"/>
    </row>
    <row r="407" spans="2:70" s="33" customFormat="1" ht="15.75">
      <c r="B407" s="38"/>
      <c r="F407" s="38"/>
      <c r="J407" s="38"/>
      <c r="N407" s="38"/>
      <c r="R407" s="38"/>
      <c r="V407" s="38"/>
      <c r="Z407" s="38"/>
      <c r="AD407" s="38"/>
      <c r="AH407" s="38"/>
      <c r="AL407" s="38"/>
      <c r="AP407" s="38"/>
      <c r="AT407" s="38"/>
      <c r="AX407" s="38"/>
      <c r="BB407" s="38"/>
      <c r="BF407" s="38"/>
      <c r="BJ407" s="38"/>
      <c r="BN407" s="38"/>
      <c r="BR407" s="38"/>
    </row>
    <row r="408" spans="2:70" s="33" customFormat="1" ht="15.75">
      <c r="B408" s="38"/>
      <c r="F408" s="38"/>
      <c r="J408" s="38"/>
      <c r="N408" s="38"/>
      <c r="R408" s="38"/>
      <c r="V408" s="38"/>
      <c r="Z408" s="38"/>
      <c r="AD408" s="38"/>
      <c r="AH408" s="38"/>
      <c r="AL408" s="38"/>
      <c r="AP408" s="38"/>
      <c r="AT408" s="38"/>
      <c r="AX408" s="38"/>
      <c r="BB408" s="38"/>
      <c r="BF408" s="38"/>
      <c r="BJ408" s="38"/>
      <c r="BN408" s="38"/>
      <c r="BR408" s="38"/>
    </row>
    <row r="409" spans="2:70" s="33" customFormat="1" ht="15.75">
      <c r="B409" s="38"/>
      <c r="F409" s="38"/>
      <c r="J409" s="38"/>
      <c r="N409" s="38"/>
      <c r="R409" s="38"/>
      <c r="V409" s="38"/>
      <c r="Z409" s="38"/>
      <c r="AD409" s="38"/>
      <c r="AH409" s="38"/>
      <c r="AL409" s="38"/>
      <c r="AP409" s="38"/>
      <c r="AT409" s="38"/>
      <c r="AX409" s="38"/>
      <c r="BB409" s="38"/>
      <c r="BF409" s="38"/>
      <c r="BJ409" s="38"/>
      <c r="BN409" s="38"/>
      <c r="BR409" s="38"/>
    </row>
    <row r="410" spans="2:70" s="33" customFormat="1" ht="15.75">
      <c r="B410" s="38"/>
      <c r="F410" s="38"/>
      <c r="J410" s="38"/>
      <c r="N410" s="38"/>
      <c r="R410" s="38"/>
      <c r="V410" s="38"/>
      <c r="Z410" s="38"/>
      <c r="AD410" s="38"/>
      <c r="AH410" s="38"/>
      <c r="AL410" s="38"/>
      <c r="AP410" s="38"/>
      <c r="AT410" s="38"/>
      <c r="AX410" s="38"/>
      <c r="BB410" s="38"/>
      <c r="BF410" s="38"/>
      <c r="BJ410" s="38"/>
      <c r="BN410" s="38"/>
      <c r="BR410" s="38"/>
    </row>
    <row r="411" spans="2:70" s="33" customFormat="1" ht="15.75">
      <c r="B411" s="38"/>
      <c r="F411" s="38"/>
      <c r="J411" s="38"/>
      <c r="N411" s="38"/>
      <c r="R411" s="38"/>
      <c r="V411" s="38"/>
      <c r="Z411" s="38"/>
      <c r="AD411" s="38"/>
      <c r="AH411" s="38"/>
      <c r="AL411" s="38"/>
      <c r="AP411" s="38"/>
      <c r="AT411" s="38"/>
      <c r="AX411" s="38"/>
      <c r="BB411" s="38"/>
      <c r="BF411" s="38"/>
      <c r="BJ411" s="38"/>
      <c r="BN411" s="38"/>
      <c r="BR411" s="38"/>
    </row>
    <row r="412" spans="2:70" s="33" customFormat="1" ht="15.75">
      <c r="B412" s="38"/>
      <c r="F412" s="38"/>
      <c r="J412" s="38"/>
      <c r="N412" s="38"/>
      <c r="R412" s="38"/>
      <c r="V412" s="38"/>
      <c r="Z412" s="38"/>
      <c r="AD412" s="38"/>
      <c r="AH412" s="38"/>
      <c r="AL412" s="38"/>
      <c r="AP412" s="38"/>
      <c r="AT412" s="38"/>
      <c r="AX412" s="38"/>
      <c r="BB412" s="38"/>
      <c r="BF412" s="38"/>
      <c r="BJ412" s="38"/>
      <c r="BN412" s="38"/>
      <c r="BR412" s="38"/>
    </row>
    <row r="413" spans="2:70" s="33" customFormat="1" ht="15.75">
      <c r="B413" s="38"/>
      <c r="F413" s="38"/>
      <c r="J413" s="38"/>
      <c r="N413" s="38"/>
      <c r="R413" s="38"/>
      <c r="V413" s="38"/>
      <c r="Z413" s="38"/>
      <c r="AD413" s="38"/>
      <c r="AH413" s="38"/>
      <c r="AL413" s="38"/>
      <c r="AP413" s="38"/>
      <c r="AT413" s="38"/>
      <c r="AX413" s="38"/>
      <c r="BB413" s="38"/>
      <c r="BF413" s="38"/>
      <c r="BJ413" s="38"/>
      <c r="BN413" s="38"/>
      <c r="BR413" s="38"/>
    </row>
    <row r="414" spans="2:70" s="33" customFormat="1" ht="15.75">
      <c r="B414" s="38"/>
      <c r="F414" s="38"/>
      <c r="J414" s="38"/>
      <c r="N414" s="38"/>
      <c r="R414" s="38"/>
      <c r="V414" s="38"/>
      <c r="Z414" s="38"/>
      <c r="AD414" s="38"/>
      <c r="AH414" s="38"/>
      <c r="AL414" s="38"/>
      <c r="AP414" s="38"/>
      <c r="AT414" s="38"/>
      <c r="AX414" s="38"/>
      <c r="BB414" s="38"/>
      <c r="BF414" s="38"/>
      <c r="BJ414" s="38"/>
      <c r="BN414" s="38"/>
      <c r="BR414" s="38"/>
    </row>
    <row r="415" spans="2:70" s="33" customFormat="1" ht="15.75">
      <c r="B415" s="38"/>
      <c r="F415" s="38"/>
      <c r="J415" s="38"/>
      <c r="N415" s="38"/>
      <c r="R415" s="38"/>
      <c r="V415" s="38"/>
      <c r="Z415" s="38"/>
      <c r="AD415" s="38"/>
      <c r="AH415" s="38"/>
      <c r="AL415" s="38"/>
      <c r="AP415" s="38"/>
      <c r="AT415" s="38"/>
      <c r="AX415" s="38"/>
      <c r="BB415" s="38"/>
      <c r="BF415" s="38"/>
      <c r="BJ415" s="38"/>
      <c r="BN415" s="38"/>
      <c r="BR415" s="38"/>
    </row>
    <row r="416" spans="2:70" s="33" customFormat="1" ht="15.75">
      <c r="B416" s="38"/>
      <c r="F416" s="38"/>
      <c r="J416" s="38"/>
      <c r="N416" s="38"/>
      <c r="R416" s="38"/>
      <c r="V416" s="38"/>
      <c r="Z416" s="38"/>
      <c r="AD416" s="38"/>
      <c r="AH416" s="38"/>
      <c r="AL416" s="38"/>
      <c r="AP416" s="38"/>
      <c r="AT416" s="38"/>
      <c r="AX416" s="38"/>
      <c r="BB416" s="38"/>
      <c r="BF416" s="38"/>
      <c r="BJ416" s="38"/>
      <c r="BN416" s="38"/>
      <c r="BR416" s="38"/>
    </row>
    <row r="417" spans="2:70" s="33" customFormat="1" ht="15.75">
      <c r="B417" s="38"/>
      <c r="F417" s="38"/>
      <c r="J417" s="38"/>
      <c r="N417" s="38"/>
      <c r="R417" s="38"/>
      <c r="V417" s="38"/>
      <c r="Z417" s="38"/>
      <c r="AD417" s="38"/>
      <c r="AH417" s="38"/>
      <c r="AL417" s="38"/>
      <c r="AP417" s="38"/>
      <c r="AT417" s="38"/>
      <c r="AX417" s="38"/>
      <c r="BB417" s="38"/>
      <c r="BF417" s="38"/>
      <c r="BJ417" s="38"/>
      <c r="BN417" s="38"/>
      <c r="BR417" s="38"/>
    </row>
    <row r="418" spans="2:70" s="33" customFormat="1" ht="15.75">
      <c r="B418" s="38"/>
      <c r="F418" s="38"/>
      <c r="J418" s="38"/>
      <c r="N418" s="38"/>
      <c r="R418" s="38"/>
      <c r="V418" s="38"/>
      <c r="Z418" s="38"/>
      <c r="AD418" s="38"/>
      <c r="AH418" s="38"/>
      <c r="AL418" s="38"/>
      <c r="AP418" s="38"/>
      <c r="AT418" s="38"/>
      <c r="AX418" s="38"/>
      <c r="BB418" s="38"/>
      <c r="BF418" s="38"/>
      <c r="BJ418" s="38"/>
      <c r="BN418" s="38"/>
      <c r="BR418" s="38"/>
    </row>
    <row r="419" spans="2:70" s="33" customFormat="1" ht="15.75">
      <c r="B419" s="38"/>
      <c r="F419" s="38"/>
      <c r="J419" s="38"/>
      <c r="N419" s="38"/>
      <c r="R419" s="38"/>
      <c r="V419" s="38"/>
      <c r="Z419" s="38"/>
      <c r="AD419" s="38"/>
      <c r="AH419" s="38"/>
      <c r="AL419" s="38"/>
      <c r="AP419" s="38"/>
      <c r="AT419" s="38"/>
      <c r="AX419" s="38"/>
      <c r="BB419" s="38"/>
      <c r="BF419" s="38"/>
      <c r="BJ419" s="38"/>
      <c r="BN419" s="38"/>
      <c r="BR419" s="38"/>
    </row>
    <row r="420" spans="2:70" s="33" customFormat="1" ht="15.75">
      <c r="B420" s="38"/>
      <c r="F420" s="38"/>
      <c r="J420" s="38"/>
      <c r="N420" s="38"/>
      <c r="R420" s="38"/>
      <c r="V420" s="38"/>
      <c r="Z420" s="38"/>
      <c r="AD420" s="38"/>
      <c r="AH420" s="38"/>
      <c r="AL420" s="38"/>
      <c r="AP420" s="38"/>
      <c r="AT420" s="38"/>
      <c r="AX420" s="38"/>
      <c r="BB420" s="38"/>
      <c r="BF420" s="38"/>
      <c r="BJ420" s="38"/>
      <c r="BN420" s="38"/>
      <c r="BR420" s="38"/>
    </row>
    <row r="421" spans="2:70" s="33" customFormat="1" ht="15.75">
      <c r="B421" s="38"/>
      <c r="F421" s="38"/>
      <c r="J421" s="38"/>
      <c r="N421" s="38"/>
      <c r="R421" s="38"/>
      <c r="V421" s="38"/>
      <c r="Z421" s="38"/>
      <c r="AD421" s="38"/>
      <c r="AH421" s="38"/>
      <c r="AL421" s="38"/>
      <c r="AP421" s="38"/>
      <c r="AT421" s="38"/>
      <c r="AX421" s="38"/>
      <c r="BB421" s="38"/>
      <c r="BF421" s="38"/>
      <c r="BJ421" s="38"/>
      <c r="BN421" s="38"/>
      <c r="BR421" s="38"/>
    </row>
    <row r="422" spans="2:70" s="33" customFormat="1" ht="15.75">
      <c r="B422" s="38"/>
      <c r="F422" s="38"/>
      <c r="J422" s="38"/>
      <c r="N422" s="38"/>
      <c r="R422" s="38"/>
      <c r="V422" s="38"/>
      <c r="Z422" s="38"/>
      <c r="AD422" s="38"/>
      <c r="AH422" s="38"/>
      <c r="AL422" s="38"/>
      <c r="AP422" s="38"/>
      <c r="AT422" s="38"/>
      <c r="AX422" s="38"/>
      <c r="BB422" s="38"/>
      <c r="BF422" s="38"/>
      <c r="BJ422" s="38"/>
      <c r="BN422" s="38"/>
      <c r="BR422" s="38"/>
    </row>
    <row r="423" spans="2:70" s="33" customFormat="1" ht="15.75">
      <c r="B423" s="38"/>
      <c r="F423" s="38"/>
      <c r="J423" s="38"/>
      <c r="N423" s="38"/>
      <c r="R423" s="38"/>
      <c r="V423" s="38"/>
      <c r="Z423" s="38"/>
      <c r="AD423" s="38"/>
      <c r="AH423" s="38"/>
      <c r="AL423" s="38"/>
      <c r="AP423" s="38"/>
      <c r="AT423" s="38"/>
      <c r="AX423" s="38"/>
      <c r="BB423" s="38"/>
      <c r="BF423" s="38"/>
      <c r="BJ423" s="38"/>
      <c r="BN423" s="38"/>
      <c r="BR423" s="38"/>
    </row>
    <row r="424" spans="2:70" s="33" customFormat="1" ht="15.75">
      <c r="B424" s="38"/>
      <c r="F424" s="38"/>
      <c r="J424" s="38"/>
      <c r="N424" s="38"/>
      <c r="R424" s="38"/>
      <c r="V424" s="38"/>
      <c r="Z424" s="38"/>
      <c r="AD424" s="38"/>
      <c r="AH424" s="38"/>
      <c r="AL424" s="38"/>
      <c r="AP424" s="38"/>
      <c r="AT424" s="38"/>
      <c r="AX424" s="38"/>
      <c r="BB424" s="38"/>
      <c r="BF424" s="38"/>
      <c r="BJ424" s="38"/>
      <c r="BN424" s="38"/>
      <c r="BR424" s="38"/>
    </row>
    <row r="425" spans="2:70" s="33" customFormat="1" ht="15.75">
      <c r="B425" s="38"/>
      <c r="F425" s="38"/>
      <c r="J425" s="38"/>
      <c r="N425" s="38"/>
      <c r="R425" s="38"/>
      <c r="V425" s="38"/>
      <c r="Z425" s="38"/>
      <c r="AD425" s="38"/>
      <c r="AH425" s="38"/>
      <c r="AL425" s="38"/>
      <c r="AP425" s="38"/>
      <c r="AT425" s="38"/>
      <c r="AX425" s="38"/>
      <c r="BB425" s="38"/>
      <c r="BF425" s="38"/>
      <c r="BJ425" s="38"/>
      <c r="BN425" s="38"/>
      <c r="BR425" s="38"/>
    </row>
    <row r="426" spans="2:70" s="33" customFormat="1" ht="15.75">
      <c r="B426" s="38"/>
      <c r="F426" s="38"/>
      <c r="J426" s="38"/>
      <c r="N426" s="38"/>
      <c r="R426" s="38"/>
      <c r="V426" s="38"/>
      <c r="Z426" s="38"/>
      <c r="AD426" s="38"/>
      <c r="AH426" s="38"/>
      <c r="AL426" s="38"/>
      <c r="AP426" s="38"/>
      <c r="AT426" s="38"/>
      <c r="AX426" s="38"/>
      <c r="BB426" s="38"/>
      <c r="BF426" s="38"/>
      <c r="BJ426" s="38"/>
      <c r="BN426" s="38"/>
      <c r="BR426" s="38"/>
    </row>
    <row r="427" spans="2:70" s="33" customFormat="1" ht="15.75">
      <c r="B427" s="38"/>
      <c r="F427" s="38"/>
      <c r="J427" s="38"/>
      <c r="N427" s="38"/>
      <c r="R427" s="38"/>
      <c r="V427" s="38"/>
      <c r="Z427" s="38"/>
      <c r="AD427" s="38"/>
      <c r="AH427" s="38"/>
      <c r="AL427" s="38"/>
      <c r="AP427" s="38"/>
      <c r="AT427" s="38"/>
      <c r="AX427" s="38"/>
      <c r="BB427" s="38"/>
      <c r="BF427" s="38"/>
      <c r="BJ427" s="38"/>
      <c r="BN427" s="38"/>
      <c r="BR427" s="38"/>
    </row>
    <row r="428" spans="2:70" s="33" customFormat="1" ht="15.75">
      <c r="B428" s="38"/>
      <c r="F428" s="38"/>
      <c r="J428" s="38"/>
      <c r="N428" s="38"/>
      <c r="R428" s="38"/>
      <c r="V428" s="38"/>
      <c r="Z428" s="38"/>
      <c r="AD428" s="38"/>
      <c r="AH428" s="38"/>
      <c r="AL428" s="38"/>
      <c r="AP428" s="38"/>
      <c r="AT428" s="38"/>
      <c r="AX428" s="38"/>
      <c r="BB428" s="38"/>
      <c r="BF428" s="38"/>
      <c r="BJ428" s="38"/>
      <c r="BN428" s="38"/>
      <c r="BR428" s="38"/>
    </row>
    <row r="429" spans="2:70" s="33" customFormat="1" ht="15.75">
      <c r="B429" s="38"/>
      <c r="F429" s="38"/>
      <c r="J429" s="38"/>
      <c r="N429" s="38"/>
      <c r="R429" s="38"/>
      <c r="V429" s="38"/>
      <c r="Z429" s="38"/>
      <c r="AD429" s="38"/>
      <c r="AH429" s="38"/>
      <c r="AL429" s="38"/>
      <c r="AP429" s="38"/>
      <c r="AT429" s="38"/>
      <c r="AX429" s="38"/>
      <c r="BB429" s="38"/>
      <c r="BF429" s="38"/>
      <c r="BJ429" s="38"/>
      <c r="BN429" s="38"/>
      <c r="BR429" s="38"/>
    </row>
    <row r="430" spans="2:70" s="33" customFormat="1" ht="15.75">
      <c r="B430" s="38"/>
      <c r="F430" s="38"/>
      <c r="J430" s="38"/>
      <c r="N430" s="38"/>
      <c r="R430" s="38"/>
      <c r="V430" s="38"/>
      <c r="Z430" s="38"/>
      <c r="AD430" s="38"/>
      <c r="AH430" s="38"/>
      <c r="AL430" s="38"/>
      <c r="AP430" s="38"/>
      <c r="AT430" s="38"/>
      <c r="AX430" s="38"/>
      <c r="BB430" s="38"/>
      <c r="BF430" s="38"/>
      <c r="BJ430" s="38"/>
      <c r="BN430" s="38"/>
      <c r="BR430" s="38"/>
    </row>
    <row r="431" spans="2:70" s="33" customFormat="1" ht="15.75">
      <c r="B431" s="38"/>
      <c r="F431" s="38"/>
      <c r="J431" s="38"/>
      <c r="N431" s="38"/>
      <c r="R431" s="38"/>
      <c r="V431" s="38"/>
      <c r="Z431" s="38"/>
      <c r="AD431" s="38"/>
      <c r="AH431" s="38"/>
      <c r="AL431" s="38"/>
      <c r="AP431" s="38"/>
      <c r="AT431" s="38"/>
      <c r="AX431" s="38"/>
      <c r="BB431" s="38"/>
      <c r="BF431" s="38"/>
      <c r="BJ431" s="38"/>
      <c r="BN431" s="38"/>
      <c r="BR431" s="38"/>
    </row>
    <row r="432" spans="2:70" s="33" customFormat="1" ht="15.75">
      <c r="B432" s="38"/>
      <c r="F432" s="38"/>
      <c r="J432" s="38"/>
      <c r="N432" s="38"/>
      <c r="R432" s="38"/>
      <c r="V432" s="38"/>
      <c r="Z432" s="38"/>
      <c r="AD432" s="38"/>
      <c r="AH432" s="38"/>
      <c r="AL432" s="38"/>
      <c r="AP432" s="38"/>
      <c r="AT432" s="38"/>
      <c r="AX432" s="38"/>
      <c r="BB432" s="38"/>
      <c r="BF432" s="38"/>
      <c r="BJ432" s="38"/>
      <c r="BN432" s="38"/>
      <c r="BR432" s="38"/>
    </row>
    <row r="433" spans="2:70" s="33" customFormat="1" ht="15.75">
      <c r="B433" s="38"/>
      <c r="F433" s="38"/>
      <c r="J433" s="38"/>
      <c r="N433" s="38"/>
      <c r="R433" s="38"/>
      <c r="V433" s="38"/>
      <c r="Z433" s="38"/>
      <c r="AD433" s="38"/>
      <c r="AH433" s="38"/>
      <c r="AL433" s="38"/>
      <c r="AP433" s="38"/>
      <c r="AT433" s="38"/>
      <c r="AX433" s="38"/>
      <c r="BB433" s="38"/>
      <c r="BF433" s="38"/>
      <c r="BJ433" s="38"/>
      <c r="BN433" s="38"/>
      <c r="BR433" s="38"/>
    </row>
    <row r="434" spans="2:70" s="33" customFormat="1" ht="15.75">
      <c r="B434" s="38"/>
      <c r="F434" s="38"/>
      <c r="J434" s="38"/>
      <c r="N434" s="38"/>
      <c r="R434" s="38"/>
      <c r="V434" s="38"/>
      <c r="Z434" s="38"/>
      <c r="AD434" s="38"/>
      <c r="AH434" s="38"/>
      <c r="AL434" s="38"/>
      <c r="AP434" s="38"/>
      <c r="AT434" s="38"/>
      <c r="AX434" s="38"/>
      <c r="BB434" s="38"/>
      <c r="BF434" s="38"/>
      <c r="BJ434" s="38"/>
      <c r="BN434" s="38"/>
      <c r="BR434" s="38"/>
    </row>
    <row r="435" spans="2:70" s="33" customFormat="1" ht="15.75">
      <c r="B435" s="38"/>
      <c r="F435" s="38"/>
      <c r="J435" s="38"/>
      <c r="N435" s="38"/>
      <c r="R435" s="38"/>
      <c r="V435" s="38"/>
      <c r="Z435" s="38"/>
      <c r="AD435" s="38"/>
      <c r="AH435" s="38"/>
      <c r="AL435" s="38"/>
      <c r="AP435" s="38"/>
      <c r="AT435" s="38"/>
      <c r="AX435" s="38"/>
      <c r="BB435" s="38"/>
      <c r="BF435" s="38"/>
      <c r="BJ435" s="38"/>
      <c r="BN435" s="38"/>
      <c r="BR435" s="38"/>
    </row>
    <row r="436" spans="2:70" s="33" customFormat="1" ht="15.75">
      <c r="B436" s="38"/>
      <c r="F436" s="38"/>
      <c r="J436" s="38"/>
      <c r="N436" s="38"/>
      <c r="R436" s="38"/>
      <c r="V436" s="38"/>
      <c r="Z436" s="38"/>
      <c r="AD436" s="38"/>
      <c r="AH436" s="38"/>
      <c r="AL436" s="38"/>
      <c r="AP436" s="38"/>
      <c r="AT436" s="38"/>
      <c r="AX436" s="38"/>
      <c r="BB436" s="38"/>
      <c r="BF436" s="38"/>
      <c r="BJ436" s="38"/>
      <c r="BN436" s="38"/>
      <c r="BR436" s="38"/>
    </row>
    <row r="437" spans="2:70" s="33" customFormat="1" ht="15.75">
      <c r="B437" s="38"/>
      <c r="F437" s="38"/>
      <c r="J437" s="38"/>
      <c r="N437" s="38"/>
      <c r="R437" s="38"/>
      <c r="V437" s="38"/>
      <c r="Z437" s="38"/>
      <c r="AD437" s="38"/>
      <c r="AH437" s="38"/>
      <c r="AL437" s="38"/>
      <c r="AP437" s="38"/>
      <c r="AT437" s="38"/>
      <c r="AX437" s="38"/>
      <c r="BB437" s="38"/>
      <c r="BF437" s="38"/>
      <c r="BJ437" s="38"/>
      <c r="BN437" s="38"/>
      <c r="BR437" s="38"/>
    </row>
    <row r="438" spans="2:70" s="33" customFormat="1" ht="15.75">
      <c r="B438" s="38"/>
      <c r="F438" s="38"/>
      <c r="J438" s="38"/>
      <c r="N438" s="38"/>
      <c r="R438" s="38"/>
      <c r="V438" s="38"/>
      <c r="Z438" s="38"/>
      <c r="AD438" s="38"/>
      <c r="AH438" s="38"/>
      <c r="AL438" s="38"/>
      <c r="AP438" s="38"/>
      <c r="AT438" s="38"/>
      <c r="AX438" s="38"/>
      <c r="BB438" s="38"/>
      <c r="BF438" s="38"/>
      <c r="BJ438" s="38"/>
      <c r="BN438" s="38"/>
      <c r="BR438" s="38"/>
    </row>
    <row r="439" spans="2:70" s="33" customFormat="1" ht="15.75">
      <c r="B439" s="38"/>
      <c r="F439" s="38"/>
      <c r="J439" s="38"/>
      <c r="N439" s="38"/>
      <c r="R439" s="38"/>
      <c r="V439" s="38"/>
      <c r="Z439" s="38"/>
      <c r="AD439" s="38"/>
      <c r="AH439" s="38"/>
      <c r="AL439" s="38"/>
      <c r="AP439" s="38"/>
      <c r="AT439" s="38"/>
      <c r="AX439" s="38"/>
      <c r="BB439" s="38"/>
      <c r="BF439" s="38"/>
      <c r="BJ439" s="38"/>
      <c r="BN439" s="38"/>
      <c r="BR439" s="38"/>
    </row>
    <row r="440" spans="2:70" s="33" customFormat="1" ht="15.75">
      <c r="B440" s="38"/>
      <c r="F440" s="38"/>
      <c r="J440" s="38"/>
      <c r="N440" s="38"/>
      <c r="R440" s="38"/>
      <c r="V440" s="38"/>
      <c r="Z440" s="38"/>
      <c r="AD440" s="38"/>
      <c r="AH440" s="38"/>
      <c r="AL440" s="38"/>
      <c r="AP440" s="38"/>
      <c r="AT440" s="38"/>
      <c r="AX440" s="38"/>
      <c r="BB440" s="38"/>
      <c r="BF440" s="38"/>
      <c r="BJ440" s="38"/>
      <c r="BN440" s="38"/>
      <c r="BR440" s="38"/>
    </row>
    <row r="441" spans="2:70" s="33" customFormat="1" ht="15.75">
      <c r="B441" s="38"/>
      <c r="F441" s="38"/>
      <c r="J441" s="38"/>
      <c r="N441" s="38"/>
      <c r="R441" s="38"/>
      <c r="V441" s="38"/>
      <c r="Z441" s="38"/>
      <c r="AD441" s="38"/>
      <c r="AH441" s="38"/>
      <c r="AL441" s="38"/>
      <c r="AP441" s="38"/>
      <c r="AT441" s="38"/>
      <c r="AX441" s="38"/>
      <c r="BB441" s="38"/>
      <c r="BF441" s="38"/>
      <c r="BJ441" s="38"/>
      <c r="BN441" s="38"/>
      <c r="BR441" s="38"/>
    </row>
    <row r="442" spans="2:70" s="33" customFormat="1" ht="15.75">
      <c r="B442" s="38"/>
      <c r="F442" s="38"/>
      <c r="J442" s="38"/>
      <c r="N442" s="38"/>
      <c r="R442" s="38"/>
      <c r="V442" s="38"/>
      <c r="Z442" s="38"/>
      <c r="AD442" s="38"/>
      <c r="AH442" s="38"/>
      <c r="AL442" s="38"/>
      <c r="AP442" s="38"/>
      <c r="AT442" s="38"/>
      <c r="AX442" s="38"/>
      <c r="BB442" s="38"/>
      <c r="BF442" s="38"/>
      <c r="BJ442" s="38"/>
      <c r="BN442" s="38"/>
      <c r="BR442" s="38"/>
    </row>
    <row r="443" spans="2:70" s="33" customFormat="1" ht="15.75">
      <c r="B443" s="38"/>
      <c r="F443" s="38"/>
      <c r="J443" s="38"/>
      <c r="N443" s="38"/>
      <c r="R443" s="38"/>
      <c r="V443" s="38"/>
      <c r="Z443" s="38"/>
      <c r="AD443" s="38"/>
      <c r="AH443" s="38"/>
      <c r="AL443" s="38"/>
      <c r="AP443" s="38"/>
      <c r="AT443" s="38"/>
      <c r="AX443" s="38"/>
      <c r="BB443" s="38"/>
      <c r="BF443" s="38"/>
      <c r="BJ443" s="38"/>
      <c r="BN443" s="38"/>
      <c r="BR443" s="38"/>
    </row>
    <row r="444" spans="2:70" s="33" customFormat="1" ht="15.75">
      <c r="B444" s="38"/>
      <c r="F444" s="38"/>
      <c r="J444" s="38"/>
      <c r="N444" s="38"/>
      <c r="R444" s="38"/>
      <c r="V444" s="38"/>
      <c r="Z444" s="38"/>
      <c r="AD444" s="38"/>
      <c r="AH444" s="38"/>
      <c r="AL444" s="38"/>
      <c r="AP444" s="38"/>
      <c r="AT444" s="38"/>
      <c r="AX444" s="38"/>
      <c r="BB444" s="38"/>
      <c r="BF444" s="38"/>
      <c r="BJ444" s="38"/>
      <c r="BN444" s="38"/>
      <c r="BR444" s="38"/>
    </row>
    <row r="445" spans="2:70" s="33" customFormat="1" ht="15.75">
      <c r="B445" s="38"/>
      <c r="F445" s="38"/>
      <c r="J445" s="38"/>
      <c r="N445" s="38"/>
      <c r="R445" s="38"/>
      <c r="V445" s="38"/>
      <c r="Z445" s="38"/>
      <c r="AD445" s="38"/>
      <c r="AH445" s="38"/>
      <c r="AL445" s="38"/>
      <c r="AP445" s="38"/>
      <c r="AT445" s="38"/>
      <c r="AX445" s="38"/>
      <c r="BB445" s="38"/>
      <c r="BF445" s="38"/>
      <c r="BJ445" s="38"/>
      <c r="BN445" s="38"/>
      <c r="BR445" s="38"/>
    </row>
    <row r="446" spans="2:70" s="33" customFormat="1" ht="15.75">
      <c r="B446" s="38"/>
      <c r="F446" s="38"/>
      <c r="J446" s="38"/>
      <c r="N446" s="38"/>
      <c r="R446" s="38"/>
      <c r="V446" s="38"/>
      <c r="Z446" s="38"/>
      <c r="AD446" s="38"/>
      <c r="AH446" s="38"/>
      <c r="AL446" s="38"/>
      <c r="AP446" s="38"/>
      <c r="AT446" s="38"/>
      <c r="AX446" s="38"/>
      <c r="BB446" s="38"/>
      <c r="BF446" s="38"/>
      <c r="BJ446" s="38"/>
      <c r="BN446" s="38"/>
      <c r="BR446" s="38"/>
    </row>
    <row r="447" spans="2:70" s="33" customFormat="1" ht="15.75">
      <c r="B447" s="38"/>
      <c r="F447" s="38"/>
      <c r="J447" s="38"/>
      <c r="N447" s="38"/>
      <c r="R447" s="38"/>
      <c r="V447" s="38"/>
      <c r="Z447" s="38"/>
      <c r="AD447" s="38"/>
      <c r="AH447" s="38"/>
      <c r="AL447" s="38"/>
      <c r="AP447" s="38"/>
      <c r="AT447" s="38"/>
      <c r="AX447" s="38"/>
      <c r="BB447" s="38"/>
      <c r="BF447" s="38"/>
      <c r="BJ447" s="38"/>
      <c r="BN447" s="38"/>
      <c r="BR447" s="38"/>
    </row>
    <row r="448" spans="2:70" s="33" customFormat="1" ht="15.75">
      <c r="B448" s="38"/>
      <c r="F448" s="38"/>
      <c r="J448" s="38"/>
      <c r="N448" s="38"/>
      <c r="R448" s="38"/>
      <c r="V448" s="38"/>
      <c r="Z448" s="38"/>
      <c r="AD448" s="38"/>
      <c r="AH448" s="38"/>
      <c r="AL448" s="38"/>
      <c r="AP448" s="38"/>
      <c r="AT448" s="38"/>
      <c r="AX448" s="38"/>
      <c r="BB448" s="38"/>
      <c r="BF448" s="38"/>
      <c r="BJ448" s="38"/>
      <c r="BN448" s="38"/>
      <c r="BR448" s="38"/>
    </row>
    <row r="449" spans="2:70" s="33" customFormat="1" ht="15.75">
      <c r="B449" s="38"/>
      <c r="F449" s="38"/>
      <c r="J449" s="38"/>
      <c r="N449" s="38"/>
      <c r="R449" s="38"/>
      <c r="V449" s="38"/>
      <c r="Z449" s="38"/>
      <c r="AD449" s="38"/>
      <c r="AH449" s="38"/>
      <c r="AL449" s="38"/>
      <c r="AP449" s="38"/>
      <c r="AT449" s="38"/>
      <c r="AX449" s="38"/>
      <c r="BB449" s="38"/>
      <c r="BF449" s="38"/>
      <c r="BJ449" s="38"/>
      <c r="BN449" s="38"/>
      <c r="BR449" s="38"/>
    </row>
    <row r="450" spans="2:70" s="33" customFormat="1" ht="15.75">
      <c r="B450" s="38"/>
      <c r="F450" s="38"/>
      <c r="J450" s="38"/>
      <c r="N450" s="38"/>
      <c r="R450" s="38"/>
      <c r="V450" s="38"/>
      <c r="Z450" s="38"/>
      <c r="AD450" s="38"/>
      <c r="AH450" s="38"/>
      <c r="AL450" s="38"/>
      <c r="AP450" s="38"/>
      <c r="AT450" s="38"/>
      <c r="AX450" s="38"/>
      <c r="BB450" s="38"/>
      <c r="BF450" s="38"/>
      <c r="BJ450" s="38"/>
      <c r="BN450" s="38"/>
      <c r="BR450" s="38"/>
    </row>
    <row r="451" spans="2:70" s="33" customFormat="1" ht="15.75">
      <c r="B451" s="38"/>
      <c r="F451" s="38"/>
      <c r="J451" s="38"/>
      <c r="N451" s="38"/>
      <c r="R451" s="38"/>
      <c r="V451" s="38"/>
      <c r="Z451" s="38"/>
      <c r="AD451" s="38"/>
      <c r="AH451" s="38"/>
      <c r="AL451" s="38"/>
      <c r="AP451" s="38"/>
      <c r="AT451" s="38"/>
      <c r="AX451" s="38"/>
      <c r="BB451" s="38"/>
      <c r="BF451" s="38"/>
      <c r="BJ451" s="38"/>
      <c r="BN451" s="38"/>
      <c r="BR451" s="38"/>
    </row>
    <row r="452" spans="2:70" s="33" customFormat="1" ht="15.75">
      <c r="B452" s="38"/>
      <c r="F452" s="38"/>
      <c r="J452" s="38"/>
      <c r="N452" s="38"/>
      <c r="R452" s="38"/>
      <c r="V452" s="38"/>
      <c r="Z452" s="38"/>
      <c r="AD452" s="38"/>
      <c r="AH452" s="38"/>
      <c r="AL452" s="38"/>
      <c r="AP452" s="38"/>
      <c r="AT452" s="38"/>
      <c r="AX452" s="38"/>
      <c r="BB452" s="38"/>
      <c r="BF452" s="38"/>
      <c r="BJ452" s="38"/>
      <c r="BN452" s="38"/>
      <c r="BR452" s="38"/>
    </row>
    <row r="453" spans="2:70" s="33" customFormat="1" ht="15.75">
      <c r="B453" s="38"/>
      <c r="F453" s="38"/>
      <c r="J453" s="38"/>
      <c r="N453" s="38"/>
      <c r="R453" s="38"/>
      <c r="V453" s="38"/>
      <c r="Z453" s="38"/>
      <c r="AD453" s="38"/>
      <c r="AH453" s="38"/>
      <c r="AL453" s="38"/>
      <c r="AP453" s="38"/>
      <c r="AT453" s="38"/>
      <c r="AX453" s="38"/>
      <c r="BB453" s="38"/>
      <c r="BF453" s="38"/>
      <c r="BJ453" s="38"/>
      <c r="BN453" s="38"/>
      <c r="BR453" s="38"/>
    </row>
    <row r="454" spans="2:70" s="33" customFormat="1" ht="15.75">
      <c r="B454" s="38"/>
      <c r="F454" s="38"/>
      <c r="J454" s="38"/>
      <c r="N454" s="38"/>
      <c r="R454" s="38"/>
      <c r="V454" s="38"/>
      <c r="Z454" s="38"/>
      <c r="AD454" s="38"/>
      <c r="AH454" s="38"/>
      <c r="AL454" s="38"/>
      <c r="AP454" s="38"/>
      <c r="AT454" s="38"/>
      <c r="AX454" s="38"/>
      <c r="BB454" s="38"/>
      <c r="BF454" s="38"/>
      <c r="BJ454" s="38"/>
      <c r="BN454" s="38"/>
      <c r="BR454" s="38"/>
    </row>
    <row r="455" spans="2:70" s="33" customFormat="1" ht="15.75">
      <c r="B455" s="38"/>
      <c r="F455" s="38"/>
      <c r="J455" s="38"/>
      <c r="N455" s="38"/>
      <c r="R455" s="38"/>
      <c r="V455" s="38"/>
      <c r="Z455" s="38"/>
      <c r="AD455" s="38"/>
      <c r="AH455" s="38"/>
      <c r="AL455" s="38"/>
      <c r="AP455" s="38"/>
      <c r="AT455" s="38"/>
      <c r="AX455" s="38"/>
      <c r="BB455" s="38"/>
      <c r="BF455" s="38"/>
      <c r="BJ455" s="38"/>
      <c r="BN455" s="38"/>
      <c r="BR455" s="38"/>
    </row>
    <row r="456" spans="2:70" s="33" customFormat="1" ht="15.75">
      <c r="B456" s="38"/>
      <c r="F456" s="38"/>
      <c r="J456" s="38"/>
      <c r="N456" s="38"/>
      <c r="R456" s="38"/>
      <c r="V456" s="38"/>
      <c r="Z456" s="38"/>
      <c r="AD456" s="38"/>
      <c r="AH456" s="38"/>
      <c r="AL456" s="38"/>
      <c r="AP456" s="38"/>
      <c r="AT456" s="38"/>
      <c r="AX456" s="38"/>
      <c r="BB456" s="38"/>
      <c r="BF456" s="38"/>
      <c r="BJ456" s="38"/>
      <c r="BN456" s="38"/>
      <c r="BR456" s="38"/>
    </row>
    <row r="457" spans="2:70" s="33" customFormat="1" ht="15.75">
      <c r="B457" s="38"/>
      <c r="F457" s="38"/>
      <c r="J457" s="38"/>
      <c r="N457" s="38"/>
      <c r="R457" s="38"/>
      <c r="V457" s="38"/>
      <c r="Z457" s="38"/>
      <c r="AD457" s="38"/>
      <c r="AH457" s="38"/>
      <c r="AL457" s="38"/>
      <c r="AP457" s="38"/>
      <c r="AT457" s="38"/>
      <c r="AX457" s="38"/>
      <c r="BB457" s="38"/>
      <c r="BF457" s="38"/>
      <c r="BJ457" s="38"/>
      <c r="BN457" s="38"/>
      <c r="BR457" s="38"/>
    </row>
    <row r="458" spans="2:70" s="33" customFormat="1" ht="15.75">
      <c r="B458" s="38"/>
      <c r="F458" s="38"/>
      <c r="J458" s="38"/>
      <c r="N458" s="38"/>
      <c r="R458" s="38"/>
      <c r="V458" s="38"/>
      <c r="Z458" s="38"/>
      <c r="AD458" s="38"/>
      <c r="AH458" s="38"/>
      <c r="AL458" s="38"/>
      <c r="AP458" s="38"/>
      <c r="AT458" s="38"/>
      <c r="AX458" s="38"/>
      <c r="BB458" s="38"/>
      <c r="BF458" s="38"/>
      <c r="BJ458" s="38"/>
      <c r="BN458" s="38"/>
      <c r="BR458" s="38"/>
    </row>
    <row r="459" spans="2:70" s="33" customFormat="1" ht="15.75">
      <c r="B459" s="38"/>
      <c r="F459" s="38"/>
      <c r="J459" s="38"/>
      <c r="N459" s="38"/>
      <c r="R459" s="38"/>
      <c r="V459" s="38"/>
      <c r="Z459" s="38"/>
      <c r="AD459" s="38"/>
      <c r="AH459" s="38"/>
      <c r="AL459" s="38"/>
      <c r="AP459" s="38"/>
      <c r="AT459" s="38"/>
      <c r="AX459" s="38"/>
      <c r="BB459" s="38"/>
      <c r="BF459" s="38"/>
      <c r="BJ459" s="38"/>
      <c r="BN459" s="38"/>
      <c r="BR459" s="38"/>
    </row>
    <row r="460" spans="2:70" s="33" customFormat="1" ht="15.75">
      <c r="B460" s="38"/>
      <c r="F460" s="38"/>
      <c r="J460" s="38"/>
      <c r="N460" s="38"/>
      <c r="R460" s="38"/>
      <c r="V460" s="38"/>
      <c r="Z460" s="38"/>
      <c r="AD460" s="38"/>
      <c r="AH460" s="38"/>
      <c r="AL460" s="38"/>
      <c r="AP460" s="38"/>
      <c r="AT460" s="38"/>
      <c r="AX460" s="38"/>
      <c r="BB460" s="38"/>
      <c r="BF460" s="38"/>
      <c r="BJ460" s="38"/>
      <c r="BN460" s="38"/>
      <c r="BR460" s="38"/>
    </row>
    <row r="461" spans="2:70" s="33" customFormat="1" ht="15.75">
      <c r="B461" s="38"/>
      <c r="F461" s="38"/>
      <c r="J461" s="38"/>
      <c r="N461" s="38"/>
      <c r="R461" s="38"/>
      <c r="V461" s="38"/>
      <c r="Z461" s="38"/>
      <c r="AD461" s="38"/>
      <c r="AH461" s="38"/>
      <c r="AL461" s="38"/>
      <c r="AP461" s="38"/>
      <c r="AT461" s="38"/>
      <c r="AX461" s="38"/>
      <c r="BB461" s="38"/>
      <c r="BF461" s="38"/>
      <c r="BJ461" s="38"/>
      <c r="BN461" s="38"/>
      <c r="BR461" s="38"/>
    </row>
    <row r="462" spans="2:70" s="33" customFormat="1" ht="15.75">
      <c r="B462" s="38"/>
      <c r="F462" s="38"/>
      <c r="J462" s="38"/>
      <c r="N462" s="38"/>
      <c r="R462" s="38"/>
      <c r="V462" s="38"/>
      <c r="Z462" s="38"/>
      <c r="AD462" s="38"/>
      <c r="AH462" s="38"/>
      <c r="AL462" s="38"/>
      <c r="AP462" s="38"/>
      <c r="AT462" s="38"/>
      <c r="AX462" s="38"/>
      <c r="BB462" s="38"/>
      <c r="BF462" s="38"/>
      <c r="BJ462" s="38"/>
      <c r="BN462" s="38"/>
      <c r="BR462" s="38"/>
    </row>
    <row r="463" spans="2:70" s="33" customFormat="1" ht="15.75">
      <c r="B463" s="38"/>
      <c r="F463" s="38"/>
      <c r="J463" s="38"/>
      <c r="N463" s="38"/>
      <c r="R463" s="38"/>
      <c r="V463" s="38"/>
      <c r="Z463" s="38"/>
      <c r="AD463" s="38"/>
      <c r="AH463" s="38"/>
      <c r="AL463" s="38"/>
      <c r="AP463" s="38"/>
      <c r="AT463" s="38"/>
      <c r="AX463" s="38"/>
      <c r="BB463" s="38"/>
      <c r="BF463" s="38"/>
      <c r="BJ463" s="38"/>
      <c r="BN463" s="38"/>
      <c r="BR463" s="38"/>
    </row>
    <row r="464" spans="2:70" s="33" customFormat="1" ht="15.75">
      <c r="B464" s="38"/>
      <c r="F464" s="38"/>
      <c r="J464" s="38"/>
      <c r="N464" s="38"/>
      <c r="R464" s="38"/>
      <c r="V464" s="38"/>
      <c r="Z464" s="38"/>
      <c r="AD464" s="38"/>
      <c r="AH464" s="38"/>
      <c r="AL464" s="38"/>
      <c r="AP464" s="38"/>
      <c r="AT464" s="38"/>
      <c r="AX464" s="38"/>
      <c r="BB464" s="38"/>
      <c r="BF464" s="38"/>
      <c r="BJ464" s="38"/>
      <c r="BN464" s="38"/>
      <c r="BR464" s="38"/>
    </row>
    <row r="465" spans="2:70" s="33" customFormat="1" ht="15.75">
      <c r="B465" s="38"/>
      <c r="F465" s="38"/>
      <c r="J465" s="38"/>
      <c r="N465" s="38"/>
      <c r="R465" s="38"/>
      <c r="V465" s="38"/>
      <c r="Z465" s="38"/>
      <c r="AD465" s="38"/>
      <c r="AH465" s="38"/>
      <c r="AL465" s="38"/>
      <c r="AP465" s="38"/>
      <c r="AT465" s="38"/>
      <c r="AX465" s="38"/>
      <c r="BB465" s="38"/>
      <c r="BF465" s="38"/>
      <c r="BJ465" s="38"/>
      <c r="BN465" s="38"/>
      <c r="BR465" s="38"/>
    </row>
    <row r="466" spans="2:70" s="33" customFormat="1" ht="15.75">
      <c r="B466" s="38"/>
      <c r="F466" s="38"/>
      <c r="J466" s="38"/>
      <c r="N466" s="38"/>
      <c r="R466" s="38"/>
      <c r="V466" s="38"/>
      <c r="Z466" s="38"/>
      <c r="AD466" s="38"/>
      <c r="AH466" s="38"/>
      <c r="AL466" s="38"/>
      <c r="AP466" s="38"/>
      <c r="AT466" s="38"/>
      <c r="AX466" s="38"/>
      <c r="BB466" s="38"/>
      <c r="BF466" s="38"/>
      <c r="BJ466" s="38"/>
      <c r="BN466" s="38"/>
      <c r="BR466" s="38"/>
    </row>
    <row r="467" spans="2:70" s="33" customFormat="1" ht="15.75">
      <c r="B467" s="38"/>
      <c r="F467" s="38"/>
      <c r="J467" s="38"/>
      <c r="N467" s="38"/>
      <c r="R467" s="38"/>
      <c r="V467" s="38"/>
      <c r="Z467" s="38"/>
      <c r="AD467" s="38"/>
      <c r="AH467" s="38"/>
      <c r="AL467" s="38"/>
      <c r="AP467" s="38"/>
      <c r="AT467" s="38"/>
      <c r="AX467" s="38"/>
      <c r="BB467" s="38"/>
      <c r="BF467" s="38"/>
      <c r="BJ467" s="38"/>
      <c r="BN467" s="38"/>
      <c r="BR467" s="38"/>
    </row>
    <row r="468" spans="2:70" s="33" customFormat="1" ht="15.75">
      <c r="B468" s="38"/>
      <c r="F468" s="38"/>
      <c r="J468" s="38"/>
      <c r="N468" s="38"/>
      <c r="R468" s="38"/>
      <c r="V468" s="38"/>
      <c r="Z468" s="38"/>
      <c r="AD468" s="38"/>
      <c r="AH468" s="38"/>
      <c r="AL468" s="38"/>
      <c r="AP468" s="38"/>
      <c r="AT468" s="38"/>
      <c r="AX468" s="38"/>
      <c r="BB468" s="38"/>
      <c r="BF468" s="38"/>
      <c r="BJ468" s="38"/>
      <c r="BN468" s="38"/>
      <c r="BR468" s="38"/>
    </row>
    <row r="469" spans="2:70" s="33" customFormat="1" ht="15.75">
      <c r="B469" s="38"/>
      <c r="F469" s="38"/>
      <c r="J469" s="38"/>
      <c r="N469" s="38"/>
      <c r="R469" s="38"/>
      <c r="V469" s="38"/>
      <c r="Z469" s="38"/>
      <c r="AD469" s="38"/>
      <c r="AH469" s="38"/>
      <c r="AL469" s="38"/>
      <c r="AP469" s="38"/>
      <c r="AT469" s="38"/>
      <c r="AX469" s="38"/>
      <c r="BB469" s="38"/>
      <c r="BF469" s="38"/>
      <c r="BJ469" s="38"/>
      <c r="BN469" s="38"/>
      <c r="BR469" s="38"/>
    </row>
    <row r="470" spans="2:70" s="33" customFormat="1" ht="15.75">
      <c r="B470" s="38"/>
      <c r="F470" s="38"/>
      <c r="J470" s="38"/>
      <c r="N470" s="38"/>
      <c r="R470" s="38"/>
      <c r="V470" s="38"/>
      <c r="Z470" s="38"/>
      <c r="AD470" s="38"/>
      <c r="AH470" s="38"/>
      <c r="AL470" s="38"/>
      <c r="AP470" s="38"/>
      <c r="AT470" s="38"/>
      <c r="AX470" s="38"/>
      <c r="BB470" s="38"/>
      <c r="BF470" s="38"/>
      <c r="BJ470" s="38"/>
      <c r="BN470" s="38"/>
      <c r="BR470" s="38"/>
    </row>
    <row r="471" spans="2:70" s="33" customFormat="1" ht="15.75">
      <c r="B471" s="38"/>
      <c r="F471" s="38"/>
      <c r="J471" s="38"/>
      <c r="N471" s="38"/>
      <c r="R471" s="38"/>
      <c r="V471" s="38"/>
      <c r="Z471" s="38"/>
      <c r="AD471" s="38"/>
      <c r="AH471" s="38"/>
      <c r="AL471" s="38"/>
      <c r="AP471" s="38"/>
      <c r="AT471" s="38"/>
      <c r="AX471" s="38"/>
      <c r="BB471" s="38"/>
      <c r="BF471" s="38"/>
      <c r="BJ471" s="38"/>
      <c r="BN471" s="38"/>
      <c r="BR471" s="38"/>
    </row>
    <row r="472" spans="2:70" s="33" customFormat="1" ht="15.75">
      <c r="B472" s="38"/>
      <c r="F472" s="38"/>
      <c r="J472" s="38"/>
      <c r="N472" s="38"/>
      <c r="R472" s="38"/>
      <c r="V472" s="38"/>
      <c r="Z472" s="38"/>
      <c r="AD472" s="38"/>
      <c r="AH472" s="38"/>
      <c r="AL472" s="38"/>
      <c r="AP472" s="38"/>
      <c r="AT472" s="38"/>
      <c r="AX472" s="38"/>
      <c r="BB472" s="38"/>
      <c r="BF472" s="38"/>
      <c r="BJ472" s="38"/>
      <c r="BN472" s="38"/>
      <c r="BR472" s="38"/>
    </row>
    <row r="473" spans="2:70" s="33" customFormat="1" ht="15.75">
      <c r="B473" s="38"/>
      <c r="F473" s="38"/>
      <c r="J473" s="38"/>
      <c r="N473" s="38"/>
      <c r="R473" s="38"/>
      <c r="V473" s="38"/>
      <c r="Z473" s="38"/>
      <c r="AD473" s="38"/>
      <c r="AH473" s="38"/>
      <c r="AL473" s="38"/>
      <c r="AP473" s="38"/>
      <c r="AT473" s="38"/>
      <c r="AX473" s="38"/>
      <c r="BB473" s="38"/>
      <c r="BF473" s="38"/>
      <c r="BJ473" s="38"/>
      <c r="BN473" s="38"/>
      <c r="BR473" s="38"/>
    </row>
    <row r="474" spans="2:70" s="33" customFormat="1" ht="15.75">
      <c r="B474" s="38"/>
      <c r="F474" s="38"/>
      <c r="J474" s="38"/>
      <c r="N474" s="38"/>
      <c r="R474" s="38"/>
      <c r="V474" s="38"/>
      <c r="Z474" s="38"/>
      <c r="AD474" s="38"/>
      <c r="AH474" s="38"/>
      <c r="AL474" s="38"/>
      <c r="AP474" s="38"/>
      <c r="AT474" s="38"/>
      <c r="AX474" s="38"/>
      <c r="BB474" s="38"/>
      <c r="BF474" s="38"/>
      <c r="BJ474" s="38"/>
      <c r="BN474" s="38"/>
      <c r="BR474" s="38"/>
    </row>
    <row r="475" spans="2:70" s="33" customFormat="1" ht="15.75">
      <c r="B475" s="38"/>
      <c r="F475" s="38"/>
      <c r="J475" s="38"/>
      <c r="N475" s="38"/>
      <c r="R475" s="38"/>
      <c r="V475" s="38"/>
      <c r="Z475" s="38"/>
      <c r="AD475" s="38"/>
      <c r="AH475" s="38"/>
      <c r="AL475" s="38"/>
      <c r="AP475" s="38"/>
      <c r="AT475" s="38"/>
      <c r="AX475" s="38"/>
      <c r="BB475" s="38"/>
      <c r="BF475" s="38"/>
      <c r="BJ475" s="38"/>
      <c r="BN475" s="38"/>
      <c r="BR475" s="38"/>
    </row>
    <row r="476" spans="2:70" s="33" customFormat="1" ht="15.75">
      <c r="B476" s="38"/>
      <c r="F476" s="38"/>
      <c r="J476" s="38"/>
      <c r="N476" s="38"/>
      <c r="R476" s="38"/>
      <c r="V476" s="38"/>
      <c r="Z476" s="38"/>
      <c r="AD476" s="38"/>
      <c r="AH476" s="38"/>
      <c r="AL476" s="38"/>
      <c r="AP476" s="38"/>
      <c r="AT476" s="38"/>
      <c r="AX476" s="38"/>
      <c r="BB476" s="38"/>
      <c r="BF476" s="38"/>
      <c r="BJ476" s="38"/>
      <c r="BN476" s="38"/>
      <c r="BR476" s="38"/>
    </row>
    <row r="477" spans="2:70" s="33" customFormat="1" ht="15.75">
      <c r="B477" s="38"/>
      <c r="F477" s="38"/>
      <c r="J477" s="38"/>
      <c r="N477" s="38"/>
      <c r="R477" s="38"/>
      <c r="V477" s="38"/>
      <c r="Z477" s="38"/>
      <c r="AD477" s="38"/>
      <c r="AH477" s="38"/>
      <c r="AL477" s="38"/>
      <c r="AP477" s="38"/>
      <c r="AT477" s="38"/>
      <c r="AX477" s="38"/>
      <c r="BB477" s="38"/>
      <c r="BF477" s="38"/>
      <c r="BJ477" s="38"/>
      <c r="BN477" s="38"/>
      <c r="BR477" s="38"/>
    </row>
    <row r="478" spans="2:70" s="33" customFormat="1" ht="15.75">
      <c r="B478" s="38"/>
      <c r="F478" s="38"/>
      <c r="J478" s="38"/>
      <c r="N478" s="38"/>
      <c r="R478" s="38"/>
      <c r="V478" s="38"/>
      <c r="Z478" s="38"/>
      <c r="AD478" s="38"/>
      <c r="AH478" s="38"/>
      <c r="AL478" s="38"/>
      <c r="AP478" s="38"/>
      <c r="AT478" s="38"/>
      <c r="AX478" s="38"/>
      <c r="BB478" s="38"/>
      <c r="BF478" s="38"/>
      <c r="BJ478" s="38"/>
      <c r="BN478" s="38"/>
      <c r="BR478" s="38"/>
    </row>
    <row r="479" spans="2:70" s="33" customFormat="1" ht="15.75">
      <c r="B479" s="38"/>
      <c r="F479" s="38"/>
      <c r="J479" s="38"/>
      <c r="N479" s="38"/>
      <c r="R479" s="38"/>
      <c r="V479" s="38"/>
      <c r="Z479" s="38"/>
      <c r="AD479" s="38"/>
      <c r="AH479" s="38"/>
      <c r="AL479" s="38"/>
      <c r="AP479" s="38"/>
      <c r="AT479" s="38"/>
      <c r="AX479" s="38"/>
      <c r="BB479" s="38"/>
      <c r="BF479" s="38"/>
      <c r="BJ479" s="38"/>
      <c r="BN479" s="38"/>
      <c r="BR479" s="38"/>
    </row>
    <row r="480" spans="2:70" s="33" customFormat="1" ht="15.75">
      <c r="B480" s="38"/>
      <c r="F480" s="38"/>
      <c r="J480" s="38"/>
      <c r="N480" s="38"/>
      <c r="R480" s="38"/>
      <c r="V480" s="38"/>
      <c r="Z480" s="38"/>
      <c r="AD480" s="38"/>
      <c r="AH480" s="38"/>
      <c r="AL480" s="38"/>
      <c r="AP480" s="38"/>
      <c r="AT480" s="38"/>
      <c r="AX480" s="38"/>
      <c r="BB480" s="38"/>
      <c r="BF480" s="38"/>
      <c r="BJ480" s="38"/>
      <c r="BN480" s="38"/>
      <c r="BR480" s="38"/>
    </row>
    <row r="481" spans="2:70" s="33" customFormat="1" ht="15.75">
      <c r="B481" s="38"/>
      <c r="F481" s="38"/>
      <c r="J481" s="38"/>
      <c r="N481" s="38"/>
      <c r="R481" s="38"/>
      <c r="V481" s="38"/>
      <c r="Z481" s="38"/>
      <c r="AD481" s="38"/>
      <c r="AH481" s="38"/>
      <c r="AL481" s="38"/>
      <c r="AP481" s="38"/>
      <c r="AT481" s="38"/>
      <c r="AX481" s="38"/>
      <c r="BB481" s="38"/>
      <c r="BF481" s="38"/>
      <c r="BJ481" s="38"/>
      <c r="BN481" s="38"/>
      <c r="BR481" s="38"/>
    </row>
    <row r="482" spans="2:70" s="33" customFormat="1" ht="15.75">
      <c r="B482" s="38"/>
      <c r="F482" s="38"/>
      <c r="J482" s="38"/>
      <c r="N482" s="38"/>
      <c r="R482" s="38"/>
      <c r="V482" s="38"/>
      <c r="Z482" s="38"/>
      <c r="AD482" s="38"/>
      <c r="AH482" s="38"/>
      <c r="AL482" s="38"/>
      <c r="AP482" s="38"/>
      <c r="AT482" s="38"/>
      <c r="AX482" s="38"/>
      <c r="BB482" s="38"/>
      <c r="BF482" s="38"/>
      <c r="BJ482" s="38"/>
      <c r="BN482" s="38"/>
      <c r="BR482" s="38"/>
    </row>
    <row r="483" spans="2:70" s="33" customFormat="1" ht="15.75">
      <c r="B483" s="38"/>
      <c r="F483" s="38"/>
      <c r="J483" s="38"/>
      <c r="N483" s="38"/>
      <c r="R483" s="38"/>
      <c r="V483" s="38"/>
      <c r="Z483" s="38"/>
      <c r="AD483" s="38"/>
      <c r="AH483" s="38"/>
      <c r="AL483" s="38"/>
      <c r="AP483" s="38"/>
      <c r="AT483" s="38"/>
      <c r="AX483" s="38"/>
      <c r="BB483" s="38"/>
      <c r="BF483" s="38"/>
      <c r="BJ483" s="38"/>
      <c r="BN483" s="38"/>
      <c r="BR483" s="38"/>
    </row>
    <row r="484" spans="2:70" s="33" customFormat="1" ht="15.75">
      <c r="B484" s="38"/>
      <c r="F484" s="38"/>
      <c r="J484" s="38"/>
      <c r="N484" s="38"/>
      <c r="R484" s="38"/>
      <c r="V484" s="38"/>
      <c r="Z484" s="38"/>
      <c r="AD484" s="38"/>
      <c r="AH484" s="38"/>
      <c r="AL484" s="38"/>
      <c r="AP484" s="38"/>
      <c r="AT484" s="38"/>
      <c r="AX484" s="38"/>
      <c r="BB484" s="38"/>
      <c r="BF484" s="38"/>
      <c r="BJ484" s="38"/>
      <c r="BN484" s="38"/>
      <c r="BR484" s="38"/>
    </row>
    <row r="485" spans="2:70" s="33" customFormat="1" ht="15.75">
      <c r="B485" s="38"/>
      <c r="F485" s="38"/>
      <c r="J485" s="38"/>
      <c r="N485" s="38"/>
      <c r="R485" s="38"/>
      <c r="V485" s="38"/>
      <c r="Z485" s="38"/>
      <c r="AD485" s="38"/>
      <c r="AH485" s="38"/>
      <c r="AL485" s="38"/>
      <c r="AP485" s="38"/>
      <c r="AT485" s="38"/>
      <c r="AX485" s="38"/>
      <c r="BB485" s="38"/>
      <c r="BF485" s="38"/>
      <c r="BJ485" s="38"/>
      <c r="BN485" s="38"/>
      <c r="BR485" s="38"/>
    </row>
    <row r="486" spans="2:70" s="33" customFormat="1" ht="15.75">
      <c r="B486" s="38"/>
      <c r="F486" s="38"/>
      <c r="J486" s="38"/>
      <c r="N486" s="38"/>
      <c r="R486" s="38"/>
      <c r="V486" s="38"/>
      <c r="Z486" s="38"/>
      <c r="AD486" s="38"/>
      <c r="AH486" s="38"/>
      <c r="AL486" s="38"/>
      <c r="AP486" s="38"/>
      <c r="AT486" s="38"/>
      <c r="AX486" s="38"/>
      <c r="BB486" s="38"/>
      <c r="BF486" s="38"/>
      <c r="BJ486" s="38"/>
      <c r="BN486" s="38"/>
      <c r="BR486" s="38"/>
    </row>
    <row r="487" spans="2:70" s="33" customFormat="1" ht="15.75">
      <c r="B487" s="38"/>
      <c r="F487" s="38"/>
      <c r="J487" s="38"/>
      <c r="N487" s="38"/>
      <c r="R487" s="38"/>
      <c r="V487" s="38"/>
      <c r="Z487" s="38"/>
      <c r="AD487" s="38"/>
      <c r="AH487" s="38"/>
      <c r="AL487" s="38"/>
      <c r="AP487" s="38"/>
      <c r="AT487" s="38"/>
      <c r="AX487" s="38"/>
      <c r="BB487" s="38"/>
      <c r="BF487" s="38"/>
      <c r="BJ487" s="38"/>
      <c r="BN487" s="38"/>
      <c r="BR487" s="38"/>
    </row>
    <row r="488" spans="2:70" s="33" customFormat="1" ht="15.75">
      <c r="B488" s="38"/>
      <c r="F488" s="38"/>
      <c r="J488" s="38"/>
      <c r="N488" s="38"/>
      <c r="R488" s="38"/>
      <c r="V488" s="38"/>
      <c r="Z488" s="38"/>
      <c r="AD488" s="38"/>
      <c r="AH488" s="38"/>
      <c r="AL488" s="38"/>
      <c r="AP488" s="38"/>
      <c r="AT488" s="38"/>
      <c r="AX488" s="38"/>
      <c r="BB488" s="38"/>
      <c r="BF488" s="38"/>
      <c r="BJ488" s="38"/>
      <c r="BN488" s="38"/>
      <c r="BR488" s="38"/>
    </row>
    <row r="489" spans="2:70" s="33" customFormat="1" ht="15.75">
      <c r="B489" s="38"/>
      <c r="F489" s="38"/>
      <c r="J489" s="38"/>
      <c r="N489" s="38"/>
      <c r="R489" s="38"/>
      <c r="V489" s="38"/>
      <c r="Z489" s="38"/>
      <c r="AD489" s="38"/>
      <c r="AH489" s="38"/>
      <c r="AL489" s="38"/>
      <c r="AP489" s="38"/>
      <c r="AT489" s="38"/>
      <c r="AX489" s="38"/>
      <c r="BB489" s="38"/>
      <c r="BF489" s="38"/>
      <c r="BJ489" s="38"/>
      <c r="BN489" s="38"/>
      <c r="BR489" s="38"/>
    </row>
    <row r="490" spans="2:70" s="33" customFormat="1" ht="15.75">
      <c r="B490" s="38"/>
      <c r="F490" s="38"/>
      <c r="J490" s="38"/>
      <c r="N490" s="38"/>
      <c r="R490" s="38"/>
      <c r="V490" s="38"/>
      <c r="Z490" s="38"/>
      <c r="AD490" s="38"/>
      <c r="AH490" s="38"/>
      <c r="AL490" s="38"/>
      <c r="AP490" s="38"/>
      <c r="AT490" s="38"/>
      <c r="AX490" s="38"/>
      <c r="BB490" s="38"/>
      <c r="BF490" s="38"/>
      <c r="BJ490" s="38"/>
      <c r="BN490" s="38"/>
      <c r="BR490" s="38"/>
    </row>
    <row r="491" spans="2:70" s="33" customFormat="1" ht="15.75">
      <c r="B491" s="38"/>
      <c r="F491" s="38"/>
      <c r="J491" s="38"/>
      <c r="N491" s="38"/>
      <c r="R491" s="38"/>
      <c r="V491" s="38"/>
      <c r="Z491" s="38"/>
      <c r="AD491" s="38"/>
      <c r="AH491" s="38"/>
      <c r="AL491" s="38"/>
      <c r="AP491" s="38"/>
      <c r="AT491" s="38"/>
      <c r="AX491" s="38"/>
      <c r="BB491" s="38"/>
      <c r="BF491" s="38"/>
      <c r="BJ491" s="38"/>
      <c r="BN491" s="38"/>
      <c r="BR491" s="38"/>
    </row>
    <row r="492" spans="2:70" s="33" customFormat="1" ht="15.75">
      <c r="B492" s="38"/>
      <c r="F492" s="38"/>
      <c r="J492" s="38"/>
      <c r="N492" s="38"/>
      <c r="R492" s="38"/>
      <c r="V492" s="38"/>
      <c r="Z492" s="38"/>
      <c r="AD492" s="38"/>
      <c r="AH492" s="38"/>
      <c r="AL492" s="38"/>
      <c r="AP492" s="38"/>
      <c r="AT492" s="38"/>
      <c r="AX492" s="38"/>
      <c r="BB492" s="38"/>
      <c r="BF492" s="38"/>
      <c r="BJ492" s="38"/>
      <c r="BN492" s="38"/>
      <c r="BR492" s="38"/>
    </row>
    <row r="493" spans="2:70" s="33" customFormat="1" ht="15.75">
      <c r="B493" s="38"/>
      <c r="F493" s="38"/>
      <c r="J493" s="38"/>
      <c r="N493" s="38"/>
      <c r="R493" s="38"/>
      <c r="V493" s="38"/>
      <c r="Z493" s="38"/>
      <c r="AD493" s="38"/>
      <c r="AH493" s="38"/>
      <c r="AL493" s="38"/>
      <c r="AP493" s="38"/>
      <c r="AT493" s="38"/>
      <c r="AX493" s="38"/>
      <c r="BB493" s="38"/>
      <c r="BF493" s="38"/>
      <c r="BJ493" s="38"/>
      <c r="BN493" s="38"/>
      <c r="BR493" s="38"/>
    </row>
    <row r="494" spans="2:70" s="33" customFormat="1" ht="15.75">
      <c r="B494" s="38"/>
      <c r="F494" s="38"/>
      <c r="J494" s="38"/>
      <c r="N494" s="38"/>
      <c r="R494" s="38"/>
      <c r="V494" s="38"/>
      <c r="Z494" s="38"/>
      <c r="AD494" s="38"/>
      <c r="AH494" s="38"/>
      <c r="AL494" s="38"/>
      <c r="AP494" s="38"/>
      <c r="AT494" s="38"/>
      <c r="AX494" s="38"/>
      <c r="BB494" s="38"/>
      <c r="BF494" s="38"/>
      <c r="BJ494" s="38"/>
      <c r="BN494" s="38"/>
      <c r="BR494" s="38"/>
    </row>
    <row r="495" spans="2:70" s="33" customFormat="1" ht="15.75">
      <c r="B495" s="38"/>
      <c r="F495" s="38"/>
      <c r="J495" s="38"/>
      <c r="N495" s="38"/>
      <c r="R495" s="38"/>
      <c r="V495" s="38"/>
      <c r="Z495" s="38"/>
      <c r="AD495" s="38"/>
      <c r="AH495" s="38"/>
      <c r="AL495" s="38"/>
      <c r="AP495" s="38"/>
      <c r="AT495" s="38"/>
      <c r="AX495" s="38"/>
      <c r="BB495" s="38"/>
      <c r="BF495" s="38"/>
      <c r="BJ495" s="38"/>
      <c r="BN495" s="38"/>
      <c r="BR495" s="38"/>
    </row>
    <row r="496" spans="2:70" s="33" customFormat="1" ht="15.75">
      <c r="B496" s="38"/>
      <c r="F496" s="38"/>
      <c r="J496" s="38"/>
      <c r="N496" s="38"/>
      <c r="R496" s="38"/>
      <c r="V496" s="38"/>
      <c r="Z496" s="38"/>
      <c r="AD496" s="38"/>
      <c r="AH496" s="38"/>
      <c r="AL496" s="38"/>
      <c r="AP496" s="38"/>
      <c r="AT496" s="38"/>
      <c r="AX496" s="38"/>
      <c r="BB496" s="38"/>
      <c r="BF496" s="38"/>
      <c r="BJ496" s="38"/>
      <c r="BN496" s="38"/>
      <c r="BR496" s="38"/>
    </row>
    <row r="497" spans="2:70" s="33" customFormat="1" ht="15.75">
      <c r="B497" s="38"/>
      <c r="F497" s="38"/>
      <c r="J497" s="38"/>
      <c r="N497" s="38"/>
      <c r="R497" s="38"/>
      <c r="V497" s="38"/>
      <c r="Z497" s="38"/>
      <c r="AD497" s="38"/>
      <c r="AH497" s="38"/>
      <c r="AL497" s="38"/>
      <c r="AP497" s="38"/>
      <c r="AT497" s="38"/>
      <c r="AX497" s="38"/>
      <c r="BB497" s="38"/>
      <c r="BF497" s="38"/>
      <c r="BJ497" s="38"/>
      <c r="BN497" s="38"/>
      <c r="BR497" s="38"/>
    </row>
    <row r="498" spans="2:70" s="33" customFormat="1" ht="15.75">
      <c r="B498" s="38"/>
      <c r="F498" s="38"/>
      <c r="J498" s="38"/>
      <c r="N498" s="38"/>
      <c r="R498" s="38"/>
      <c r="V498" s="38"/>
      <c r="Z498" s="38"/>
      <c r="AD498" s="38"/>
      <c r="AH498" s="38"/>
      <c r="AL498" s="38"/>
      <c r="AP498" s="38"/>
      <c r="AT498" s="38"/>
      <c r="AX498" s="38"/>
      <c r="BB498" s="38"/>
      <c r="BF498" s="38"/>
      <c r="BJ498" s="38"/>
      <c r="BN498" s="38"/>
      <c r="BR498" s="38"/>
    </row>
    <row r="499" spans="2:70" s="33" customFormat="1" ht="15.75">
      <c r="B499" s="38"/>
      <c r="F499" s="38"/>
      <c r="J499" s="38"/>
      <c r="N499" s="38"/>
      <c r="R499" s="38"/>
      <c r="V499" s="38"/>
      <c r="Z499" s="38"/>
      <c r="AD499" s="38"/>
      <c r="AH499" s="38"/>
      <c r="AL499" s="38"/>
      <c r="AP499" s="38"/>
      <c r="AT499" s="38"/>
      <c r="AX499" s="38"/>
      <c r="BB499" s="38"/>
      <c r="BF499" s="38"/>
      <c r="BJ499" s="38"/>
      <c r="BN499" s="38"/>
      <c r="BR499" s="38"/>
    </row>
    <row r="500" spans="2:70" s="33" customFormat="1" ht="15.75">
      <c r="B500" s="38"/>
      <c r="F500" s="38"/>
      <c r="J500" s="38"/>
      <c r="N500" s="38"/>
      <c r="R500" s="38"/>
      <c r="V500" s="38"/>
      <c r="Z500" s="38"/>
      <c r="AD500" s="38"/>
      <c r="AH500" s="38"/>
      <c r="AL500" s="38"/>
      <c r="AP500" s="38"/>
      <c r="AT500" s="38"/>
      <c r="AX500" s="38"/>
      <c r="BB500" s="38"/>
      <c r="BF500" s="38"/>
      <c r="BJ500" s="38"/>
      <c r="BN500" s="38"/>
      <c r="BR500" s="38"/>
    </row>
    <row r="501" spans="2:70" s="33" customFormat="1" ht="15.75">
      <c r="B501" s="38"/>
      <c r="F501" s="38"/>
      <c r="J501" s="38"/>
      <c r="N501" s="38"/>
      <c r="R501" s="38"/>
      <c r="V501" s="38"/>
      <c r="Z501" s="38"/>
      <c r="AD501" s="38"/>
      <c r="AH501" s="38"/>
      <c r="AL501" s="38"/>
      <c r="AP501" s="38"/>
      <c r="AT501" s="38"/>
      <c r="AX501" s="38"/>
      <c r="BB501" s="38"/>
      <c r="BF501" s="38"/>
      <c r="BJ501" s="38"/>
      <c r="BN501" s="38"/>
      <c r="BR501" s="38"/>
    </row>
    <row r="502" spans="2:70" s="33" customFormat="1" ht="15.75">
      <c r="B502" s="38"/>
      <c r="F502" s="38"/>
      <c r="J502" s="38"/>
      <c r="N502" s="38"/>
      <c r="R502" s="38"/>
      <c r="V502" s="38"/>
      <c r="Z502" s="38"/>
      <c r="AD502" s="38"/>
      <c r="AH502" s="38"/>
      <c r="AL502" s="38"/>
      <c r="AP502" s="38"/>
      <c r="AT502" s="38"/>
      <c r="AX502" s="38"/>
      <c r="BB502" s="38"/>
      <c r="BF502" s="38"/>
      <c r="BJ502" s="38"/>
      <c r="BN502" s="38"/>
      <c r="BR502" s="38"/>
    </row>
    <row r="503" spans="2:70" s="33" customFormat="1" ht="15.75">
      <c r="B503" s="38"/>
      <c r="F503" s="38"/>
      <c r="J503" s="38"/>
      <c r="N503" s="38"/>
      <c r="R503" s="38"/>
      <c r="V503" s="38"/>
      <c r="Z503" s="38"/>
      <c r="AD503" s="38"/>
      <c r="AH503" s="38"/>
      <c r="AL503" s="38"/>
      <c r="AP503" s="38"/>
      <c r="AT503" s="38"/>
      <c r="AX503" s="38"/>
      <c r="BB503" s="38"/>
      <c r="BF503" s="38"/>
      <c r="BJ503" s="38"/>
      <c r="BN503" s="38"/>
      <c r="BR503" s="38"/>
    </row>
    <row r="504" spans="2:70" s="33" customFormat="1" ht="15.75">
      <c r="B504" s="38"/>
      <c r="F504" s="38"/>
      <c r="J504" s="38"/>
      <c r="N504" s="38"/>
      <c r="R504" s="38"/>
      <c r="V504" s="38"/>
      <c r="Z504" s="38"/>
      <c r="AD504" s="38"/>
      <c r="AH504" s="38"/>
      <c r="AL504" s="38"/>
      <c r="AP504" s="38"/>
      <c r="AT504" s="38"/>
      <c r="AX504" s="38"/>
      <c r="BB504" s="38"/>
      <c r="BF504" s="38"/>
      <c r="BJ504" s="38"/>
      <c r="BN504" s="38"/>
      <c r="BR504" s="38"/>
    </row>
    <row r="505" spans="2:70" s="33" customFormat="1" ht="15.75">
      <c r="B505" s="38"/>
      <c r="F505" s="38"/>
      <c r="J505" s="38"/>
      <c r="N505" s="38"/>
      <c r="R505" s="38"/>
      <c r="V505" s="38"/>
      <c r="Z505" s="38"/>
      <c r="AD505" s="38"/>
      <c r="AH505" s="38"/>
      <c r="AL505" s="38"/>
      <c r="AP505" s="38"/>
      <c r="AT505" s="38"/>
      <c r="AX505" s="38"/>
      <c r="BB505" s="38"/>
      <c r="BF505" s="38"/>
      <c r="BJ505" s="38"/>
      <c r="BN505" s="38"/>
      <c r="BR505" s="38"/>
    </row>
    <row r="506" spans="2:70" s="33" customFormat="1" ht="15.75">
      <c r="B506" s="38"/>
      <c r="F506" s="38"/>
      <c r="J506" s="38"/>
      <c r="N506" s="38"/>
      <c r="R506" s="38"/>
      <c r="V506" s="38"/>
      <c r="Z506" s="38"/>
      <c r="AD506" s="38"/>
      <c r="AH506" s="38"/>
      <c r="AL506" s="38"/>
      <c r="AP506" s="38"/>
      <c r="AT506" s="38"/>
      <c r="AX506" s="38"/>
      <c r="BB506" s="38"/>
      <c r="BF506" s="38"/>
      <c r="BJ506" s="38"/>
      <c r="BN506" s="38"/>
      <c r="BR506" s="38"/>
    </row>
    <row r="507" spans="2:70" s="33" customFormat="1" ht="15.75">
      <c r="B507" s="38"/>
      <c r="F507" s="38"/>
      <c r="J507" s="38"/>
      <c r="N507" s="38"/>
      <c r="R507" s="38"/>
      <c r="V507" s="38"/>
      <c r="Z507" s="38"/>
      <c r="AD507" s="38"/>
      <c r="AH507" s="38"/>
      <c r="AL507" s="38"/>
      <c r="AP507" s="38"/>
      <c r="AT507" s="38"/>
      <c r="AX507" s="38"/>
      <c r="BB507" s="38"/>
      <c r="BF507" s="38"/>
      <c r="BJ507" s="38"/>
      <c r="BN507" s="38"/>
      <c r="BR507" s="38"/>
    </row>
    <row r="508" spans="2:70" s="33" customFormat="1" ht="15.75">
      <c r="B508" s="38"/>
      <c r="F508" s="38"/>
      <c r="J508" s="38"/>
      <c r="N508" s="38"/>
      <c r="R508" s="38"/>
      <c r="V508" s="38"/>
      <c r="Z508" s="38"/>
      <c r="AD508" s="38"/>
      <c r="AH508" s="38"/>
      <c r="AL508" s="38"/>
      <c r="AP508" s="38"/>
      <c r="AT508" s="38"/>
      <c r="AX508" s="38"/>
      <c r="BB508" s="38"/>
      <c r="BF508" s="38"/>
      <c r="BJ508" s="38"/>
      <c r="BN508" s="38"/>
      <c r="BR508" s="38"/>
    </row>
    <row r="509" spans="2:70" s="33" customFormat="1" ht="15.75">
      <c r="B509" s="38"/>
      <c r="F509" s="38"/>
      <c r="J509" s="38"/>
      <c r="N509" s="38"/>
      <c r="R509" s="38"/>
      <c r="V509" s="38"/>
      <c r="Z509" s="38"/>
      <c r="AD509" s="38"/>
      <c r="AH509" s="38"/>
      <c r="AL509" s="38"/>
      <c r="AP509" s="38"/>
      <c r="AT509" s="38"/>
      <c r="AX509" s="38"/>
      <c r="BB509" s="38"/>
      <c r="BF509" s="38"/>
      <c r="BJ509" s="38"/>
      <c r="BN509" s="38"/>
      <c r="BR509" s="38"/>
    </row>
    <row r="510" spans="2:70" s="33" customFormat="1" ht="15.75">
      <c r="B510" s="38"/>
      <c r="F510" s="38"/>
      <c r="J510" s="38"/>
      <c r="N510" s="38"/>
      <c r="R510" s="38"/>
      <c r="V510" s="38"/>
      <c r="Z510" s="38"/>
      <c r="AD510" s="38"/>
      <c r="AH510" s="38"/>
      <c r="AL510" s="38"/>
      <c r="AP510" s="38"/>
      <c r="AT510" s="38"/>
      <c r="AX510" s="38"/>
      <c r="BB510" s="38"/>
      <c r="BF510" s="38"/>
      <c r="BJ510" s="38"/>
      <c r="BN510" s="38"/>
      <c r="BR510" s="38"/>
    </row>
    <row r="511" spans="2:70" s="33" customFormat="1" ht="15.75">
      <c r="B511" s="38"/>
      <c r="F511" s="38"/>
      <c r="J511" s="38"/>
      <c r="N511" s="38"/>
      <c r="R511" s="38"/>
      <c r="V511" s="38"/>
      <c r="Z511" s="38"/>
      <c r="AD511" s="38"/>
      <c r="AH511" s="38"/>
      <c r="AL511" s="38"/>
      <c r="AP511" s="38"/>
      <c r="AT511" s="38"/>
      <c r="AX511" s="38"/>
      <c r="BB511" s="38"/>
      <c r="BF511" s="38"/>
      <c r="BJ511" s="38"/>
      <c r="BN511" s="38"/>
      <c r="BR511" s="38"/>
    </row>
    <row r="512" spans="2:70" s="33" customFormat="1" ht="15.75">
      <c r="B512" s="38"/>
      <c r="F512" s="38"/>
      <c r="J512" s="38"/>
      <c r="N512" s="38"/>
      <c r="R512" s="38"/>
      <c r="V512" s="38"/>
      <c r="Z512" s="38"/>
      <c r="AD512" s="38"/>
      <c r="AH512" s="38"/>
      <c r="AL512" s="38"/>
      <c r="AP512" s="38"/>
      <c r="AT512" s="38"/>
      <c r="AX512" s="38"/>
      <c r="BB512" s="38"/>
      <c r="BF512" s="38"/>
      <c r="BJ512" s="38"/>
      <c r="BN512" s="38"/>
      <c r="BR512" s="38"/>
    </row>
    <row r="513" spans="2:70" s="33" customFormat="1" ht="15.75">
      <c r="B513" s="38"/>
      <c r="F513" s="38"/>
      <c r="J513" s="38"/>
      <c r="N513" s="38"/>
      <c r="R513" s="38"/>
      <c r="V513" s="38"/>
      <c r="Z513" s="38"/>
      <c r="AD513" s="38"/>
      <c r="AH513" s="38"/>
      <c r="AL513" s="38"/>
      <c r="AP513" s="38"/>
      <c r="AT513" s="38"/>
      <c r="AX513" s="38"/>
      <c r="BB513" s="38"/>
      <c r="BF513" s="38"/>
      <c r="BJ513" s="38"/>
      <c r="BN513" s="38"/>
      <c r="BR513" s="38"/>
    </row>
    <row r="514" spans="2:70" s="33" customFormat="1" ht="15.75">
      <c r="B514" s="38"/>
      <c r="F514" s="38"/>
      <c r="J514" s="38"/>
      <c r="N514" s="38"/>
      <c r="R514" s="38"/>
      <c r="V514" s="38"/>
      <c r="Z514" s="38"/>
      <c r="AD514" s="38"/>
      <c r="AH514" s="38"/>
      <c r="AL514" s="38"/>
      <c r="AP514" s="38"/>
      <c r="AT514" s="38"/>
      <c r="AX514" s="38"/>
      <c r="BB514" s="38"/>
      <c r="BF514" s="38"/>
      <c r="BJ514" s="38"/>
      <c r="BN514" s="38"/>
      <c r="BR514" s="38"/>
    </row>
    <row r="515" spans="2:70" s="33" customFormat="1" ht="15.75">
      <c r="B515" s="38"/>
      <c r="F515" s="38"/>
      <c r="J515" s="38"/>
      <c r="N515" s="38"/>
      <c r="R515" s="38"/>
      <c r="V515" s="38"/>
      <c r="Z515" s="38"/>
      <c r="AD515" s="38"/>
      <c r="AH515" s="38"/>
      <c r="AL515" s="38"/>
      <c r="AP515" s="38"/>
      <c r="AT515" s="38"/>
      <c r="AX515" s="38"/>
      <c r="BB515" s="38"/>
      <c r="BF515" s="38"/>
      <c r="BJ515" s="38"/>
      <c r="BN515" s="38"/>
      <c r="BR515" s="38"/>
    </row>
    <row r="516" spans="2:70" s="33" customFormat="1" ht="15.75">
      <c r="B516" s="38"/>
      <c r="F516" s="38"/>
      <c r="J516" s="38"/>
      <c r="N516" s="38"/>
      <c r="R516" s="38"/>
      <c r="V516" s="38"/>
      <c r="Z516" s="38"/>
      <c r="AD516" s="38"/>
      <c r="AH516" s="38"/>
      <c r="AL516" s="38"/>
      <c r="AP516" s="38"/>
      <c r="AT516" s="38"/>
      <c r="AX516" s="38"/>
      <c r="BB516" s="38"/>
      <c r="BF516" s="38"/>
      <c r="BJ516" s="38"/>
      <c r="BN516" s="38"/>
      <c r="BR516" s="38"/>
    </row>
    <row r="517" spans="2:70" s="33" customFormat="1" ht="15.75">
      <c r="B517" s="38"/>
      <c r="F517" s="38"/>
      <c r="J517" s="38"/>
      <c r="N517" s="38"/>
      <c r="R517" s="38"/>
      <c r="V517" s="38"/>
      <c r="Z517" s="38"/>
      <c r="AD517" s="38"/>
      <c r="AH517" s="38"/>
      <c r="AL517" s="38"/>
      <c r="AP517" s="38"/>
      <c r="AT517" s="38"/>
      <c r="AX517" s="38"/>
      <c r="BB517" s="38"/>
      <c r="BF517" s="38"/>
      <c r="BJ517" s="38"/>
      <c r="BN517" s="38"/>
      <c r="BR517" s="38"/>
    </row>
    <row r="518" spans="2:70" s="33" customFormat="1" ht="15.75">
      <c r="B518" s="38"/>
      <c r="F518" s="38"/>
      <c r="J518" s="38"/>
      <c r="N518" s="38"/>
      <c r="R518" s="38"/>
      <c r="V518" s="38"/>
      <c r="Z518" s="38"/>
      <c r="AD518" s="38"/>
      <c r="AH518" s="38"/>
      <c r="AL518" s="38"/>
      <c r="AP518" s="38"/>
      <c r="AT518" s="38"/>
      <c r="AX518" s="38"/>
      <c r="BB518" s="38"/>
      <c r="BF518" s="38"/>
      <c r="BJ518" s="38"/>
      <c r="BN518" s="38"/>
      <c r="BR518" s="38"/>
    </row>
    <row r="519" spans="2:70" s="33" customFormat="1" ht="15.75">
      <c r="B519" s="38"/>
      <c r="F519" s="38"/>
      <c r="J519" s="38"/>
      <c r="N519" s="38"/>
      <c r="R519" s="38"/>
      <c r="V519" s="38"/>
      <c r="Z519" s="38"/>
      <c r="AD519" s="38"/>
      <c r="AH519" s="38"/>
      <c r="AL519" s="38"/>
      <c r="AP519" s="38"/>
      <c r="AT519" s="38"/>
      <c r="AX519" s="38"/>
      <c r="BB519" s="38"/>
      <c r="BF519" s="38"/>
      <c r="BJ519" s="38"/>
      <c r="BN519" s="38"/>
      <c r="BR519" s="38"/>
    </row>
    <row r="520" spans="2:70" s="33" customFormat="1" ht="15.75">
      <c r="B520" s="38"/>
      <c r="F520" s="38"/>
      <c r="J520" s="38"/>
      <c r="N520" s="38"/>
      <c r="R520" s="38"/>
      <c r="V520" s="38"/>
      <c r="Z520" s="38"/>
      <c r="AD520" s="38"/>
      <c r="AH520" s="38"/>
      <c r="AL520" s="38"/>
      <c r="AP520" s="38"/>
      <c r="AT520" s="38"/>
      <c r="AX520" s="38"/>
      <c r="BB520" s="38"/>
      <c r="BF520" s="38"/>
      <c r="BJ520" s="38"/>
      <c r="BN520" s="38"/>
      <c r="BR520" s="38"/>
    </row>
    <row r="521" spans="2:70" s="33" customFormat="1" ht="15.75">
      <c r="B521" s="38"/>
      <c r="F521" s="38"/>
      <c r="J521" s="38"/>
      <c r="N521" s="38"/>
      <c r="R521" s="38"/>
      <c r="V521" s="38"/>
      <c r="Z521" s="38"/>
      <c r="AD521" s="38"/>
      <c r="AH521" s="38"/>
      <c r="AL521" s="38"/>
      <c r="AP521" s="38"/>
      <c r="AT521" s="38"/>
      <c r="AX521" s="38"/>
      <c r="BB521" s="38"/>
      <c r="BF521" s="38"/>
      <c r="BJ521" s="38"/>
      <c r="BN521" s="38"/>
      <c r="BR521" s="38"/>
    </row>
    <row r="522" spans="2:70" s="33" customFormat="1" ht="15.75">
      <c r="B522" s="38"/>
      <c r="F522" s="38"/>
      <c r="J522" s="38"/>
      <c r="N522" s="38"/>
      <c r="R522" s="38"/>
      <c r="V522" s="38"/>
      <c r="Z522" s="38"/>
      <c r="AD522" s="38"/>
      <c r="AH522" s="38"/>
      <c r="AL522" s="38"/>
      <c r="AP522" s="38"/>
      <c r="AT522" s="38"/>
      <c r="AX522" s="38"/>
      <c r="BB522" s="38"/>
      <c r="BF522" s="38"/>
      <c r="BJ522" s="38"/>
      <c r="BN522" s="38"/>
      <c r="BR522" s="38"/>
    </row>
    <row r="523" spans="2:70" s="33" customFormat="1" ht="15.75">
      <c r="B523" s="38"/>
      <c r="F523" s="38"/>
      <c r="J523" s="38"/>
      <c r="N523" s="38"/>
      <c r="R523" s="38"/>
      <c r="V523" s="38"/>
      <c r="Z523" s="38"/>
      <c r="AD523" s="38"/>
      <c r="AH523" s="38"/>
      <c r="AL523" s="38"/>
      <c r="AP523" s="38"/>
      <c r="AT523" s="38"/>
      <c r="AX523" s="38"/>
      <c r="BB523" s="38"/>
      <c r="BF523" s="38"/>
      <c r="BJ523" s="38"/>
      <c r="BN523" s="38"/>
      <c r="BR523" s="38"/>
    </row>
    <row r="524" spans="2:70" s="33" customFormat="1" ht="15.75">
      <c r="B524" s="38"/>
      <c r="F524" s="38"/>
      <c r="J524" s="38"/>
      <c r="N524" s="38"/>
      <c r="R524" s="38"/>
      <c r="V524" s="38"/>
      <c r="Z524" s="38"/>
      <c r="AD524" s="38"/>
      <c r="AH524" s="38"/>
      <c r="AL524" s="38"/>
      <c r="AP524" s="38"/>
      <c r="AT524" s="38"/>
      <c r="AX524" s="38"/>
      <c r="BB524" s="38"/>
      <c r="BF524" s="38"/>
      <c r="BJ524" s="38"/>
      <c r="BN524" s="38"/>
      <c r="BR524" s="38"/>
    </row>
    <row r="525" spans="2:70" s="33" customFormat="1" ht="15.75">
      <c r="B525" s="38"/>
      <c r="F525" s="38"/>
      <c r="J525" s="38"/>
      <c r="N525" s="38"/>
      <c r="R525" s="38"/>
      <c r="V525" s="38"/>
      <c r="Z525" s="38"/>
      <c r="AD525" s="38"/>
      <c r="AH525" s="38"/>
      <c r="AL525" s="38"/>
      <c r="AP525" s="38"/>
      <c r="AT525" s="38"/>
      <c r="AX525" s="38"/>
      <c r="BB525" s="38"/>
      <c r="BF525" s="38"/>
      <c r="BJ525" s="38"/>
      <c r="BN525" s="38"/>
      <c r="BR525" s="38"/>
    </row>
    <row r="526" spans="2:70" s="33" customFormat="1" ht="15.75">
      <c r="B526" s="38"/>
      <c r="F526" s="38"/>
      <c r="J526" s="38"/>
      <c r="N526" s="38"/>
      <c r="R526" s="38"/>
      <c r="V526" s="38"/>
      <c r="Z526" s="38"/>
      <c r="AD526" s="38"/>
      <c r="AH526" s="38"/>
      <c r="AL526" s="38"/>
      <c r="AP526" s="38"/>
      <c r="AT526" s="38"/>
      <c r="AX526" s="38"/>
      <c r="BB526" s="38"/>
      <c r="BF526" s="38"/>
      <c r="BJ526" s="38"/>
      <c r="BN526" s="38"/>
      <c r="BR526" s="38"/>
    </row>
    <row r="527" spans="2:70" s="33" customFormat="1" ht="15.75">
      <c r="B527" s="38"/>
      <c r="F527" s="38"/>
      <c r="J527" s="38"/>
      <c r="N527" s="38"/>
      <c r="R527" s="38"/>
      <c r="V527" s="38"/>
      <c r="Z527" s="38"/>
      <c r="AD527" s="38"/>
      <c r="AH527" s="38"/>
      <c r="AL527" s="38"/>
      <c r="AP527" s="38"/>
      <c r="AT527" s="38"/>
      <c r="AX527" s="38"/>
      <c r="BB527" s="38"/>
      <c r="BF527" s="38"/>
      <c r="BJ527" s="38"/>
      <c r="BN527" s="38"/>
      <c r="BR527" s="38"/>
    </row>
    <row r="528" spans="2:70" s="33" customFormat="1" ht="15.75">
      <c r="B528" s="38"/>
      <c r="F528" s="38"/>
      <c r="J528" s="38"/>
      <c r="N528" s="38"/>
      <c r="R528" s="38"/>
      <c r="V528" s="38"/>
      <c r="Z528" s="38"/>
      <c r="AD528" s="38"/>
      <c r="AH528" s="38"/>
      <c r="AL528" s="38"/>
      <c r="AP528" s="38"/>
      <c r="AT528" s="38"/>
      <c r="AX528" s="38"/>
      <c r="BB528" s="38"/>
      <c r="BF528" s="38"/>
      <c r="BJ528" s="38"/>
      <c r="BN528" s="38"/>
      <c r="BR528" s="38"/>
    </row>
    <row r="529" spans="2:70" s="33" customFormat="1" ht="15.75">
      <c r="B529" s="38"/>
      <c r="F529" s="38"/>
      <c r="J529" s="38"/>
      <c r="N529" s="38"/>
      <c r="R529" s="38"/>
      <c r="V529" s="38"/>
      <c r="Z529" s="38"/>
      <c r="AD529" s="38"/>
      <c r="AH529" s="38"/>
      <c r="AL529" s="38"/>
      <c r="AP529" s="38"/>
      <c r="AT529" s="38"/>
      <c r="AX529" s="38"/>
      <c r="BB529" s="38"/>
      <c r="BF529" s="38"/>
      <c r="BJ529" s="38"/>
      <c r="BN529" s="38"/>
      <c r="BR529" s="38"/>
    </row>
    <row r="530" spans="2:70" s="33" customFormat="1" ht="15.75">
      <c r="B530" s="38"/>
      <c r="F530" s="38"/>
      <c r="J530" s="38"/>
      <c r="N530" s="38"/>
      <c r="R530" s="38"/>
      <c r="V530" s="38"/>
      <c r="Z530" s="38"/>
      <c r="AD530" s="38"/>
      <c r="AH530" s="38"/>
      <c r="AL530" s="38"/>
      <c r="AP530" s="38"/>
      <c r="AT530" s="38"/>
      <c r="AX530" s="38"/>
      <c r="BB530" s="38"/>
      <c r="BF530" s="38"/>
      <c r="BJ530" s="38"/>
      <c r="BN530" s="38"/>
      <c r="BR530" s="38"/>
    </row>
    <row r="531" spans="2:70" s="33" customFormat="1" ht="15.75">
      <c r="B531" s="38"/>
      <c r="F531" s="38"/>
      <c r="J531" s="38"/>
      <c r="N531" s="38"/>
      <c r="R531" s="38"/>
      <c r="V531" s="38"/>
      <c r="Z531" s="38"/>
      <c r="AD531" s="38"/>
      <c r="AH531" s="38"/>
      <c r="AL531" s="38"/>
      <c r="AP531" s="38"/>
      <c r="AT531" s="38"/>
      <c r="AX531" s="38"/>
      <c r="BB531" s="38"/>
      <c r="BF531" s="38"/>
      <c r="BJ531" s="38"/>
      <c r="BN531" s="38"/>
      <c r="BR531" s="38"/>
    </row>
    <row r="532" spans="2:70" s="33" customFormat="1" ht="15.75">
      <c r="B532" s="38"/>
      <c r="F532" s="38"/>
      <c r="J532" s="38"/>
      <c r="N532" s="38"/>
      <c r="R532" s="38"/>
      <c r="V532" s="38"/>
      <c r="Z532" s="38"/>
      <c r="AD532" s="38"/>
      <c r="AH532" s="38"/>
      <c r="AL532" s="38"/>
      <c r="AP532" s="38"/>
      <c r="AT532" s="38"/>
      <c r="AX532" s="38"/>
      <c r="BB532" s="38"/>
      <c r="BF532" s="38"/>
      <c r="BJ532" s="38"/>
      <c r="BN532" s="38"/>
      <c r="BR532" s="38"/>
    </row>
    <row r="533" spans="2:70" s="33" customFormat="1" ht="15.75">
      <c r="B533" s="38"/>
      <c r="F533" s="38"/>
      <c r="J533" s="38"/>
      <c r="N533" s="38"/>
      <c r="R533" s="38"/>
      <c r="V533" s="38"/>
      <c r="Z533" s="38"/>
      <c r="AD533" s="38"/>
      <c r="AH533" s="38"/>
      <c r="AL533" s="38"/>
      <c r="AP533" s="38"/>
      <c r="AT533" s="38"/>
      <c r="AX533" s="38"/>
      <c r="BB533" s="38"/>
      <c r="BF533" s="38"/>
      <c r="BJ533" s="38"/>
      <c r="BN533" s="38"/>
      <c r="BR533" s="38"/>
    </row>
    <row r="534" spans="2:70" s="33" customFormat="1" ht="15.75">
      <c r="B534" s="38"/>
      <c r="F534" s="38"/>
      <c r="J534" s="38"/>
      <c r="N534" s="38"/>
      <c r="R534" s="38"/>
      <c r="V534" s="38"/>
      <c r="Z534" s="38"/>
      <c r="AD534" s="38"/>
      <c r="AH534" s="38"/>
      <c r="AL534" s="38"/>
      <c r="AP534" s="38"/>
      <c r="AT534" s="38"/>
      <c r="AX534" s="38"/>
      <c r="BB534" s="38"/>
      <c r="BF534" s="38"/>
      <c r="BJ534" s="38"/>
      <c r="BN534" s="38"/>
      <c r="BR534" s="38"/>
    </row>
    <row r="535" spans="2:70" s="33" customFormat="1" ht="15.75">
      <c r="B535" s="38"/>
      <c r="F535" s="38"/>
      <c r="J535" s="38"/>
      <c r="N535" s="38"/>
      <c r="R535" s="38"/>
      <c r="V535" s="38"/>
      <c r="Z535" s="38"/>
      <c r="AD535" s="38"/>
      <c r="AH535" s="38"/>
      <c r="AL535" s="38"/>
      <c r="AP535" s="38"/>
      <c r="AT535" s="38"/>
      <c r="AX535" s="38"/>
      <c r="BB535" s="38"/>
      <c r="BF535" s="38"/>
      <c r="BJ535" s="38"/>
      <c r="BN535" s="38"/>
      <c r="BR535" s="38"/>
    </row>
    <row r="536" spans="2:70" s="33" customFormat="1" ht="15.75">
      <c r="B536" s="38"/>
      <c r="F536" s="38"/>
      <c r="J536" s="38"/>
      <c r="N536" s="38"/>
      <c r="R536" s="38"/>
      <c r="V536" s="38"/>
      <c r="Z536" s="38"/>
      <c r="AD536" s="38"/>
      <c r="AH536" s="38"/>
      <c r="AL536" s="38"/>
      <c r="AP536" s="38"/>
      <c r="AT536" s="38"/>
      <c r="AX536" s="38"/>
      <c r="BB536" s="38"/>
      <c r="BF536" s="38"/>
      <c r="BJ536" s="38"/>
      <c r="BN536" s="38"/>
      <c r="BR536" s="38"/>
    </row>
    <row r="537" spans="2:70" s="33" customFormat="1" ht="15.75">
      <c r="B537" s="38"/>
      <c r="F537" s="38"/>
      <c r="J537" s="38"/>
      <c r="N537" s="38"/>
      <c r="R537" s="38"/>
      <c r="V537" s="38"/>
      <c r="Z537" s="38"/>
      <c r="AD537" s="38"/>
      <c r="AH537" s="38"/>
      <c r="AL537" s="38"/>
      <c r="AP537" s="38"/>
      <c r="AT537" s="38"/>
      <c r="AX537" s="38"/>
      <c r="BB537" s="38"/>
      <c r="BF537" s="38"/>
      <c r="BJ537" s="38"/>
      <c r="BN537" s="38"/>
      <c r="BR537" s="38"/>
    </row>
    <row r="538" spans="2:70" s="33" customFormat="1" ht="15.75">
      <c r="B538" s="38"/>
      <c r="F538" s="38"/>
      <c r="J538" s="38"/>
      <c r="N538" s="38"/>
      <c r="R538" s="38"/>
      <c r="V538" s="38"/>
      <c r="Z538" s="38"/>
      <c r="AD538" s="38"/>
      <c r="AH538" s="38"/>
      <c r="AL538" s="38"/>
      <c r="AP538" s="38"/>
      <c r="AT538" s="38"/>
      <c r="AX538" s="38"/>
      <c r="BB538" s="38"/>
      <c r="BF538" s="38"/>
      <c r="BJ538" s="38"/>
      <c r="BN538" s="38"/>
      <c r="BR538" s="38"/>
    </row>
    <row r="539" spans="2:70" s="33" customFormat="1" ht="15.75">
      <c r="B539" s="38"/>
      <c r="F539" s="38"/>
      <c r="J539" s="38"/>
      <c r="N539" s="38"/>
      <c r="R539" s="38"/>
      <c r="V539" s="38"/>
      <c r="Z539" s="38"/>
      <c r="AD539" s="38"/>
      <c r="AH539" s="38"/>
      <c r="AL539" s="38"/>
      <c r="AP539" s="38"/>
      <c r="AT539" s="38"/>
      <c r="AX539" s="38"/>
      <c r="BB539" s="38"/>
      <c r="BF539" s="38"/>
      <c r="BJ539" s="38"/>
      <c r="BN539" s="38"/>
      <c r="BR539" s="38"/>
    </row>
    <row r="540" spans="2:70" s="33" customFormat="1" ht="15.75">
      <c r="B540" s="38"/>
      <c r="F540" s="38"/>
      <c r="J540" s="38"/>
      <c r="N540" s="38"/>
      <c r="R540" s="38"/>
      <c r="V540" s="38"/>
      <c r="Z540" s="38"/>
      <c r="AD540" s="38"/>
      <c r="AH540" s="38"/>
      <c r="AL540" s="38"/>
      <c r="AP540" s="38"/>
      <c r="AT540" s="38"/>
      <c r="AX540" s="38"/>
      <c r="BB540" s="38"/>
      <c r="BF540" s="38"/>
      <c r="BJ540" s="38"/>
      <c r="BN540" s="38"/>
      <c r="BR540" s="38"/>
    </row>
    <row r="541" spans="2:70" s="33" customFormat="1" ht="15.75">
      <c r="B541" s="38"/>
      <c r="F541" s="38"/>
      <c r="J541" s="38"/>
      <c r="N541" s="38"/>
      <c r="R541" s="38"/>
      <c r="V541" s="38"/>
      <c r="Z541" s="38"/>
      <c r="AD541" s="38"/>
      <c r="AH541" s="38"/>
      <c r="AL541" s="38"/>
      <c r="AP541" s="38"/>
      <c r="AT541" s="38"/>
      <c r="AX541" s="38"/>
      <c r="BB541" s="38"/>
      <c r="BF541" s="38"/>
      <c r="BJ541" s="38"/>
      <c r="BN541" s="38"/>
      <c r="BR541" s="38"/>
    </row>
    <row r="542" spans="2:70" s="33" customFormat="1" ht="15.75">
      <c r="B542" s="38"/>
      <c r="F542" s="38"/>
      <c r="J542" s="38"/>
      <c r="N542" s="38"/>
      <c r="R542" s="38"/>
      <c r="V542" s="38"/>
      <c r="Z542" s="38"/>
      <c r="AD542" s="38"/>
      <c r="AH542" s="38"/>
      <c r="AL542" s="38"/>
      <c r="AP542" s="38"/>
      <c r="AT542" s="38"/>
      <c r="AX542" s="38"/>
      <c r="BB542" s="38"/>
      <c r="BF542" s="38"/>
      <c r="BJ542" s="38"/>
      <c r="BN542" s="38"/>
      <c r="BR542" s="38"/>
    </row>
    <row r="543" spans="2:70" s="33" customFormat="1" ht="15.75">
      <c r="B543" s="38"/>
      <c r="F543" s="38"/>
      <c r="J543" s="38"/>
      <c r="N543" s="38"/>
      <c r="R543" s="38"/>
      <c r="V543" s="38"/>
      <c r="Z543" s="38"/>
      <c r="AD543" s="38"/>
      <c r="AH543" s="38"/>
      <c r="AL543" s="38"/>
      <c r="AP543" s="38"/>
      <c r="AT543" s="38"/>
      <c r="AX543" s="38"/>
      <c r="BB543" s="38"/>
      <c r="BF543" s="38"/>
      <c r="BJ543" s="38"/>
      <c r="BN543" s="38"/>
      <c r="BR543" s="38"/>
    </row>
    <row r="544" spans="2:70" s="33" customFormat="1" ht="15.75">
      <c r="B544" s="38"/>
      <c r="F544" s="38"/>
      <c r="J544" s="38"/>
      <c r="N544" s="38"/>
      <c r="R544" s="38"/>
      <c r="V544" s="38"/>
      <c r="Z544" s="38"/>
      <c r="AD544" s="38"/>
      <c r="AH544" s="38"/>
      <c r="AL544" s="38"/>
      <c r="AP544" s="38"/>
      <c r="AT544" s="38"/>
      <c r="AX544" s="38"/>
      <c r="BB544" s="38"/>
      <c r="BF544" s="38"/>
      <c r="BJ544" s="38"/>
      <c r="BN544" s="38"/>
      <c r="BR544" s="38"/>
    </row>
    <row r="545" spans="2:70" s="33" customFormat="1" ht="15.75">
      <c r="B545" s="38"/>
      <c r="F545" s="38"/>
      <c r="J545" s="38"/>
      <c r="N545" s="38"/>
      <c r="R545" s="38"/>
      <c r="V545" s="38"/>
      <c r="Z545" s="38"/>
      <c r="AD545" s="38"/>
      <c r="AH545" s="38"/>
      <c r="AL545" s="38"/>
      <c r="AP545" s="38"/>
      <c r="AT545" s="38"/>
      <c r="AX545" s="38"/>
      <c r="BB545" s="38"/>
      <c r="BF545" s="38"/>
      <c r="BJ545" s="38"/>
      <c r="BN545" s="38"/>
      <c r="BR545" s="38"/>
    </row>
    <row r="546" spans="2:70" s="33" customFormat="1" ht="15.75">
      <c r="B546" s="38"/>
      <c r="F546" s="38"/>
      <c r="J546" s="38"/>
      <c r="N546" s="38"/>
      <c r="R546" s="38"/>
      <c r="V546" s="38"/>
      <c r="Z546" s="38"/>
      <c r="AD546" s="38"/>
      <c r="AH546" s="38"/>
      <c r="AL546" s="38"/>
      <c r="AP546" s="38"/>
      <c r="AT546" s="38"/>
      <c r="AX546" s="38"/>
      <c r="BB546" s="38"/>
      <c r="BF546" s="38"/>
      <c r="BJ546" s="38"/>
      <c r="BN546" s="38"/>
      <c r="BR546" s="38"/>
    </row>
    <row r="547" spans="2:70" s="33" customFormat="1" ht="15.75">
      <c r="B547" s="38"/>
      <c r="F547" s="38"/>
      <c r="J547" s="38"/>
      <c r="N547" s="38"/>
      <c r="R547" s="38"/>
      <c r="V547" s="38"/>
      <c r="Z547" s="38"/>
      <c r="AD547" s="38"/>
      <c r="AH547" s="38"/>
      <c r="AL547" s="38"/>
      <c r="AP547" s="38"/>
      <c r="AT547" s="38"/>
      <c r="AX547" s="38"/>
      <c r="BB547" s="38"/>
      <c r="BF547" s="38"/>
      <c r="BJ547" s="38"/>
      <c r="BN547" s="38"/>
      <c r="BR547" s="38"/>
    </row>
    <row r="548" spans="2:70" s="33" customFormat="1" ht="15.75">
      <c r="B548" s="38"/>
      <c r="F548" s="38"/>
      <c r="J548" s="38"/>
      <c r="N548" s="38"/>
      <c r="R548" s="38"/>
      <c r="V548" s="38"/>
      <c r="Z548" s="38"/>
      <c r="AD548" s="38"/>
      <c r="AH548" s="38"/>
      <c r="AL548" s="38"/>
      <c r="AP548" s="38"/>
      <c r="AT548" s="38"/>
      <c r="AX548" s="38"/>
      <c r="BB548" s="38"/>
      <c r="BF548" s="38"/>
      <c r="BJ548" s="38"/>
      <c r="BN548" s="38"/>
      <c r="BR548" s="38"/>
    </row>
    <row r="549" spans="2:70" s="33" customFormat="1" ht="15.75">
      <c r="B549" s="38"/>
      <c r="F549" s="38"/>
      <c r="J549" s="38"/>
      <c r="N549" s="38"/>
      <c r="R549" s="38"/>
      <c r="V549" s="38"/>
      <c r="Z549" s="38"/>
      <c r="AD549" s="38"/>
      <c r="AH549" s="38"/>
      <c r="AL549" s="38"/>
      <c r="AP549" s="38"/>
      <c r="AT549" s="38"/>
      <c r="AX549" s="38"/>
      <c r="BB549" s="38"/>
      <c r="BF549" s="38"/>
      <c r="BJ549" s="38"/>
      <c r="BN549" s="38"/>
      <c r="BR549" s="38"/>
    </row>
    <row r="550" spans="2:70" s="33" customFormat="1" ht="15.75">
      <c r="B550" s="38"/>
      <c r="F550" s="38"/>
      <c r="J550" s="38"/>
      <c r="N550" s="38"/>
      <c r="R550" s="38"/>
      <c r="V550" s="38"/>
      <c r="Z550" s="38"/>
      <c r="AD550" s="38"/>
      <c r="AH550" s="38"/>
      <c r="AL550" s="38"/>
      <c r="AP550" s="38"/>
      <c r="AT550" s="38"/>
      <c r="AX550" s="38"/>
      <c r="BB550" s="38"/>
      <c r="BF550" s="38"/>
      <c r="BJ550" s="38"/>
      <c r="BN550" s="38"/>
      <c r="BR550" s="38"/>
    </row>
    <row r="551" spans="2:70" s="33" customFormat="1" ht="15.75">
      <c r="B551" s="38"/>
      <c r="F551" s="38"/>
      <c r="J551" s="38"/>
      <c r="N551" s="38"/>
      <c r="R551" s="38"/>
      <c r="V551" s="38"/>
      <c r="Z551" s="38"/>
      <c r="AD551" s="38"/>
      <c r="AH551" s="38"/>
      <c r="AL551" s="38"/>
      <c r="AP551" s="38"/>
      <c r="AT551" s="38"/>
      <c r="AX551" s="38"/>
      <c r="BB551" s="38"/>
      <c r="BF551" s="38"/>
      <c r="BJ551" s="38"/>
      <c r="BN551" s="38"/>
      <c r="BR551" s="38"/>
    </row>
    <row r="552" spans="2:70" s="33" customFormat="1" ht="15.75">
      <c r="B552" s="38"/>
      <c r="F552" s="38"/>
      <c r="J552" s="38"/>
      <c r="N552" s="38"/>
      <c r="R552" s="38"/>
      <c r="V552" s="38"/>
      <c r="Z552" s="38"/>
      <c r="AD552" s="38"/>
      <c r="AH552" s="38"/>
      <c r="AL552" s="38"/>
      <c r="AP552" s="38"/>
      <c r="AT552" s="38"/>
      <c r="AX552" s="38"/>
      <c r="BB552" s="38"/>
      <c r="BF552" s="38"/>
      <c r="BJ552" s="38"/>
      <c r="BN552" s="38"/>
      <c r="BR552" s="38"/>
    </row>
    <row r="553" spans="2:70" s="33" customFormat="1" ht="15.75">
      <c r="B553" s="38"/>
      <c r="F553" s="38"/>
      <c r="J553" s="38"/>
      <c r="N553" s="38"/>
      <c r="R553" s="38"/>
      <c r="V553" s="38"/>
      <c r="Z553" s="38"/>
      <c r="AD553" s="38"/>
      <c r="AH553" s="38"/>
      <c r="AL553" s="38"/>
      <c r="AP553" s="38"/>
      <c r="AT553" s="38"/>
      <c r="AX553" s="38"/>
      <c r="BB553" s="38"/>
      <c r="BF553" s="38"/>
      <c r="BJ553" s="38"/>
      <c r="BN553" s="38"/>
      <c r="BR553" s="38"/>
    </row>
    <row r="554" spans="2:70" s="33" customFormat="1" ht="15.75">
      <c r="B554" s="38"/>
      <c r="F554" s="38"/>
      <c r="J554" s="38"/>
      <c r="N554" s="38"/>
      <c r="R554" s="38"/>
      <c r="V554" s="38"/>
      <c r="Z554" s="38"/>
      <c r="AD554" s="38"/>
      <c r="AH554" s="38"/>
      <c r="AL554" s="38"/>
      <c r="AP554" s="38"/>
      <c r="AT554" s="38"/>
      <c r="AX554" s="38"/>
      <c r="BB554" s="38"/>
      <c r="BF554" s="38"/>
      <c r="BJ554" s="38"/>
      <c r="BN554" s="38"/>
      <c r="BR554" s="38"/>
    </row>
    <row r="555" spans="2:70" s="33" customFormat="1" ht="15.75">
      <c r="B555" s="38"/>
      <c r="F555" s="38"/>
      <c r="J555" s="38"/>
      <c r="N555" s="38"/>
      <c r="R555" s="38"/>
      <c r="V555" s="38"/>
      <c r="Z555" s="38"/>
      <c r="AD555" s="38"/>
      <c r="AH555" s="38"/>
      <c r="AL555" s="38"/>
      <c r="AP555" s="38"/>
      <c r="AT555" s="38"/>
      <c r="AX555" s="38"/>
      <c r="BB555" s="38"/>
      <c r="BF555" s="38"/>
      <c r="BJ555" s="38"/>
      <c r="BN555" s="38"/>
      <c r="BR555" s="38"/>
    </row>
    <row r="556" spans="2:70" s="33" customFormat="1" ht="15.75">
      <c r="B556" s="38"/>
      <c r="F556" s="38"/>
      <c r="J556" s="38"/>
      <c r="N556" s="38"/>
      <c r="R556" s="38"/>
      <c r="V556" s="38"/>
      <c r="Z556" s="38"/>
      <c r="AD556" s="38"/>
      <c r="AH556" s="38"/>
      <c r="AL556" s="38"/>
      <c r="AP556" s="38"/>
      <c r="AT556" s="38"/>
      <c r="AX556" s="38"/>
      <c r="BB556" s="38"/>
      <c r="BF556" s="38"/>
      <c r="BJ556" s="38"/>
      <c r="BN556" s="38"/>
      <c r="BR556" s="38"/>
    </row>
    <row r="557" spans="2:70" s="33" customFormat="1" ht="15.75">
      <c r="B557" s="38"/>
      <c r="F557" s="38"/>
      <c r="J557" s="38"/>
      <c r="N557" s="38"/>
      <c r="R557" s="38"/>
      <c r="V557" s="38"/>
      <c r="Z557" s="38"/>
      <c r="AD557" s="38"/>
      <c r="AH557" s="38"/>
      <c r="AL557" s="38"/>
      <c r="AP557" s="38"/>
      <c r="AT557" s="38"/>
      <c r="AX557" s="38"/>
      <c r="BB557" s="38"/>
      <c r="BF557" s="38"/>
      <c r="BJ557" s="38"/>
      <c r="BN557" s="38"/>
      <c r="BR557" s="38"/>
    </row>
    <row r="558" spans="2:70" s="33" customFormat="1" ht="15.75">
      <c r="B558" s="38"/>
      <c r="F558" s="38"/>
      <c r="J558" s="38"/>
      <c r="N558" s="38"/>
      <c r="R558" s="38"/>
      <c r="V558" s="38"/>
      <c r="Z558" s="38"/>
      <c r="AD558" s="38"/>
      <c r="AH558" s="38"/>
      <c r="AL558" s="38"/>
      <c r="AP558" s="38"/>
      <c r="AT558" s="38"/>
      <c r="AX558" s="38"/>
      <c r="BB558" s="38"/>
      <c r="BF558" s="38"/>
      <c r="BJ558" s="38"/>
      <c r="BN558" s="38"/>
      <c r="BR558" s="38"/>
    </row>
    <row r="559" spans="2:70" s="33" customFormat="1" ht="15.75">
      <c r="B559" s="38"/>
      <c r="F559" s="38"/>
      <c r="J559" s="38"/>
      <c r="N559" s="38"/>
      <c r="R559" s="38"/>
      <c r="V559" s="38"/>
      <c r="Z559" s="38"/>
      <c r="AD559" s="38"/>
      <c r="AH559" s="38"/>
      <c r="AL559" s="38"/>
      <c r="AP559" s="38"/>
      <c r="AT559" s="38"/>
      <c r="AX559" s="38"/>
      <c r="BB559" s="38"/>
      <c r="BF559" s="38"/>
      <c r="BJ559" s="38"/>
      <c r="BN559" s="38"/>
      <c r="BR559" s="38"/>
    </row>
    <row r="560" spans="2:70" s="33" customFormat="1" ht="15.75">
      <c r="B560" s="38"/>
      <c r="F560" s="38"/>
      <c r="J560" s="38"/>
      <c r="N560" s="38"/>
      <c r="R560" s="38"/>
      <c r="V560" s="38"/>
      <c r="Z560" s="38"/>
      <c r="AD560" s="38"/>
      <c r="AH560" s="38"/>
      <c r="AL560" s="38"/>
      <c r="AP560" s="38"/>
      <c r="AT560" s="38"/>
      <c r="AX560" s="38"/>
      <c r="BB560" s="38"/>
      <c r="BF560" s="38"/>
      <c r="BJ560" s="38"/>
      <c r="BN560" s="38"/>
      <c r="BR560" s="38"/>
    </row>
    <row r="561" spans="2:70" s="33" customFormat="1" ht="15.75">
      <c r="B561" s="38"/>
      <c r="F561" s="38"/>
      <c r="J561" s="38"/>
      <c r="N561" s="38"/>
      <c r="R561" s="38"/>
      <c r="V561" s="38"/>
      <c r="Z561" s="38"/>
      <c r="AD561" s="38"/>
      <c r="AH561" s="38"/>
      <c r="AL561" s="38"/>
      <c r="AP561" s="38"/>
      <c r="AT561" s="38"/>
      <c r="AX561" s="38"/>
      <c r="BB561" s="38"/>
      <c r="BF561" s="38"/>
      <c r="BJ561" s="38"/>
      <c r="BN561" s="38"/>
      <c r="BR561" s="38"/>
    </row>
    <row r="562" spans="2:70" s="33" customFormat="1" ht="15.75">
      <c r="B562" s="38"/>
      <c r="F562" s="38"/>
      <c r="J562" s="38"/>
      <c r="N562" s="38"/>
      <c r="R562" s="38"/>
      <c r="V562" s="38"/>
      <c r="Z562" s="38"/>
      <c r="AD562" s="38"/>
      <c r="AH562" s="38"/>
      <c r="AL562" s="38"/>
      <c r="AP562" s="38"/>
      <c r="AT562" s="38"/>
      <c r="AX562" s="38"/>
      <c r="BB562" s="38"/>
      <c r="BF562" s="38"/>
      <c r="BJ562" s="38"/>
      <c r="BN562" s="38"/>
      <c r="BR562" s="38"/>
    </row>
    <row r="563" spans="2:70" s="33" customFormat="1" ht="15.75">
      <c r="B563" s="38"/>
      <c r="F563" s="38"/>
      <c r="J563" s="38"/>
      <c r="N563" s="38"/>
      <c r="R563" s="38"/>
      <c r="V563" s="38"/>
      <c r="Z563" s="38"/>
      <c r="AD563" s="38"/>
      <c r="AH563" s="38"/>
      <c r="AL563" s="38"/>
      <c r="AP563" s="38"/>
      <c r="AT563" s="38"/>
      <c r="AX563" s="38"/>
      <c r="BB563" s="38"/>
      <c r="BF563" s="38"/>
      <c r="BJ563" s="38"/>
      <c r="BN563" s="38"/>
      <c r="BR563" s="38"/>
    </row>
    <row r="564" spans="2:70" s="33" customFormat="1" ht="15.75">
      <c r="B564" s="38"/>
      <c r="F564" s="38"/>
      <c r="J564" s="38"/>
      <c r="N564" s="38"/>
      <c r="R564" s="38"/>
      <c r="V564" s="38"/>
      <c r="Z564" s="38"/>
      <c r="AD564" s="38"/>
      <c r="AH564" s="38"/>
      <c r="AL564" s="38"/>
      <c r="AP564" s="38"/>
      <c r="AT564" s="38"/>
      <c r="AX564" s="38"/>
      <c r="BB564" s="38"/>
      <c r="BF564" s="38"/>
      <c r="BJ564" s="38"/>
      <c r="BN564" s="38"/>
      <c r="BR564" s="38"/>
    </row>
    <row r="565" spans="2:70" s="33" customFormat="1" ht="15.75">
      <c r="B565" s="38"/>
      <c r="F565" s="38"/>
      <c r="J565" s="38"/>
      <c r="N565" s="38"/>
      <c r="R565" s="38"/>
      <c r="V565" s="38"/>
      <c r="Z565" s="38"/>
      <c r="AD565" s="38"/>
      <c r="AH565" s="38"/>
      <c r="AL565" s="38"/>
      <c r="AP565" s="38"/>
      <c r="AT565" s="38"/>
      <c r="AX565" s="38"/>
      <c r="BB565" s="38"/>
      <c r="BF565" s="38"/>
      <c r="BJ565" s="38"/>
      <c r="BN565" s="38"/>
      <c r="BR565" s="38"/>
    </row>
    <row r="566" spans="2:70" s="33" customFormat="1" ht="15.75">
      <c r="B566" s="38"/>
      <c r="F566" s="38"/>
      <c r="J566" s="38"/>
      <c r="N566" s="38"/>
      <c r="R566" s="38"/>
      <c r="V566" s="38"/>
      <c r="Z566" s="38"/>
      <c r="AD566" s="38"/>
      <c r="AH566" s="38"/>
      <c r="AL566" s="38"/>
      <c r="AP566" s="38"/>
      <c r="AT566" s="38"/>
      <c r="AX566" s="38"/>
      <c r="BB566" s="38"/>
      <c r="BF566" s="38"/>
      <c r="BJ566" s="38"/>
      <c r="BN566" s="38"/>
      <c r="BR566" s="38"/>
    </row>
    <row r="567" spans="2:70" s="33" customFormat="1" ht="15.75">
      <c r="B567" s="38"/>
      <c r="F567" s="38"/>
      <c r="J567" s="38"/>
      <c r="N567" s="38"/>
      <c r="R567" s="38"/>
      <c r="V567" s="38"/>
      <c r="Z567" s="38"/>
      <c r="AD567" s="38"/>
      <c r="AH567" s="38"/>
      <c r="AL567" s="38"/>
      <c r="AP567" s="38"/>
      <c r="AT567" s="38"/>
      <c r="AX567" s="38"/>
      <c r="BB567" s="38"/>
      <c r="BF567" s="38"/>
      <c r="BJ567" s="38"/>
      <c r="BN567" s="38"/>
      <c r="BR567" s="38"/>
    </row>
    <row r="568" spans="2:70" s="33" customFormat="1" ht="15.75">
      <c r="B568" s="38"/>
      <c r="F568" s="38"/>
      <c r="J568" s="38"/>
      <c r="N568" s="38"/>
      <c r="R568" s="38"/>
      <c r="V568" s="38"/>
      <c r="Z568" s="38"/>
      <c r="AD568" s="38"/>
      <c r="AH568" s="38"/>
      <c r="AL568" s="38"/>
      <c r="AP568" s="38"/>
      <c r="AT568" s="38"/>
      <c r="AX568" s="38"/>
      <c r="BB568" s="38"/>
      <c r="BF568" s="38"/>
      <c r="BJ568" s="38"/>
      <c r="BN568" s="38"/>
      <c r="BR568" s="38"/>
    </row>
    <row r="569" spans="2:70" s="33" customFormat="1" ht="15.75">
      <c r="B569" s="38"/>
      <c r="F569" s="38"/>
      <c r="J569" s="38"/>
      <c r="N569" s="38"/>
      <c r="R569" s="38"/>
      <c r="V569" s="38"/>
      <c r="Z569" s="38"/>
      <c r="AD569" s="38"/>
      <c r="AH569" s="38"/>
      <c r="AL569" s="38"/>
      <c r="AP569" s="38"/>
      <c r="AT569" s="38"/>
      <c r="AX569" s="38"/>
      <c r="BB569" s="38"/>
      <c r="BF569" s="38"/>
      <c r="BJ569" s="38"/>
      <c r="BN569" s="38"/>
      <c r="BR569" s="38"/>
    </row>
    <row r="570" spans="2:70" s="33" customFormat="1" ht="15.75">
      <c r="B570" s="38"/>
      <c r="F570" s="38"/>
      <c r="J570" s="38"/>
      <c r="N570" s="38"/>
      <c r="R570" s="38"/>
      <c r="V570" s="38"/>
      <c r="Z570" s="38"/>
      <c r="AD570" s="38"/>
      <c r="AH570" s="38"/>
      <c r="AL570" s="38"/>
      <c r="AP570" s="38"/>
      <c r="AT570" s="38"/>
      <c r="AX570" s="38"/>
      <c r="BB570" s="38"/>
      <c r="BF570" s="38"/>
      <c r="BJ570" s="38"/>
      <c r="BN570" s="38"/>
      <c r="BR570" s="38"/>
    </row>
    <row r="571" spans="2:70" s="33" customFormat="1" ht="15.75">
      <c r="B571" s="38"/>
      <c r="F571" s="38"/>
      <c r="J571" s="38"/>
      <c r="N571" s="38"/>
      <c r="R571" s="38"/>
      <c r="V571" s="38"/>
      <c r="Z571" s="38"/>
      <c r="AD571" s="38"/>
      <c r="AH571" s="38"/>
      <c r="AL571" s="38"/>
      <c r="AP571" s="38"/>
      <c r="AT571" s="38"/>
      <c r="AX571" s="38"/>
      <c r="BB571" s="38"/>
      <c r="BF571" s="38"/>
      <c r="BJ571" s="38"/>
      <c r="BN571" s="38"/>
      <c r="BR571" s="38"/>
    </row>
    <row r="572" spans="2:70" s="33" customFormat="1" ht="15.75">
      <c r="B572" s="38"/>
      <c r="F572" s="38"/>
      <c r="J572" s="38"/>
      <c r="N572" s="38"/>
      <c r="R572" s="38"/>
      <c r="V572" s="38"/>
      <c r="Z572" s="38"/>
      <c r="AD572" s="38"/>
      <c r="AH572" s="38"/>
      <c r="AL572" s="38"/>
      <c r="AP572" s="38"/>
      <c r="AT572" s="38"/>
      <c r="AX572" s="38"/>
      <c r="BB572" s="38"/>
      <c r="BF572" s="38"/>
      <c r="BJ572" s="38"/>
      <c r="BN572" s="38"/>
      <c r="BR572" s="38"/>
    </row>
    <row r="573" spans="2:70" s="33" customFormat="1" ht="15.75">
      <c r="B573" s="38"/>
      <c r="F573" s="38"/>
      <c r="J573" s="38"/>
      <c r="N573" s="38"/>
      <c r="R573" s="38"/>
      <c r="V573" s="38"/>
      <c r="Z573" s="38"/>
      <c r="AD573" s="38"/>
      <c r="AH573" s="38"/>
      <c r="AL573" s="38"/>
      <c r="AP573" s="38"/>
      <c r="AT573" s="38"/>
      <c r="AX573" s="38"/>
      <c r="BB573" s="38"/>
      <c r="BF573" s="38"/>
      <c r="BJ573" s="38"/>
      <c r="BN573" s="38"/>
      <c r="BR573" s="38"/>
    </row>
    <row r="574" spans="2:70" s="33" customFormat="1" ht="15.75">
      <c r="B574" s="38"/>
      <c r="F574" s="38"/>
      <c r="J574" s="38"/>
      <c r="N574" s="38"/>
      <c r="R574" s="38"/>
      <c r="V574" s="38"/>
      <c r="Z574" s="38"/>
      <c r="AD574" s="38"/>
      <c r="AH574" s="38"/>
      <c r="AL574" s="38"/>
      <c r="AP574" s="38"/>
      <c r="AT574" s="38"/>
      <c r="AX574" s="38"/>
      <c r="BB574" s="38"/>
      <c r="BF574" s="38"/>
      <c r="BJ574" s="38"/>
      <c r="BN574" s="38"/>
      <c r="BR574" s="38"/>
    </row>
    <row r="575" spans="2:70" s="33" customFormat="1" ht="15.75">
      <c r="B575" s="38"/>
      <c r="F575" s="38"/>
      <c r="J575" s="38"/>
      <c r="N575" s="38"/>
      <c r="R575" s="38"/>
      <c r="V575" s="38"/>
      <c r="Z575" s="38"/>
      <c r="AD575" s="38"/>
      <c r="AH575" s="38"/>
      <c r="AL575" s="38"/>
      <c r="AP575" s="38"/>
      <c r="AT575" s="38"/>
      <c r="AX575" s="38"/>
      <c r="BB575" s="38"/>
      <c r="BF575" s="38"/>
      <c r="BJ575" s="38"/>
      <c r="BN575" s="38"/>
      <c r="BR575" s="38"/>
    </row>
    <row r="576" spans="2:70" s="33" customFormat="1" ht="15.75">
      <c r="B576" s="38"/>
      <c r="F576" s="38"/>
      <c r="J576" s="38"/>
      <c r="N576" s="38"/>
      <c r="R576" s="38"/>
      <c r="V576" s="38"/>
      <c r="Z576" s="38"/>
      <c r="AD576" s="38"/>
      <c r="AH576" s="38"/>
      <c r="AL576" s="38"/>
      <c r="AP576" s="38"/>
      <c r="AT576" s="38"/>
      <c r="AX576" s="38"/>
      <c r="BB576" s="38"/>
      <c r="BF576" s="38"/>
      <c r="BJ576" s="38"/>
      <c r="BN576" s="38"/>
      <c r="BR576" s="38"/>
    </row>
    <row r="577" spans="2:70" s="33" customFormat="1" ht="15.75">
      <c r="B577" s="38"/>
      <c r="F577" s="38"/>
      <c r="J577" s="38"/>
      <c r="N577" s="38"/>
      <c r="R577" s="38"/>
      <c r="V577" s="38"/>
      <c r="Z577" s="38"/>
      <c r="AD577" s="38"/>
      <c r="AH577" s="38"/>
      <c r="AL577" s="38"/>
      <c r="AP577" s="38"/>
      <c r="AT577" s="38"/>
      <c r="AX577" s="38"/>
      <c r="BB577" s="38"/>
      <c r="BF577" s="38"/>
      <c r="BJ577" s="38"/>
      <c r="BN577" s="38"/>
      <c r="BR577" s="38"/>
    </row>
    <row r="578" spans="2:70" s="33" customFormat="1" ht="15.75">
      <c r="B578" s="38"/>
      <c r="F578" s="38"/>
      <c r="J578" s="38"/>
      <c r="N578" s="38"/>
      <c r="R578" s="38"/>
      <c r="V578" s="38"/>
      <c r="Z578" s="38"/>
      <c r="AD578" s="38"/>
      <c r="AH578" s="38"/>
      <c r="AL578" s="38"/>
      <c r="AP578" s="38"/>
      <c r="AT578" s="38"/>
      <c r="AX578" s="38"/>
      <c r="BB578" s="38"/>
      <c r="BF578" s="38"/>
      <c r="BJ578" s="38"/>
      <c r="BN578" s="38"/>
      <c r="BR578" s="38"/>
    </row>
    <row r="579" spans="2:70" s="33" customFormat="1" ht="15.75">
      <c r="B579" s="38"/>
      <c r="F579" s="38"/>
      <c r="J579" s="38"/>
      <c r="N579" s="38"/>
      <c r="R579" s="38"/>
      <c r="V579" s="38"/>
      <c r="Z579" s="38"/>
      <c r="AD579" s="38"/>
      <c r="AH579" s="38"/>
      <c r="AL579" s="38"/>
      <c r="AP579" s="38"/>
      <c r="AT579" s="38"/>
      <c r="AX579" s="38"/>
      <c r="BB579" s="38"/>
      <c r="BF579" s="38"/>
      <c r="BJ579" s="38"/>
      <c r="BN579" s="38"/>
      <c r="BR579" s="38"/>
    </row>
    <row r="580" spans="2:70" s="33" customFormat="1" ht="15.75">
      <c r="B580" s="38"/>
      <c r="F580" s="38"/>
      <c r="J580" s="38"/>
      <c r="N580" s="38"/>
      <c r="R580" s="38"/>
      <c r="V580" s="38"/>
      <c r="Z580" s="38"/>
      <c r="AD580" s="38"/>
      <c r="AH580" s="38"/>
      <c r="AL580" s="38"/>
      <c r="AP580" s="38"/>
      <c r="AT580" s="38"/>
      <c r="AX580" s="38"/>
      <c r="BB580" s="38"/>
      <c r="BF580" s="38"/>
      <c r="BJ580" s="38"/>
      <c r="BN580" s="38"/>
      <c r="BR580" s="38"/>
    </row>
    <row r="581" spans="2:70" s="33" customFormat="1" ht="15.75">
      <c r="B581" s="38"/>
      <c r="F581" s="38"/>
      <c r="J581" s="38"/>
      <c r="N581" s="38"/>
      <c r="R581" s="38"/>
      <c r="V581" s="38"/>
      <c r="Z581" s="38"/>
      <c r="AD581" s="38"/>
      <c r="AH581" s="38"/>
      <c r="AL581" s="38"/>
      <c r="AP581" s="38"/>
      <c r="AT581" s="38"/>
      <c r="AX581" s="38"/>
      <c r="BB581" s="38"/>
      <c r="BF581" s="38"/>
      <c r="BJ581" s="38"/>
      <c r="BN581" s="38"/>
      <c r="BR581" s="38"/>
    </row>
    <row r="582" spans="2:70" s="33" customFormat="1" ht="15.75">
      <c r="B582" s="38"/>
      <c r="F582" s="38"/>
      <c r="J582" s="38"/>
      <c r="N582" s="38"/>
      <c r="R582" s="38"/>
      <c r="V582" s="38"/>
      <c r="Z582" s="38"/>
      <c r="AD582" s="38"/>
      <c r="AH582" s="38"/>
      <c r="AL582" s="38"/>
      <c r="AP582" s="38"/>
      <c r="AT582" s="38"/>
      <c r="AX582" s="38"/>
      <c r="BB582" s="38"/>
      <c r="BF582" s="38"/>
      <c r="BJ582" s="38"/>
      <c r="BN582" s="38"/>
      <c r="BR582" s="38"/>
    </row>
    <row r="583" spans="2:70" s="33" customFormat="1" ht="15.75">
      <c r="B583" s="38"/>
      <c r="F583" s="38"/>
      <c r="J583" s="38"/>
      <c r="N583" s="38"/>
      <c r="R583" s="38"/>
      <c r="V583" s="38"/>
      <c r="Z583" s="38"/>
      <c r="AD583" s="38"/>
      <c r="AH583" s="38"/>
      <c r="AL583" s="38"/>
      <c r="AP583" s="38"/>
      <c r="AT583" s="38"/>
      <c r="AX583" s="38"/>
      <c r="BB583" s="38"/>
      <c r="BF583" s="38"/>
      <c r="BJ583" s="38"/>
      <c r="BN583" s="38"/>
      <c r="BR583" s="38"/>
    </row>
    <row r="584" spans="2:70" s="33" customFormat="1" ht="15.75">
      <c r="B584" s="38"/>
      <c r="F584" s="38"/>
      <c r="J584" s="38"/>
      <c r="N584" s="38"/>
      <c r="R584" s="38"/>
      <c r="V584" s="38"/>
      <c r="Z584" s="38"/>
      <c r="AD584" s="38"/>
      <c r="AH584" s="38"/>
      <c r="AL584" s="38"/>
      <c r="AP584" s="38"/>
      <c r="AT584" s="38"/>
      <c r="AX584" s="38"/>
      <c r="BB584" s="38"/>
      <c r="BF584" s="38"/>
      <c r="BJ584" s="38"/>
      <c r="BN584" s="38"/>
      <c r="BR584" s="38"/>
    </row>
    <row r="585" spans="2:70" s="33" customFormat="1" ht="15.75">
      <c r="B585" s="38"/>
      <c r="F585" s="38"/>
      <c r="J585" s="38"/>
      <c r="N585" s="38"/>
      <c r="R585" s="38"/>
      <c r="V585" s="38"/>
      <c r="Z585" s="38"/>
      <c r="AD585" s="38"/>
      <c r="AH585" s="38"/>
      <c r="AL585" s="38"/>
      <c r="AP585" s="38"/>
      <c r="AT585" s="38"/>
      <c r="AX585" s="38"/>
      <c r="BB585" s="38"/>
      <c r="BF585" s="38"/>
      <c r="BJ585" s="38"/>
      <c r="BN585" s="38"/>
      <c r="BR585" s="38"/>
    </row>
    <row r="586" spans="2:70" s="33" customFormat="1" ht="15.75">
      <c r="B586" s="38"/>
      <c r="F586" s="38"/>
      <c r="J586" s="38"/>
      <c r="N586" s="38"/>
      <c r="R586" s="38"/>
      <c r="V586" s="38"/>
      <c r="Z586" s="38"/>
      <c r="AD586" s="38"/>
      <c r="AH586" s="38"/>
      <c r="AL586" s="38"/>
      <c r="AP586" s="38"/>
      <c r="AT586" s="38"/>
      <c r="AX586" s="38"/>
      <c r="BB586" s="38"/>
      <c r="BF586" s="38"/>
      <c r="BJ586" s="38"/>
      <c r="BN586" s="38"/>
      <c r="BR586" s="38"/>
    </row>
    <row r="587" spans="2:70" s="33" customFormat="1" ht="15.75">
      <c r="B587" s="38"/>
      <c r="F587" s="38"/>
      <c r="J587" s="38"/>
      <c r="N587" s="38"/>
      <c r="R587" s="38"/>
      <c r="V587" s="38"/>
      <c r="Z587" s="38"/>
      <c r="AD587" s="38"/>
      <c r="AH587" s="38"/>
      <c r="AL587" s="38"/>
      <c r="AP587" s="38"/>
      <c r="AT587" s="38"/>
      <c r="AX587" s="38"/>
      <c r="BB587" s="38"/>
      <c r="BF587" s="38"/>
      <c r="BJ587" s="38"/>
      <c r="BN587" s="38"/>
      <c r="BR587" s="38"/>
    </row>
    <row r="588" spans="2:70" s="33" customFormat="1" ht="15.75">
      <c r="B588" s="38"/>
      <c r="F588" s="38"/>
      <c r="J588" s="38"/>
      <c r="N588" s="38"/>
      <c r="R588" s="38"/>
      <c r="V588" s="38"/>
      <c r="Z588" s="38"/>
      <c r="AD588" s="38"/>
      <c r="AH588" s="38"/>
      <c r="AL588" s="38"/>
      <c r="AP588" s="38"/>
      <c r="AT588" s="38"/>
      <c r="AX588" s="38"/>
      <c r="BB588" s="38"/>
      <c r="BF588" s="38"/>
      <c r="BJ588" s="38"/>
      <c r="BN588" s="38"/>
      <c r="BR588" s="38"/>
    </row>
    <row r="589" spans="2:70" s="33" customFormat="1" ht="15.75">
      <c r="B589" s="38"/>
      <c r="F589" s="38"/>
      <c r="J589" s="38"/>
      <c r="N589" s="38"/>
      <c r="R589" s="38"/>
      <c r="V589" s="38"/>
      <c r="Z589" s="38"/>
      <c r="AD589" s="38"/>
      <c r="AH589" s="38"/>
      <c r="AL589" s="38"/>
      <c r="AP589" s="38"/>
      <c r="AT589" s="38"/>
      <c r="AX589" s="38"/>
      <c r="BB589" s="38"/>
      <c r="BF589" s="38"/>
      <c r="BJ589" s="38"/>
      <c r="BN589" s="38"/>
      <c r="BR589" s="38"/>
    </row>
    <row r="590" spans="2:70" s="33" customFormat="1" ht="15.75">
      <c r="B590" s="38"/>
      <c r="F590" s="38"/>
      <c r="J590" s="38"/>
      <c r="N590" s="38"/>
      <c r="R590" s="38"/>
      <c r="V590" s="38"/>
      <c r="Z590" s="38"/>
      <c r="AD590" s="38"/>
      <c r="AH590" s="38"/>
      <c r="AL590" s="38"/>
      <c r="AP590" s="38"/>
      <c r="AT590" s="38"/>
      <c r="AX590" s="38"/>
      <c r="BB590" s="38"/>
      <c r="BF590" s="38"/>
      <c r="BJ590" s="38"/>
      <c r="BN590" s="38"/>
      <c r="BR590" s="38"/>
    </row>
    <row r="591" spans="2:70" s="33" customFormat="1" ht="15.75">
      <c r="B591" s="38"/>
      <c r="F591" s="38"/>
      <c r="J591" s="38"/>
      <c r="N591" s="38"/>
      <c r="R591" s="38"/>
      <c r="V591" s="38"/>
      <c r="Z591" s="38"/>
      <c r="AD591" s="38"/>
      <c r="AH591" s="38"/>
      <c r="AL591" s="38"/>
      <c r="AP591" s="38"/>
      <c r="AT591" s="38"/>
      <c r="AX591" s="38"/>
      <c r="BB591" s="38"/>
      <c r="BF591" s="38"/>
      <c r="BJ591" s="38"/>
      <c r="BN591" s="38"/>
      <c r="BR591" s="38"/>
    </row>
    <row r="592" spans="2:70" s="33" customFormat="1" ht="15.75">
      <c r="B592" s="38"/>
      <c r="F592" s="38"/>
      <c r="J592" s="38"/>
      <c r="N592" s="38"/>
      <c r="R592" s="38"/>
      <c r="V592" s="38"/>
      <c r="Z592" s="38"/>
      <c r="AD592" s="38"/>
      <c r="AH592" s="38"/>
      <c r="AL592" s="38"/>
      <c r="AP592" s="38"/>
      <c r="AT592" s="38"/>
      <c r="AX592" s="38"/>
      <c r="BB592" s="38"/>
      <c r="BF592" s="38"/>
      <c r="BJ592" s="38"/>
      <c r="BN592" s="38"/>
      <c r="BR592" s="38"/>
    </row>
    <row r="593" spans="2:70" s="33" customFormat="1" ht="15.75">
      <c r="B593" s="38"/>
      <c r="F593" s="38"/>
      <c r="J593" s="38"/>
      <c r="N593" s="38"/>
      <c r="R593" s="38"/>
      <c r="V593" s="38"/>
      <c r="Z593" s="38"/>
      <c r="AD593" s="38"/>
      <c r="AH593" s="38"/>
      <c r="AL593" s="38"/>
      <c r="AP593" s="38"/>
      <c r="AT593" s="38"/>
      <c r="AX593" s="38"/>
      <c r="BB593" s="38"/>
      <c r="BF593" s="38"/>
      <c r="BJ593" s="38"/>
      <c r="BN593" s="38"/>
      <c r="BR593" s="38"/>
    </row>
    <row r="594" spans="2:70" s="33" customFormat="1" ht="15.75">
      <c r="B594" s="38"/>
      <c r="F594" s="38"/>
      <c r="J594" s="38"/>
      <c r="N594" s="38"/>
      <c r="R594" s="38"/>
      <c r="V594" s="38"/>
      <c r="Z594" s="38"/>
      <c r="AD594" s="38"/>
      <c r="AH594" s="38"/>
      <c r="AL594" s="38"/>
      <c r="AP594" s="38"/>
      <c r="AT594" s="38"/>
      <c r="AX594" s="38"/>
      <c r="BB594" s="38"/>
      <c r="BF594" s="38"/>
      <c r="BJ594" s="38"/>
      <c r="BN594" s="38"/>
      <c r="BR594" s="38"/>
    </row>
    <row r="595" spans="2:70" s="33" customFormat="1" ht="15.75">
      <c r="B595" s="38"/>
      <c r="F595" s="38"/>
      <c r="J595" s="38"/>
      <c r="N595" s="38"/>
      <c r="R595" s="38"/>
      <c r="V595" s="38"/>
      <c r="Z595" s="38"/>
      <c r="AD595" s="38"/>
      <c r="AH595" s="38"/>
      <c r="AL595" s="38"/>
      <c r="AP595" s="38"/>
      <c r="AT595" s="38"/>
      <c r="AX595" s="38"/>
      <c r="BB595" s="38"/>
      <c r="BF595" s="38"/>
      <c r="BJ595" s="38"/>
      <c r="BN595" s="38"/>
      <c r="BR595" s="38"/>
    </row>
    <row r="596" spans="2:70" s="33" customFormat="1" ht="15.75">
      <c r="B596" s="38"/>
      <c r="F596" s="38"/>
      <c r="J596" s="38"/>
      <c r="N596" s="38"/>
      <c r="R596" s="38"/>
      <c r="V596" s="38"/>
      <c r="Z596" s="38"/>
      <c r="AD596" s="38"/>
      <c r="AH596" s="38"/>
      <c r="AL596" s="38"/>
      <c r="AP596" s="38"/>
      <c r="AT596" s="38"/>
      <c r="AX596" s="38"/>
      <c r="BB596" s="38"/>
      <c r="BF596" s="38"/>
      <c r="BJ596" s="38"/>
      <c r="BN596" s="38"/>
      <c r="BR596" s="38"/>
    </row>
    <row r="597" spans="2:70" s="33" customFormat="1" ht="15.75">
      <c r="B597" s="38"/>
      <c r="F597" s="38"/>
      <c r="J597" s="38"/>
      <c r="N597" s="38"/>
      <c r="R597" s="38"/>
      <c r="V597" s="38"/>
      <c r="Z597" s="38"/>
      <c r="AD597" s="38"/>
      <c r="AH597" s="38"/>
      <c r="AL597" s="38"/>
      <c r="AP597" s="38"/>
      <c r="AT597" s="38"/>
      <c r="AX597" s="38"/>
      <c r="BB597" s="38"/>
      <c r="BF597" s="38"/>
      <c r="BJ597" s="38"/>
      <c r="BN597" s="38"/>
      <c r="BR597" s="38"/>
    </row>
    <row r="598" spans="2:70" s="33" customFormat="1" ht="15.75">
      <c r="B598" s="38"/>
      <c r="F598" s="38"/>
      <c r="J598" s="38"/>
      <c r="N598" s="38"/>
      <c r="R598" s="38"/>
      <c r="V598" s="38"/>
      <c r="Z598" s="38"/>
      <c r="AD598" s="38"/>
      <c r="AH598" s="38"/>
      <c r="AL598" s="38"/>
      <c r="AP598" s="38"/>
      <c r="AT598" s="38"/>
      <c r="AX598" s="38"/>
      <c r="BB598" s="38"/>
      <c r="BF598" s="38"/>
      <c r="BJ598" s="38"/>
      <c r="BN598" s="38"/>
      <c r="BR598" s="38"/>
    </row>
    <row r="599" spans="2:70" s="33" customFormat="1" ht="15.75">
      <c r="B599" s="38"/>
      <c r="F599" s="38"/>
      <c r="J599" s="38"/>
      <c r="N599" s="38"/>
      <c r="R599" s="38"/>
      <c r="V599" s="38"/>
      <c r="Z599" s="38"/>
      <c r="AD599" s="38"/>
      <c r="AH599" s="38"/>
      <c r="AL599" s="38"/>
      <c r="AP599" s="38"/>
      <c r="AT599" s="38"/>
      <c r="AX599" s="38"/>
      <c r="BB599" s="38"/>
      <c r="BF599" s="38"/>
      <c r="BJ599" s="38"/>
      <c r="BN599" s="38"/>
      <c r="BR599" s="38"/>
    </row>
    <row r="600" spans="2:70" s="33" customFormat="1" ht="15.75">
      <c r="B600" s="38"/>
      <c r="F600" s="38"/>
      <c r="J600" s="38"/>
      <c r="N600" s="38"/>
      <c r="R600" s="38"/>
      <c r="V600" s="38"/>
      <c r="Z600" s="38"/>
      <c r="AD600" s="38"/>
      <c r="AH600" s="38"/>
      <c r="AL600" s="38"/>
      <c r="AP600" s="38"/>
      <c r="AT600" s="38"/>
      <c r="AX600" s="38"/>
      <c r="BB600" s="38"/>
      <c r="BF600" s="38"/>
      <c r="BJ600" s="38"/>
      <c r="BN600" s="38"/>
      <c r="BR600" s="38"/>
    </row>
    <row r="601" spans="2:70" s="33" customFormat="1" ht="15.75">
      <c r="B601" s="38"/>
      <c r="F601" s="38"/>
      <c r="J601" s="38"/>
      <c r="N601" s="38"/>
      <c r="R601" s="38"/>
      <c r="V601" s="38"/>
      <c r="Z601" s="38"/>
      <c r="AD601" s="38"/>
      <c r="AH601" s="38"/>
      <c r="AL601" s="38"/>
      <c r="AP601" s="38"/>
      <c r="AT601" s="38"/>
      <c r="AX601" s="38"/>
      <c r="BB601" s="38"/>
      <c r="BF601" s="38"/>
      <c r="BJ601" s="38"/>
      <c r="BN601" s="38"/>
      <c r="BR601" s="38"/>
    </row>
    <row r="602" spans="2:70" s="33" customFormat="1" ht="15.75">
      <c r="B602" s="38"/>
      <c r="F602" s="38"/>
      <c r="J602" s="38"/>
      <c r="N602" s="38"/>
      <c r="R602" s="38"/>
      <c r="V602" s="38"/>
      <c r="Z602" s="38"/>
      <c r="AD602" s="38"/>
      <c r="AH602" s="38"/>
      <c r="AL602" s="38"/>
      <c r="AP602" s="38"/>
      <c r="AT602" s="38"/>
      <c r="AX602" s="38"/>
      <c r="BB602" s="38"/>
      <c r="BF602" s="38"/>
      <c r="BJ602" s="38"/>
      <c r="BN602" s="38"/>
      <c r="BR602" s="38"/>
    </row>
    <row r="603" spans="2:70" s="33" customFormat="1" ht="15.75">
      <c r="B603" s="38"/>
      <c r="F603" s="38"/>
      <c r="J603" s="38"/>
      <c r="N603" s="38"/>
      <c r="R603" s="38"/>
      <c r="V603" s="38"/>
      <c r="Z603" s="38"/>
      <c r="AD603" s="38"/>
      <c r="AH603" s="38"/>
      <c r="AL603" s="38"/>
      <c r="AP603" s="38"/>
      <c r="AT603" s="38"/>
      <c r="AX603" s="38"/>
      <c r="BB603" s="38"/>
      <c r="BF603" s="38"/>
      <c r="BJ603" s="38"/>
      <c r="BN603" s="38"/>
      <c r="BR603" s="38"/>
    </row>
    <row r="604" spans="2:70" s="33" customFormat="1" ht="15.75">
      <c r="B604" s="38"/>
      <c r="F604" s="38"/>
      <c r="J604" s="38"/>
      <c r="N604" s="38"/>
      <c r="R604" s="38"/>
      <c r="V604" s="38"/>
      <c r="Z604" s="38"/>
      <c r="AD604" s="38"/>
      <c r="AH604" s="38"/>
      <c r="AL604" s="38"/>
      <c r="AP604" s="38"/>
      <c r="AT604" s="38"/>
      <c r="AX604" s="38"/>
      <c r="BB604" s="38"/>
      <c r="BF604" s="38"/>
      <c r="BJ604" s="38"/>
      <c r="BN604" s="38"/>
      <c r="BR604" s="38"/>
    </row>
    <row r="605" spans="2:70" s="33" customFormat="1" ht="15.75">
      <c r="B605" s="38"/>
      <c r="F605" s="38"/>
      <c r="J605" s="38"/>
      <c r="N605" s="38"/>
      <c r="R605" s="38"/>
      <c r="V605" s="38"/>
      <c r="Z605" s="38"/>
      <c r="AD605" s="38"/>
      <c r="AH605" s="38"/>
      <c r="AL605" s="38"/>
      <c r="AP605" s="38"/>
      <c r="AT605" s="38"/>
      <c r="AX605" s="38"/>
      <c r="BB605" s="38"/>
      <c r="BF605" s="38"/>
      <c r="BJ605" s="38"/>
      <c r="BN605" s="38"/>
      <c r="BR605" s="38"/>
    </row>
    <row r="606" spans="2:70" s="33" customFormat="1" ht="15.75">
      <c r="B606" s="38"/>
      <c r="F606" s="38"/>
      <c r="J606" s="38"/>
      <c r="N606" s="38"/>
      <c r="R606" s="38"/>
      <c r="V606" s="38"/>
      <c r="Z606" s="38"/>
      <c r="AD606" s="38"/>
      <c r="AH606" s="38"/>
      <c r="AL606" s="38"/>
      <c r="AP606" s="38"/>
      <c r="AT606" s="38"/>
      <c r="AX606" s="38"/>
      <c r="BB606" s="38"/>
      <c r="BF606" s="38"/>
      <c r="BJ606" s="38"/>
      <c r="BN606" s="38"/>
      <c r="BR606" s="38"/>
    </row>
    <row r="607" spans="2:70" s="33" customFormat="1" ht="15.75">
      <c r="B607" s="38"/>
      <c r="F607" s="38"/>
      <c r="J607" s="38"/>
      <c r="N607" s="38"/>
      <c r="R607" s="38"/>
      <c r="V607" s="38"/>
      <c r="Z607" s="38"/>
      <c r="AD607" s="38"/>
      <c r="AH607" s="38"/>
      <c r="AL607" s="38"/>
      <c r="AP607" s="38"/>
      <c r="AT607" s="38"/>
      <c r="AX607" s="38"/>
      <c r="BB607" s="38"/>
      <c r="BF607" s="38"/>
      <c r="BJ607" s="38"/>
      <c r="BN607" s="38"/>
      <c r="BR607" s="38"/>
    </row>
    <row r="608" spans="2:70" s="33" customFormat="1" ht="15.75">
      <c r="B608" s="38"/>
      <c r="F608" s="38"/>
      <c r="J608" s="38"/>
      <c r="N608" s="38"/>
      <c r="R608" s="38"/>
      <c r="V608" s="38"/>
      <c r="Z608" s="38"/>
      <c r="AD608" s="38"/>
      <c r="AH608" s="38"/>
      <c r="AL608" s="38"/>
      <c r="AP608" s="38"/>
      <c r="AT608" s="38"/>
      <c r="AX608" s="38"/>
      <c r="BB608" s="38"/>
      <c r="BF608" s="38"/>
      <c r="BJ608" s="38"/>
      <c r="BN608" s="38"/>
      <c r="BR608" s="38"/>
    </row>
    <row r="609" spans="2:70" s="33" customFormat="1" ht="15.75">
      <c r="B609" s="38"/>
      <c r="F609" s="38"/>
      <c r="J609" s="38"/>
      <c r="N609" s="38"/>
      <c r="R609" s="38"/>
      <c r="V609" s="38"/>
      <c r="Z609" s="38"/>
      <c r="AD609" s="38"/>
      <c r="AH609" s="38"/>
      <c r="AL609" s="38"/>
      <c r="AP609" s="38"/>
      <c r="AT609" s="38"/>
      <c r="AX609" s="38"/>
      <c r="BB609" s="38"/>
      <c r="BF609" s="38"/>
      <c r="BJ609" s="38"/>
      <c r="BN609" s="38"/>
      <c r="BR609" s="38"/>
    </row>
    <row r="610" spans="2:70" s="33" customFormat="1" ht="15.75">
      <c r="B610" s="38"/>
      <c r="F610" s="38"/>
      <c r="J610" s="38"/>
      <c r="N610" s="38"/>
      <c r="R610" s="38"/>
      <c r="V610" s="38"/>
      <c r="Z610" s="38"/>
      <c r="AD610" s="38"/>
      <c r="AH610" s="38"/>
      <c r="AL610" s="38"/>
      <c r="AP610" s="38"/>
      <c r="AT610" s="38"/>
      <c r="AX610" s="38"/>
      <c r="BB610" s="38"/>
      <c r="BF610" s="38"/>
      <c r="BJ610" s="38"/>
      <c r="BN610" s="38"/>
      <c r="BR610" s="38"/>
    </row>
    <row r="611" spans="2:70" s="33" customFormat="1" ht="15.75">
      <c r="B611" s="38"/>
      <c r="F611" s="38"/>
      <c r="J611" s="38"/>
      <c r="N611" s="38"/>
      <c r="R611" s="38"/>
      <c r="V611" s="38"/>
      <c r="Z611" s="38"/>
      <c r="AD611" s="38"/>
      <c r="AH611" s="38"/>
      <c r="AL611" s="38"/>
      <c r="AP611" s="38"/>
      <c r="AT611" s="38"/>
      <c r="AX611" s="38"/>
      <c r="BB611" s="38"/>
      <c r="BF611" s="38"/>
      <c r="BJ611" s="38"/>
      <c r="BN611" s="38"/>
      <c r="BR611" s="38"/>
    </row>
    <row r="612" spans="2:70" s="33" customFormat="1" ht="15.75">
      <c r="B612" s="38"/>
      <c r="F612" s="38"/>
      <c r="J612" s="38"/>
      <c r="N612" s="38"/>
      <c r="R612" s="38"/>
      <c r="V612" s="38"/>
      <c r="Z612" s="38"/>
      <c r="AD612" s="38"/>
      <c r="AH612" s="38"/>
      <c r="AL612" s="38"/>
      <c r="AP612" s="38"/>
      <c r="AT612" s="38"/>
      <c r="AX612" s="38"/>
      <c r="BB612" s="38"/>
      <c r="BF612" s="38"/>
      <c r="BJ612" s="38"/>
      <c r="BN612" s="38"/>
      <c r="BR612" s="38"/>
    </row>
    <row r="613" spans="2:70" s="33" customFormat="1" ht="15.75">
      <c r="B613" s="38"/>
      <c r="F613" s="38"/>
      <c r="J613" s="38"/>
      <c r="N613" s="38"/>
      <c r="R613" s="38"/>
      <c r="V613" s="38"/>
      <c r="Z613" s="38"/>
      <c r="AD613" s="38"/>
      <c r="AH613" s="38"/>
      <c r="AL613" s="38"/>
      <c r="AP613" s="38"/>
      <c r="AT613" s="38"/>
      <c r="AX613" s="38"/>
      <c r="BB613" s="38"/>
      <c r="BF613" s="38"/>
      <c r="BJ613" s="38"/>
      <c r="BN613" s="38"/>
      <c r="BR613" s="38"/>
    </row>
    <row r="614" spans="2:70" s="33" customFormat="1" ht="15.75">
      <c r="B614" s="38"/>
      <c r="F614" s="38"/>
      <c r="J614" s="38"/>
      <c r="N614" s="38"/>
      <c r="R614" s="38"/>
      <c r="V614" s="38"/>
      <c r="Z614" s="38"/>
      <c r="AD614" s="38"/>
      <c r="AH614" s="38"/>
      <c r="AL614" s="38"/>
      <c r="AP614" s="38"/>
      <c r="AT614" s="38"/>
      <c r="AX614" s="38"/>
      <c r="BB614" s="38"/>
      <c r="BF614" s="38"/>
      <c r="BJ614" s="38"/>
      <c r="BN614" s="38"/>
      <c r="BR614" s="38"/>
    </row>
    <row r="615" spans="2:70" s="33" customFormat="1" ht="15.75">
      <c r="B615" s="38"/>
      <c r="F615" s="38"/>
      <c r="J615" s="38"/>
      <c r="N615" s="38"/>
      <c r="R615" s="38"/>
      <c r="V615" s="38"/>
      <c r="Z615" s="38"/>
      <c r="AD615" s="38"/>
      <c r="AH615" s="38"/>
      <c r="AL615" s="38"/>
      <c r="AP615" s="38"/>
      <c r="AT615" s="38"/>
      <c r="AX615" s="38"/>
      <c r="BB615" s="38"/>
      <c r="BF615" s="38"/>
      <c r="BJ615" s="38"/>
      <c r="BN615" s="38"/>
      <c r="BR615" s="38"/>
    </row>
    <row r="616" spans="2:70" s="33" customFormat="1" ht="15.75">
      <c r="B616" s="38"/>
      <c r="F616" s="38"/>
      <c r="J616" s="38"/>
      <c r="N616" s="38"/>
      <c r="R616" s="38"/>
      <c r="V616" s="38"/>
      <c r="Z616" s="38"/>
      <c r="AD616" s="38"/>
      <c r="AH616" s="38"/>
      <c r="AL616" s="38"/>
      <c r="AP616" s="38"/>
      <c r="AT616" s="38"/>
      <c r="AX616" s="38"/>
      <c r="BB616" s="38"/>
      <c r="BF616" s="38"/>
      <c r="BJ616" s="38"/>
      <c r="BN616" s="38"/>
      <c r="BR616" s="38"/>
    </row>
    <row r="617" spans="2:70" s="33" customFormat="1" ht="15.75">
      <c r="B617" s="38"/>
      <c r="F617" s="38"/>
      <c r="J617" s="38"/>
      <c r="N617" s="38"/>
      <c r="R617" s="38"/>
      <c r="V617" s="38"/>
      <c r="Z617" s="38"/>
      <c r="AD617" s="38"/>
      <c r="AH617" s="38"/>
      <c r="AL617" s="38"/>
      <c r="AP617" s="38"/>
      <c r="AT617" s="38"/>
      <c r="AX617" s="38"/>
      <c r="BB617" s="38"/>
      <c r="BF617" s="38"/>
      <c r="BJ617" s="38"/>
      <c r="BN617" s="38"/>
      <c r="BR617" s="38"/>
    </row>
    <row r="618" spans="2:70" s="33" customFormat="1" ht="15.75">
      <c r="B618" s="38"/>
      <c r="F618" s="38"/>
      <c r="J618" s="38"/>
      <c r="N618" s="38"/>
      <c r="R618" s="38"/>
      <c r="V618" s="38"/>
      <c r="Z618" s="38"/>
      <c r="AD618" s="38"/>
      <c r="AH618" s="38"/>
      <c r="AL618" s="38"/>
      <c r="AP618" s="38"/>
      <c r="AT618" s="38"/>
      <c r="AX618" s="38"/>
      <c r="BB618" s="38"/>
      <c r="BF618" s="38"/>
      <c r="BJ618" s="38"/>
      <c r="BN618" s="38"/>
      <c r="BR618" s="38"/>
    </row>
    <row r="619" spans="2:70" s="33" customFormat="1" ht="15.75">
      <c r="B619" s="38"/>
      <c r="F619" s="38"/>
      <c r="J619" s="38"/>
      <c r="N619" s="38"/>
      <c r="R619" s="38"/>
      <c r="V619" s="38"/>
      <c r="Z619" s="38"/>
      <c r="AD619" s="38"/>
      <c r="AH619" s="38"/>
      <c r="AL619" s="38"/>
      <c r="AP619" s="38"/>
      <c r="AT619" s="38"/>
      <c r="AX619" s="38"/>
      <c r="BB619" s="38"/>
      <c r="BF619" s="38"/>
      <c r="BJ619" s="38"/>
      <c r="BN619" s="38"/>
      <c r="BR619" s="38"/>
    </row>
    <row r="620" spans="2:70" s="33" customFormat="1" ht="15.75">
      <c r="B620" s="38"/>
      <c r="F620" s="38"/>
      <c r="J620" s="38"/>
      <c r="N620" s="38"/>
      <c r="R620" s="38"/>
      <c r="V620" s="38"/>
      <c r="Z620" s="38"/>
      <c r="AD620" s="38"/>
      <c r="AH620" s="38"/>
      <c r="AL620" s="38"/>
      <c r="AP620" s="38"/>
      <c r="AT620" s="38"/>
      <c r="AX620" s="38"/>
      <c r="BB620" s="38"/>
      <c r="BF620" s="38"/>
      <c r="BJ620" s="38"/>
      <c r="BN620" s="38"/>
      <c r="BR620" s="38"/>
    </row>
    <row r="621" spans="2:70" s="33" customFormat="1" ht="15.75">
      <c r="B621" s="38"/>
      <c r="F621" s="38"/>
      <c r="J621" s="38"/>
      <c r="N621" s="38"/>
      <c r="R621" s="38"/>
      <c r="V621" s="38"/>
      <c r="Z621" s="38"/>
      <c r="AD621" s="38"/>
      <c r="AH621" s="38"/>
      <c r="AL621" s="38"/>
      <c r="AP621" s="38"/>
      <c r="AT621" s="38"/>
      <c r="AX621" s="38"/>
      <c r="BB621" s="38"/>
      <c r="BF621" s="38"/>
      <c r="BJ621" s="38"/>
      <c r="BN621" s="38"/>
      <c r="BR621" s="38"/>
    </row>
    <row r="622" spans="2:70" s="33" customFormat="1" ht="15.75">
      <c r="B622" s="38"/>
      <c r="F622" s="38"/>
      <c r="J622" s="38"/>
      <c r="N622" s="38"/>
      <c r="R622" s="38"/>
      <c r="V622" s="38"/>
      <c r="Z622" s="38"/>
      <c r="AD622" s="38"/>
      <c r="AH622" s="38"/>
      <c r="AL622" s="38"/>
      <c r="AP622" s="38"/>
      <c r="AT622" s="38"/>
      <c r="AX622" s="38"/>
      <c r="BB622" s="38"/>
      <c r="BF622" s="38"/>
      <c r="BJ622" s="38"/>
      <c r="BN622" s="38"/>
      <c r="BR622" s="38"/>
    </row>
    <row r="623" spans="2:70" s="33" customFormat="1" ht="15.75">
      <c r="B623" s="38"/>
      <c r="F623" s="38"/>
      <c r="J623" s="38"/>
      <c r="N623" s="38"/>
      <c r="R623" s="38"/>
      <c r="V623" s="38"/>
      <c r="Z623" s="38"/>
      <c r="AD623" s="38"/>
      <c r="AH623" s="38"/>
      <c r="AL623" s="38"/>
      <c r="AP623" s="38"/>
      <c r="AT623" s="38"/>
      <c r="AX623" s="38"/>
      <c r="BB623" s="38"/>
      <c r="BF623" s="38"/>
      <c r="BJ623" s="38"/>
      <c r="BN623" s="38"/>
      <c r="BR623" s="38"/>
    </row>
    <row r="624" spans="2:70" s="33" customFormat="1" ht="15.75">
      <c r="B624" s="38"/>
      <c r="F624" s="38"/>
      <c r="J624" s="38"/>
      <c r="N624" s="38"/>
      <c r="R624" s="38"/>
      <c r="V624" s="38"/>
      <c r="Z624" s="38"/>
      <c r="AD624" s="38"/>
      <c r="AH624" s="38"/>
      <c r="AL624" s="38"/>
      <c r="AP624" s="38"/>
      <c r="AT624" s="38"/>
      <c r="AX624" s="38"/>
      <c r="BB624" s="38"/>
      <c r="BF624" s="38"/>
      <c r="BJ624" s="38"/>
      <c r="BN624" s="38"/>
      <c r="BR624" s="38"/>
    </row>
    <row r="625" spans="2:70" s="33" customFormat="1" ht="15.75">
      <c r="B625" s="38"/>
      <c r="F625" s="38"/>
      <c r="J625" s="38"/>
      <c r="N625" s="38"/>
      <c r="R625" s="38"/>
      <c r="V625" s="38"/>
      <c r="Z625" s="38"/>
      <c r="AD625" s="38"/>
      <c r="AH625" s="38"/>
      <c r="AL625" s="38"/>
      <c r="AP625" s="38"/>
      <c r="AT625" s="38"/>
      <c r="AX625" s="38"/>
      <c r="BB625" s="38"/>
      <c r="BF625" s="38"/>
      <c r="BJ625" s="38"/>
      <c r="BN625" s="38"/>
      <c r="BR625" s="38"/>
    </row>
    <row r="626" spans="2:70" s="33" customFormat="1" ht="15.75">
      <c r="B626" s="38"/>
      <c r="F626" s="38"/>
      <c r="J626" s="38"/>
      <c r="N626" s="38"/>
      <c r="R626" s="38"/>
      <c r="V626" s="38"/>
      <c r="Z626" s="38"/>
      <c r="AD626" s="38"/>
      <c r="AH626" s="38"/>
      <c r="AL626" s="38"/>
      <c r="AP626" s="38"/>
      <c r="AT626" s="38"/>
      <c r="AX626" s="38"/>
      <c r="BB626" s="38"/>
      <c r="BF626" s="38"/>
      <c r="BJ626" s="38"/>
      <c r="BN626" s="38"/>
      <c r="BR626" s="38"/>
    </row>
    <row r="627" spans="2:70" s="33" customFormat="1" ht="15.75">
      <c r="B627" s="38"/>
      <c r="F627" s="38"/>
      <c r="J627" s="38"/>
      <c r="N627" s="38"/>
      <c r="R627" s="38"/>
      <c r="V627" s="38"/>
      <c r="Z627" s="38"/>
      <c r="AD627" s="38"/>
      <c r="AH627" s="38"/>
      <c r="AL627" s="38"/>
      <c r="AP627" s="38"/>
      <c r="AT627" s="38"/>
      <c r="AX627" s="38"/>
      <c r="BB627" s="38"/>
      <c r="BF627" s="38"/>
      <c r="BJ627" s="38"/>
      <c r="BN627" s="38"/>
      <c r="BR627" s="38"/>
    </row>
    <row r="628" spans="2:70" s="33" customFormat="1" ht="15.75">
      <c r="B628" s="38"/>
      <c r="F628" s="38"/>
      <c r="J628" s="38"/>
      <c r="N628" s="38"/>
      <c r="R628" s="38"/>
      <c r="V628" s="38"/>
      <c r="Z628" s="38"/>
      <c r="AD628" s="38"/>
      <c r="AH628" s="38"/>
      <c r="AL628" s="38"/>
      <c r="AP628" s="38"/>
      <c r="AT628" s="38"/>
      <c r="AX628" s="38"/>
      <c r="BB628" s="38"/>
      <c r="BF628" s="38"/>
      <c r="BJ628" s="38"/>
      <c r="BN628" s="38"/>
      <c r="BR628" s="38"/>
    </row>
    <row r="629" spans="2:70" s="33" customFormat="1" ht="15.75">
      <c r="B629" s="38"/>
      <c r="F629" s="38"/>
      <c r="J629" s="38"/>
      <c r="N629" s="38"/>
      <c r="R629" s="38"/>
      <c r="V629" s="38"/>
      <c r="Z629" s="38"/>
      <c r="AD629" s="38"/>
      <c r="AH629" s="38"/>
      <c r="AL629" s="38"/>
      <c r="AP629" s="38"/>
      <c r="AT629" s="38"/>
      <c r="AX629" s="38"/>
      <c r="BB629" s="38"/>
      <c r="BF629" s="38"/>
      <c r="BJ629" s="38"/>
      <c r="BN629" s="38"/>
      <c r="BR629" s="38"/>
    </row>
    <row r="630" spans="2:70" s="33" customFormat="1" ht="15.75">
      <c r="B630" s="38"/>
      <c r="F630" s="38"/>
      <c r="J630" s="38"/>
      <c r="N630" s="38"/>
      <c r="R630" s="38"/>
      <c r="V630" s="38"/>
      <c r="Z630" s="38"/>
      <c r="AD630" s="38"/>
      <c r="AH630" s="38"/>
      <c r="AL630" s="38"/>
      <c r="AP630" s="38"/>
      <c r="AT630" s="38"/>
      <c r="AX630" s="38"/>
      <c r="BB630" s="38"/>
      <c r="BF630" s="38"/>
      <c r="BJ630" s="38"/>
      <c r="BN630" s="38"/>
      <c r="BR630" s="38"/>
    </row>
    <row r="631" spans="2:70" s="33" customFormat="1" ht="15.75">
      <c r="B631" s="38"/>
      <c r="F631" s="38"/>
      <c r="J631" s="38"/>
      <c r="N631" s="38"/>
      <c r="R631" s="38"/>
      <c r="V631" s="38"/>
      <c r="Z631" s="38"/>
      <c r="AD631" s="38"/>
      <c r="AH631" s="38"/>
      <c r="AL631" s="38"/>
      <c r="AP631" s="38"/>
      <c r="AT631" s="38"/>
      <c r="AX631" s="38"/>
      <c r="BB631" s="38"/>
      <c r="BF631" s="38"/>
      <c r="BJ631" s="38"/>
      <c r="BN631" s="38"/>
      <c r="BR631" s="38"/>
    </row>
    <row r="632" spans="2:70" s="33" customFormat="1" ht="15.75">
      <c r="B632" s="38"/>
      <c r="F632" s="38"/>
      <c r="J632" s="38"/>
      <c r="N632" s="38"/>
      <c r="R632" s="38"/>
      <c r="V632" s="38"/>
      <c r="Z632" s="38"/>
      <c r="AD632" s="38"/>
      <c r="AH632" s="38"/>
      <c r="AL632" s="38"/>
      <c r="AP632" s="38"/>
      <c r="AT632" s="38"/>
      <c r="AX632" s="38"/>
      <c r="BB632" s="38"/>
      <c r="BF632" s="38"/>
      <c r="BJ632" s="38"/>
      <c r="BN632" s="38"/>
      <c r="BR632" s="38"/>
    </row>
    <row r="633" spans="2:70" s="33" customFormat="1" ht="15.75">
      <c r="B633" s="38"/>
      <c r="F633" s="38"/>
      <c r="J633" s="38"/>
      <c r="N633" s="38"/>
      <c r="R633" s="38"/>
      <c r="V633" s="38"/>
      <c r="Z633" s="38"/>
      <c r="AD633" s="38"/>
      <c r="AH633" s="38"/>
      <c r="AL633" s="38"/>
      <c r="AP633" s="38"/>
      <c r="AT633" s="38"/>
      <c r="AX633" s="38"/>
      <c r="BB633" s="38"/>
      <c r="BF633" s="38"/>
      <c r="BJ633" s="38"/>
      <c r="BN633" s="38"/>
      <c r="BR633" s="38"/>
    </row>
    <row r="634" spans="2:70" s="33" customFormat="1" ht="15.75">
      <c r="B634" s="38"/>
      <c r="F634" s="38"/>
      <c r="J634" s="38"/>
      <c r="N634" s="38"/>
      <c r="R634" s="38"/>
      <c r="V634" s="38"/>
      <c r="Z634" s="38"/>
      <c r="AD634" s="38"/>
      <c r="AH634" s="38"/>
      <c r="AL634" s="38"/>
      <c r="AP634" s="38"/>
      <c r="AT634" s="38"/>
      <c r="AX634" s="38"/>
      <c r="BB634" s="38"/>
      <c r="BF634" s="38"/>
      <c r="BJ634" s="38"/>
      <c r="BN634" s="38"/>
      <c r="BR634" s="38"/>
    </row>
    <row r="635" spans="2:70" s="33" customFormat="1" ht="15.75">
      <c r="B635" s="38"/>
      <c r="F635" s="38"/>
      <c r="J635" s="38"/>
      <c r="N635" s="38"/>
      <c r="R635" s="38"/>
      <c r="V635" s="38"/>
      <c r="Z635" s="38"/>
      <c r="AD635" s="38"/>
      <c r="AH635" s="38"/>
      <c r="AL635" s="38"/>
      <c r="AP635" s="38"/>
      <c r="AT635" s="38"/>
      <c r="AX635" s="38"/>
      <c r="BB635" s="38"/>
      <c r="BF635" s="38"/>
      <c r="BJ635" s="38"/>
      <c r="BN635" s="38"/>
      <c r="BR635" s="38"/>
    </row>
    <row r="636" spans="2:70" s="33" customFormat="1" ht="15.75">
      <c r="B636" s="38"/>
      <c r="F636" s="38"/>
      <c r="J636" s="38"/>
      <c r="N636" s="38"/>
      <c r="R636" s="38"/>
      <c r="V636" s="38"/>
      <c r="Z636" s="38"/>
      <c r="AD636" s="38"/>
      <c r="AH636" s="38"/>
      <c r="AL636" s="38"/>
      <c r="AP636" s="38"/>
      <c r="AT636" s="38"/>
      <c r="AX636" s="38"/>
      <c r="BB636" s="38"/>
      <c r="BF636" s="38"/>
      <c r="BJ636" s="38"/>
      <c r="BN636" s="38"/>
      <c r="BR636" s="38"/>
    </row>
    <row r="637" spans="2:70" s="33" customFormat="1" ht="15.75">
      <c r="B637" s="38"/>
      <c r="F637" s="38"/>
      <c r="J637" s="38"/>
      <c r="N637" s="38"/>
      <c r="R637" s="38"/>
      <c r="V637" s="38"/>
      <c r="Z637" s="38"/>
      <c r="AD637" s="38"/>
      <c r="AH637" s="38"/>
      <c r="AL637" s="38"/>
      <c r="AP637" s="38"/>
      <c r="AT637" s="38"/>
      <c r="AX637" s="38"/>
      <c r="BB637" s="38"/>
      <c r="BF637" s="38"/>
      <c r="BJ637" s="38"/>
      <c r="BN637" s="38"/>
      <c r="BR637" s="38"/>
    </row>
    <row r="638" spans="2:70" s="33" customFormat="1" ht="15.75">
      <c r="B638" s="38"/>
      <c r="F638" s="38"/>
      <c r="J638" s="38"/>
      <c r="N638" s="38"/>
      <c r="R638" s="38"/>
      <c r="V638" s="38"/>
      <c r="Z638" s="38"/>
      <c r="AD638" s="38"/>
      <c r="AH638" s="38"/>
      <c r="AL638" s="38"/>
      <c r="AP638" s="38"/>
      <c r="AT638" s="38"/>
      <c r="AX638" s="38"/>
      <c r="BB638" s="38"/>
      <c r="BF638" s="38"/>
      <c r="BJ638" s="38"/>
      <c r="BN638" s="38"/>
      <c r="BR638" s="38"/>
    </row>
    <row r="639" spans="2:70" s="33" customFormat="1" ht="15.75">
      <c r="B639" s="38"/>
      <c r="F639" s="38"/>
      <c r="J639" s="38"/>
      <c r="N639" s="38"/>
      <c r="R639" s="38"/>
      <c r="V639" s="38"/>
      <c r="Z639" s="38"/>
      <c r="AD639" s="38"/>
      <c r="AH639" s="38"/>
      <c r="AL639" s="38"/>
      <c r="AP639" s="38"/>
      <c r="AT639" s="38"/>
      <c r="AX639" s="38"/>
      <c r="BB639" s="38"/>
      <c r="BF639" s="38"/>
      <c r="BJ639" s="38"/>
      <c r="BN639" s="38"/>
      <c r="BR639" s="38"/>
    </row>
    <row r="640" spans="2:70" s="33" customFormat="1" ht="15.75">
      <c r="B640" s="38"/>
      <c r="F640" s="38"/>
      <c r="J640" s="38"/>
      <c r="N640" s="38"/>
      <c r="R640" s="38"/>
      <c r="V640" s="38"/>
      <c r="Z640" s="38"/>
      <c r="AD640" s="38"/>
      <c r="AH640" s="38"/>
      <c r="AL640" s="38"/>
      <c r="AP640" s="38"/>
      <c r="AT640" s="38"/>
      <c r="AX640" s="38"/>
      <c r="BB640" s="38"/>
      <c r="BF640" s="38"/>
      <c r="BJ640" s="38"/>
      <c r="BN640" s="38"/>
      <c r="BR640" s="38"/>
    </row>
    <row r="641" spans="2:70" s="33" customFormat="1" ht="15.75">
      <c r="B641" s="38"/>
      <c r="F641" s="38"/>
      <c r="J641" s="38"/>
      <c r="N641" s="38"/>
      <c r="R641" s="38"/>
      <c r="V641" s="38"/>
      <c r="Z641" s="38"/>
      <c r="AD641" s="38"/>
      <c r="AH641" s="38"/>
      <c r="AL641" s="38"/>
      <c r="AP641" s="38"/>
      <c r="AT641" s="38"/>
      <c r="AX641" s="38"/>
      <c r="BB641" s="38"/>
      <c r="BF641" s="38"/>
      <c r="BJ641" s="38"/>
      <c r="BN641" s="38"/>
      <c r="BR641" s="38"/>
    </row>
    <row r="642" spans="2:70" s="33" customFormat="1" ht="15.75">
      <c r="B642" s="38"/>
      <c r="F642" s="38"/>
      <c r="J642" s="38"/>
      <c r="N642" s="38"/>
      <c r="R642" s="38"/>
      <c r="V642" s="38"/>
      <c r="Z642" s="38"/>
      <c r="AD642" s="38"/>
      <c r="AH642" s="38"/>
      <c r="AL642" s="38"/>
      <c r="AP642" s="38"/>
      <c r="AT642" s="38"/>
      <c r="AX642" s="38"/>
      <c r="BB642" s="38"/>
      <c r="BF642" s="38"/>
      <c r="BJ642" s="38"/>
      <c r="BN642" s="38"/>
      <c r="BR642" s="38"/>
    </row>
    <row r="643" spans="2:70" s="33" customFormat="1" ht="15.75">
      <c r="B643" s="38"/>
      <c r="F643" s="38"/>
      <c r="J643" s="38"/>
      <c r="N643" s="38"/>
      <c r="R643" s="38"/>
      <c r="V643" s="38"/>
      <c r="Z643" s="38"/>
      <c r="AD643" s="38"/>
      <c r="AH643" s="38"/>
      <c r="AL643" s="38"/>
      <c r="AP643" s="38"/>
      <c r="AT643" s="38"/>
      <c r="AX643" s="38"/>
      <c r="BB643" s="38"/>
      <c r="BF643" s="38"/>
      <c r="BJ643" s="38"/>
      <c r="BN643" s="38"/>
      <c r="BR643" s="38"/>
    </row>
    <row r="644" spans="2:70" s="33" customFormat="1" ht="15.75">
      <c r="B644" s="38"/>
      <c r="F644" s="38"/>
      <c r="J644" s="38"/>
      <c r="N644" s="38"/>
      <c r="R644" s="38"/>
      <c r="V644" s="38"/>
      <c r="Z644" s="38"/>
      <c r="AD644" s="38"/>
      <c r="AH644" s="38"/>
      <c r="AL644" s="38"/>
      <c r="AP644" s="38"/>
      <c r="AT644" s="38"/>
      <c r="AX644" s="38"/>
      <c r="BB644" s="38"/>
      <c r="BF644" s="38"/>
      <c r="BJ644" s="38"/>
      <c r="BN644" s="38"/>
      <c r="BR644" s="38"/>
    </row>
    <row r="645" spans="2:70" s="33" customFormat="1" ht="15.75">
      <c r="B645" s="38"/>
      <c r="F645" s="38"/>
      <c r="J645" s="38"/>
      <c r="N645" s="38"/>
      <c r="R645" s="38"/>
      <c r="V645" s="38"/>
      <c r="Z645" s="38"/>
      <c r="AD645" s="38"/>
      <c r="AH645" s="38"/>
      <c r="AL645" s="38"/>
      <c r="AP645" s="38"/>
      <c r="AT645" s="38"/>
      <c r="AX645" s="38"/>
      <c r="BB645" s="38"/>
      <c r="BF645" s="38"/>
      <c r="BJ645" s="38"/>
      <c r="BN645" s="38"/>
      <c r="BR645" s="38"/>
    </row>
    <row r="646" spans="2:70" s="33" customFormat="1" ht="15.75">
      <c r="B646" s="38"/>
      <c r="F646" s="38"/>
      <c r="J646" s="38"/>
      <c r="N646" s="38"/>
      <c r="R646" s="38"/>
      <c r="V646" s="38"/>
      <c r="Z646" s="38"/>
      <c r="AD646" s="38"/>
      <c r="AH646" s="38"/>
      <c r="AL646" s="38"/>
      <c r="AP646" s="38"/>
      <c r="AT646" s="38"/>
      <c r="AX646" s="38"/>
      <c r="BB646" s="38"/>
      <c r="BF646" s="38"/>
      <c r="BJ646" s="38"/>
      <c r="BN646" s="38"/>
      <c r="BR646" s="38"/>
    </row>
    <row r="647" spans="2:70" s="33" customFormat="1" ht="15.75">
      <c r="B647" s="38"/>
      <c r="F647" s="38"/>
      <c r="J647" s="38"/>
      <c r="N647" s="38"/>
      <c r="R647" s="38"/>
      <c r="V647" s="38"/>
      <c r="Z647" s="38"/>
      <c r="AD647" s="38"/>
      <c r="AH647" s="38"/>
      <c r="AL647" s="38"/>
      <c r="AP647" s="38"/>
      <c r="AT647" s="38"/>
      <c r="AX647" s="38"/>
      <c r="BB647" s="38"/>
      <c r="BF647" s="38"/>
      <c r="BJ647" s="38"/>
      <c r="BN647" s="38"/>
      <c r="BR647" s="38"/>
    </row>
    <row r="648" spans="2:70" s="33" customFormat="1" ht="15.75">
      <c r="B648" s="38"/>
      <c r="F648" s="38"/>
      <c r="J648" s="38"/>
      <c r="N648" s="38"/>
      <c r="R648" s="38"/>
      <c r="V648" s="38"/>
      <c r="Z648" s="38"/>
      <c r="AD648" s="38"/>
      <c r="AH648" s="38"/>
      <c r="AL648" s="38"/>
      <c r="AP648" s="38"/>
      <c r="AT648" s="38"/>
      <c r="AX648" s="38"/>
      <c r="BB648" s="38"/>
      <c r="BF648" s="38"/>
      <c r="BJ648" s="38"/>
      <c r="BN648" s="38"/>
      <c r="BR648" s="38"/>
    </row>
    <row r="649" spans="2:70" s="33" customFormat="1" ht="15.75">
      <c r="B649" s="38"/>
      <c r="F649" s="38"/>
      <c r="J649" s="38"/>
      <c r="N649" s="38"/>
      <c r="R649" s="38"/>
      <c r="V649" s="38"/>
      <c r="Z649" s="38"/>
      <c r="AD649" s="38"/>
      <c r="AH649" s="38"/>
      <c r="AL649" s="38"/>
      <c r="AP649" s="38"/>
      <c r="AT649" s="38"/>
      <c r="AX649" s="38"/>
      <c r="BB649" s="38"/>
      <c r="BF649" s="38"/>
      <c r="BJ649" s="38"/>
      <c r="BN649" s="38"/>
      <c r="BR649" s="38"/>
    </row>
    <row r="650" spans="2:70" s="33" customFormat="1" ht="15.75">
      <c r="B650" s="38"/>
      <c r="F650" s="38"/>
      <c r="J650" s="38"/>
      <c r="N650" s="38"/>
      <c r="R650" s="38"/>
      <c r="V650" s="38"/>
      <c r="Z650" s="38"/>
      <c r="AD650" s="38"/>
      <c r="AH650" s="38"/>
      <c r="AL650" s="38"/>
      <c r="AP650" s="38"/>
      <c r="AT650" s="38"/>
      <c r="AX650" s="38"/>
      <c r="BB650" s="38"/>
      <c r="BF650" s="38"/>
      <c r="BJ650" s="38"/>
      <c r="BN650" s="38"/>
      <c r="BR650" s="38"/>
    </row>
    <row r="651" spans="2:70" s="33" customFormat="1" ht="15.75">
      <c r="B651" s="38"/>
      <c r="F651" s="38"/>
      <c r="J651" s="38"/>
      <c r="N651" s="38"/>
      <c r="R651" s="38"/>
      <c r="V651" s="38"/>
      <c r="Z651" s="38"/>
      <c r="AD651" s="38"/>
      <c r="AH651" s="38"/>
      <c r="AL651" s="38"/>
      <c r="AP651" s="38"/>
      <c r="AT651" s="38"/>
      <c r="AX651" s="38"/>
      <c r="BB651" s="38"/>
      <c r="BF651" s="38"/>
      <c r="BJ651" s="38"/>
      <c r="BN651" s="38"/>
      <c r="BR651" s="38"/>
    </row>
    <row r="652" spans="2:70" s="33" customFormat="1" ht="15.75">
      <c r="B652" s="38"/>
      <c r="F652" s="38"/>
      <c r="J652" s="38"/>
      <c r="N652" s="38"/>
      <c r="R652" s="38"/>
      <c r="V652" s="38"/>
      <c r="Z652" s="38"/>
      <c r="AD652" s="38"/>
      <c r="AH652" s="38"/>
      <c r="AL652" s="38"/>
      <c r="AP652" s="38"/>
      <c r="AT652" s="38"/>
      <c r="AX652" s="38"/>
      <c r="BB652" s="38"/>
      <c r="BF652" s="38"/>
      <c r="BJ652" s="38"/>
      <c r="BN652" s="38"/>
      <c r="BR652" s="38"/>
    </row>
    <row r="653" spans="2:70" s="33" customFormat="1" ht="15.75">
      <c r="B653" s="38"/>
      <c r="F653" s="38"/>
      <c r="J653" s="38"/>
      <c r="N653" s="38"/>
      <c r="R653" s="38"/>
      <c r="V653" s="38"/>
      <c r="Z653" s="38"/>
      <c r="AD653" s="38"/>
      <c r="AH653" s="38"/>
      <c r="AL653" s="38"/>
      <c r="AP653" s="38"/>
      <c r="AT653" s="38"/>
      <c r="AX653" s="38"/>
      <c r="BB653" s="38"/>
      <c r="BF653" s="38"/>
      <c r="BJ653" s="38"/>
      <c r="BN653" s="38"/>
      <c r="BR653" s="38"/>
    </row>
    <row r="654" spans="2:70" s="33" customFormat="1" ht="15.75">
      <c r="B654" s="38"/>
      <c r="F654" s="38"/>
      <c r="J654" s="38"/>
      <c r="N654" s="38"/>
      <c r="R654" s="38"/>
      <c r="V654" s="38"/>
      <c r="Z654" s="38"/>
      <c r="AD654" s="38"/>
      <c r="AH654" s="38"/>
      <c r="AL654" s="38"/>
      <c r="AP654" s="38"/>
      <c r="AT654" s="38"/>
      <c r="AX654" s="38"/>
      <c r="BB654" s="38"/>
      <c r="BF654" s="38"/>
      <c r="BJ654" s="38"/>
      <c r="BN654" s="38"/>
      <c r="BR654" s="38"/>
    </row>
    <row r="655" spans="2:70" s="33" customFormat="1" ht="15.75">
      <c r="B655" s="38"/>
      <c r="F655" s="38"/>
      <c r="J655" s="38"/>
      <c r="N655" s="38"/>
      <c r="R655" s="38"/>
      <c r="V655" s="38"/>
      <c r="Z655" s="38"/>
      <c r="AD655" s="38"/>
      <c r="AH655" s="38"/>
      <c r="AL655" s="38"/>
      <c r="AP655" s="38"/>
      <c r="AT655" s="38"/>
      <c r="AX655" s="38"/>
      <c r="BB655" s="38"/>
      <c r="BF655" s="38"/>
      <c r="BJ655" s="38"/>
      <c r="BN655" s="38"/>
      <c r="BR655" s="38"/>
    </row>
    <row r="656" spans="2:70" s="33" customFormat="1" ht="15.75">
      <c r="B656" s="38"/>
      <c r="F656" s="38"/>
      <c r="J656" s="38"/>
      <c r="N656" s="38"/>
      <c r="R656" s="38"/>
      <c r="V656" s="38"/>
      <c r="Z656" s="38"/>
      <c r="AD656" s="38"/>
      <c r="AH656" s="38"/>
      <c r="AL656" s="38"/>
      <c r="AP656" s="38"/>
      <c r="AT656" s="38"/>
      <c r="AX656" s="38"/>
      <c r="BB656" s="38"/>
      <c r="BF656" s="38"/>
      <c r="BJ656" s="38"/>
      <c r="BN656" s="38"/>
      <c r="BR656" s="38"/>
    </row>
    <row r="657" spans="2:70" s="33" customFormat="1" ht="15.75">
      <c r="B657" s="38"/>
      <c r="F657" s="38"/>
      <c r="J657" s="38"/>
      <c r="N657" s="38"/>
      <c r="R657" s="38"/>
      <c r="V657" s="38"/>
      <c r="Z657" s="38"/>
      <c r="AD657" s="38"/>
      <c r="AH657" s="38"/>
      <c r="AL657" s="38"/>
      <c r="AP657" s="38"/>
      <c r="AT657" s="38"/>
      <c r="AX657" s="38"/>
      <c r="BB657" s="38"/>
      <c r="BF657" s="38"/>
      <c r="BJ657" s="38"/>
      <c r="BN657" s="38"/>
      <c r="BR657" s="38"/>
    </row>
    <row r="658" spans="2:70" s="33" customFormat="1" ht="15.75">
      <c r="B658" s="38"/>
      <c r="F658" s="38"/>
      <c r="J658" s="38"/>
      <c r="N658" s="38"/>
      <c r="R658" s="38"/>
      <c r="V658" s="38"/>
      <c r="Z658" s="38"/>
      <c r="AD658" s="38"/>
      <c r="AH658" s="38"/>
      <c r="AL658" s="38"/>
      <c r="AP658" s="38"/>
      <c r="AT658" s="38"/>
      <c r="AX658" s="38"/>
      <c r="BB658" s="38"/>
      <c r="BF658" s="38"/>
      <c r="BJ658" s="38"/>
      <c r="BN658" s="38"/>
      <c r="BR658" s="38"/>
    </row>
    <row r="659" spans="2:70" s="33" customFormat="1" ht="15.75">
      <c r="B659" s="38"/>
      <c r="F659" s="38"/>
      <c r="J659" s="38"/>
      <c r="N659" s="38"/>
      <c r="R659" s="38"/>
      <c r="V659" s="38"/>
      <c r="Z659" s="38"/>
      <c r="AD659" s="38"/>
      <c r="AH659" s="38"/>
      <c r="AL659" s="38"/>
      <c r="AP659" s="38"/>
      <c r="AT659" s="38"/>
      <c r="AX659" s="38"/>
      <c r="BB659" s="38"/>
      <c r="BF659" s="38"/>
      <c r="BJ659" s="38"/>
      <c r="BN659" s="38"/>
      <c r="BR659" s="38"/>
    </row>
    <row r="660" spans="2:70" s="33" customFormat="1" ht="15.75">
      <c r="B660" s="38"/>
      <c r="F660" s="38"/>
      <c r="J660" s="38"/>
      <c r="N660" s="38"/>
      <c r="R660" s="38"/>
      <c r="V660" s="38"/>
      <c r="Z660" s="38"/>
      <c r="AD660" s="38"/>
      <c r="AH660" s="38"/>
      <c r="AL660" s="38"/>
      <c r="AP660" s="38"/>
      <c r="AT660" s="38"/>
      <c r="AX660" s="38"/>
      <c r="BB660" s="38"/>
      <c r="BF660" s="38"/>
      <c r="BJ660" s="38"/>
      <c r="BN660" s="38"/>
      <c r="BR660" s="38"/>
    </row>
    <row r="661" spans="2:70" s="33" customFormat="1" ht="15.75">
      <c r="B661" s="38"/>
      <c r="F661" s="38"/>
      <c r="J661" s="38"/>
      <c r="N661" s="38"/>
      <c r="R661" s="38"/>
      <c r="V661" s="38"/>
      <c r="Z661" s="38"/>
      <c r="AD661" s="38"/>
      <c r="AH661" s="38"/>
      <c r="AL661" s="38"/>
      <c r="AP661" s="38"/>
      <c r="AT661" s="38"/>
      <c r="AX661" s="38"/>
      <c r="BB661" s="38"/>
      <c r="BF661" s="38"/>
      <c r="BJ661" s="38"/>
      <c r="BN661" s="38"/>
      <c r="BR661" s="38"/>
    </row>
    <row r="662" spans="2:70" s="33" customFormat="1" ht="15.75">
      <c r="B662" s="38"/>
      <c r="F662" s="38"/>
      <c r="J662" s="38"/>
      <c r="N662" s="38"/>
      <c r="R662" s="38"/>
      <c r="V662" s="38"/>
      <c r="Z662" s="38"/>
      <c r="AD662" s="38"/>
      <c r="AH662" s="38"/>
      <c r="AL662" s="38"/>
      <c r="AP662" s="38"/>
      <c r="AT662" s="38"/>
      <c r="AX662" s="38"/>
      <c r="BB662" s="38"/>
      <c r="BF662" s="38"/>
      <c r="BJ662" s="38"/>
      <c r="BN662" s="38"/>
      <c r="BR662" s="38"/>
    </row>
    <row r="663" spans="2:70" s="33" customFormat="1" ht="15.75">
      <c r="B663" s="38"/>
      <c r="F663" s="38"/>
      <c r="J663" s="38"/>
      <c r="N663" s="38"/>
      <c r="R663" s="38"/>
      <c r="V663" s="38"/>
      <c r="Z663" s="38"/>
      <c r="AD663" s="38"/>
      <c r="AH663" s="38"/>
      <c r="AL663" s="38"/>
      <c r="AP663" s="38"/>
      <c r="AT663" s="38"/>
      <c r="AX663" s="38"/>
      <c r="BB663" s="38"/>
      <c r="BF663" s="38"/>
      <c r="BJ663" s="38"/>
      <c r="BN663" s="38"/>
      <c r="BR663" s="38"/>
    </row>
    <row r="664" spans="2:70" s="33" customFormat="1" ht="15.75">
      <c r="B664" s="38"/>
      <c r="F664" s="38"/>
      <c r="J664" s="38"/>
      <c r="N664" s="38"/>
      <c r="R664" s="38"/>
      <c r="V664" s="38"/>
      <c r="Z664" s="38"/>
      <c r="AD664" s="38"/>
      <c r="AH664" s="38"/>
      <c r="AL664" s="38"/>
      <c r="AP664" s="38"/>
      <c r="AT664" s="38"/>
      <c r="AX664" s="38"/>
      <c r="BB664" s="38"/>
      <c r="BF664" s="38"/>
      <c r="BJ664" s="38"/>
      <c r="BN664" s="38"/>
      <c r="BR664" s="38"/>
    </row>
    <row r="665" spans="2:70" s="33" customFormat="1" ht="15.75">
      <c r="B665" s="38"/>
      <c r="F665" s="38"/>
      <c r="J665" s="38"/>
      <c r="N665" s="38"/>
      <c r="R665" s="38"/>
      <c r="V665" s="38"/>
      <c r="Z665" s="38"/>
      <c r="AD665" s="38"/>
      <c r="AH665" s="38"/>
      <c r="AL665" s="38"/>
      <c r="AP665" s="38"/>
      <c r="AT665" s="38"/>
      <c r="AX665" s="38"/>
      <c r="BB665" s="38"/>
      <c r="BF665" s="38"/>
      <c r="BJ665" s="38"/>
      <c r="BN665" s="38"/>
      <c r="BR665" s="38"/>
    </row>
    <row r="666" spans="2:70" s="33" customFormat="1" ht="15.75">
      <c r="B666" s="38"/>
      <c r="F666" s="38"/>
      <c r="J666" s="38"/>
      <c r="N666" s="38"/>
      <c r="R666" s="38"/>
      <c r="V666" s="38"/>
      <c r="Z666" s="38"/>
      <c r="AD666" s="38"/>
      <c r="AH666" s="38"/>
      <c r="AL666" s="38"/>
      <c r="AP666" s="38"/>
      <c r="AT666" s="38"/>
      <c r="AX666" s="38"/>
      <c r="BB666" s="38"/>
      <c r="BF666" s="38"/>
      <c r="BJ666" s="38"/>
      <c r="BN666" s="38"/>
      <c r="BR666" s="38"/>
    </row>
    <row r="667" spans="2:70" s="33" customFormat="1" ht="15.75">
      <c r="B667" s="38"/>
      <c r="F667" s="38"/>
      <c r="J667" s="38"/>
      <c r="N667" s="38"/>
      <c r="R667" s="38"/>
      <c r="V667" s="38"/>
      <c r="Z667" s="38"/>
      <c r="AD667" s="38"/>
      <c r="AH667" s="38"/>
      <c r="AL667" s="38"/>
      <c r="AP667" s="38"/>
      <c r="AT667" s="38"/>
      <c r="AX667" s="38"/>
      <c r="BB667" s="38"/>
      <c r="BF667" s="38"/>
      <c r="BJ667" s="38"/>
      <c r="BN667" s="38"/>
      <c r="BR667" s="38"/>
    </row>
    <row r="668" spans="2:70" s="33" customFormat="1" ht="15.75">
      <c r="B668" s="38"/>
      <c r="F668" s="38"/>
      <c r="J668" s="38"/>
      <c r="N668" s="38"/>
      <c r="R668" s="38"/>
      <c r="V668" s="38"/>
      <c r="Z668" s="38"/>
      <c r="AD668" s="38"/>
      <c r="AH668" s="38"/>
      <c r="AL668" s="38"/>
      <c r="AP668" s="38"/>
      <c r="AT668" s="38"/>
      <c r="AX668" s="38"/>
      <c r="BB668" s="38"/>
      <c r="BF668" s="38"/>
      <c r="BJ668" s="38"/>
      <c r="BN668" s="38"/>
      <c r="BR668" s="38"/>
    </row>
    <row r="669" spans="2:70" s="33" customFormat="1" ht="15.75">
      <c r="B669" s="38"/>
      <c r="F669" s="38"/>
      <c r="J669" s="38"/>
      <c r="N669" s="38"/>
      <c r="R669" s="38"/>
      <c r="V669" s="38"/>
      <c r="Z669" s="38"/>
      <c r="AD669" s="38"/>
      <c r="AH669" s="38"/>
      <c r="AL669" s="38"/>
      <c r="AP669" s="38"/>
      <c r="AT669" s="38"/>
      <c r="AX669" s="38"/>
      <c r="BB669" s="38"/>
      <c r="BF669" s="38"/>
      <c r="BJ669" s="38"/>
      <c r="BN669" s="38"/>
      <c r="BR669" s="38"/>
    </row>
    <row r="670" spans="2:70" s="33" customFormat="1" ht="15.75">
      <c r="B670" s="38"/>
      <c r="F670" s="38"/>
      <c r="J670" s="38"/>
      <c r="N670" s="38"/>
      <c r="R670" s="38"/>
      <c r="V670" s="38"/>
      <c r="Z670" s="38"/>
      <c r="AD670" s="38"/>
      <c r="AH670" s="38"/>
      <c r="AL670" s="38"/>
      <c r="AP670" s="38"/>
      <c r="AT670" s="38"/>
      <c r="AX670" s="38"/>
      <c r="BB670" s="38"/>
      <c r="BF670" s="38"/>
      <c r="BJ670" s="38"/>
      <c r="BN670" s="38"/>
      <c r="BR670" s="38"/>
    </row>
    <row r="671" spans="2:70" s="33" customFormat="1" ht="15.75">
      <c r="B671" s="38"/>
      <c r="F671" s="38"/>
      <c r="J671" s="38"/>
      <c r="N671" s="38"/>
      <c r="R671" s="38"/>
      <c r="V671" s="38"/>
      <c r="Z671" s="38"/>
      <c r="AD671" s="38"/>
      <c r="AH671" s="38"/>
      <c r="AL671" s="38"/>
      <c r="AP671" s="38"/>
      <c r="AT671" s="38"/>
      <c r="AX671" s="38"/>
      <c r="BB671" s="38"/>
      <c r="BF671" s="38"/>
      <c r="BJ671" s="38"/>
      <c r="BN671" s="38"/>
      <c r="BR671" s="38"/>
    </row>
    <row r="672" spans="2:70" s="33" customFormat="1" ht="15.75">
      <c r="B672" s="38"/>
      <c r="F672" s="38"/>
      <c r="J672" s="38"/>
      <c r="N672" s="38"/>
      <c r="R672" s="38"/>
      <c r="V672" s="38"/>
      <c r="Z672" s="38"/>
      <c r="AD672" s="38"/>
      <c r="AH672" s="38"/>
      <c r="AL672" s="38"/>
      <c r="AP672" s="38"/>
      <c r="AT672" s="38"/>
      <c r="AX672" s="38"/>
      <c r="BB672" s="38"/>
      <c r="BF672" s="38"/>
      <c r="BJ672" s="38"/>
      <c r="BN672" s="38"/>
      <c r="BR672" s="38"/>
    </row>
    <row r="673" spans="2:70" s="33" customFormat="1" ht="15.75">
      <c r="B673" s="38"/>
      <c r="F673" s="38"/>
      <c r="J673" s="38"/>
      <c r="N673" s="38"/>
      <c r="R673" s="38"/>
      <c r="V673" s="38"/>
      <c r="Z673" s="38"/>
      <c r="AD673" s="38"/>
      <c r="AH673" s="38"/>
      <c r="AL673" s="38"/>
      <c r="AP673" s="38"/>
      <c r="AT673" s="38"/>
      <c r="AX673" s="38"/>
      <c r="BB673" s="38"/>
      <c r="BF673" s="38"/>
      <c r="BJ673" s="38"/>
      <c r="BN673" s="38"/>
      <c r="BR673" s="38"/>
    </row>
    <row r="674" spans="2:70" s="33" customFormat="1" ht="15.75">
      <c r="B674" s="38"/>
      <c r="F674" s="38"/>
      <c r="J674" s="38"/>
      <c r="N674" s="38"/>
      <c r="R674" s="38"/>
      <c r="V674" s="38"/>
      <c r="Z674" s="38"/>
      <c r="AD674" s="38"/>
      <c r="AH674" s="38"/>
      <c r="AL674" s="38"/>
      <c r="AP674" s="38"/>
      <c r="AT674" s="38"/>
      <c r="AX674" s="38"/>
      <c r="BB674" s="38"/>
      <c r="BF674" s="38"/>
      <c r="BJ674" s="38"/>
      <c r="BN674" s="38"/>
      <c r="BR674" s="38"/>
    </row>
    <row r="675" spans="2:70" s="33" customFormat="1" ht="15.75">
      <c r="B675" s="38"/>
      <c r="F675" s="38"/>
      <c r="J675" s="38"/>
      <c r="N675" s="38"/>
      <c r="R675" s="38"/>
      <c r="V675" s="38"/>
      <c r="Z675" s="38"/>
      <c r="AD675" s="38"/>
      <c r="AH675" s="38"/>
      <c r="AL675" s="38"/>
      <c r="AP675" s="38"/>
      <c r="AT675" s="38"/>
      <c r="AX675" s="38"/>
      <c r="BB675" s="38"/>
      <c r="BF675" s="38"/>
      <c r="BJ675" s="38"/>
      <c r="BN675" s="38"/>
      <c r="BR675" s="38"/>
    </row>
    <row r="676" spans="2:70" s="33" customFormat="1" ht="15.75">
      <c r="B676" s="38"/>
      <c r="F676" s="38"/>
      <c r="J676" s="38"/>
      <c r="N676" s="38"/>
      <c r="R676" s="38"/>
      <c r="V676" s="38"/>
      <c r="Z676" s="38"/>
      <c r="AD676" s="38"/>
      <c r="AH676" s="38"/>
      <c r="AL676" s="38"/>
      <c r="AP676" s="38"/>
      <c r="AT676" s="38"/>
      <c r="AX676" s="38"/>
      <c r="BB676" s="38"/>
      <c r="BF676" s="38"/>
      <c r="BJ676" s="38"/>
      <c r="BN676" s="38"/>
      <c r="BR676" s="38"/>
    </row>
    <row r="677" spans="2:70" s="33" customFormat="1" ht="15.75">
      <c r="B677" s="38"/>
      <c r="F677" s="38"/>
      <c r="J677" s="38"/>
      <c r="N677" s="38"/>
      <c r="R677" s="38"/>
      <c r="V677" s="38"/>
      <c r="Z677" s="38"/>
      <c r="AD677" s="38"/>
      <c r="AH677" s="38"/>
      <c r="AL677" s="38"/>
      <c r="AP677" s="38"/>
      <c r="AT677" s="38"/>
      <c r="AX677" s="38"/>
      <c r="BB677" s="38"/>
      <c r="BF677" s="38"/>
      <c r="BJ677" s="38"/>
      <c r="BN677" s="38"/>
      <c r="BR677" s="38"/>
    </row>
    <row r="678" spans="2:70" s="33" customFormat="1" ht="15.75">
      <c r="B678" s="38"/>
      <c r="F678" s="38"/>
      <c r="J678" s="38"/>
      <c r="N678" s="38"/>
      <c r="R678" s="38"/>
      <c r="V678" s="38"/>
      <c r="Z678" s="38"/>
      <c r="AD678" s="38"/>
      <c r="AH678" s="38"/>
      <c r="AL678" s="38"/>
      <c r="AP678" s="38"/>
      <c r="AT678" s="38"/>
      <c r="AX678" s="38"/>
      <c r="BB678" s="38"/>
      <c r="BF678" s="38"/>
      <c r="BJ678" s="38"/>
      <c r="BN678" s="38"/>
      <c r="BR678" s="38"/>
    </row>
    <row r="679" spans="2:70" s="33" customFormat="1" ht="15.75">
      <c r="B679" s="38"/>
      <c r="F679" s="38"/>
      <c r="J679" s="38"/>
      <c r="N679" s="38"/>
      <c r="R679" s="38"/>
      <c r="V679" s="38"/>
      <c r="Z679" s="38"/>
      <c r="AD679" s="38"/>
      <c r="AH679" s="38"/>
      <c r="AL679" s="38"/>
      <c r="AP679" s="38"/>
      <c r="AT679" s="38"/>
      <c r="AX679" s="38"/>
      <c r="BB679" s="38"/>
      <c r="BF679" s="38"/>
      <c r="BJ679" s="38"/>
      <c r="BN679" s="38"/>
      <c r="BR679" s="38"/>
    </row>
    <row r="680" spans="2:70" s="33" customFormat="1" ht="15.75">
      <c r="B680" s="38"/>
      <c r="F680" s="38"/>
      <c r="J680" s="38"/>
      <c r="N680" s="38"/>
      <c r="R680" s="38"/>
      <c r="V680" s="38"/>
      <c r="Z680" s="38"/>
      <c r="AD680" s="38"/>
      <c r="AH680" s="38"/>
      <c r="AL680" s="38"/>
      <c r="AP680" s="38"/>
      <c r="AT680" s="38"/>
      <c r="AX680" s="38"/>
      <c r="BB680" s="38"/>
      <c r="BF680" s="38"/>
      <c r="BJ680" s="38"/>
      <c r="BN680" s="38"/>
      <c r="BR680" s="38"/>
    </row>
    <row r="681" spans="2:70" s="33" customFormat="1" ht="15.75">
      <c r="B681" s="38"/>
      <c r="F681" s="38"/>
      <c r="J681" s="38"/>
      <c r="N681" s="38"/>
      <c r="R681" s="38"/>
      <c r="V681" s="38"/>
      <c r="Z681" s="38"/>
      <c r="AD681" s="38"/>
      <c r="AH681" s="38"/>
      <c r="AL681" s="38"/>
      <c r="AP681" s="38"/>
      <c r="AT681" s="38"/>
      <c r="AX681" s="38"/>
      <c r="BB681" s="38"/>
      <c r="BF681" s="38"/>
      <c r="BJ681" s="38"/>
      <c r="BN681" s="38"/>
      <c r="BR681" s="38"/>
    </row>
    <row r="682" spans="2:70" s="33" customFormat="1" ht="15.75">
      <c r="B682" s="38"/>
      <c r="F682" s="38"/>
      <c r="J682" s="38"/>
      <c r="N682" s="38"/>
      <c r="R682" s="38"/>
      <c r="V682" s="38"/>
      <c r="Z682" s="38"/>
      <c r="AD682" s="38"/>
      <c r="AH682" s="38"/>
      <c r="AL682" s="38"/>
      <c r="AP682" s="38"/>
      <c r="AT682" s="38"/>
      <c r="AX682" s="38"/>
      <c r="BB682" s="38"/>
      <c r="BF682" s="38"/>
      <c r="BJ682" s="38"/>
      <c r="BN682" s="38"/>
      <c r="BR682" s="38"/>
    </row>
    <row r="683" spans="2:70" s="33" customFormat="1" ht="15.75">
      <c r="B683" s="38"/>
      <c r="F683" s="38"/>
      <c r="J683" s="38"/>
      <c r="N683" s="38"/>
      <c r="R683" s="38"/>
      <c r="V683" s="38"/>
      <c r="Z683" s="38"/>
      <c r="AD683" s="38"/>
      <c r="AH683" s="38"/>
      <c r="AL683" s="38"/>
      <c r="AP683" s="38"/>
      <c r="AT683" s="38"/>
      <c r="AX683" s="38"/>
      <c r="BB683" s="38"/>
      <c r="BF683" s="38"/>
      <c r="BJ683" s="38"/>
      <c r="BN683" s="38"/>
      <c r="BR683" s="38"/>
    </row>
    <row r="684" spans="2:70" s="33" customFormat="1" ht="15.75">
      <c r="B684" s="38"/>
      <c r="F684" s="38"/>
      <c r="J684" s="38"/>
      <c r="N684" s="38"/>
      <c r="R684" s="38"/>
      <c r="V684" s="38"/>
      <c r="Z684" s="38"/>
      <c r="AD684" s="38"/>
      <c r="AH684" s="38"/>
      <c r="AL684" s="38"/>
      <c r="AP684" s="38"/>
      <c r="AT684" s="38"/>
      <c r="AX684" s="38"/>
      <c r="BB684" s="38"/>
      <c r="BF684" s="38"/>
      <c r="BJ684" s="38"/>
      <c r="BN684" s="38"/>
      <c r="BR684" s="38"/>
    </row>
    <row r="685" spans="2:70" s="33" customFormat="1" ht="15.75">
      <c r="B685" s="38"/>
      <c r="F685" s="38"/>
      <c r="J685" s="38"/>
      <c r="N685" s="38"/>
      <c r="R685" s="38"/>
      <c r="V685" s="38"/>
      <c r="Z685" s="38"/>
      <c r="AD685" s="38"/>
      <c r="AH685" s="38"/>
      <c r="AL685" s="38"/>
      <c r="AP685" s="38"/>
      <c r="AT685" s="38"/>
      <c r="AX685" s="38"/>
      <c r="BB685" s="38"/>
      <c r="BF685" s="38"/>
      <c r="BJ685" s="38"/>
      <c r="BN685" s="38"/>
      <c r="BR685" s="38"/>
    </row>
    <row r="686" spans="2:70" s="33" customFormat="1" ht="15.75">
      <c r="B686" s="38"/>
      <c r="F686" s="38"/>
      <c r="J686" s="38"/>
      <c r="N686" s="38"/>
      <c r="R686" s="38"/>
      <c r="V686" s="38"/>
      <c r="Z686" s="38"/>
      <c r="AD686" s="38"/>
      <c r="AH686" s="38"/>
      <c r="AL686" s="38"/>
      <c r="AP686" s="38"/>
      <c r="AT686" s="38"/>
      <c r="AX686" s="38"/>
      <c r="BB686" s="38"/>
      <c r="BF686" s="38"/>
      <c r="BJ686" s="38"/>
      <c r="BN686" s="38"/>
      <c r="BR686" s="38"/>
    </row>
    <row r="687" spans="2:70" s="33" customFormat="1" ht="15.75">
      <c r="B687" s="38"/>
      <c r="F687" s="38"/>
      <c r="J687" s="38"/>
      <c r="N687" s="38"/>
      <c r="R687" s="38"/>
      <c r="V687" s="38"/>
      <c r="Z687" s="38"/>
      <c r="AD687" s="38"/>
      <c r="AH687" s="38"/>
      <c r="AL687" s="38"/>
      <c r="AP687" s="38"/>
      <c r="AT687" s="38"/>
      <c r="AX687" s="38"/>
      <c r="BB687" s="38"/>
      <c r="BF687" s="38"/>
      <c r="BJ687" s="38"/>
      <c r="BN687" s="38"/>
      <c r="BR687" s="38"/>
    </row>
    <row r="688" spans="2:70" s="33" customFormat="1" ht="15.75">
      <c r="B688" s="38"/>
      <c r="F688" s="38"/>
      <c r="J688" s="38"/>
      <c r="N688" s="38"/>
      <c r="R688" s="38"/>
      <c r="V688" s="38"/>
      <c r="Z688" s="38"/>
      <c r="AD688" s="38"/>
      <c r="AH688" s="38"/>
      <c r="AL688" s="38"/>
      <c r="AP688" s="38"/>
      <c r="AT688" s="38"/>
      <c r="AX688" s="38"/>
      <c r="BB688" s="38"/>
      <c r="BF688" s="38"/>
      <c r="BJ688" s="38"/>
      <c r="BN688" s="38"/>
      <c r="BR688" s="38"/>
    </row>
    <row r="689" spans="2:70" s="33" customFormat="1" ht="15.75">
      <c r="B689" s="38"/>
      <c r="F689" s="38"/>
      <c r="J689" s="38"/>
      <c r="N689" s="38"/>
      <c r="R689" s="38"/>
      <c r="V689" s="38"/>
      <c r="Z689" s="38"/>
      <c r="AD689" s="38"/>
      <c r="AH689" s="38"/>
      <c r="AL689" s="38"/>
      <c r="AP689" s="38"/>
      <c r="AT689" s="38"/>
      <c r="AX689" s="38"/>
      <c r="BB689" s="38"/>
      <c r="BF689" s="38"/>
      <c r="BJ689" s="38"/>
      <c r="BN689" s="38"/>
      <c r="BR689" s="38"/>
    </row>
    <row r="690" spans="2:70" s="33" customFormat="1" ht="15.75">
      <c r="B690" s="38"/>
      <c r="F690" s="38"/>
      <c r="J690" s="38"/>
      <c r="N690" s="38"/>
      <c r="R690" s="38"/>
      <c r="V690" s="38"/>
      <c r="Z690" s="38"/>
      <c r="AD690" s="38"/>
      <c r="AH690" s="38"/>
      <c r="AL690" s="38"/>
      <c r="AP690" s="38"/>
      <c r="AT690" s="38"/>
      <c r="AX690" s="38"/>
      <c r="BB690" s="38"/>
      <c r="BF690" s="38"/>
      <c r="BJ690" s="38"/>
      <c r="BN690" s="38"/>
      <c r="BR690" s="38"/>
    </row>
    <row r="691" spans="2:70" s="33" customFormat="1" ht="15.75">
      <c r="B691" s="38"/>
      <c r="F691" s="38"/>
      <c r="J691" s="38"/>
      <c r="N691" s="38"/>
      <c r="R691" s="38"/>
      <c r="V691" s="38"/>
      <c r="Z691" s="38"/>
      <c r="AD691" s="38"/>
      <c r="AH691" s="38"/>
      <c r="AL691" s="38"/>
      <c r="AP691" s="38"/>
      <c r="AT691" s="38"/>
      <c r="AX691" s="38"/>
      <c r="BB691" s="38"/>
      <c r="BF691" s="38"/>
      <c r="BJ691" s="38"/>
      <c r="BN691" s="38"/>
      <c r="BR691" s="38"/>
    </row>
    <row r="692" spans="2:70" s="33" customFormat="1" ht="15.75">
      <c r="B692" s="38"/>
      <c r="F692" s="38"/>
      <c r="J692" s="38"/>
      <c r="N692" s="38"/>
      <c r="R692" s="38"/>
      <c r="V692" s="38"/>
      <c r="Z692" s="38"/>
      <c r="AD692" s="38"/>
      <c r="AH692" s="38"/>
      <c r="AL692" s="38"/>
      <c r="AP692" s="38"/>
      <c r="AT692" s="38"/>
      <c r="AX692" s="38"/>
      <c r="BB692" s="38"/>
      <c r="BF692" s="38"/>
      <c r="BJ692" s="38"/>
      <c r="BN692" s="38"/>
      <c r="BR692" s="38"/>
    </row>
    <row r="693" spans="2:70" s="33" customFormat="1" ht="15.75">
      <c r="B693" s="38"/>
      <c r="F693" s="38"/>
      <c r="J693" s="38"/>
      <c r="N693" s="38"/>
      <c r="R693" s="38"/>
      <c r="V693" s="38"/>
      <c r="Z693" s="38"/>
      <c r="AD693" s="38"/>
      <c r="AH693" s="38"/>
      <c r="AL693" s="38"/>
      <c r="AP693" s="38"/>
      <c r="AT693" s="38"/>
      <c r="AX693" s="38"/>
      <c r="BB693" s="38"/>
      <c r="BF693" s="38"/>
      <c r="BJ693" s="38"/>
      <c r="BN693" s="38"/>
      <c r="BR693" s="38"/>
    </row>
    <row r="694" spans="2:70" s="33" customFormat="1" ht="15.75">
      <c r="B694" s="38"/>
      <c r="F694" s="38"/>
      <c r="J694" s="38"/>
      <c r="N694" s="38"/>
      <c r="R694" s="38"/>
      <c r="V694" s="38"/>
      <c r="Z694" s="38"/>
      <c r="AD694" s="38"/>
      <c r="AH694" s="38"/>
      <c r="AL694" s="38"/>
      <c r="AP694" s="38"/>
      <c r="AT694" s="38"/>
      <c r="AX694" s="38"/>
      <c r="BB694" s="38"/>
      <c r="BF694" s="38"/>
      <c r="BJ694" s="38"/>
      <c r="BN694" s="38"/>
      <c r="BR694" s="38"/>
    </row>
    <row r="695" spans="2:70" s="33" customFormat="1" ht="15.75">
      <c r="B695" s="38"/>
      <c r="F695" s="38"/>
      <c r="J695" s="38"/>
      <c r="N695" s="38"/>
      <c r="R695" s="38"/>
      <c r="V695" s="38"/>
      <c r="Z695" s="38"/>
      <c r="AD695" s="38"/>
      <c r="AH695" s="38"/>
      <c r="AL695" s="38"/>
      <c r="AP695" s="38"/>
      <c r="AT695" s="38"/>
      <c r="AX695" s="38"/>
      <c r="BB695" s="38"/>
      <c r="BF695" s="38"/>
      <c r="BJ695" s="38"/>
      <c r="BN695" s="38"/>
      <c r="BR695" s="38"/>
    </row>
    <row r="696" spans="2:70" s="33" customFormat="1" ht="15.75">
      <c r="B696" s="38"/>
      <c r="F696" s="38"/>
      <c r="J696" s="38"/>
      <c r="N696" s="38"/>
      <c r="R696" s="38"/>
      <c r="V696" s="38"/>
      <c r="Z696" s="38"/>
      <c r="AD696" s="38"/>
      <c r="AH696" s="38"/>
      <c r="AL696" s="38"/>
      <c r="AP696" s="38"/>
      <c r="AT696" s="38"/>
      <c r="AX696" s="38"/>
      <c r="BB696" s="38"/>
      <c r="BF696" s="38"/>
      <c r="BJ696" s="38"/>
      <c r="BN696" s="38"/>
      <c r="BR696" s="38"/>
    </row>
    <row r="697" spans="2:70" s="33" customFormat="1" ht="15.75">
      <c r="B697" s="38"/>
      <c r="F697" s="38"/>
      <c r="J697" s="38"/>
      <c r="N697" s="38"/>
      <c r="R697" s="38"/>
      <c r="V697" s="38"/>
      <c r="Z697" s="38"/>
      <c r="AD697" s="38"/>
      <c r="AH697" s="38"/>
      <c r="AL697" s="38"/>
      <c r="AP697" s="38"/>
      <c r="AT697" s="38"/>
      <c r="AX697" s="38"/>
      <c r="BB697" s="38"/>
      <c r="BF697" s="38"/>
      <c r="BJ697" s="38"/>
      <c r="BN697" s="38"/>
      <c r="BR697" s="38"/>
    </row>
    <row r="698" spans="2:70" s="33" customFormat="1" ht="15.75">
      <c r="B698" s="38"/>
      <c r="F698" s="38"/>
      <c r="J698" s="38"/>
      <c r="N698" s="38"/>
      <c r="R698" s="38"/>
      <c r="V698" s="38"/>
      <c r="Z698" s="38"/>
      <c r="AD698" s="38"/>
      <c r="AH698" s="38"/>
      <c r="AL698" s="38"/>
      <c r="AP698" s="38"/>
      <c r="AT698" s="38"/>
      <c r="AX698" s="38"/>
      <c r="BB698" s="38"/>
      <c r="BF698" s="38"/>
      <c r="BJ698" s="38"/>
      <c r="BN698" s="38"/>
      <c r="BR698" s="38"/>
    </row>
    <row r="699" spans="2:70" s="33" customFormat="1" ht="15.75">
      <c r="B699" s="38"/>
      <c r="F699" s="38"/>
      <c r="J699" s="38"/>
      <c r="N699" s="38"/>
      <c r="R699" s="38"/>
      <c r="V699" s="38"/>
      <c r="Z699" s="38"/>
      <c r="AD699" s="38"/>
      <c r="AH699" s="38"/>
      <c r="AL699" s="38"/>
      <c r="AP699" s="38"/>
      <c r="AT699" s="38"/>
      <c r="AX699" s="38"/>
      <c r="BB699" s="38"/>
      <c r="BF699" s="38"/>
      <c r="BJ699" s="38"/>
      <c r="BN699" s="38"/>
      <c r="BR699" s="38"/>
    </row>
    <row r="700" spans="2:70" s="33" customFormat="1" ht="15.75">
      <c r="B700" s="38"/>
      <c r="F700" s="38"/>
      <c r="J700" s="38"/>
      <c r="N700" s="38"/>
      <c r="R700" s="38"/>
      <c r="V700" s="38"/>
      <c r="Z700" s="38"/>
      <c r="AD700" s="38"/>
      <c r="AH700" s="38"/>
      <c r="AL700" s="38"/>
      <c r="AP700" s="38"/>
      <c r="AT700" s="38"/>
      <c r="AX700" s="38"/>
      <c r="BB700" s="38"/>
      <c r="BF700" s="38"/>
      <c r="BJ700" s="38"/>
      <c r="BN700" s="38"/>
      <c r="BR700" s="38"/>
    </row>
    <row r="701" spans="2:70" s="33" customFormat="1" ht="15.75">
      <c r="B701" s="38"/>
      <c r="F701" s="38"/>
      <c r="J701" s="38"/>
      <c r="N701" s="38"/>
      <c r="R701" s="38"/>
      <c r="V701" s="38"/>
      <c r="Z701" s="38"/>
      <c r="AD701" s="38"/>
      <c r="AH701" s="38"/>
      <c r="AL701" s="38"/>
      <c r="AP701" s="38"/>
      <c r="AT701" s="38"/>
      <c r="AX701" s="38"/>
      <c r="BB701" s="38"/>
      <c r="BF701" s="38"/>
      <c r="BJ701" s="38"/>
      <c r="BN701" s="38"/>
      <c r="BR701" s="38"/>
    </row>
    <row r="702" spans="2:70" s="33" customFormat="1" ht="15.75">
      <c r="B702" s="38"/>
      <c r="F702" s="38"/>
      <c r="J702" s="38"/>
      <c r="N702" s="38"/>
      <c r="R702" s="38"/>
      <c r="V702" s="38"/>
      <c r="Z702" s="38"/>
      <c r="AD702" s="38"/>
      <c r="AH702" s="38"/>
      <c r="AL702" s="38"/>
      <c r="AP702" s="38"/>
      <c r="AT702" s="38"/>
      <c r="AX702" s="38"/>
      <c r="BB702" s="38"/>
      <c r="BF702" s="38"/>
      <c r="BJ702" s="38"/>
      <c r="BN702" s="38"/>
      <c r="BR702" s="38"/>
    </row>
    <row r="703" spans="2:70" s="33" customFormat="1" ht="15.75">
      <c r="B703" s="38"/>
      <c r="F703" s="38"/>
      <c r="J703" s="38"/>
      <c r="N703" s="38"/>
      <c r="R703" s="38"/>
      <c r="V703" s="38"/>
      <c r="Z703" s="38"/>
      <c r="AD703" s="38"/>
      <c r="AH703" s="38"/>
      <c r="AL703" s="38"/>
      <c r="AP703" s="38"/>
      <c r="AT703" s="38"/>
      <c r="AX703" s="38"/>
      <c r="BB703" s="38"/>
      <c r="BF703" s="38"/>
      <c r="BJ703" s="38"/>
      <c r="BN703" s="38"/>
      <c r="BR703" s="38"/>
    </row>
    <row r="704" spans="2:70" s="33" customFormat="1" ht="15.75">
      <c r="B704" s="38"/>
      <c r="F704" s="38"/>
      <c r="J704" s="38"/>
      <c r="N704" s="38"/>
      <c r="R704" s="38"/>
      <c r="V704" s="38"/>
      <c r="Z704" s="38"/>
      <c r="AD704" s="38"/>
      <c r="AH704" s="38"/>
      <c r="AL704" s="38"/>
      <c r="AP704" s="38"/>
      <c r="AT704" s="38"/>
      <c r="AX704" s="38"/>
      <c r="BB704" s="38"/>
      <c r="BF704" s="38"/>
      <c r="BJ704" s="38"/>
      <c r="BN704" s="38"/>
      <c r="BR704" s="38"/>
    </row>
    <row r="705" spans="2:70" s="33" customFormat="1" ht="15.75">
      <c r="B705" s="38"/>
      <c r="F705" s="38"/>
      <c r="J705" s="38"/>
      <c r="N705" s="38"/>
      <c r="R705" s="38"/>
      <c r="V705" s="38"/>
      <c r="Z705" s="38"/>
      <c r="AD705" s="38"/>
      <c r="AH705" s="38"/>
      <c r="AL705" s="38"/>
      <c r="AP705" s="38"/>
      <c r="AT705" s="38"/>
      <c r="AX705" s="38"/>
      <c r="BB705" s="38"/>
      <c r="BF705" s="38"/>
      <c r="BJ705" s="38"/>
      <c r="BN705" s="38"/>
      <c r="BR705" s="38"/>
    </row>
    <row r="706" spans="2:70" s="33" customFormat="1" ht="15.75">
      <c r="B706" s="38"/>
      <c r="F706" s="38"/>
      <c r="J706" s="38"/>
      <c r="N706" s="38"/>
      <c r="R706" s="38"/>
      <c r="V706" s="38"/>
      <c r="Z706" s="38"/>
      <c r="AD706" s="38"/>
      <c r="AH706" s="38"/>
      <c r="AL706" s="38"/>
      <c r="AP706" s="38"/>
      <c r="AT706" s="38"/>
      <c r="AX706" s="38"/>
      <c r="BB706" s="38"/>
      <c r="BF706" s="38"/>
      <c r="BJ706" s="38"/>
      <c r="BN706" s="38"/>
      <c r="BR706" s="38"/>
    </row>
    <row r="707" spans="2:70" s="33" customFormat="1" ht="15.75">
      <c r="B707" s="38"/>
      <c r="F707" s="38"/>
      <c r="J707" s="38"/>
      <c r="N707" s="38"/>
      <c r="R707" s="38"/>
      <c r="V707" s="38"/>
      <c r="Z707" s="38"/>
      <c r="AD707" s="38"/>
      <c r="AH707" s="38"/>
      <c r="AL707" s="38"/>
      <c r="AP707" s="38"/>
      <c r="AT707" s="38"/>
      <c r="AX707" s="38"/>
      <c r="BB707" s="38"/>
      <c r="BF707" s="38"/>
      <c r="BJ707" s="38"/>
      <c r="BN707" s="38"/>
      <c r="BR707" s="38"/>
    </row>
    <row r="708" spans="2:70" s="33" customFormat="1" ht="15.75">
      <c r="B708" s="38"/>
      <c r="F708" s="38"/>
      <c r="J708" s="38"/>
      <c r="N708" s="38"/>
      <c r="R708" s="38"/>
      <c r="V708" s="38"/>
      <c r="Z708" s="38"/>
      <c r="AD708" s="38"/>
      <c r="AH708" s="38"/>
      <c r="AL708" s="38"/>
      <c r="AP708" s="38"/>
      <c r="AT708" s="38"/>
      <c r="AX708" s="38"/>
      <c r="BB708" s="38"/>
      <c r="BF708" s="38"/>
      <c r="BJ708" s="38"/>
      <c r="BN708" s="38"/>
      <c r="BR708" s="38"/>
    </row>
    <row r="709" spans="2:70" s="33" customFormat="1" ht="15.75">
      <c r="B709" s="38"/>
      <c r="F709" s="38"/>
      <c r="J709" s="38"/>
      <c r="N709" s="38"/>
      <c r="R709" s="38"/>
      <c r="V709" s="38"/>
      <c r="Z709" s="38"/>
      <c r="AD709" s="38"/>
      <c r="AH709" s="38"/>
      <c r="AL709" s="38"/>
      <c r="AP709" s="38"/>
      <c r="AT709" s="38"/>
      <c r="AX709" s="38"/>
      <c r="BB709" s="38"/>
      <c r="BF709" s="38"/>
      <c r="BJ709" s="38"/>
      <c r="BN709" s="38"/>
      <c r="BR709" s="38"/>
    </row>
    <row r="710" spans="2:70" s="33" customFormat="1" ht="15.75">
      <c r="B710" s="38"/>
      <c r="F710" s="38"/>
      <c r="J710" s="38"/>
      <c r="N710" s="38"/>
      <c r="R710" s="38"/>
      <c r="V710" s="38"/>
      <c r="Z710" s="38"/>
      <c r="AD710" s="38"/>
      <c r="AH710" s="38"/>
      <c r="AL710" s="38"/>
      <c r="AP710" s="38"/>
      <c r="AT710" s="38"/>
      <c r="AX710" s="38"/>
      <c r="BB710" s="38"/>
      <c r="BF710" s="38"/>
      <c r="BJ710" s="38"/>
      <c r="BN710" s="38"/>
      <c r="BR710" s="38"/>
    </row>
    <row r="711" spans="2:70" s="33" customFormat="1" ht="15.75">
      <c r="B711" s="38"/>
      <c r="F711" s="38"/>
      <c r="J711" s="38"/>
      <c r="N711" s="38"/>
      <c r="R711" s="38"/>
      <c r="V711" s="38"/>
      <c r="Z711" s="38"/>
      <c r="AD711" s="38"/>
      <c r="AH711" s="38"/>
      <c r="AL711" s="38"/>
      <c r="AP711" s="38"/>
      <c r="AT711" s="38"/>
      <c r="AX711" s="38"/>
      <c r="BB711" s="38"/>
      <c r="BF711" s="38"/>
      <c r="BJ711" s="38"/>
      <c r="BN711" s="38"/>
      <c r="BR711" s="38"/>
    </row>
    <row r="712" spans="2:70" s="33" customFormat="1" ht="15.75">
      <c r="B712" s="38"/>
      <c r="F712" s="38"/>
      <c r="J712" s="38"/>
      <c r="N712" s="38"/>
      <c r="R712" s="38"/>
      <c r="V712" s="38"/>
      <c r="Z712" s="38"/>
      <c r="AD712" s="38"/>
      <c r="AH712" s="38"/>
      <c r="AL712" s="38"/>
      <c r="AP712" s="38"/>
      <c r="AT712" s="38"/>
      <c r="AX712" s="38"/>
      <c r="BB712" s="38"/>
      <c r="BF712" s="38"/>
      <c r="BJ712" s="38"/>
      <c r="BN712" s="38"/>
      <c r="BR712" s="38"/>
    </row>
    <row r="713" spans="2:70" s="33" customFormat="1" ht="15.75">
      <c r="B713" s="38"/>
      <c r="F713" s="38"/>
      <c r="J713" s="38"/>
      <c r="N713" s="38"/>
      <c r="R713" s="38"/>
      <c r="V713" s="38"/>
      <c r="Z713" s="38"/>
      <c r="AD713" s="38"/>
      <c r="AH713" s="38"/>
      <c r="AL713" s="38"/>
      <c r="AP713" s="38"/>
      <c r="AT713" s="38"/>
      <c r="AX713" s="38"/>
      <c r="BB713" s="38"/>
      <c r="BF713" s="38"/>
      <c r="BJ713" s="38"/>
      <c r="BN713" s="38"/>
      <c r="BR713" s="38"/>
    </row>
    <row r="714" spans="2:70" s="33" customFormat="1" ht="15.75">
      <c r="B714" s="38"/>
      <c r="F714" s="38"/>
      <c r="J714" s="38"/>
      <c r="N714" s="38"/>
      <c r="R714" s="38"/>
      <c r="V714" s="38"/>
      <c r="Z714" s="38"/>
      <c r="AD714" s="38"/>
      <c r="AH714" s="38"/>
      <c r="AL714" s="38"/>
      <c r="AP714" s="38"/>
      <c r="AT714" s="38"/>
      <c r="AX714" s="38"/>
      <c r="BB714" s="38"/>
      <c r="BF714" s="38"/>
      <c r="BJ714" s="38"/>
      <c r="BN714" s="38"/>
      <c r="BR714" s="38"/>
    </row>
    <row r="715" spans="2:70" s="33" customFormat="1" ht="15.75">
      <c r="B715" s="38"/>
      <c r="F715" s="38"/>
      <c r="J715" s="38"/>
      <c r="N715" s="38"/>
      <c r="R715" s="38"/>
      <c r="V715" s="38"/>
      <c r="Z715" s="38"/>
      <c r="AD715" s="38"/>
      <c r="AH715" s="38"/>
      <c r="AL715" s="38"/>
      <c r="AP715" s="38"/>
      <c r="AT715" s="38"/>
      <c r="AX715" s="38"/>
      <c r="BB715" s="38"/>
      <c r="BF715" s="38"/>
      <c r="BJ715" s="38"/>
      <c r="BN715" s="38"/>
      <c r="BR715" s="38"/>
    </row>
    <row r="716" spans="2:70" s="33" customFormat="1" ht="15.75">
      <c r="B716" s="38"/>
      <c r="F716" s="38"/>
      <c r="J716" s="38"/>
      <c r="N716" s="38"/>
      <c r="R716" s="38"/>
      <c r="V716" s="38"/>
      <c r="Z716" s="38"/>
      <c r="AD716" s="38"/>
      <c r="AH716" s="38"/>
      <c r="AL716" s="38"/>
      <c r="AP716" s="38"/>
      <c r="AT716" s="38"/>
      <c r="AX716" s="38"/>
      <c r="BB716" s="38"/>
      <c r="BF716" s="38"/>
      <c r="BJ716" s="38"/>
      <c r="BN716" s="38"/>
      <c r="BR716" s="38"/>
    </row>
    <row r="717" spans="2:70" s="33" customFormat="1" ht="15.75">
      <c r="B717" s="38"/>
      <c r="F717" s="38"/>
      <c r="J717" s="38"/>
      <c r="N717" s="38"/>
      <c r="R717" s="38"/>
      <c r="V717" s="38"/>
      <c r="Z717" s="38"/>
      <c r="AD717" s="38"/>
      <c r="AH717" s="38"/>
      <c r="AL717" s="38"/>
      <c r="AP717" s="38"/>
      <c r="AT717" s="38"/>
      <c r="AX717" s="38"/>
      <c r="BB717" s="38"/>
      <c r="BF717" s="38"/>
      <c r="BJ717" s="38"/>
      <c r="BN717" s="38"/>
      <c r="BR717" s="38"/>
    </row>
    <row r="718" spans="2:70" s="33" customFormat="1" ht="15.75">
      <c r="B718" s="38"/>
      <c r="F718" s="38"/>
      <c r="J718" s="38"/>
      <c r="N718" s="38"/>
      <c r="R718" s="38"/>
      <c r="V718" s="38"/>
      <c r="Z718" s="38"/>
      <c r="AD718" s="38"/>
      <c r="AH718" s="38"/>
      <c r="AL718" s="38"/>
      <c r="AP718" s="38"/>
      <c r="AT718" s="38"/>
      <c r="AX718" s="38"/>
      <c r="BB718" s="38"/>
      <c r="BF718" s="38"/>
      <c r="BJ718" s="38"/>
      <c r="BN718" s="38"/>
      <c r="BR718" s="38"/>
    </row>
    <row r="719" spans="2:70" s="33" customFormat="1" ht="15.75">
      <c r="B719" s="38"/>
      <c r="F719" s="38"/>
      <c r="J719" s="38"/>
      <c r="N719" s="38"/>
      <c r="R719" s="38"/>
      <c r="V719" s="38"/>
      <c r="Z719" s="38"/>
      <c r="AD719" s="38"/>
      <c r="AH719" s="38"/>
      <c r="AL719" s="38"/>
      <c r="AP719" s="38"/>
      <c r="AT719" s="38"/>
      <c r="AX719" s="38"/>
      <c r="BB719" s="38"/>
      <c r="BF719" s="38"/>
      <c r="BJ719" s="38"/>
      <c r="BN719" s="38"/>
      <c r="BR719" s="38"/>
    </row>
    <row r="720" spans="2:70" s="33" customFormat="1" ht="15.75">
      <c r="B720" s="38"/>
      <c r="F720" s="38"/>
      <c r="J720" s="38"/>
      <c r="N720" s="38"/>
      <c r="R720" s="38"/>
      <c r="V720" s="38"/>
      <c r="Z720" s="38"/>
      <c r="AD720" s="38"/>
      <c r="AH720" s="38"/>
      <c r="AL720" s="38"/>
      <c r="AP720" s="38"/>
      <c r="AT720" s="38"/>
      <c r="AX720" s="38"/>
      <c r="BB720" s="38"/>
      <c r="BF720" s="38"/>
      <c r="BJ720" s="38"/>
      <c r="BN720" s="38"/>
      <c r="BR720" s="38"/>
    </row>
    <row r="721" spans="2:70" s="33" customFormat="1" ht="15.75">
      <c r="B721" s="38"/>
      <c r="F721" s="38"/>
      <c r="J721" s="38"/>
      <c r="N721" s="38"/>
      <c r="R721" s="38"/>
      <c r="V721" s="38"/>
      <c r="Z721" s="38"/>
      <c r="AD721" s="38"/>
      <c r="AH721" s="38"/>
      <c r="AL721" s="38"/>
      <c r="AP721" s="38"/>
      <c r="AT721" s="38"/>
      <c r="AX721" s="38"/>
      <c r="BB721" s="38"/>
      <c r="BF721" s="38"/>
      <c r="BJ721" s="38"/>
      <c r="BN721" s="38"/>
      <c r="BR721" s="38"/>
    </row>
    <row r="722" spans="2:70" s="33" customFormat="1" ht="15.75">
      <c r="B722" s="38"/>
      <c r="F722" s="38"/>
      <c r="J722" s="38"/>
      <c r="N722" s="38"/>
      <c r="R722" s="38"/>
      <c r="V722" s="38"/>
      <c r="Z722" s="38"/>
      <c r="AD722" s="38"/>
      <c r="AH722" s="38"/>
      <c r="AL722" s="38"/>
      <c r="AP722" s="38"/>
      <c r="AT722" s="38"/>
      <c r="AX722" s="38"/>
      <c r="BB722" s="38"/>
      <c r="BF722" s="38"/>
      <c r="BJ722" s="38"/>
      <c r="BN722" s="38"/>
      <c r="BR722" s="38"/>
    </row>
    <row r="723" spans="2:70" s="33" customFormat="1" ht="15.75">
      <c r="B723" s="38"/>
      <c r="F723" s="38"/>
      <c r="J723" s="38"/>
      <c r="N723" s="38"/>
      <c r="R723" s="38"/>
      <c r="V723" s="38"/>
      <c r="Z723" s="38"/>
      <c r="AD723" s="38"/>
      <c r="AH723" s="38"/>
      <c r="AL723" s="38"/>
      <c r="AP723" s="38"/>
      <c r="AT723" s="38"/>
      <c r="AX723" s="38"/>
      <c r="BB723" s="38"/>
      <c r="BF723" s="38"/>
      <c r="BJ723" s="38"/>
      <c r="BN723" s="38"/>
      <c r="BR723" s="38"/>
    </row>
    <row r="724" spans="2:70" s="33" customFormat="1" ht="15.75">
      <c r="B724" s="38"/>
      <c r="F724" s="38"/>
      <c r="J724" s="38"/>
      <c r="N724" s="38"/>
      <c r="R724" s="38"/>
      <c r="V724" s="38"/>
      <c r="Z724" s="38"/>
      <c r="AD724" s="38"/>
      <c r="AH724" s="38"/>
      <c r="AL724" s="38"/>
      <c r="AP724" s="38"/>
      <c r="AT724" s="38"/>
      <c r="AX724" s="38"/>
      <c r="BB724" s="38"/>
      <c r="BF724" s="38"/>
      <c r="BJ724" s="38"/>
      <c r="BN724" s="38"/>
      <c r="BR724" s="38"/>
    </row>
    <row r="725" spans="2:70" s="33" customFormat="1" ht="15.75">
      <c r="B725" s="38"/>
      <c r="F725" s="38"/>
      <c r="J725" s="38"/>
      <c r="N725" s="38"/>
      <c r="R725" s="38"/>
      <c r="V725" s="38"/>
      <c r="Z725" s="38"/>
      <c r="AD725" s="38"/>
      <c r="AH725" s="38"/>
      <c r="AL725" s="38"/>
      <c r="AP725" s="38"/>
      <c r="AT725" s="38"/>
      <c r="AX725" s="38"/>
      <c r="BB725" s="38"/>
      <c r="BF725" s="38"/>
      <c r="BJ725" s="38"/>
      <c r="BN725" s="38"/>
      <c r="BR725" s="38"/>
    </row>
    <row r="726" spans="2:70" s="33" customFormat="1" ht="15.75">
      <c r="B726" s="38"/>
      <c r="F726" s="38"/>
      <c r="J726" s="38"/>
      <c r="N726" s="38"/>
      <c r="R726" s="38"/>
      <c r="V726" s="38"/>
      <c r="Z726" s="38"/>
      <c r="AD726" s="38"/>
      <c r="AH726" s="38"/>
      <c r="AL726" s="38"/>
      <c r="AP726" s="38"/>
      <c r="AT726" s="38"/>
      <c r="AX726" s="38"/>
      <c r="BB726" s="38"/>
      <c r="BF726" s="38"/>
      <c r="BJ726" s="38"/>
      <c r="BN726" s="38"/>
      <c r="BR726" s="38"/>
    </row>
    <row r="727" spans="2:70" s="33" customFormat="1" ht="15.75">
      <c r="B727" s="38"/>
      <c r="F727" s="38"/>
      <c r="J727" s="38"/>
      <c r="N727" s="38"/>
      <c r="R727" s="38"/>
      <c r="V727" s="38"/>
      <c r="Z727" s="38"/>
      <c r="AD727" s="38"/>
      <c r="AH727" s="38"/>
      <c r="AL727" s="38"/>
      <c r="AP727" s="38"/>
      <c r="AT727" s="38"/>
      <c r="AX727" s="38"/>
      <c r="BB727" s="38"/>
      <c r="BF727" s="38"/>
      <c r="BJ727" s="38"/>
      <c r="BN727" s="38"/>
      <c r="BR727" s="38"/>
    </row>
    <row r="728" spans="2:70" s="33" customFormat="1" ht="15.75">
      <c r="B728" s="38"/>
      <c r="F728" s="38"/>
      <c r="J728" s="38"/>
      <c r="N728" s="38"/>
      <c r="R728" s="38"/>
      <c r="V728" s="38"/>
      <c r="Z728" s="38"/>
      <c r="AD728" s="38"/>
      <c r="AH728" s="38"/>
      <c r="AL728" s="38"/>
      <c r="AP728" s="38"/>
      <c r="AT728" s="38"/>
      <c r="AX728" s="38"/>
      <c r="BB728" s="38"/>
      <c r="BF728" s="38"/>
      <c r="BJ728" s="38"/>
      <c r="BN728" s="38"/>
      <c r="BR728" s="38"/>
    </row>
    <row r="729" spans="2:70" s="33" customFormat="1" ht="15.75">
      <c r="B729" s="38"/>
      <c r="F729" s="38"/>
      <c r="J729" s="38"/>
      <c r="N729" s="38"/>
      <c r="R729" s="38"/>
      <c r="V729" s="38"/>
      <c r="Z729" s="38"/>
      <c r="AD729" s="38"/>
      <c r="AH729" s="38"/>
      <c r="AL729" s="38"/>
      <c r="AP729" s="38"/>
      <c r="AT729" s="38"/>
      <c r="AX729" s="38"/>
      <c r="BB729" s="38"/>
      <c r="BF729" s="38"/>
      <c r="BJ729" s="38"/>
      <c r="BN729" s="38"/>
      <c r="BR729" s="38"/>
    </row>
    <row r="730" spans="2:70" s="33" customFormat="1" ht="15.75">
      <c r="B730" s="38"/>
      <c r="F730" s="38"/>
      <c r="J730" s="38"/>
      <c r="N730" s="38"/>
      <c r="R730" s="38"/>
      <c r="V730" s="38"/>
      <c r="Z730" s="38"/>
      <c r="AD730" s="38"/>
      <c r="AH730" s="38"/>
      <c r="AL730" s="38"/>
      <c r="AP730" s="38"/>
      <c r="AT730" s="38"/>
      <c r="AX730" s="38"/>
      <c r="BB730" s="38"/>
      <c r="BF730" s="38"/>
      <c r="BJ730" s="38"/>
      <c r="BN730" s="38"/>
      <c r="BR730" s="38"/>
    </row>
    <row r="731" spans="2:70" s="33" customFormat="1" ht="15.75">
      <c r="B731" s="38"/>
      <c r="F731" s="38"/>
      <c r="J731" s="38"/>
      <c r="N731" s="38"/>
      <c r="R731" s="38"/>
      <c r="V731" s="38"/>
      <c r="Z731" s="38"/>
      <c r="AD731" s="38"/>
      <c r="AH731" s="38"/>
      <c r="AL731" s="38"/>
      <c r="AP731" s="38"/>
      <c r="AT731" s="38"/>
      <c r="AX731" s="38"/>
      <c r="BB731" s="38"/>
      <c r="BF731" s="38"/>
      <c r="BJ731" s="38"/>
      <c r="BN731" s="38"/>
      <c r="BR731" s="38"/>
    </row>
    <row r="732" spans="2:70" s="33" customFormat="1" ht="15.75">
      <c r="B732" s="38"/>
      <c r="F732" s="38"/>
      <c r="J732" s="38"/>
      <c r="N732" s="38"/>
      <c r="R732" s="38"/>
      <c r="V732" s="38"/>
      <c r="Z732" s="38"/>
      <c r="AD732" s="38"/>
      <c r="AH732" s="38"/>
      <c r="AL732" s="38"/>
      <c r="AP732" s="38"/>
      <c r="AT732" s="38"/>
      <c r="AX732" s="38"/>
      <c r="BB732" s="38"/>
      <c r="BF732" s="38"/>
      <c r="BJ732" s="38"/>
      <c r="BN732" s="38"/>
      <c r="BR732" s="38"/>
    </row>
    <row r="733" spans="2:70" s="33" customFormat="1" ht="15.75">
      <c r="B733" s="38"/>
      <c r="F733" s="38"/>
      <c r="J733" s="38"/>
      <c r="N733" s="38"/>
      <c r="R733" s="38"/>
      <c r="V733" s="38"/>
      <c r="Z733" s="38"/>
      <c r="AD733" s="38"/>
      <c r="AH733" s="38"/>
      <c r="AL733" s="38"/>
      <c r="AP733" s="38"/>
      <c r="AT733" s="38"/>
      <c r="AX733" s="38"/>
      <c r="BB733" s="38"/>
      <c r="BF733" s="38"/>
      <c r="BJ733" s="38"/>
      <c r="BN733" s="38"/>
      <c r="BR733" s="38"/>
    </row>
    <row r="734" spans="2:70" s="33" customFormat="1" ht="15.75">
      <c r="B734" s="38"/>
      <c r="F734" s="38"/>
      <c r="J734" s="38"/>
      <c r="N734" s="38"/>
      <c r="R734" s="38"/>
      <c r="V734" s="38"/>
      <c r="Z734" s="38"/>
      <c r="AD734" s="38"/>
      <c r="AH734" s="38"/>
      <c r="AL734" s="38"/>
      <c r="AP734" s="38"/>
      <c r="AT734" s="38"/>
      <c r="AX734" s="38"/>
      <c r="BB734" s="38"/>
      <c r="BF734" s="38"/>
      <c r="BJ734" s="38"/>
      <c r="BN734" s="38"/>
      <c r="BR734" s="38"/>
    </row>
    <row r="735" spans="2:70" s="33" customFormat="1" ht="15.75">
      <c r="B735" s="38"/>
      <c r="F735" s="38"/>
      <c r="J735" s="38"/>
      <c r="N735" s="38"/>
      <c r="R735" s="38"/>
      <c r="V735" s="38"/>
      <c r="Z735" s="38"/>
      <c r="AD735" s="38"/>
      <c r="AH735" s="38"/>
      <c r="AL735" s="38"/>
      <c r="AP735" s="38"/>
      <c r="AT735" s="38"/>
      <c r="AX735" s="38"/>
      <c r="BB735" s="38"/>
      <c r="BF735" s="38"/>
      <c r="BJ735" s="38"/>
      <c r="BN735" s="38"/>
      <c r="BR735" s="38"/>
    </row>
    <row r="736" spans="2:70" s="33" customFormat="1" ht="15.75">
      <c r="B736" s="38"/>
      <c r="F736" s="38"/>
      <c r="J736" s="38"/>
      <c r="N736" s="38"/>
      <c r="R736" s="38"/>
      <c r="V736" s="38"/>
      <c r="Z736" s="38"/>
      <c r="AD736" s="38"/>
      <c r="AH736" s="38"/>
      <c r="AL736" s="38"/>
      <c r="AP736" s="38"/>
      <c r="AT736" s="38"/>
      <c r="AX736" s="38"/>
      <c r="BB736" s="38"/>
      <c r="BF736" s="38"/>
      <c r="BJ736" s="38"/>
      <c r="BN736" s="38"/>
      <c r="BR736" s="38"/>
    </row>
    <row r="737" spans="2:70" s="33" customFormat="1" ht="15.75">
      <c r="B737" s="38"/>
      <c r="F737" s="38"/>
      <c r="J737" s="38"/>
      <c r="N737" s="38"/>
      <c r="R737" s="38"/>
      <c r="V737" s="38"/>
      <c r="Z737" s="38"/>
      <c r="AD737" s="38"/>
      <c r="AH737" s="38"/>
      <c r="AL737" s="38"/>
      <c r="AP737" s="38"/>
      <c r="AT737" s="38"/>
      <c r="AX737" s="38"/>
      <c r="BB737" s="38"/>
      <c r="BF737" s="38"/>
      <c r="BJ737" s="38"/>
      <c r="BN737" s="38"/>
      <c r="BR737" s="38"/>
    </row>
    <row r="738" spans="2:70" s="33" customFormat="1" ht="15.75">
      <c r="B738" s="38"/>
      <c r="F738" s="38"/>
      <c r="J738" s="38"/>
      <c r="N738" s="38"/>
      <c r="R738" s="38"/>
      <c r="V738" s="38"/>
      <c r="Z738" s="38"/>
      <c r="AD738" s="38"/>
      <c r="AH738" s="38"/>
      <c r="AL738" s="38"/>
      <c r="AP738" s="38"/>
      <c r="AT738" s="38"/>
      <c r="AX738" s="38"/>
      <c r="BB738" s="38"/>
      <c r="BF738" s="38"/>
      <c r="BJ738" s="38"/>
      <c r="BN738" s="38"/>
      <c r="BR738" s="38"/>
    </row>
    <row r="739" spans="2:70" s="33" customFormat="1" ht="15.75">
      <c r="B739" s="38"/>
      <c r="F739" s="38"/>
      <c r="J739" s="38"/>
      <c r="N739" s="38"/>
      <c r="R739" s="38"/>
      <c r="V739" s="38"/>
      <c r="Z739" s="38"/>
      <c r="AD739" s="38"/>
      <c r="AH739" s="38"/>
      <c r="AL739" s="38"/>
      <c r="AP739" s="38"/>
      <c r="AT739" s="38"/>
      <c r="AX739" s="38"/>
      <c r="BB739" s="38"/>
      <c r="BF739" s="38"/>
      <c r="BJ739" s="38"/>
      <c r="BN739" s="38"/>
      <c r="BR739" s="38"/>
    </row>
    <row r="740" spans="2:70" s="33" customFormat="1" ht="15.75">
      <c r="B740" s="38"/>
      <c r="F740" s="38"/>
      <c r="J740" s="38"/>
      <c r="N740" s="38"/>
      <c r="R740" s="38"/>
      <c r="V740" s="38"/>
      <c r="Z740" s="38"/>
      <c r="AD740" s="38"/>
      <c r="AH740" s="38"/>
      <c r="AL740" s="38"/>
      <c r="AP740" s="38"/>
      <c r="AT740" s="38"/>
      <c r="AX740" s="38"/>
      <c r="BB740" s="38"/>
      <c r="BF740" s="38"/>
      <c r="BJ740" s="38"/>
      <c r="BN740" s="38"/>
      <c r="BR740" s="38"/>
    </row>
    <row r="741" spans="2:70" s="33" customFormat="1" ht="15.75">
      <c r="B741" s="38"/>
      <c r="F741" s="38"/>
      <c r="J741" s="38"/>
      <c r="N741" s="38"/>
      <c r="R741" s="38"/>
      <c r="V741" s="38"/>
      <c r="Z741" s="38"/>
      <c r="AD741" s="38"/>
      <c r="AH741" s="38"/>
      <c r="AL741" s="38"/>
      <c r="AP741" s="38"/>
      <c r="AT741" s="38"/>
      <c r="AX741" s="38"/>
      <c r="BB741" s="38"/>
      <c r="BF741" s="38"/>
      <c r="BJ741" s="38"/>
      <c r="BN741" s="38"/>
      <c r="BR741" s="38"/>
    </row>
    <row r="742" spans="2:70" s="33" customFormat="1" ht="15.75">
      <c r="B742" s="38"/>
      <c r="F742" s="38"/>
      <c r="J742" s="38"/>
      <c r="N742" s="38"/>
      <c r="R742" s="38"/>
      <c r="V742" s="38"/>
      <c r="Z742" s="38"/>
      <c r="AD742" s="38"/>
      <c r="AH742" s="38"/>
      <c r="AL742" s="38"/>
      <c r="AP742" s="38"/>
      <c r="AT742" s="38"/>
      <c r="AX742" s="38"/>
      <c r="BB742" s="38"/>
      <c r="BF742" s="38"/>
      <c r="BJ742" s="38"/>
      <c r="BN742" s="38"/>
      <c r="BR742" s="38"/>
    </row>
    <row r="743" spans="2:70" s="33" customFormat="1" ht="15.75">
      <c r="B743" s="38"/>
      <c r="F743" s="38"/>
      <c r="J743" s="38"/>
      <c r="N743" s="38"/>
      <c r="R743" s="38"/>
      <c r="V743" s="38"/>
      <c r="Z743" s="38"/>
      <c r="AD743" s="38"/>
      <c r="AH743" s="38"/>
      <c r="AL743" s="38"/>
      <c r="AP743" s="38"/>
      <c r="AT743" s="38"/>
      <c r="AX743" s="38"/>
      <c r="BB743" s="38"/>
      <c r="BF743" s="38"/>
      <c r="BJ743" s="38"/>
      <c r="BN743" s="38"/>
      <c r="BR743" s="38"/>
    </row>
    <row r="744" spans="2:70" s="33" customFormat="1" ht="15.75">
      <c r="B744" s="38"/>
      <c r="F744" s="38"/>
      <c r="J744" s="38"/>
      <c r="N744" s="38"/>
      <c r="R744" s="38"/>
      <c r="V744" s="38"/>
      <c r="Z744" s="38"/>
      <c r="AD744" s="38"/>
      <c r="AH744" s="38"/>
      <c r="AL744" s="38"/>
      <c r="AP744" s="38"/>
      <c r="AT744" s="38"/>
      <c r="AX744" s="38"/>
      <c r="BB744" s="38"/>
      <c r="BF744" s="38"/>
      <c r="BJ744" s="38"/>
      <c r="BN744" s="38"/>
      <c r="BR744" s="38"/>
    </row>
    <row r="745" spans="2:70" s="33" customFormat="1" ht="15.75">
      <c r="B745" s="38"/>
      <c r="F745" s="38"/>
      <c r="J745" s="38"/>
      <c r="N745" s="38"/>
      <c r="R745" s="38"/>
      <c r="V745" s="38"/>
      <c r="Z745" s="38"/>
      <c r="AD745" s="38"/>
      <c r="AH745" s="38"/>
      <c r="AL745" s="38"/>
      <c r="AP745" s="38"/>
      <c r="AT745" s="38"/>
      <c r="AX745" s="38"/>
      <c r="BB745" s="38"/>
      <c r="BF745" s="38"/>
      <c r="BJ745" s="38"/>
      <c r="BN745" s="38"/>
      <c r="BR745" s="38"/>
    </row>
    <row r="746" spans="2:70" s="33" customFormat="1" ht="15.75">
      <c r="B746" s="38"/>
      <c r="F746" s="38"/>
      <c r="J746" s="38"/>
      <c r="N746" s="38"/>
      <c r="R746" s="38"/>
      <c r="V746" s="38"/>
      <c r="Z746" s="38"/>
      <c r="AD746" s="38"/>
      <c r="AH746" s="38"/>
      <c r="AL746" s="38"/>
      <c r="AP746" s="38"/>
      <c r="AT746" s="38"/>
      <c r="AX746" s="38"/>
      <c r="BB746" s="38"/>
      <c r="BF746" s="38"/>
      <c r="BJ746" s="38"/>
      <c r="BN746" s="38"/>
      <c r="BR746" s="38"/>
    </row>
    <row r="747" spans="2:70" s="33" customFormat="1" ht="15.75">
      <c r="B747" s="38"/>
      <c r="F747" s="38"/>
      <c r="J747" s="38"/>
      <c r="N747" s="38"/>
      <c r="R747" s="38"/>
      <c r="V747" s="38"/>
      <c r="Z747" s="38"/>
      <c r="AD747" s="38"/>
      <c r="AH747" s="38"/>
      <c r="AL747" s="38"/>
      <c r="AP747" s="38"/>
      <c r="AT747" s="38"/>
      <c r="AX747" s="38"/>
      <c r="BB747" s="38"/>
      <c r="BF747" s="38"/>
      <c r="BJ747" s="38"/>
      <c r="BN747" s="38"/>
      <c r="BR747" s="38"/>
    </row>
    <row r="748" spans="2:70" s="33" customFormat="1" ht="15.75">
      <c r="B748" s="38"/>
      <c r="F748" s="38"/>
      <c r="J748" s="38"/>
      <c r="N748" s="38"/>
      <c r="R748" s="38"/>
      <c r="V748" s="38"/>
      <c r="Z748" s="38"/>
      <c r="AD748" s="38"/>
      <c r="AH748" s="38"/>
      <c r="AL748" s="38"/>
      <c r="AP748" s="38"/>
      <c r="AT748" s="38"/>
      <c r="AX748" s="38"/>
      <c r="BB748" s="38"/>
      <c r="BF748" s="38"/>
      <c r="BJ748" s="38"/>
      <c r="BN748" s="38"/>
      <c r="BR748" s="38"/>
    </row>
    <row r="749" spans="2:70" s="33" customFormat="1" ht="15.75">
      <c r="B749" s="38"/>
      <c r="F749" s="38"/>
      <c r="J749" s="38"/>
      <c r="N749" s="38"/>
      <c r="R749" s="38"/>
      <c r="V749" s="38"/>
      <c r="Z749" s="38"/>
      <c r="AD749" s="38"/>
      <c r="AH749" s="38"/>
      <c r="AL749" s="38"/>
      <c r="AP749" s="38"/>
      <c r="AT749" s="38"/>
      <c r="AX749" s="38"/>
      <c r="BB749" s="38"/>
      <c r="BF749" s="38"/>
      <c r="BJ749" s="38"/>
      <c r="BN749" s="38"/>
      <c r="BR749" s="38"/>
    </row>
    <row r="750" spans="2:70" s="33" customFormat="1" ht="15.75">
      <c r="B750" s="38"/>
      <c r="F750" s="38"/>
      <c r="J750" s="38"/>
      <c r="N750" s="38"/>
      <c r="R750" s="38"/>
      <c r="V750" s="38"/>
      <c r="Z750" s="38"/>
      <c r="AD750" s="38"/>
      <c r="AH750" s="38"/>
      <c r="AL750" s="38"/>
      <c r="AP750" s="38"/>
      <c r="AT750" s="38"/>
      <c r="AX750" s="38"/>
      <c r="BB750" s="38"/>
      <c r="BF750" s="38"/>
      <c r="BJ750" s="38"/>
      <c r="BN750" s="38"/>
      <c r="BR750" s="38"/>
    </row>
    <row r="751" spans="2:70" s="33" customFormat="1" ht="15.75">
      <c r="B751" s="38"/>
      <c r="F751" s="38"/>
      <c r="J751" s="38"/>
      <c r="N751" s="38"/>
      <c r="R751" s="38"/>
      <c r="V751" s="38"/>
      <c r="Z751" s="38"/>
      <c r="AD751" s="38"/>
      <c r="AH751" s="38"/>
      <c r="AL751" s="38"/>
      <c r="AP751" s="38"/>
      <c r="AT751" s="38"/>
      <c r="AX751" s="38"/>
      <c r="BB751" s="38"/>
      <c r="BF751" s="38"/>
      <c r="BJ751" s="38"/>
      <c r="BN751" s="38"/>
      <c r="BR751" s="38"/>
    </row>
    <row r="752" spans="2:70" s="33" customFormat="1" ht="15.75">
      <c r="B752" s="38"/>
      <c r="F752" s="38"/>
      <c r="J752" s="38"/>
      <c r="N752" s="38"/>
      <c r="R752" s="38"/>
      <c r="V752" s="38"/>
      <c r="Z752" s="38"/>
      <c r="AD752" s="38"/>
      <c r="AH752" s="38"/>
      <c r="AL752" s="38"/>
      <c r="AP752" s="38"/>
      <c r="AT752" s="38"/>
      <c r="AX752" s="38"/>
      <c r="BB752" s="38"/>
      <c r="BF752" s="38"/>
      <c r="BJ752" s="38"/>
      <c r="BN752" s="38"/>
      <c r="BR752" s="38"/>
    </row>
    <row r="753" spans="2:70" s="33" customFormat="1" ht="15.75">
      <c r="B753" s="38"/>
      <c r="F753" s="38"/>
      <c r="J753" s="38"/>
      <c r="N753" s="38"/>
      <c r="R753" s="38"/>
      <c r="V753" s="38"/>
      <c r="Z753" s="38"/>
      <c r="AD753" s="38"/>
      <c r="AH753" s="38"/>
      <c r="AL753" s="38"/>
      <c r="AP753" s="38"/>
      <c r="AT753" s="38"/>
      <c r="AX753" s="38"/>
      <c r="BB753" s="38"/>
      <c r="BF753" s="38"/>
      <c r="BJ753" s="38"/>
      <c r="BN753" s="38"/>
      <c r="BR753" s="38"/>
    </row>
    <row r="754" spans="2:70" s="33" customFormat="1" ht="15.75">
      <c r="B754" s="38"/>
      <c r="F754" s="38"/>
      <c r="J754" s="38"/>
      <c r="N754" s="38"/>
      <c r="R754" s="38"/>
      <c r="V754" s="38"/>
      <c r="Z754" s="38"/>
      <c r="AD754" s="38"/>
      <c r="AH754" s="38"/>
      <c r="AL754" s="38"/>
      <c r="AP754" s="38"/>
      <c r="AT754" s="38"/>
      <c r="AX754" s="38"/>
      <c r="BB754" s="38"/>
      <c r="BF754" s="38"/>
      <c r="BJ754" s="38"/>
      <c r="BN754" s="38"/>
      <c r="BR754" s="38"/>
    </row>
    <row r="755" spans="2:70" s="33" customFormat="1" ht="15.75">
      <c r="B755" s="38"/>
      <c r="F755" s="38"/>
      <c r="J755" s="38"/>
      <c r="N755" s="38"/>
      <c r="R755" s="38"/>
      <c r="V755" s="38"/>
      <c r="Z755" s="38"/>
      <c r="AD755" s="38"/>
      <c r="AH755" s="38"/>
      <c r="AL755" s="38"/>
      <c r="AP755" s="38"/>
      <c r="AT755" s="38"/>
      <c r="AX755" s="38"/>
      <c r="BB755" s="38"/>
      <c r="BF755" s="38"/>
      <c r="BJ755" s="38"/>
      <c r="BN755" s="38"/>
      <c r="BR755" s="38"/>
    </row>
    <row r="756" spans="2:70" s="33" customFormat="1" ht="15.75">
      <c r="B756" s="38"/>
      <c r="F756" s="38"/>
      <c r="J756" s="38"/>
      <c r="N756" s="38"/>
      <c r="R756" s="38"/>
      <c r="V756" s="38"/>
      <c r="Z756" s="38"/>
      <c r="AD756" s="38"/>
      <c r="AH756" s="38"/>
      <c r="AL756" s="38"/>
      <c r="AP756" s="38"/>
      <c r="AT756" s="38"/>
      <c r="AX756" s="38"/>
      <c r="BB756" s="38"/>
      <c r="BF756" s="38"/>
      <c r="BJ756" s="38"/>
      <c r="BN756" s="38"/>
      <c r="BR756" s="38"/>
    </row>
    <row r="757" spans="2:70" s="33" customFormat="1" ht="15.75">
      <c r="B757" s="38"/>
      <c r="F757" s="38"/>
      <c r="J757" s="38"/>
      <c r="N757" s="38"/>
      <c r="R757" s="38"/>
      <c r="V757" s="38"/>
      <c r="Z757" s="38"/>
      <c r="AD757" s="38"/>
      <c r="AH757" s="38"/>
      <c r="AL757" s="38"/>
      <c r="AP757" s="38"/>
      <c r="AT757" s="38"/>
      <c r="AX757" s="38"/>
      <c r="BB757" s="38"/>
      <c r="BF757" s="38"/>
      <c r="BJ757" s="38"/>
      <c r="BN757" s="38"/>
      <c r="BR757" s="38"/>
    </row>
    <row r="758" spans="2:70" s="33" customFormat="1" ht="15.75">
      <c r="B758" s="38"/>
      <c r="F758" s="38"/>
      <c r="J758" s="38"/>
      <c r="N758" s="38"/>
      <c r="R758" s="38"/>
      <c r="V758" s="38"/>
      <c r="Z758" s="38"/>
      <c r="AD758" s="38"/>
      <c r="AH758" s="38"/>
      <c r="AL758" s="38"/>
      <c r="AP758" s="38"/>
      <c r="AT758" s="38"/>
      <c r="AX758" s="38"/>
      <c r="BB758" s="38"/>
      <c r="BF758" s="38"/>
      <c r="BJ758" s="38"/>
      <c r="BN758" s="38"/>
      <c r="BR758" s="38"/>
    </row>
    <row r="759" spans="2:70" s="33" customFormat="1" ht="15.75">
      <c r="B759" s="38"/>
      <c r="F759" s="38"/>
      <c r="J759" s="38"/>
      <c r="N759" s="38"/>
      <c r="R759" s="38"/>
      <c r="V759" s="38"/>
      <c r="Z759" s="38"/>
      <c r="AD759" s="38"/>
      <c r="AH759" s="38"/>
      <c r="AL759" s="38"/>
      <c r="AP759" s="38"/>
      <c r="AT759" s="38"/>
      <c r="AX759" s="38"/>
      <c r="BB759" s="38"/>
      <c r="BF759" s="38"/>
      <c r="BJ759" s="38"/>
      <c r="BN759" s="38"/>
      <c r="BR759" s="38"/>
    </row>
    <row r="760" spans="2:70" s="33" customFormat="1" ht="15.75">
      <c r="B760" s="38"/>
      <c r="F760" s="38"/>
      <c r="J760" s="38"/>
      <c r="N760" s="38"/>
      <c r="R760" s="38"/>
      <c r="V760" s="38"/>
      <c r="Z760" s="38"/>
      <c r="AD760" s="38"/>
      <c r="AH760" s="38"/>
      <c r="AL760" s="38"/>
      <c r="AP760" s="38"/>
      <c r="AT760" s="38"/>
      <c r="AX760" s="38"/>
      <c r="BB760" s="38"/>
      <c r="BF760" s="38"/>
      <c r="BJ760" s="38"/>
      <c r="BN760" s="38"/>
      <c r="BR760" s="38"/>
    </row>
    <row r="761" spans="2:70" s="33" customFormat="1" ht="15.75">
      <c r="B761" s="38"/>
      <c r="F761" s="38"/>
      <c r="J761" s="38"/>
      <c r="N761" s="38"/>
      <c r="R761" s="38"/>
      <c r="V761" s="38"/>
      <c r="Z761" s="38"/>
      <c r="AD761" s="38"/>
      <c r="AH761" s="38"/>
      <c r="AL761" s="38"/>
      <c r="AP761" s="38"/>
      <c r="AT761" s="38"/>
      <c r="AX761" s="38"/>
      <c r="BB761" s="38"/>
      <c r="BF761" s="38"/>
      <c r="BJ761" s="38"/>
      <c r="BN761" s="38"/>
      <c r="BR761" s="38"/>
    </row>
    <row r="762" spans="2:70" s="33" customFormat="1" ht="15.75">
      <c r="B762" s="38"/>
      <c r="F762" s="38"/>
      <c r="J762" s="38"/>
      <c r="N762" s="38"/>
      <c r="R762" s="38"/>
      <c r="V762" s="38"/>
      <c r="Z762" s="38"/>
      <c r="AD762" s="38"/>
      <c r="AH762" s="38"/>
      <c r="AL762" s="38"/>
      <c r="AP762" s="38"/>
      <c r="AT762" s="38"/>
      <c r="AX762" s="38"/>
      <c r="BB762" s="38"/>
      <c r="BF762" s="38"/>
      <c r="BJ762" s="38"/>
      <c r="BN762" s="38"/>
      <c r="BR762" s="38"/>
    </row>
    <row r="763" spans="2:70" s="33" customFormat="1" ht="15.75">
      <c r="B763" s="38"/>
      <c r="F763" s="38"/>
      <c r="J763" s="38"/>
      <c r="N763" s="38"/>
      <c r="R763" s="38"/>
      <c r="V763" s="38"/>
      <c r="Z763" s="38"/>
      <c r="AD763" s="38"/>
      <c r="AH763" s="38"/>
      <c r="AL763" s="38"/>
      <c r="AP763" s="38"/>
      <c r="AT763" s="38"/>
      <c r="AX763" s="38"/>
      <c r="BB763" s="38"/>
      <c r="BF763" s="38"/>
      <c r="BJ763" s="38"/>
      <c r="BN763" s="38"/>
      <c r="BR763" s="38"/>
    </row>
    <row r="764" spans="2:70" s="33" customFormat="1" ht="15.75">
      <c r="B764" s="38"/>
      <c r="F764" s="38"/>
      <c r="J764" s="38"/>
      <c r="N764" s="38"/>
      <c r="R764" s="38"/>
      <c r="V764" s="38"/>
      <c r="Z764" s="38"/>
      <c r="AD764" s="38"/>
      <c r="AH764" s="38"/>
      <c r="AL764" s="38"/>
      <c r="AP764" s="38"/>
      <c r="AT764" s="38"/>
      <c r="AX764" s="38"/>
      <c r="BB764" s="38"/>
      <c r="BF764" s="38"/>
      <c r="BJ764" s="38"/>
      <c r="BN764" s="38"/>
      <c r="BR764" s="38"/>
    </row>
    <row r="765" spans="2:70" s="33" customFormat="1" ht="15.75">
      <c r="B765" s="38"/>
      <c r="F765" s="38"/>
      <c r="J765" s="38"/>
      <c r="N765" s="38"/>
      <c r="R765" s="38"/>
      <c r="V765" s="38"/>
      <c r="Z765" s="38"/>
      <c r="AD765" s="38"/>
      <c r="AH765" s="38"/>
      <c r="AL765" s="38"/>
      <c r="AP765" s="38"/>
      <c r="AT765" s="38"/>
      <c r="AX765" s="38"/>
      <c r="BB765" s="38"/>
      <c r="BF765" s="38"/>
      <c r="BJ765" s="38"/>
      <c r="BN765" s="38"/>
      <c r="BR765" s="38"/>
    </row>
    <row r="766" spans="2:70" s="33" customFormat="1" ht="15.75">
      <c r="B766" s="38"/>
      <c r="F766" s="38"/>
      <c r="J766" s="38"/>
      <c r="N766" s="38"/>
      <c r="R766" s="38"/>
      <c r="V766" s="38"/>
      <c r="Z766" s="38"/>
      <c r="AD766" s="38"/>
      <c r="AH766" s="38"/>
      <c r="AL766" s="38"/>
      <c r="AP766" s="38"/>
      <c r="AT766" s="38"/>
      <c r="AX766" s="38"/>
      <c r="BB766" s="38"/>
      <c r="BF766" s="38"/>
      <c r="BJ766" s="38"/>
      <c r="BN766" s="38"/>
      <c r="BR766" s="38"/>
    </row>
    <row r="767" spans="2:70" s="33" customFormat="1" ht="15.75">
      <c r="B767" s="38"/>
      <c r="F767" s="38"/>
      <c r="J767" s="38"/>
      <c r="N767" s="38"/>
      <c r="R767" s="38"/>
      <c r="V767" s="38"/>
      <c r="Z767" s="38"/>
      <c r="AD767" s="38"/>
      <c r="AH767" s="38"/>
      <c r="AL767" s="38"/>
      <c r="AP767" s="38"/>
      <c r="AT767" s="38"/>
      <c r="AX767" s="38"/>
      <c r="BB767" s="38"/>
      <c r="BF767" s="38"/>
      <c r="BJ767" s="38"/>
      <c r="BN767" s="38"/>
      <c r="BR767" s="38"/>
    </row>
    <row r="768" spans="2:70" s="33" customFormat="1" ht="15.75">
      <c r="B768" s="38"/>
      <c r="F768" s="38"/>
      <c r="J768" s="38"/>
      <c r="N768" s="38"/>
      <c r="R768" s="38"/>
      <c r="V768" s="38"/>
      <c r="Z768" s="38"/>
      <c r="AD768" s="38"/>
      <c r="AH768" s="38"/>
      <c r="AL768" s="38"/>
      <c r="AP768" s="38"/>
      <c r="AT768" s="38"/>
      <c r="AX768" s="38"/>
      <c r="BB768" s="38"/>
      <c r="BF768" s="38"/>
      <c r="BJ768" s="38"/>
      <c r="BN768" s="38"/>
      <c r="BR768" s="38"/>
    </row>
    <row r="769" spans="2:70" s="33" customFormat="1" ht="15.75">
      <c r="B769" s="38"/>
      <c r="F769" s="38"/>
      <c r="J769" s="38"/>
      <c r="N769" s="38"/>
      <c r="R769" s="38"/>
      <c r="V769" s="38"/>
      <c r="Z769" s="38"/>
      <c r="AD769" s="38"/>
      <c r="AH769" s="38"/>
      <c r="AL769" s="38"/>
      <c r="AP769" s="38"/>
      <c r="AT769" s="38"/>
      <c r="AX769" s="38"/>
      <c r="BB769" s="38"/>
      <c r="BF769" s="38"/>
      <c r="BJ769" s="38"/>
      <c r="BN769" s="38"/>
      <c r="BR769" s="38"/>
    </row>
    <row r="770" spans="2:70" s="33" customFormat="1" ht="15.75">
      <c r="B770" s="38"/>
      <c r="F770" s="38"/>
      <c r="J770" s="38"/>
      <c r="N770" s="38"/>
      <c r="R770" s="38"/>
      <c r="V770" s="38"/>
      <c r="Z770" s="38"/>
      <c r="AD770" s="38"/>
      <c r="AH770" s="38"/>
      <c r="AL770" s="38"/>
      <c r="AP770" s="38"/>
      <c r="AT770" s="38"/>
      <c r="AX770" s="38"/>
      <c r="BB770" s="38"/>
      <c r="BF770" s="38"/>
      <c r="BJ770" s="38"/>
      <c r="BN770" s="38"/>
      <c r="BR770" s="38"/>
    </row>
    <row r="771" spans="2:70" s="33" customFormat="1" ht="15.75">
      <c r="B771" s="38"/>
      <c r="F771" s="38"/>
      <c r="J771" s="38"/>
      <c r="N771" s="38"/>
      <c r="R771" s="38"/>
      <c r="V771" s="38"/>
      <c r="Z771" s="38"/>
      <c r="AD771" s="38"/>
      <c r="AH771" s="38"/>
      <c r="AL771" s="38"/>
      <c r="AP771" s="38"/>
      <c r="AT771" s="38"/>
      <c r="AX771" s="38"/>
      <c r="BB771" s="38"/>
      <c r="BF771" s="38"/>
      <c r="BJ771" s="38"/>
      <c r="BN771" s="38"/>
      <c r="BR771" s="38"/>
    </row>
    <row r="772" spans="2:70" s="33" customFormat="1" ht="15.75">
      <c r="B772" s="38"/>
      <c r="F772" s="38"/>
      <c r="J772" s="38"/>
      <c r="N772" s="38"/>
      <c r="R772" s="38"/>
      <c r="V772" s="38"/>
      <c r="Z772" s="38"/>
      <c r="AD772" s="38"/>
      <c r="AH772" s="38"/>
      <c r="AL772" s="38"/>
      <c r="AP772" s="38"/>
      <c r="AT772" s="38"/>
      <c r="AX772" s="38"/>
      <c r="BB772" s="38"/>
      <c r="BF772" s="38"/>
      <c r="BJ772" s="38"/>
      <c r="BN772" s="38"/>
      <c r="BR772" s="38"/>
    </row>
    <row r="773" spans="2:70" s="33" customFormat="1" ht="15.75">
      <c r="B773" s="38"/>
      <c r="F773" s="38"/>
      <c r="J773" s="38"/>
      <c r="N773" s="38"/>
      <c r="R773" s="38"/>
      <c r="V773" s="38"/>
      <c r="Z773" s="38"/>
      <c r="AD773" s="38"/>
      <c r="AH773" s="38"/>
      <c r="AL773" s="38"/>
      <c r="AP773" s="38"/>
      <c r="AT773" s="38"/>
      <c r="AX773" s="38"/>
      <c r="BB773" s="38"/>
      <c r="BF773" s="38"/>
      <c r="BJ773" s="38"/>
      <c r="BN773" s="38"/>
      <c r="BR773" s="38"/>
    </row>
    <row r="774" spans="2:70" s="33" customFormat="1" ht="15.75">
      <c r="B774" s="38"/>
      <c r="F774" s="38"/>
      <c r="J774" s="38"/>
      <c r="N774" s="38"/>
      <c r="R774" s="38"/>
      <c r="V774" s="38"/>
      <c r="Z774" s="38"/>
      <c r="AD774" s="38"/>
      <c r="AH774" s="38"/>
      <c r="AL774" s="38"/>
      <c r="AP774" s="38"/>
      <c r="AT774" s="38"/>
      <c r="AX774" s="38"/>
      <c r="BB774" s="38"/>
      <c r="BF774" s="38"/>
      <c r="BJ774" s="38"/>
      <c r="BN774" s="38"/>
      <c r="BR774" s="38"/>
    </row>
    <row r="775" spans="2:70" s="33" customFormat="1" ht="15.75">
      <c r="B775" s="38"/>
      <c r="F775" s="38"/>
      <c r="J775" s="38"/>
      <c r="N775" s="38"/>
      <c r="R775" s="38"/>
      <c r="V775" s="38"/>
      <c r="Z775" s="38"/>
      <c r="AD775" s="38"/>
      <c r="AH775" s="38"/>
      <c r="AL775" s="38"/>
      <c r="AP775" s="38"/>
      <c r="AT775" s="38"/>
      <c r="AX775" s="38"/>
      <c r="BB775" s="38"/>
      <c r="BF775" s="38"/>
      <c r="BJ775" s="38"/>
      <c r="BN775" s="38"/>
      <c r="BR775" s="38"/>
    </row>
    <row r="776" spans="2:70" s="33" customFormat="1" ht="15.75">
      <c r="B776" s="38"/>
      <c r="F776" s="38"/>
      <c r="J776" s="38"/>
      <c r="N776" s="38"/>
      <c r="R776" s="38"/>
      <c r="V776" s="38"/>
      <c r="Z776" s="38"/>
      <c r="AD776" s="38"/>
      <c r="AH776" s="38"/>
      <c r="AL776" s="38"/>
      <c r="AP776" s="38"/>
      <c r="AT776" s="38"/>
      <c r="AX776" s="38"/>
      <c r="BB776" s="38"/>
      <c r="BF776" s="38"/>
      <c r="BJ776" s="38"/>
      <c r="BN776" s="38"/>
      <c r="BR776" s="38"/>
    </row>
    <row r="777" spans="2:70" s="33" customFormat="1" ht="15.75">
      <c r="B777" s="38"/>
      <c r="F777" s="38"/>
      <c r="J777" s="38"/>
      <c r="N777" s="38"/>
      <c r="R777" s="38"/>
      <c r="V777" s="38"/>
      <c r="Z777" s="38"/>
      <c r="AD777" s="38"/>
      <c r="AH777" s="38"/>
      <c r="AL777" s="38"/>
      <c r="AP777" s="38"/>
      <c r="AT777" s="38"/>
      <c r="AX777" s="38"/>
      <c r="BB777" s="38"/>
      <c r="BF777" s="38"/>
      <c r="BJ777" s="38"/>
      <c r="BN777" s="38"/>
      <c r="BR777" s="38"/>
    </row>
    <row r="778" spans="2:70" s="33" customFormat="1" ht="15.75">
      <c r="B778" s="38"/>
      <c r="F778" s="38"/>
      <c r="J778" s="38"/>
      <c r="N778" s="38"/>
      <c r="R778" s="38"/>
      <c r="V778" s="38"/>
      <c r="Z778" s="38"/>
      <c r="AD778" s="38"/>
      <c r="AH778" s="38"/>
      <c r="AL778" s="38"/>
      <c r="AP778" s="38"/>
      <c r="AT778" s="38"/>
      <c r="AX778" s="38"/>
      <c r="BB778" s="38"/>
      <c r="BF778" s="38"/>
      <c r="BJ778" s="38"/>
      <c r="BN778" s="38"/>
      <c r="BR778" s="38"/>
    </row>
    <row r="779" spans="2:70" s="33" customFormat="1" ht="15.75">
      <c r="B779" s="38"/>
      <c r="F779" s="38"/>
      <c r="J779" s="38"/>
      <c r="N779" s="38"/>
      <c r="R779" s="38"/>
      <c r="V779" s="38"/>
      <c r="Z779" s="38"/>
      <c r="AD779" s="38"/>
      <c r="AH779" s="38"/>
      <c r="AL779" s="38"/>
      <c r="AP779" s="38"/>
      <c r="AT779" s="38"/>
      <c r="AX779" s="38"/>
      <c r="BB779" s="38"/>
      <c r="BF779" s="38"/>
      <c r="BJ779" s="38"/>
      <c r="BN779" s="38"/>
      <c r="BR779" s="38"/>
    </row>
    <row r="780" spans="2:70" s="33" customFormat="1" ht="15.75">
      <c r="B780" s="38"/>
      <c r="F780" s="38"/>
      <c r="J780" s="38"/>
      <c r="N780" s="38"/>
      <c r="R780" s="38"/>
      <c r="V780" s="38"/>
      <c r="Z780" s="38"/>
      <c r="AD780" s="38"/>
      <c r="AH780" s="38"/>
      <c r="AL780" s="38"/>
      <c r="AP780" s="38"/>
      <c r="AT780" s="38"/>
      <c r="AX780" s="38"/>
      <c r="BB780" s="38"/>
      <c r="BF780" s="38"/>
      <c r="BJ780" s="38"/>
      <c r="BN780" s="38"/>
      <c r="BR780" s="38"/>
    </row>
    <row r="781" spans="2:70" s="33" customFormat="1" ht="15.75">
      <c r="B781" s="38"/>
      <c r="F781" s="38"/>
      <c r="J781" s="38"/>
      <c r="N781" s="38"/>
      <c r="R781" s="38"/>
      <c r="V781" s="38"/>
      <c r="Z781" s="38"/>
      <c r="AD781" s="38"/>
      <c r="AH781" s="38"/>
      <c r="AL781" s="38"/>
      <c r="AP781" s="38"/>
      <c r="AT781" s="38"/>
      <c r="AX781" s="38"/>
      <c r="BB781" s="38"/>
      <c r="BF781" s="38"/>
      <c r="BJ781" s="38"/>
      <c r="BN781" s="38"/>
      <c r="BR781" s="38"/>
    </row>
    <row r="782" spans="2:70" s="33" customFormat="1" ht="15.75">
      <c r="B782" s="38"/>
      <c r="F782" s="38"/>
      <c r="J782" s="38"/>
      <c r="N782" s="38"/>
      <c r="R782" s="38"/>
      <c r="V782" s="38"/>
      <c r="Z782" s="38"/>
      <c r="AD782" s="38"/>
      <c r="AH782" s="38"/>
      <c r="AL782" s="38"/>
      <c r="AP782" s="38"/>
      <c r="AT782" s="38"/>
      <c r="AX782" s="38"/>
      <c r="BB782" s="38"/>
      <c r="BF782" s="38"/>
      <c r="BJ782" s="38"/>
      <c r="BN782" s="38"/>
      <c r="BR782" s="38"/>
    </row>
    <row r="783" spans="2:70" s="33" customFormat="1" ht="15.75">
      <c r="B783" s="38"/>
      <c r="F783" s="38"/>
      <c r="J783" s="38"/>
      <c r="N783" s="38"/>
      <c r="R783" s="38"/>
      <c r="V783" s="38"/>
      <c r="Z783" s="38"/>
      <c r="AD783" s="38"/>
      <c r="AH783" s="38"/>
      <c r="AL783" s="38"/>
      <c r="AP783" s="38"/>
      <c r="AT783" s="38"/>
      <c r="AX783" s="38"/>
      <c r="BB783" s="38"/>
      <c r="BF783" s="38"/>
      <c r="BJ783" s="38"/>
      <c r="BN783" s="38"/>
      <c r="BR783" s="38"/>
    </row>
    <row r="784" spans="2:70" s="33" customFormat="1" ht="15.75">
      <c r="B784" s="38"/>
      <c r="F784" s="38"/>
      <c r="J784" s="38"/>
      <c r="N784" s="38"/>
      <c r="R784" s="38"/>
      <c r="V784" s="38"/>
      <c r="Z784" s="38"/>
      <c r="AD784" s="38"/>
      <c r="AH784" s="38"/>
      <c r="AL784" s="38"/>
      <c r="AP784" s="38"/>
      <c r="AT784" s="38"/>
      <c r="AX784" s="38"/>
      <c r="BB784" s="38"/>
      <c r="BF784" s="38"/>
      <c r="BJ784" s="38"/>
      <c r="BN784" s="38"/>
      <c r="BR784" s="38"/>
    </row>
    <row r="785" spans="2:70" s="33" customFormat="1" ht="15.75">
      <c r="B785" s="38"/>
      <c r="F785" s="38"/>
      <c r="J785" s="38"/>
      <c r="N785" s="38"/>
      <c r="R785" s="38"/>
      <c r="V785" s="38"/>
      <c r="Z785" s="38"/>
      <c r="AD785" s="38"/>
      <c r="AH785" s="38"/>
      <c r="AL785" s="38"/>
      <c r="AP785" s="38"/>
      <c r="AT785" s="38"/>
      <c r="AX785" s="38"/>
      <c r="BB785" s="38"/>
      <c r="BF785" s="38"/>
      <c r="BJ785" s="38"/>
      <c r="BN785" s="38"/>
      <c r="BR785" s="38"/>
    </row>
    <row r="786" spans="2:70" s="33" customFormat="1" ht="15.75">
      <c r="B786" s="38"/>
      <c r="F786" s="38"/>
      <c r="J786" s="38"/>
      <c r="N786" s="38"/>
      <c r="R786" s="38"/>
      <c r="V786" s="38"/>
      <c r="Z786" s="38"/>
      <c r="AD786" s="38"/>
      <c r="AH786" s="38"/>
      <c r="AL786" s="38"/>
      <c r="AP786" s="38"/>
      <c r="AT786" s="38"/>
      <c r="AX786" s="38"/>
      <c r="BB786" s="38"/>
      <c r="BF786" s="38"/>
      <c r="BJ786" s="38"/>
      <c r="BN786" s="38"/>
      <c r="BR786" s="38"/>
    </row>
    <row r="787" spans="2:70" s="33" customFormat="1" ht="15.75">
      <c r="B787" s="38"/>
      <c r="F787" s="38"/>
      <c r="J787" s="38"/>
      <c r="N787" s="38"/>
      <c r="R787" s="38"/>
      <c r="V787" s="38"/>
      <c r="Z787" s="38"/>
      <c r="AD787" s="38"/>
      <c r="AH787" s="38"/>
      <c r="AL787" s="38"/>
      <c r="AP787" s="38"/>
      <c r="AT787" s="38"/>
      <c r="AX787" s="38"/>
      <c r="BB787" s="38"/>
      <c r="BF787" s="38"/>
      <c r="BJ787" s="38"/>
      <c r="BN787" s="38"/>
      <c r="BR787" s="38"/>
    </row>
    <row r="788" spans="2:70" s="33" customFormat="1" ht="15.75">
      <c r="B788" s="38"/>
      <c r="F788" s="38"/>
      <c r="J788" s="38"/>
      <c r="N788" s="38"/>
      <c r="R788" s="38"/>
      <c r="V788" s="38"/>
      <c r="Z788" s="38"/>
      <c r="AD788" s="38"/>
      <c r="AH788" s="38"/>
      <c r="AL788" s="38"/>
      <c r="AP788" s="38"/>
      <c r="AT788" s="38"/>
      <c r="AX788" s="38"/>
      <c r="BB788" s="38"/>
      <c r="BF788" s="38"/>
      <c r="BJ788" s="38"/>
      <c r="BN788" s="38"/>
      <c r="BR788" s="38"/>
    </row>
    <row r="789" spans="2:70" s="33" customFormat="1" ht="15.75">
      <c r="B789" s="38"/>
      <c r="F789" s="38"/>
      <c r="J789" s="38"/>
      <c r="N789" s="38"/>
      <c r="R789" s="38"/>
      <c r="V789" s="38"/>
      <c r="Z789" s="38"/>
      <c r="AD789" s="38"/>
      <c r="AH789" s="38"/>
      <c r="AL789" s="38"/>
      <c r="AP789" s="38"/>
      <c r="AT789" s="38"/>
      <c r="AX789" s="38"/>
      <c r="BB789" s="38"/>
      <c r="BF789" s="38"/>
      <c r="BJ789" s="38"/>
      <c r="BN789" s="38"/>
      <c r="BR789" s="38"/>
    </row>
    <row r="790" spans="2:70" s="33" customFormat="1" ht="15.75">
      <c r="B790" s="38"/>
      <c r="F790" s="38"/>
      <c r="J790" s="38"/>
      <c r="N790" s="38"/>
      <c r="R790" s="38"/>
      <c r="V790" s="38"/>
      <c r="Z790" s="38"/>
      <c r="AD790" s="38"/>
      <c r="AH790" s="38"/>
      <c r="AL790" s="38"/>
      <c r="AP790" s="38"/>
      <c r="AT790" s="38"/>
      <c r="AX790" s="38"/>
      <c r="BB790" s="38"/>
      <c r="BF790" s="38"/>
      <c r="BJ790" s="38"/>
      <c r="BN790" s="38"/>
      <c r="BR790" s="38"/>
    </row>
    <row r="791" spans="2:70" s="33" customFormat="1" ht="15.75">
      <c r="B791" s="38"/>
      <c r="F791" s="38"/>
      <c r="J791" s="38"/>
      <c r="N791" s="38"/>
      <c r="R791" s="38"/>
      <c r="V791" s="38"/>
      <c r="Z791" s="38"/>
      <c r="AD791" s="38"/>
      <c r="AH791" s="38"/>
      <c r="AL791" s="38"/>
      <c r="AP791" s="38"/>
      <c r="AT791" s="38"/>
      <c r="AX791" s="38"/>
      <c r="BB791" s="38"/>
      <c r="BF791" s="38"/>
      <c r="BJ791" s="38"/>
      <c r="BN791" s="38"/>
      <c r="BR791" s="38"/>
    </row>
    <row r="792" spans="2:70" s="33" customFormat="1" ht="15.75">
      <c r="B792" s="38"/>
      <c r="F792" s="38"/>
      <c r="J792" s="38"/>
      <c r="N792" s="38"/>
      <c r="R792" s="38"/>
      <c r="V792" s="38"/>
      <c r="Z792" s="38"/>
      <c r="AD792" s="38"/>
      <c r="AH792" s="38"/>
      <c r="AL792" s="38"/>
      <c r="AP792" s="38"/>
      <c r="AT792" s="38"/>
      <c r="AX792" s="38"/>
      <c r="BB792" s="38"/>
      <c r="BF792" s="38"/>
      <c r="BJ792" s="38"/>
      <c r="BN792" s="38"/>
      <c r="BR792" s="38"/>
    </row>
    <row r="793" spans="2:70" s="33" customFormat="1" ht="15.75">
      <c r="B793" s="38"/>
      <c r="F793" s="38"/>
      <c r="J793" s="38"/>
      <c r="N793" s="38"/>
      <c r="R793" s="38"/>
      <c r="V793" s="38"/>
      <c r="Z793" s="38"/>
      <c r="AD793" s="38"/>
      <c r="AH793" s="38"/>
      <c r="AL793" s="38"/>
      <c r="AP793" s="38"/>
      <c r="AT793" s="38"/>
      <c r="AX793" s="38"/>
      <c r="BB793" s="38"/>
      <c r="BF793" s="38"/>
      <c r="BJ793" s="38"/>
      <c r="BN793" s="38"/>
      <c r="BR793" s="38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M2:M11 Q2:Q11 U2:U11 Y2:Y11 AC2:AC11 AG2:AG11 AK2:AK11 AO2:AO11 AS2:AS11 AW2:AW11 BA2:BA11 BE2:BE11 BI2:BI11 A2:A19 I2:I19 E2:E19 E21:E1048576 BQ2:BQ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62</vt:i4>
      </vt:variant>
    </vt:vector>
  </HeadingPairs>
  <TitlesOfParts>
    <vt:vector size="70" baseType="lpstr">
      <vt:lpstr>Table</vt:lpstr>
      <vt:lpstr>Settings</vt:lpstr>
      <vt:lpstr>MaterialsTranslate</vt:lpstr>
      <vt:lpstr>MaterialsTypes</vt:lpstr>
      <vt:lpstr>Colors</vt:lpstr>
      <vt:lpstr>Категории</vt:lpstr>
      <vt:lpstr>1C</vt:lpstr>
      <vt:lpstr>Manufactures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2022-01-24T15:11:23Z</dcterms:modified>
</cp:coreProperties>
</file>