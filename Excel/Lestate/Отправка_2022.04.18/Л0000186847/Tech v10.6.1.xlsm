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Lestate\Отправка_2022.04.19\Л0000186847\"/>
    </mc:Choice>
  </mc:AlternateContent>
  <xr:revisionPtr revIDLastSave="0" documentId="13_ncr:1_{84645B56-1A79-47DB-B662-D6CED1BAA70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3" i="1"/>
  <c r="BC6" i="1"/>
  <c r="AZ6" i="1"/>
  <c r="AZ5" i="1"/>
  <c r="AY6" i="1"/>
  <c r="AY5" i="1"/>
  <c r="AY4" i="1"/>
  <c r="AY3" i="1"/>
  <c r="AX6" i="1"/>
  <c r="AX5" i="1"/>
  <c r="AX4" i="1"/>
  <c r="AX3" i="1"/>
  <c r="AT6" i="1"/>
  <c r="BA6" i="1" s="1"/>
  <c r="AT5" i="1"/>
  <c r="BC5" i="1" s="1"/>
  <c r="AT4" i="1"/>
  <c r="BA4" i="1" s="1"/>
  <c r="AT3" i="1"/>
  <c r="BA3" i="1" s="1"/>
  <c r="E6" i="1"/>
  <c r="E5" i="1"/>
  <c r="E4" i="1"/>
  <c r="E3" i="1"/>
  <c r="A6" i="1"/>
  <c r="A5" i="1"/>
  <c r="A4" i="1"/>
  <c r="A3" i="1"/>
  <c r="BE2" i="1"/>
  <c r="BD2" i="1"/>
  <c r="AW3" i="1"/>
  <c r="AW6" i="1"/>
  <c r="AV5" i="1"/>
  <c r="AV3" i="1"/>
  <c r="AW4" i="1"/>
  <c r="AW5" i="1"/>
  <c r="AV6" i="1"/>
  <c r="AV4" i="1"/>
  <c r="BA5" i="1" l="1"/>
  <c r="AZ3" i="1"/>
  <c r="BC3" i="1"/>
  <c r="AZ4" i="1"/>
  <c r="BC4" i="1"/>
  <c r="D37" i="4"/>
  <c r="D36" i="4"/>
  <c r="D35" i="4"/>
  <c r="D34" i="4"/>
  <c r="D33" i="4"/>
  <c r="D32" i="4"/>
  <c r="D31" i="4"/>
  <c r="D38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W9218" i="8"/>
  <c r="V9218" i="8" s="1"/>
  <c r="W9219" i="8"/>
  <c r="W9220" i="8"/>
  <c r="W9221" i="8"/>
  <c r="W9222" i="8"/>
  <c r="W9223" i="8"/>
  <c r="W9224" i="8"/>
  <c r="V9224" i="8" s="1"/>
  <c r="W9225" i="8"/>
  <c r="W9226" i="8"/>
  <c r="V9226" i="8" s="1"/>
  <c r="W9227" i="8"/>
  <c r="W9228" i="8"/>
  <c r="W9229" i="8"/>
  <c r="W9230" i="8"/>
  <c r="W9231" i="8"/>
  <c r="W9232" i="8"/>
  <c r="V9232" i="8" s="1"/>
  <c r="W9233" i="8"/>
  <c r="W9234" i="8"/>
  <c r="V9234" i="8" s="1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V9250" i="8" s="1"/>
  <c r="W9251" i="8"/>
  <c r="W9252" i="8"/>
  <c r="W9253" i="8"/>
  <c r="W9254" i="8"/>
  <c r="W9255" i="8"/>
  <c r="W9256" i="8"/>
  <c r="V9256" i="8" s="1"/>
  <c r="W9257" i="8"/>
  <c r="W9258" i="8"/>
  <c r="V9258" i="8" s="1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V9266" i="8" s="1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V9306" i="8" s="1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V9322" i="8" s="1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V9338" i="8" s="1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V9354" i="8" s="1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V9386" i="8" s="1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V9394" i="8" s="1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V9402" i="8" s="1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V9418" i="8" s="1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V9442" i="8" s="1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V9458" i="8" s="1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V9474" i="8" s="1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V9490" i="8" s="1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V9498" i="8" s="1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V9546" i="8" s="1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V9562" i="8" s="1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V9578" i="8" s="1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V9634" i="8" s="1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V9642" i="8" s="1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V9650" i="8" s="1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V9658" i="8" s="1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V9674" i="8" s="1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V9690" i="8" s="1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V9714" i="8" s="1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V9730" i="8" s="1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V9738" i="8" s="1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V9746" i="8" s="1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V9754" i="8" s="1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V9762" i="8" s="1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V9771" i="8" s="1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V9810" i="8" s="1"/>
  <c r="W9811" i="8"/>
  <c r="V9811" i="8" s="1"/>
  <c r="W9812" i="8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V9826" i="8" s="1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V9834" i="8" s="1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V9850" i="8" s="1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V9866" i="8" s="1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V9874" i="8" s="1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V9890" i="8" s="1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V9906" i="8" s="1"/>
  <c r="W9907" i="8"/>
  <c r="V9907" i="8" s="1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W9922" i="8"/>
  <c r="V9922" i="8" s="1"/>
  <c r="W9923" i="8"/>
  <c r="V9923" i="8" s="1"/>
  <c r="W9924" i="8"/>
  <c r="W9925" i="8"/>
  <c r="V9925" i="8" s="1"/>
  <c r="W9926" i="8"/>
  <c r="W9927" i="8"/>
  <c r="V9927" i="8" s="1"/>
  <c r="W9928" i="8"/>
  <c r="V9928" i="8" s="1"/>
  <c r="W9929" i="8"/>
  <c r="W9930" i="8"/>
  <c r="V9930" i="8" s="1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W9941" i="8"/>
  <c r="V9941" i="8" s="1"/>
  <c r="W9942" i="8"/>
  <c r="W9943" i="8"/>
  <c r="W9944" i="8"/>
  <c r="V9944" i="8" s="1"/>
  <c r="W9945" i="8"/>
  <c r="W9946" i="8"/>
  <c r="V9946" i="8" s="1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V9954" i="8" s="1"/>
  <c r="W9955" i="8"/>
  <c r="V9955" i="8" s="1"/>
  <c r="W9956" i="8"/>
  <c r="W9957" i="8"/>
  <c r="V9957" i="8" s="1"/>
  <c r="W9958" i="8"/>
  <c r="W9959" i="8"/>
  <c r="V9959" i="8" s="1"/>
  <c r="W9960" i="8"/>
  <c r="V9960" i="8" s="1"/>
  <c r="W9961" i="8"/>
  <c r="W9962" i="8"/>
  <c r="V9962" i="8" s="1"/>
  <c r="W9963" i="8"/>
  <c r="V9963" i="8" s="1"/>
  <c r="W9964" i="8"/>
  <c r="W9965" i="8"/>
  <c r="V9965" i="8" s="1"/>
  <c r="W9966" i="8"/>
  <c r="W9967" i="8"/>
  <c r="W9968" i="8"/>
  <c r="V9968" i="8" s="1"/>
  <c r="W9969" i="8"/>
  <c r="W9970" i="8"/>
  <c r="V9970" i="8" s="1"/>
  <c r="W9971" i="8"/>
  <c r="V9971" i="8" s="1"/>
  <c r="W9972" i="8"/>
  <c r="W9973" i="8"/>
  <c r="V9973" i="8" s="1"/>
  <c r="W9974" i="8"/>
  <c r="W9975" i="8"/>
  <c r="V9975" i="8" s="1"/>
  <c r="W9976" i="8"/>
  <c r="V9976" i="8" s="1"/>
  <c r="W9977" i="8"/>
  <c r="W9978" i="8"/>
  <c r="V9978" i="8" s="1"/>
  <c r="W9979" i="8"/>
  <c r="V9979" i="8" s="1"/>
  <c r="W9980" i="8"/>
  <c r="W9981" i="8"/>
  <c r="V9981" i="8" s="1"/>
  <c r="W9982" i="8"/>
  <c r="W9983" i="8"/>
  <c r="W9984" i="8"/>
  <c r="V9984" i="8" s="1"/>
  <c r="W9985" i="8"/>
  <c r="W9986" i="8"/>
  <c r="V9986" i="8" s="1"/>
  <c r="W9987" i="8"/>
  <c r="V9987" i="8" s="1"/>
  <c r="W9988" i="8"/>
  <c r="W9989" i="8"/>
  <c r="V9989" i="8" s="1"/>
  <c r="W9990" i="8"/>
  <c r="W9991" i="8"/>
  <c r="W9992" i="8"/>
  <c r="V9992" i="8" s="1"/>
  <c r="W9993" i="8"/>
  <c r="W9994" i="8"/>
  <c r="W9995" i="8"/>
  <c r="V9995" i="8" s="1"/>
  <c r="W9996" i="8"/>
  <c r="W9997" i="8"/>
  <c r="V9997" i="8" s="1"/>
  <c r="W9998" i="8"/>
  <c r="W9999" i="8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9" i="8"/>
  <c r="V9260" i="8"/>
  <c r="V9262" i="8"/>
  <c r="V9265" i="8"/>
  <c r="V9268" i="8"/>
  <c r="V9270" i="8"/>
  <c r="V9273" i="8"/>
  <c r="V9275" i="8"/>
  <c r="V9276" i="8"/>
  <c r="V9278" i="8"/>
  <c r="V9281" i="8"/>
  <c r="V9284" i="8"/>
  <c r="V9286" i="8"/>
  <c r="V9289" i="8"/>
  <c r="V9291" i="8"/>
  <c r="V9292" i="8"/>
  <c r="V9294" i="8"/>
  <c r="V9297" i="8"/>
  <c r="V9298" i="8"/>
  <c r="V9300" i="8"/>
  <c r="V9302" i="8"/>
  <c r="V9305" i="8"/>
  <c r="V9307" i="8"/>
  <c r="V9308" i="8"/>
  <c r="V9310" i="8"/>
  <c r="V9313" i="8"/>
  <c r="V9316" i="8"/>
  <c r="V9318" i="8"/>
  <c r="V9321" i="8"/>
  <c r="V9323" i="8"/>
  <c r="V9324" i="8"/>
  <c r="V9326" i="8"/>
  <c r="V9329" i="8"/>
  <c r="V9332" i="8"/>
  <c r="V9334" i="8"/>
  <c r="V9337" i="8"/>
  <c r="V9339" i="8"/>
  <c r="V9340" i="8"/>
  <c r="V9342" i="8"/>
  <c r="V9345" i="8"/>
  <c r="V9348" i="8"/>
  <c r="V9350" i="8"/>
  <c r="V9353" i="8"/>
  <c r="V9355" i="8"/>
  <c r="V9356" i="8"/>
  <c r="V9358" i="8"/>
  <c r="V9361" i="8"/>
  <c r="V9364" i="8"/>
  <c r="V9366" i="8"/>
  <c r="V9369" i="8"/>
  <c r="V9370" i="8"/>
  <c r="V9371" i="8"/>
  <c r="V9372" i="8"/>
  <c r="V9374" i="8"/>
  <c r="V9377" i="8"/>
  <c r="V9380" i="8"/>
  <c r="V9382" i="8"/>
  <c r="V9385" i="8"/>
  <c r="V9387" i="8"/>
  <c r="V9388" i="8"/>
  <c r="V9390" i="8"/>
  <c r="V9393" i="8"/>
  <c r="V9396" i="8"/>
  <c r="V9398" i="8"/>
  <c r="V9401" i="8"/>
  <c r="V9403" i="8"/>
  <c r="V9404" i="8"/>
  <c r="V9406" i="8"/>
  <c r="V9409" i="8"/>
  <c r="V9412" i="8"/>
  <c r="V9414" i="8"/>
  <c r="V9417" i="8"/>
  <c r="V9419" i="8"/>
  <c r="V9420" i="8"/>
  <c r="V9422" i="8"/>
  <c r="V9425" i="8"/>
  <c r="V9426" i="8"/>
  <c r="V9428" i="8"/>
  <c r="V9430" i="8"/>
  <c r="V9433" i="8"/>
  <c r="V9435" i="8"/>
  <c r="V9436" i="8"/>
  <c r="V9438" i="8"/>
  <c r="V9441" i="8"/>
  <c r="V9444" i="8"/>
  <c r="V9446" i="8"/>
  <c r="V9449" i="8"/>
  <c r="V9451" i="8"/>
  <c r="V9452" i="8"/>
  <c r="V9454" i="8"/>
  <c r="V9457" i="8"/>
  <c r="V9460" i="8"/>
  <c r="V9462" i="8"/>
  <c r="V9465" i="8"/>
  <c r="V9467" i="8"/>
  <c r="V9468" i="8"/>
  <c r="V9470" i="8"/>
  <c r="V9473" i="8"/>
  <c r="V9476" i="8"/>
  <c r="V9478" i="8"/>
  <c r="V9481" i="8"/>
  <c r="V9484" i="8"/>
  <c r="V9486" i="8"/>
  <c r="V9489" i="8"/>
  <c r="V9492" i="8"/>
  <c r="V9494" i="8"/>
  <c r="V9497" i="8"/>
  <c r="V9499" i="8"/>
  <c r="V9500" i="8"/>
  <c r="V9502" i="8"/>
  <c r="V9505" i="8"/>
  <c r="V9508" i="8"/>
  <c r="V9510" i="8"/>
  <c r="V9513" i="8"/>
  <c r="V9514" i="8"/>
  <c r="V9515" i="8"/>
  <c r="V9516" i="8"/>
  <c r="V9518" i="8"/>
  <c r="V9521" i="8"/>
  <c r="V9524" i="8"/>
  <c r="V9526" i="8"/>
  <c r="V9529" i="8"/>
  <c r="V9532" i="8"/>
  <c r="V9534" i="8"/>
  <c r="V9537" i="8"/>
  <c r="V9540" i="8"/>
  <c r="V9542" i="8"/>
  <c r="V9545" i="8"/>
  <c r="V9547" i="8"/>
  <c r="V9548" i="8"/>
  <c r="V9550" i="8"/>
  <c r="V9553" i="8"/>
  <c r="V9556" i="8"/>
  <c r="V9558" i="8"/>
  <c r="V9561" i="8"/>
  <c r="V9563" i="8"/>
  <c r="V9564" i="8"/>
  <c r="V9566" i="8"/>
  <c r="V9569" i="8"/>
  <c r="V9572" i="8"/>
  <c r="V9574" i="8"/>
  <c r="V9577" i="8"/>
  <c r="V9580" i="8"/>
  <c r="V9582" i="8"/>
  <c r="V9585" i="8"/>
  <c r="V9588" i="8"/>
  <c r="V9590" i="8"/>
  <c r="V9593" i="8"/>
  <c r="V9595" i="8"/>
  <c r="V9596" i="8"/>
  <c r="V9598" i="8"/>
  <c r="V9601" i="8"/>
  <c r="V9602" i="8"/>
  <c r="V9604" i="8"/>
  <c r="V9606" i="8"/>
  <c r="V9609" i="8"/>
  <c r="V9612" i="8"/>
  <c r="V9614" i="8"/>
  <c r="V9617" i="8"/>
  <c r="V9618" i="8"/>
  <c r="V9620" i="8"/>
  <c r="V9622" i="8"/>
  <c r="V9625" i="8"/>
  <c r="V9627" i="8"/>
  <c r="V9628" i="8"/>
  <c r="V9630" i="8"/>
  <c r="V9633" i="8"/>
  <c r="V9636" i="8"/>
  <c r="V9638" i="8"/>
  <c r="V9641" i="8"/>
  <c r="V9643" i="8"/>
  <c r="V9644" i="8"/>
  <c r="V9646" i="8"/>
  <c r="V9649" i="8"/>
  <c r="V9652" i="8"/>
  <c r="V9654" i="8"/>
  <c r="V9657" i="8"/>
  <c r="V9660" i="8"/>
  <c r="V9662" i="8"/>
  <c r="V9665" i="8"/>
  <c r="V9668" i="8"/>
  <c r="V9670" i="8"/>
  <c r="V9673" i="8"/>
  <c r="V9675" i="8"/>
  <c r="V9676" i="8"/>
  <c r="V9678" i="8"/>
  <c r="V9681" i="8"/>
  <c r="V9684" i="8"/>
  <c r="V9686" i="8"/>
  <c r="V9689" i="8"/>
  <c r="V9691" i="8"/>
  <c r="V9692" i="8"/>
  <c r="V9694" i="8"/>
  <c r="V9697" i="8"/>
  <c r="V9700" i="8"/>
  <c r="V9702" i="8"/>
  <c r="V9705" i="8"/>
  <c r="V9706" i="8"/>
  <c r="V9708" i="8"/>
  <c r="V9710" i="8"/>
  <c r="V9713" i="8"/>
  <c r="V9716" i="8"/>
  <c r="V9718" i="8"/>
  <c r="V9721" i="8"/>
  <c r="V9722" i="8"/>
  <c r="V9723" i="8"/>
  <c r="V9724" i="8"/>
  <c r="V9726" i="8"/>
  <c r="V9729" i="8"/>
  <c r="V9732" i="8"/>
  <c r="V9734" i="8"/>
  <c r="V9737" i="8"/>
  <c r="V9740" i="8"/>
  <c r="V9742" i="8"/>
  <c r="V9745" i="8"/>
  <c r="V9748" i="8"/>
  <c r="V9749" i="8"/>
  <c r="V9750" i="8"/>
  <c r="V9753" i="8"/>
  <c r="V9755" i="8"/>
  <c r="V9756" i="8"/>
  <c r="V9758" i="8"/>
  <c r="V9761" i="8"/>
  <c r="V9764" i="8"/>
  <c r="V9766" i="8"/>
  <c r="V9769" i="8"/>
  <c r="V9772" i="8"/>
  <c r="V9774" i="8"/>
  <c r="V9777" i="8"/>
  <c r="V9778" i="8"/>
  <c r="V9780" i="8"/>
  <c r="V9782" i="8"/>
  <c r="V9785" i="8"/>
  <c r="V9788" i="8"/>
  <c r="V9790" i="8"/>
  <c r="V9793" i="8"/>
  <c r="V9794" i="8"/>
  <c r="V9796" i="8"/>
  <c r="V9798" i="8"/>
  <c r="V9801" i="8"/>
  <c r="V9803" i="8"/>
  <c r="V9804" i="8"/>
  <c r="V9806" i="8"/>
  <c r="V9809" i="8"/>
  <c r="V9812" i="8"/>
  <c r="V9814" i="8"/>
  <c r="V9817" i="8"/>
  <c r="V9820" i="8"/>
  <c r="V9822" i="8"/>
  <c r="V9825" i="8"/>
  <c r="V9828" i="8"/>
  <c r="V9830" i="8"/>
  <c r="V9833" i="8"/>
  <c r="V9836" i="8"/>
  <c r="V9838" i="8"/>
  <c r="V9841" i="8"/>
  <c r="V9844" i="8"/>
  <c r="V9846" i="8"/>
  <c r="V9849" i="8"/>
  <c r="V9852" i="8"/>
  <c r="V9854" i="8"/>
  <c r="V9857" i="8"/>
  <c r="V9860" i="8"/>
  <c r="V9862" i="8"/>
  <c r="V9865" i="8"/>
  <c r="V9868" i="8"/>
  <c r="V9870" i="8"/>
  <c r="V9873" i="8"/>
  <c r="V9875" i="8"/>
  <c r="V9876" i="8"/>
  <c r="V9878" i="8"/>
  <c r="V9881" i="8"/>
  <c r="V9884" i="8"/>
  <c r="V9886" i="8"/>
  <c r="V9889" i="8"/>
  <c r="V9892" i="8"/>
  <c r="V9894" i="8"/>
  <c r="V9897" i="8"/>
  <c r="V9900" i="8"/>
  <c r="V9902" i="8"/>
  <c r="V9905" i="8"/>
  <c r="V9908" i="8"/>
  <c r="V9910" i="8"/>
  <c r="V9913" i="8"/>
  <c r="V9914" i="8"/>
  <c r="V9916" i="8"/>
  <c r="V9918" i="8"/>
  <c r="V9921" i="8"/>
  <c r="V9924" i="8"/>
  <c r="V9926" i="8"/>
  <c r="V9929" i="8"/>
  <c r="V9932" i="8"/>
  <c r="V9934" i="8"/>
  <c r="V9937" i="8"/>
  <c r="V9940" i="8"/>
  <c r="V9942" i="8"/>
  <c r="V9943" i="8"/>
  <c r="V9945" i="8"/>
  <c r="V9948" i="8"/>
  <c r="V9950" i="8"/>
  <c r="V9951" i="8"/>
  <c r="V9953" i="8"/>
  <c r="V9956" i="8"/>
  <c r="V9958" i="8"/>
  <c r="V9961" i="8"/>
  <c r="V9964" i="8"/>
  <c r="V9966" i="8"/>
  <c r="V9967" i="8"/>
  <c r="V9969" i="8"/>
  <c r="V9972" i="8"/>
  <c r="V9974" i="8"/>
  <c r="V9977" i="8"/>
  <c r="V9980" i="8"/>
  <c r="V9982" i="8"/>
  <c r="V9983" i="8"/>
  <c r="V9985" i="8"/>
  <c r="V9988" i="8"/>
  <c r="V9990" i="8"/>
  <c r="V9991" i="8"/>
  <c r="V9993" i="8"/>
  <c r="V9994" i="8"/>
  <c r="V9996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4" i="8"/>
  <c r="V9205" i="8"/>
  <c r="V9206" i="8"/>
  <c r="V9207" i="8"/>
  <c r="V9209" i="8"/>
  <c r="V9211" i="8"/>
  <c r="V9212" i="8"/>
  <c r="V9213" i="8"/>
  <c r="V9214" i="8"/>
  <c r="V9215" i="8"/>
  <c r="V9217" i="8"/>
  <c r="V9219" i="8"/>
  <c r="V9220" i="8"/>
  <c r="V9221" i="8"/>
  <c r="V9222" i="8"/>
  <c r="V9223" i="8"/>
  <c r="V9225" i="8"/>
  <c r="V9227" i="8"/>
  <c r="V9228" i="8"/>
  <c r="V9229" i="8"/>
  <c r="V9230" i="8"/>
  <c r="V9231" i="8"/>
  <c r="V9233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4" i="1" l="1"/>
  <c r="BF4" i="1" s="1"/>
  <c r="BE5" i="1"/>
  <c r="BF5" i="1" s="1"/>
  <c r="BE3" i="1"/>
  <c r="BF3" i="1" s="1"/>
  <c r="BE6" i="1"/>
  <c r="BF6" i="1" s="1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A77" i="8"/>
  <c r="X77" i="8" s="1"/>
  <c r="A78" i="8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78" i="8" l="1"/>
  <c r="X76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D6" i="1" l="1"/>
  <c r="BD4" i="1"/>
  <c r="L6" i="1"/>
  <c r="L3" i="1"/>
  <c r="BD5" i="1"/>
  <c r="L4" i="1"/>
  <c r="L5" i="1"/>
  <c r="BD3" i="1"/>
  <c r="X66" i="8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3" i="1" s="1"/>
  <c r="B78" i="8"/>
  <c r="B4" i="1" s="1"/>
  <c r="B79" i="8"/>
  <c r="B5" i="1" s="1"/>
  <c r="B80" i="8"/>
  <c r="B6" i="1" s="1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<sst xmlns="http://schemas.openxmlformats.org/spreadsheetml/2006/main" count="3575" uniqueCount="1131">
  <si>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</si>
  <si>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</si>
  <si>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</si>
  <si>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</si>
  <si>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</si>
  <si>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</si>
  <si>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</si>
  <si>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</si>
  <si>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</si>
  <si>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</si>
  <si>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</si>
  <si>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</si>
  <si>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</si>
  <si>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</si>
  <si>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</si>
  <si>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</si>
  <si>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</si>
  <si>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</si>
  <si>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</si>
  <si>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</si>
  <si>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</si>
  <si>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</si>
  <si>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</si>
  <si>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</si>
  <si>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</si>
  <si>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</si>
  <si>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</si>
  <si>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</si>
  <si>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</si>
  <si>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</si>
  <si>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</si>
  <si>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</si>
  <si>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</si>
  <si>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</si>
  <si>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</si>
  <si>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</si>
  <si>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</si>
  <si>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</si>
  <si>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</si>
  <si>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</si>
  <si>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</si>
  <si>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</si>
  <si>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</si>
  <si>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</si>
  <si>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</si>
  <si>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</si>
  <si>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</si>
  <si>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</si>
  <si>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</si>
  <si>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</si>
  <si>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</si>
  <si>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</si>
  <si>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</si>
  <si>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</si>
  <si>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</si>
  <si>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</si>
  <si>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</si>
  <si>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</si>
  <si>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</si>
  <si>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</si>
  <si>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</si>
  <si>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</si>
  <si>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</si>
  <si>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</si>
  <si>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</si>
  <si>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</si>
  <si>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</si>
  <si>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</si>
  <si>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</si>
  <si>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</si>
  <si>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</si>
  <si>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</si>
  <si>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</si>
  <si>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</si>
  <si>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</si>
  <si>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</si>
  <si>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</si>
  <si>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</si>
  <si>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</si>
  <si>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</si>
  <si>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</si>
  <si>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</si>
  <si>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</si>
  <si>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</si>
  <si>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</si>
  <si>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</si>
  <si>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</si>
  <si>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</si>
  <si>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</si>
  <si>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</si>
  <si>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</si>
  <si>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</si>
  <si>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</si>
  <si>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</si>
  <si>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</si>
  <si>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</si>
  <si>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</si>
  <si>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</si>
  <si>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</si>
  <si>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</si>
  <si>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</si>
  <si>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</si>
  <si>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</si>
  <si>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</si>
  <si>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</si>
  <si>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</si>
  <si>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</si>
  <si>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</si>
  <si>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</si>
  <si>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</si>
  <si>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</si>
  <si>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</si>
  <si>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</si>
  <si>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</si>
  <si>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</si>
  <si>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</si>
  <si>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</si>
  <si>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</si>
  <si>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</si>
  <si>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</si>
  <si>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</si>
  <si>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</si>
  <si>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</si>
  <si>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</si>
  <si>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</si>
  <si>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</si>
  <si>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</si>
  <si>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</si>
  <si>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</si>
  <si>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</si>
  <si>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</si>
  <si>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</si>
  <si>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</si>
  <si>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</si>
  <si>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</si>
  <si>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</si>
  <si>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</si>
  <si>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</si>
  <si>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</si>
  <si>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</si>
  <si>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</si>
  <si>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</si>
  <si>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</si>
  <si>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</si>
  <si>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</si>
  <si>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</si>
  <si>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</si>
  <si>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</si>
  <si>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</si>
  <si>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</si>
  <si>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</si>
  <si>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</si>
  <si>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</si>
  <si>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</si>
  <si>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</si>
  <si>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</si>
  <si>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</si>
  <si>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</si>
  <si>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</si>
  <si>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</si>
  <si>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</si>
  <si>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</si>
  <si>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</si>
  <si>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</si>
  <si>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</si>
  <si>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</si>
  <si>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</si>
  <si>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</si>
  <si>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</si>
  <si>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</si>
  <si>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</si>
  <si>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</si>
  <si>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</si>
  <si>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</si>
  <si>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</si>
  <si>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</si>
  <si>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</si>
  <si>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</si>
  <si>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</si>
  <si>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</si>
  <si>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</si>
  <si>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</si>
  <si>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</si>
  <si>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</si>
  <si>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</si>
  <si>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</si>
  <si>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</si>
  <si>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</si>
  <si>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</si>
  <si>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</si>
  <si>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</si>
  <si>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</si>
  <si>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</si>
  <si>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</si>
  <si>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</si>
  <si>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</si>
  <si>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</si>
  <si>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</si>
  <si>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</si>
  <si>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</si>
  <si>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</si>
  <si>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</si>
  <si>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</si>
  <si>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</si>
  <si>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</si>
  <si>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</si>
  <si>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</si>
  <si>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</si>
  <si>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</si>
  <si>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</si>
  <si>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</si>
  <si>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</si>
  <si>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</si>
  <si>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</si>
  <si>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</si>
  <si>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</si>
  <si>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</si>
  <si>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</si>
  <si>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</si>
  <si>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</si>
  <si>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</si>
  <si>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</si>
  <si>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</si>
  <si>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</si>
  <si>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</si>
  <si>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</si>
  <si>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</si>
  <si>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</si>
  <si>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</si>
  <si>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</si>
  <si>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</si>
  <si>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</si>
  <si>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</si>
  <si>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</si>
  <si>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</si>
  <si>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</si>
  <si>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</si>
  <si>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</si>
  <si>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</si>
  <si>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</si>
  <si>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</si>
  <si>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</si>
  <si>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</si>
  <si>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</si>
  <si>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</si>
  <si>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</si>
  <si>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</si>
  <si>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</si>
  <si>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</si>
  <si>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</si>
  <si>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</si>
  <si>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</si>
  <si>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</si>
  <si>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</si>
  <si>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</si>
  <si>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</si>
  <si>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</si>
  <si>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</si>
  <si>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</si>
  <si>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</si>
  <si>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</si>
  <si>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</si>
  <si>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</si>
  <si>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</si>
  <si>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</si>
  <si>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</si>
  <si>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</si>
  <si>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</si>
  <si>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</si>
  <si>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</si>
  <si>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</si>
  <si>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</si>
  <si>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</si>
  <si>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</si>
  <si>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</si>
  <si>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</si>
  <si>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</si>
  <si>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</si>
  <si>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</si>
  <si>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</si>
  <si>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</si>
  <si>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</si>
  <si>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</si>
  <si>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</si>
  <si>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</si>
  <si>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</si>
  <si>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</si>
  <si>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</si>
  <si>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</si>
  <si>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</si>
  <si>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</si>
  <si>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</si>
  <si>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</si>
  <si>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</si>
  <si>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</si>
  <si>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</si>
  <si>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</si>
  <si>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</si>
  <si>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</si>
  <si>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</si>
  <si>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</si>
  <si>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</si>
  <si>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</si>
  <si>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</si>
  <si>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</si>
  <si>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</si>
  <si>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</si>
  <si>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</si>
  <si>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</si>
  <si>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</si>
  <si>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</si>
  <si>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</si>
  <si>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</si>
  <si>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</si>
  <si>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</si>
  <si>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</si>
  <si>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</si>
  <si>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</si>
  <si>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</si>
  <si>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</si>
  <si>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</si>
  <si>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</si>
  <si>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</si>
  <si>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</si>
  <si>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</si>
  <si>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</si>
  <si>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</si>
  <si>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</si>
  <si>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</si>
  <si>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</si>
  <si>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</si>
  <si>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</si>
  <si>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</si>
  <si>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</si>
  <si>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</si>
  <si>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</si>
  <si>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</si>
  <si>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</si>
  <si>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</si>
  <si>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</si>
  <si>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</si>
  <si>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</si>
  <si>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</si>
  <si>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</si>
  <si>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</si>
  <si>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</si>
  <si>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</si>
  <si>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</si>
  <si>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</si>
  <si>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</si>
  <si>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</si>
  <si>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</si>
  <si>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</si>
  <si>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</si>
  <si>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</si>
  <si>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</si>
  <si>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</si>
  <si>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</si>
  <si>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</si>
  <si>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</si>
  <si>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</si>
  <si>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</si>
  <si>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</si>
  <si>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</si>
  <si>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</si>
  <si>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</si>
  <si>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</si>
  <si>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</si>
  <si>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</si>
  <si>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</si>
  <si>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</si>
  <si>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</si>
  <si>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</si>
  <si>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</si>
  <si>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</si>
  <si>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</si>
  <si>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</si>
  <si>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</si>
  <si>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</si>
  <si>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</si>
  <si>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</si>
  <si>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</si>
  <si>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</si>
  <si>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</si>
  <si>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</si>
  <si>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</si>
  <si>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</si>
  <si>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</si>
  <si>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</si>
  <si>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</si>
  <si>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</si>
  <si>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</si>
  <si>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</si>
  <si>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</si>
  <si>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</si>
  <si>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</si>
  <si>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</si>
  <si>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</si>
  <si>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</si>
  <si>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</si>
  <si>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</si>
  <si>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</si>
  <si>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</si>
  <si>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</si>
  <si>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</si>
  <si>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</si>
  <si>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</si>
  <si>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</si>
  <si>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</si>
  <si>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</si>
  <si>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</si>
  <si>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</si>
  <si>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</si>
  <si>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</si>
  <si>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</si>
  <si>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</si>
  <si>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</si>
  <si>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</si>
  <si>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</si>
  <si>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</si>
  <si>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</si>
  <si>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</si>
  <si>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</si>
  <si>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</si>
  <si>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</si>
  <si>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</si>
  <si>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</si>
  <si>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</si>
  <si>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</si>
  <si>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</si>
  <si>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</si>
  <si>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</si>
  <si>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</si>
  <si>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</si>
  <si>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</si>
  <si>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</si>
  <si>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</si>
  <si>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</si>
  <si>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</si>
  <si>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</si>
  <si>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</si>
  <si>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</si>
  <si>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</si>
  <si>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</si>
  <si>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</si>
  <si>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</si>
  <si>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</si>
  <si>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</si>
  <si>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</si>
  <si>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</si>
  <si>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</si>
  <si>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</si>
  <si>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</si>
  <si>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</si>
  <si>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</si>
  <si>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</si>
  <si>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</si>
  <si>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</si>
  <si>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</si>
  <si>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</si>
  <si>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</si>
  <si>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</si>
  <si>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</si>
  <si>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</si>
  <si>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</si>
  <si>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</si>
  <si>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</si>
  <si>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</si>
  <si>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</si>
  <si>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</si>
  <si>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</si>
  <si>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</si>
  <si>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</si>
  <si>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</si>
  <si>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</si>
  <si>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</si>
  <si>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</si>
  <si>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</si>
  <si>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</si>
  <si>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</si>
  <si>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</si>
  <si>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</si>
  <si>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</si>
  <si>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</si>
  <si>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</si>
  <si>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</si>
  <si>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</si>
  <si>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</si>
  <si>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</si>
  <si>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</si>
  <si>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</si>
  <si>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</si>
  <si>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</si>
  <si>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</si>
  <si>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</si>
  <si>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</si>
  <si>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</si>
  <si>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</si>
  <si>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</si>
  <si>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</si>
  <si>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</si>
  <si>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</si>
  <si>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</si>
  <si>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</si>
  <si>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</si>
  <si>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</si>
  <si>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</si>
  <si>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</si>
  <si>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</si>
  <si>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</si>
  <si>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</si>
  <si>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</si>
  <si>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</si>
  <si>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</si>
  <si>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</si>
  <si>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</si>
  <si>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</si>
  <si>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</si>
  <si>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</si>
  <si>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</si>
  <si>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</si>
  <si>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</si>
  <si>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</si>
  <si>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</si>
  <si>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</si>
  <si>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</si>
  <si>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</si>
  <si>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</si>
  <si>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</si>
  <si>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</si>
  <si>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</si>
  <si>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</si>
  <si>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</si>
  <si>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</si>
  <si>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</si>
  <si>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</si>
  <si>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</si>
  <si>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</si>
  <si>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</si>
  <si>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</si>
  <si>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</si>
  <si>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</si>
  <si>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</si>
  <si>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</si>
  <si>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</si>
  <si>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</si>
  <si>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</si>
  <si>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</si>
  <si>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</si>
  <si>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</si>
  <si>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</si>
  <si>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</si>
  <si>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</si>
  <si>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</si>
  <si>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</si>
  <si>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</si>
  <si>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</si>
  <si>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</si>
  <si>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</si>
  <si>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</si>
  <si>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</si>
  <si>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</si>
  <si>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</si>
  <si>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</si>
  <si>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</si>
  <si>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</si>
  <si>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</si>
  <si>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</si>
  <si>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</si>
  <si>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</si>
  <si>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</si>
  <si>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</si>
  <si>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</si>
  <si>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</si>
  <si>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</si>
  <si>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</si>
  <si>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</si>
  <si>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</si>
  <si>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</si>
  <si>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</si>
  <si>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</si>
  <si>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</si>
  <si>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</si>
  <si>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</si>
  <si>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</si>
  <si>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</si>
  <si>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</si>
  <si>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</si>
  <si>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</si>
  <si>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</si>
  <si>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</si>
  <si>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</si>
  <si>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</si>
  <si>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</si>
  <si>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</si>
  <si>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</si>
  <si>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</si>
  <si>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</si>
  <si>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</si>
  <si>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</si>
  <si>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</si>
  <si>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</si>
  <si>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</si>
  <si>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</si>
  <si>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</si>
  <si>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</si>
  <si>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</si>
  <si>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</si>
  <si>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</si>
  <si>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</si>
  <si>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</si>
  <si>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</si>
  <si>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</si>
  <si>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</si>
  <si>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</si>
  <si>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</si>
  <si>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</si>
  <si>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</si>
  <si>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</si>
  <si>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</si>
  <si>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</si>
  <si>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</si>
  <si>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</si>
  <si>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</si>
  <si>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</si>
  <si>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</si>
  <si>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</si>
  <si>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</si>
  <si>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</si>
  <si>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</si>
  <si>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</si>
  <si>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</si>
  <si>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</si>
  <si>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</si>
  <si>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</si>
  <si>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</si>
  <si>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</si>
  <si>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</si>
  <si>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</si>
  <si>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</si>
  <si>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</si>
  <si>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</si>
  <si>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</si>
  <si>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</si>
  <si>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</si>
  <si>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</si>
  <si>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</si>
  <si>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</si>
  <si>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</si>
  <si>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</si>
  <si>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</si>
  <si>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</si>
  <si>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</si>
  <si>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</si>
  <si>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</si>
  <si>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</si>
  <si>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</si>
  <si>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</si>
  <si>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</si>
  <si>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</si>
  <si>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</si>
  <si>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</si>
  <si>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</si>
  <si>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</si>
  <si>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</si>
  <si>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</si>
  <si>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</si>
  <si>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</si>
  <si>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</si>
  <si>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</si>
  <si>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</si>
  <si>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</si>
  <si>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</si>
  <si>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</si>
  <si>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</si>
  <si>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</si>
  <si>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</si>
  <si>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</si>
  <si>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</si>
  <si>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</si>
  <si>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</si>
  <si>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</si>
  <si>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</si>
  <si>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</si>
  <si>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</si>
  <si>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</si>
  <si>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</si>
  <si>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</si>
  <si>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</si>
  <si>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</si>
  <si>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</si>
  <si>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</si>
  <si>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</si>
  <si>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</si>
  <si>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</si>
  <si>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</si>
  <si>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</si>
  <si>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</si>
  <si>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</si>
  <si>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</si>
  <si>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</si>
  <si>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</si>
  <si>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</si>
  <si>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</si>
  <si>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</si>
  <si>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</si>
  <si>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</si>
  <si>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</si>
  <si>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</si>
  <si>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</si>
  <si>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</si>
  <si>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</si>
  <si>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</si>
  <si>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</si>
  <si>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</si>
  <si>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</si>
  <si>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</si>
  <si>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</si>
  <si>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</si>
  <si>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</si>
  <si>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</si>
  <si>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</si>
  <si>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</si>
  <si>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</si>
  <si>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</si>
  <si>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</si>
  <si>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</si>
  <si>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</si>
  <si>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</si>
  <si>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</si>
  <si>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</si>
  <si>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</si>
  <si>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</si>
  <si>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</si>
  <si>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</si>
  <si>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</si>
  <si>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</si>
  <si>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</si>
  <si>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</si>
  <si>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</si>
  <si>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</si>
  <si>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</si>
  <si>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</si>
  <si>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</si>
  <si>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</si>
  <si>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</si>
  <si>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</si>
  <si>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</si>
  <si>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</si>
  <si>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</si>
  <si>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</si>
  <si>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</si>
  <si>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</si>
  <si>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</si>
  <si>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</si>
  <si>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</si>
  <si>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</si>
  <si>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</si>
  <si>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</si>
  <si>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</si>
  <si>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</si>
  <si>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</si>
  <si>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</si>
  <si>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</si>
  <si>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</si>
  <si>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</si>
  <si>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</si>
  <si>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</si>
  <si>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</si>
  <si>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</si>
  <si>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</si>
  <si>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</si>
  <si>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</si>
  <si>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</si>
  <si>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</si>
  <si>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</si>
  <si>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</si>
  <si>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</si>
  <si>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</si>
  <si>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</si>
  <si>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</si>
  <si>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</si>
  <si>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</si>
  <si>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</si>
  <si>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</si>
  <si>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</si>
  <si>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</si>
  <si>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</si>
  <si>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</si>
  <si>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</si>
  <si>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</si>
  <si>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</si>
  <si>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</si>
  <si>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</si>
  <si>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</si>
  <si>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</si>
  <si>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</si>
  <si>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</si>
  <si>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</si>
  <si>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</si>
  <si>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</si>
  <si>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</si>
  <si>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</si>
  <si>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</si>
  <si>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</si>
  <si>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</si>
  <si>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</si>
  <si>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</si>
  <si>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</si>
  <si>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</si>
  <si>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</si>
  <si>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</si>
  <si>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</si>
  <si>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</si>
  <si>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</si>
  <si>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</si>
  <si>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</si>
  <si>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</si>
  <si>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</si>
  <si>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</si>
  <si>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</si>
  <si>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</si>
  <si>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</si>
  <si>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</si>
  <si>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</si>
  <si>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</si>
  <si>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</si>
  <si>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</si>
  <si>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</si>
  <si>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</si>
  <si>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</si>
  <si>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</si>
  <si>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</si>
  <si>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</si>
  <si>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</si>
  <si>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</si>
  <si>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</si>
  <si>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</si>
  <si>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</si>
  <si>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</si>
  <si>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</si>
  <si>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</si>
  <si>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</si>
  <si>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</si>
  <si>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</si>
  <si>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</si>
  <si>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</si>
  <si>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</si>
  <si>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</si>
  <si>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</si>
  <si>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</si>
  <si>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</si>
  <si>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</si>
  <si>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</si>
  <si>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</si>
  <si>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</si>
  <si>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</si>
  <si>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</si>
  <si>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</si>
  <si>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</si>
  <si>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</si>
  <si>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</si>
  <si>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</si>
  <si>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</si>
  <si>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</si>
  <si>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</si>
  <si>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</si>
  <si>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</si>
  <si>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</si>
  <si>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</si>
  <si>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</si>
  <si>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</si>
  <si>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</si>
  <si>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</si>
  <si>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</si>
  <si>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</si>
  <si>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</si>
  <si>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</si>
  <si>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</si>
  <si>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</si>
  <si>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</si>
  <si>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</si>
  <si>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</si>
  <si>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</si>
  <si>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</si>
  <si>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</si>
  <si>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</si>
  <si>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</si>
  <si>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</si>
  <si>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</si>
  <si>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</si>
  <si>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</si>
  <si>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</si>
  <si>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</si>
  <si>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</si>
  <si>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</si>
  <si>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</si>
  <si>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</si>
  <si>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</si>
  <si>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black</t>
  </si>
  <si>
    <t>56-019-09-57</t>
  </si>
  <si>
    <t>Бейсболка ADIDAS арт. HD9695 CURVED TRUCKER (серый / черный) {black}</t>
  </si>
  <si>
    <t>57 M</t>
  </si>
  <si>
    <t>HD9695 CURVED TRUCKER</t>
  </si>
  <si>
    <t>90% полиэстер - 10% эластан</t>
  </si>
  <si>
    <t>Adidas International Trading AG; Switzerland, Platz 1b, 6039 Root D4</t>
  </si>
  <si>
    <t>56-018-35-57</t>
  </si>
  <si>
    <t>Бейсболка ADIDAS арт. HD9755 CAMO BALLCAP (разноцветный) {multicoloured}</t>
  </si>
  <si>
    <t>HD9755 CAMO BALLCAP</t>
  </si>
  <si>
    <t>100% полиэстер</t>
  </si>
  <si>
    <t>multicoloured</t>
  </si>
  <si>
    <t>56-017-02-57</t>
  </si>
  <si>
    <t>Бейсболка ADIDAS арт. HD2224 BSBL STREET (бежевый) {beige}</t>
  </si>
  <si>
    <t>HD2224 BSBL STREET</t>
  </si>
  <si>
    <t>100% хлопок</t>
  </si>
  <si>
    <t>beige</t>
  </si>
  <si>
    <t>56-016-06-61</t>
  </si>
  <si>
    <t>Бейсболка ADIDAS арт. HD7239 BBALLCAP LT MET (синий) {blue}</t>
  </si>
  <si>
    <t>61 XL</t>
  </si>
  <si>
    <t>HD7239 BBALLCAP LT MET</t>
  </si>
  <si>
    <t>blue</t>
  </si>
  <si>
    <t>56-016-06-57</t>
  </si>
  <si>
    <t>56-015-09-61</t>
  </si>
  <si>
    <t>Бейсболка ADIDAS арт. HD7045 BASEBALL CAP (черный) {black}</t>
  </si>
  <si>
    <t>HD7045 BASEBALL CAP</t>
  </si>
  <si>
    <t>56-015-09-57</t>
  </si>
  <si>
    <t>56-014-41-57</t>
  </si>
  <si>
    <t>Бейсболка ADIDAS арт. HD9700 BASEB CLASS TRE (фиолетовый) {purple}</t>
  </si>
  <si>
    <t>HD9700 BASEB CLASS TRE</t>
  </si>
  <si>
    <t>purple</t>
  </si>
  <si>
    <t>56-014-41-56</t>
  </si>
  <si>
    <t>56 S/M</t>
  </si>
  <si>
    <t>56-013-09-57</t>
  </si>
  <si>
    <t>Бейсболка ADIDAS арт. HD9699 BASEB CLASS TRE (серый) {black}</t>
  </si>
  <si>
    <t>HD9699 BASEB CLASS TRE</t>
  </si>
  <si>
    <t>56-012-34-57</t>
  </si>
  <si>
    <t>Бейсболка ADIDAS арт. HE9766 BASEB CLASS TRE (розовый) {pink}</t>
  </si>
  <si>
    <t>HE9766 BASEB CLASS TRE</t>
  </si>
  <si>
    <t>pink</t>
  </si>
  <si>
    <t>56-011-09-61</t>
  </si>
  <si>
    <t>Бейсболка ADIDAS арт. GN2291 STAN BBALL CAP (черный) {black}</t>
  </si>
  <si>
    <t>GN2291 STAN BBALL CAP</t>
  </si>
  <si>
    <t>56-011-09-57</t>
  </si>
  <si>
    <t>56-010-09-61</t>
  </si>
  <si>
    <t>Бейсболка ADIDAS арт. GN2052 3S CAP (черный) {black}</t>
  </si>
  <si>
    <t>GN2052 3S CAP</t>
  </si>
  <si>
    <t>56-010-09-57</t>
  </si>
  <si>
    <t>56-009-09-61</t>
  </si>
  <si>
    <t>Бейсболка ADIDAS арт. GM4508 BBALLCAP LT MET (черный) {black}</t>
  </si>
  <si>
    <t>GM4508 BBALLCAP LT MET</t>
  </si>
  <si>
    <t>56-009-09-57</t>
  </si>
  <si>
    <t>56-008-09-61</t>
  </si>
  <si>
    <t>Бейсболка ADIDAS арт. GE0750 BBALL 3S CAP CT (темно-синий) {black}</t>
  </si>
  <si>
    <t>GE0750 BBALL 3S CAP CT</t>
  </si>
  <si>
    <t>56-008-09-57</t>
  </si>
  <si>
    <t>56-007-09-61</t>
  </si>
  <si>
    <t>Бейсболка ADIDAS арт. DM6178 DAILY CAP (черный) {black}</t>
  </si>
  <si>
    <t>DM6178 DAILY CAP</t>
  </si>
  <si>
    <t>56-007-09-57</t>
  </si>
  <si>
    <t>56-006-09-61</t>
  </si>
  <si>
    <t>Бейсболка ADIDAS арт. FK0891 BBALL CAP COT (черный) {black}</t>
  </si>
  <si>
    <t>FK0891 BBALL CAP COT</t>
  </si>
  <si>
    <t>56-006-09-57</t>
  </si>
  <si>
    <t>56-005-17-57</t>
  </si>
  <si>
    <t>Бейсболка ADIDAS арт. FK0890 BBALL CAP COT (белый) {white}</t>
  </si>
  <si>
    <t>FK0890 BBALL CAP COT</t>
  </si>
  <si>
    <t>white</t>
  </si>
  <si>
    <t>56-004-17-61</t>
  </si>
  <si>
    <t>Бейсболка ADIDAS арт. FQ5411 BBALL 3S CAP CT (белый) {white}</t>
  </si>
  <si>
    <t>FQ5411 BBALL 3S CAP CT</t>
  </si>
  <si>
    <t>56-004-17-57</t>
  </si>
  <si>
    <t>56-003-09-57</t>
  </si>
  <si>
    <t>Бейсболка ADIDAS арт. FK0894 BBALL 3S CAP CT (черный) {black}</t>
  </si>
  <si>
    <t>FK0894 BBALL 3S CAP CT</t>
  </si>
  <si>
    <t>56-002-09-61</t>
  </si>
  <si>
    <t>Бейсболка ADIDAS арт. FL3713 BASEBALL BOLD (черный) {black}</t>
  </si>
  <si>
    <t>FL3713 BASEBALL BOLD</t>
  </si>
  <si>
    <t>56-002-09-57</t>
  </si>
  <si>
    <t>56-001-09-61</t>
  </si>
  <si>
    <t>Бейсболка ADIDAS арт. EC3603 BASEB CLASS TRE (черный) {black}</t>
  </si>
  <si>
    <t>EC3603 BASEB CLASS TRE</t>
  </si>
  <si>
    <t>56-001-09-57</t>
  </si>
  <si>
    <t>56-023-16-00</t>
  </si>
  <si>
    <t>Бейсболка LACOSTE арт. RK7415HDE LACOSTE CAP (темно-синий) {navy}</t>
  </si>
  <si>
    <t>ONE</t>
  </si>
  <si>
    <t>RK7415HDE LACOSTE CAP</t>
  </si>
  <si>
    <t>LACOSTE OPERATIONS S.A.; France, 23-25, rue de Provence, 75009 Paris</t>
  </si>
  <si>
    <t>navy</t>
  </si>
  <si>
    <t>56-022-02-00</t>
  </si>
  <si>
    <t>Бейсболка LACOSTE арт. RK741502S LACOSTE CAP (бежевый) {beige}</t>
  </si>
  <si>
    <t>RK741502S LACOSTE CAP</t>
  </si>
  <si>
    <t>56-021-18-00</t>
  </si>
  <si>
    <t>Бейсболка LACOSTE арт. RK2450DP4 LACOSTE CAP (красный) {red}</t>
  </si>
  <si>
    <t>RK2450DP4 LACOSTE CAP</t>
  </si>
  <si>
    <t>red</t>
  </si>
  <si>
    <t>56-020-17-00</t>
  </si>
  <si>
    <t>Бейсболка LACOSTE арт. RK2450800 CAPS (белый) {white}</t>
  </si>
  <si>
    <t>RK2450800 CAPS</t>
  </si>
  <si>
    <t>56-044-17-57</t>
  </si>
  <si>
    <t>Бейсболка PUMA арт. 5291902 ESS CAP (белый) {white}</t>
  </si>
  <si>
    <t>5291902 ESS CAP</t>
  </si>
  <si>
    <t>Puma SE Rudolf Dassler Sport; Puma way 1, D-91074 Herzogenaurach, Germany</t>
  </si>
  <si>
    <t>56-043-09-57</t>
  </si>
  <si>
    <t>Бейсболка PUMA арт. 5291901 ESS CAP (черный) {black}</t>
  </si>
  <si>
    <t>5291901 ESS CAP</t>
  </si>
  <si>
    <t>56-042-09-00</t>
  </si>
  <si>
    <t>Бейсболка PUMA арт. 2390901 PUMA X NJR BB CAP (черный) {black}</t>
  </si>
  <si>
    <t>2390901 PUMA X NJR BB CAP</t>
  </si>
  <si>
    <t>100% нейлон</t>
  </si>
  <si>
    <t>56-041-09-57</t>
  </si>
  <si>
    <t>Бейсболка PUMA арт. 2375801 RUNNING PONYTAIL CAP (черный) {black}</t>
  </si>
  <si>
    <t>2375801 RUNNING PONYTAIL CAP</t>
  </si>
  <si>
    <t>Филиппины</t>
  </si>
  <si>
    <t>56-040-17-00</t>
  </si>
  <si>
    <t>Бейсболка PUMA арт. 2241685 ESS CAP (белый) {white}</t>
  </si>
  <si>
    <t>2241685 ESS CAP</t>
  </si>
  <si>
    <t>56-039-80-00</t>
  </si>
  <si>
    <t>Бейсболка PUMA арт. 2371104 POLY COTTON CAP (серый) {grey}</t>
  </si>
  <si>
    <t>2371104 POLY COTTON CAP</t>
  </si>
  <si>
    <t>grey</t>
  </si>
  <si>
    <t>56-038-80-00</t>
  </si>
  <si>
    <t>Бейсболка PUMA арт. 2367503 ACADEMY AOP CAP (камуфляж) {grey}</t>
  </si>
  <si>
    <t>2367503 ACADEMY AOP CAP</t>
  </si>
  <si>
    <t>56-037-09-00</t>
  </si>
  <si>
    <t>Бейсболка PUMA арт. 2366901 ESS CAP III (черный) {black}</t>
  </si>
  <si>
    <t>2366901 ESS CAP III</t>
  </si>
  <si>
    <t>56-036-34-00</t>
  </si>
  <si>
    <t>Бейсболка PUMA арт. 2343805 PRIME TRUCKER CAP (розовый) {pink}</t>
  </si>
  <si>
    <t>2343805 PRIME TRUCKER CAP</t>
  </si>
  <si>
    <t>80% полиэстер - 20% полиуретан</t>
  </si>
  <si>
    <t>56-035-09-00</t>
  </si>
  <si>
    <t>Бейсболка PUMA арт. 2343801 PRIME TRUCKER CAP (черный) {black}</t>
  </si>
  <si>
    <t>2343801 PRIME TRUCKER CAP</t>
  </si>
  <si>
    <t>56-034-09-00</t>
  </si>
  <si>
    <t>Бейсболка PUMA арт. 2342801 PUMA TRUCKER CAP (черный) {black}</t>
  </si>
  <si>
    <t>2342801 PUMA TRUCKER CAP</t>
  </si>
  <si>
    <t>56-033-06-00</t>
  </si>
  <si>
    <t>Бейсболка PUMA арт. 2255417 ARCHIVE LOGO BB CAP (синий) {blue}</t>
  </si>
  <si>
    <t>2255417 ARCHIVE LOGO BB CAP</t>
  </si>
  <si>
    <t>56-032-41-00</t>
  </si>
  <si>
    <t>Бейсболка PUMA арт. 2241679 ESS CAP (фиолетовый) {purple}</t>
  </si>
  <si>
    <t>2241679 ESS CAP</t>
  </si>
  <si>
    <t>56-031-34-00</t>
  </si>
  <si>
    <t>Бейсболка PUMA арт. 2241678 ESS CAP (розовый) {pink}</t>
  </si>
  <si>
    <t>2241678 ESS CAP</t>
  </si>
  <si>
    <t>56-030-17-00</t>
  </si>
  <si>
    <t>Бейсболка PUMA арт. 2241675 ESS CAP (белый) {white}</t>
  </si>
  <si>
    <t>2241675 ESS CAP</t>
  </si>
  <si>
    <t>56-029-09-00</t>
  </si>
  <si>
    <t>Бейсболка PUMA арт. 2359301 BMW MMS HERITAGE BB CAP (черный) {black}</t>
  </si>
  <si>
    <t>2359301 BMW MMS HERITAGE BB CAP</t>
  </si>
  <si>
    <t>56-028-09-00</t>
  </si>
  <si>
    <t>Бейсболка PUMA арт. 2353501 ARCHIVE LOGO LABEL CAP (черный) {black}</t>
  </si>
  <si>
    <t>2353501 ARCHIVE LOGO LABEL CAP</t>
  </si>
  <si>
    <t>56-027-09-00</t>
  </si>
  <si>
    <t>Бейсболка PUMA арт. 2344502 CLASSICS CAPSULE CAP (черный) {black}</t>
  </si>
  <si>
    <t>2344502 CLASSICS CAPSULE CAP</t>
  </si>
  <si>
    <t>56-026-09-00</t>
  </si>
  <si>
    <t>Бейсболка PUMA арт. 2241674 ESS CAP (черный) {black}</t>
  </si>
  <si>
    <t>2241674 ESS CAP</t>
  </si>
  <si>
    <t>56-025-06-57</t>
  </si>
  <si>
    <t>Бейсболка PUMA арт. 2126907 PUMA METAL CAT CAP (синий) {blue}</t>
  </si>
  <si>
    <t>2126907 PUMA METAL CAT CAP</t>
  </si>
  <si>
    <t>56-024-09-57</t>
  </si>
  <si>
    <t>Бейсболка PUMA арт. 2126901 PUMA METAL CAT CAP (черный) {black}</t>
  </si>
  <si>
    <t>2126901 PUMA METAL CAT CAP</t>
  </si>
  <si>
    <t>56-056-02-00</t>
  </si>
  <si>
    <t>Бейсболка PUMA арт. 2360205 MCFC LEGACY BB CAP (темно-синий) {beige}</t>
  </si>
  <si>
    <t>2360205 MCFC LEGACY BB CAP</t>
  </si>
  <si>
    <t>56-050-09-57</t>
  </si>
  <si>
    <t>Бейсболка REEBOK арт. HE2388 UBF ATHLETE A-FLEX CAP (черный) {black}</t>
  </si>
  <si>
    <t>HE2388 UBF ATHLETE A-FLEX CAP</t>
  </si>
  <si>
    <t>88% полиэстер - 12% эластан</t>
  </si>
  <si>
    <t>56-050-09-56</t>
  </si>
  <si>
    <t>56-049-06-57</t>
  </si>
  <si>
    <t>Бейсболка REEBOK арт. HE2381 UBF BASEB CAP (синий) {blue}</t>
  </si>
  <si>
    <t>HE2381 UBF BASEB CAP</t>
  </si>
  <si>
    <t>56-048-80-57</t>
  </si>
  <si>
    <t>Бейсболка REEBOK арт. HD9887 TE LOGO CAP (серый) {grey}</t>
  </si>
  <si>
    <t>HD9887 TE LOGO CAP</t>
  </si>
  <si>
    <t>56-047-19-57</t>
  </si>
  <si>
    <t>Бейсболка REEBOK арт. HD9884 TE BADGE CAP (голубой) {lt.blue}</t>
  </si>
  <si>
    <t>HD9884 TE BADGE CAP</t>
  </si>
  <si>
    <t>lt.blue</t>
  </si>
  <si>
    <t>56-046-34-57</t>
  </si>
  <si>
    <t>Бейсболка REEBOK арт. HD9885 TE BADGE CAP (розовый) {pink}</t>
  </si>
  <si>
    <t>HD9885 TE BADGE CAP</t>
  </si>
  <si>
    <t>56-045-09-57</t>
  </si>
  <si>
    <t>Бейсболка REEBOK арт. GP0124 TE LOGO CAP (черный) {black}</t>
  </si>
  <si>
    <t>GP0124 TE LOGO CAP</t>
  </si>
  <si>
    <t>56-055-80-00</t>
  </si>
  <si>
    <t>Бейсболка UNDER ARMOUR арт. 1369804-012 ISO-CHILL DRIVER MESH (серый) {grey}</t>
  </si>
  <si>
    <t>1369804-012 ISO-CHILL DRIVER MESH</t>
  </si>
  <si>
    <t>Under Armour Europe B.V.; Stadionplein 10 1076 CM Amsterdam, The Netherlands</t>
  </si>
  <si>
    <t>56-054-17-59</t>
  </si>
  <si>
    <t>Бейсболка UNDER ARMOUR арт. 1369785-100 TEAM BLANK CHINO ADJ (белый) {white}</t>
  </si>
  <si>
    <t>59 L</t>
  </si>
  <si>
    <t>1369785-100 TEAM BLANK CHINO ADJ</t>
  </si>
  <si>
    <t>65% полиэстер - 35% хлопок</t>
  </si>
  <si>
    <t>56-053-17-59</t>
  </si>
  <si>
    <t>Бейсболка UNDER ARMOUR арт. 1361562-100 ISOCHILL LAUNCH RUN (белый) {white}</t>
  </si>
  <si>
    <t>1361562-100 ISOCHILL LAUNCH RUN</t>
  </si>
  <si>
    <t>56-052-18-59</t>
  </si>
  <si>
    <t>Бейсболка UNDER ARMOUR арт. 1361532-601 UA BLITZING ADJ HAT (красный) {red}</t>
  </si>
  <si>
    <t>1361532-601 UA BLITZING ADJ HAT</t>
  </si>
  <si>
    <t>56-051-80-59</t>
  </si>
  <si>
    <t>Бейсболка UNDER ARMOUR арт. 1361532-012 UA BLITZING ADJ HAT (серый) {grey}</t>
  </si>
  <si>
    <t>1361532-012 UA BLITZING ADJ HAT</t>
  </si>
  <si>
    <t>2324601</t>
  </si>
  <si>
    <t>2372001</t>
  </si>
  <si>
    <t>2372201</t>
  </si>
  <si>
    <t>2373201</t>
  </si>
  <si>
    <t>2374301</t>
  </si>
  <si>
    <t>56-057-</t>
  </si>
  <si>
    <t>56-058-</t>
  </si>
  <si>
    <t>56-059-</t>
  </si>
  <si>
    <t>56-060-</t>
  </si>
  <si>
    <t>56-061-</t>
  </si>
  <si>
    <t>HD9721</t>
  </si>
  <si>
    <t>56-062-</t>
  </si>
  <si>
    <t>56-063-</t>
  </si>
  <si>
    <t>RK4709001</t>
  </si>
  <si>
    <t>RK4709031</t>
  </si>
  <si>
    <t>RK4709166</t>
  </si>
  <si>
    <t>RK4709240</t>
  </si>
  <si>
    <t>10013160/161020/0578180</t>
  </si>
  <si>
    <t>унисекс</t>
  </si>
  <si>
    <t>Cap</t>
  </si>
  <si>
    <t>56-064-</t>
  </si>
  <si>
    <t>56-065-</t>
  </si>
  <si>
    <t>56-066-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</si>
</sst>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AD6" sqref="AD6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6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Fredrikson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6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6" ca="1" si="2">IF(AU2&lt;&gt;"",VLOOKUP(AU2,INDIRECT(SUBSTITUTE($J2," ","")&amp;"Manufactures"),3,0),"Требуется код страны")</f>
        <v>Требуется код страны</v>
      </c>
      <c r="AW2" s="56" t="str">
        <f t="shared" ref="AW2:AW6" ca="1" si="3">IF(AU2&lt;&gt;"",VLOOKUP(AU2,INDIRECT(SUBSTITUTE($J2," ","")&amp;"Manufactures"),2,0),"Требуется код страны")</f>
        <v>Требуется код страны</v>
      </c>
      <c r="AX2" s="141">
        <f t="shared" ref="AX2:AX6" si="4">0.05+0.05</f>
        <v>0.1</v>
      </c>
      <c r="AY2" s="56">
        <f t="shared" ref="AY2:AY6" si="5">IF(AX2&lt;&gt;"",AX2*1.5,"Требуется нетто")</f>
        <v>0.15000000000000002</v>
      </c>
      <c r="AZ2" s="56" t="str">
        <f t="shared" ref="AZ2:AZ6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6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6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6" si="9">IFERROR(IF(BE2,"-",IFERROR(IF(BD2&gt;0,0,1),"")),"")</f>
        <v/>
      </c>
      <c r="BG2" s="88"/>
    </row>
    <row r="3" spans="1:59" ht="98.1" customHeight="1">
      <c r="A3" s="43" t="str">
        <f t="shared" si="0"/>
        <v>RK4709001white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56-063-17</v>
      </c>
      <c r="C3" s="145" t="s">
        <v>1121</v>
      </c>
      <c r="D3" s="44" t="s">
        <v>1127</v>
      </c>
      <c r="E3" s="43" t="str">
        <f>IF(F3&lt;&gt;"",IFERROR(VLOOKUP(F3,Категории!A:B,2,0),""),"Требуется категория")</f>
        <v>Бейсболки</v>
      </c>
      <c r="F3" s="44" t="s">
        <v>327</v>
      </c>
      <c r="G3" s="62" t="s">
        <v>891</v>
      </c>
      <c r="H3" s="44" t="s">
        <v>388</v>
      </c>
      <c r="I3" s="134" t="str">
        <f>C3&amp;" "&amp;D3</f>
        <v>RK4709001 Cap</v>
      </c>
      <c r="J3" s="57" t="s">
        <v>891</v>
      </c>
      <c r="K3" s="99" t="s">
        <v>966</v>
      </c>
      <c r="L3" s="150" t="str">
        <f>IF(K3&lt;&gt;"",IFERROR(VLOOKUP(A3,'1C'!A:X,8,0),IFERROR(VLOOKUP(K3,Colors!D:E,2,0),"")),"")</f>
        <v>белый</v>
      </c>
      <c r="M3" s="62"/>
      <c r="N3" s="62" t="s">
        <v>1125</v>
      </c>
      <c r="O3" s="62"/>
      <c r="P3" s="62"/>
      <c r="Q3" s="132" t="s">
        <v>914</v>
      </c>
      <c r="R3" s="64"/>
      <c r="S3" s="62" t="s">
        <v>43</v>
      </c>
      <c r="T3" s="58"/>
      <c r="U3" s="58" t="s">
        <v>1126</v>
      </c>
      <c r="V3" s="58">
        <v>2</v>
      </c>
      <c r="Y3" s="58"/>
      <c r="AA3" s="58"/>
      <c r="AC3" s="58"/>
      <c r="AE3" s="58"/>
      <c r="AG3" s="58"/>
      <c r="AT3" s="57">
        <f t="shared" si="1"/>
        <v>2</v>
      </c>
      <c r="AU3" s="65" t="s">
        <v>560</v>
      </c>
      <c r="AV3" s="56" t="str">
        <f t="shared" ca="1" si="2"/>
        <v>ERR</v>
      </c>
      <c r="AW3" s="43" t="str">
        <f t="shared" ca="1" si="3"/>
        <v>ВЬЕТНАМ</v>
      </c>
      <c r="AX3" s="74">
        <f t="shared" si="4"/>
        <v>0.1</v>
      </c>
      <c r="AY3" s="43">
        <f t="shared" si="5"/>
        <v>0.15000000000000002</v>
      </c>
      <c r="AZ3" s="43">
        <f t="shared" si="6"/>
        <v>0.2</v>
      </c>
      <c r="BA3" s="43">
        <f t="shared" si="7"/>
        <v>0.30000000000000004</v>
      </c>
      <c r="BB3" s="139">
        <v>4114</v>
      </c>
      <c r="BC3" s="152">
        <f t="shared" si="8"/>
        <v>8228</v>
      </c>
      <c r="BD3" s="45">
        <f>IF(A3&lt;&gt;"",IF(_xlfn.XLOOKUP(A3,'1C'!A:A,'1C'!A:A,0,0)&gt;0,1,0),"")</f>
        <v>0</v>
      </c>
      <c r="BE3" s="153">
        <f>IF(C3&lt;&gt;"",IF(_xlfn.XLOOKUP(TEXT(C3,"###"),'1C'!W:W,'1C'!D:D,0,0)&gt;0,0,1),"")</f>
        <v>1</v>
      </c>
      <c r="BF3" s="72" t="str">
        <f t="shared" si="9"/>
        <v>-</v>
      </c>
    </row>
    <row r="4" spans="1:59" ht="98.1" customHeight="1">
      <c r="A4" s="43" t="str">
        <f t="shared" si="0"/>
        <v>RK4709031black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56-064-09</v>
      </c>
      <c r="C4" s="145" t="s">
        <v>1122</v>
      </c>
      <c r="D4" s="44" t="s">
        <v>1127</v>
      </c>
      <c r="E4" s="43" t="str">
        <f>IF(F4&lt;&gt;"",IFERROR(VLOOKUP(F4,Категории!A:B,2,0),""),"Требуется категория")</f>
        <v>Бейсболки</v>
      </c>
      <c r="F4" s="44" t="s">
        <v>327</v>
      </c>
      <c r="G4" s="62" t="s">
        <v>891</v>
      </c>
      <c r="H4" s="44" t="s">
        <v>388</v>
      </c>
      <c r="I4" s="134" t="str">
        <f t="shared" ref="I4:I6" si="10">C4&amp;" "&amp;D4</f>
        <v>RK4709031 Cap</v>
      </c>
      <c r="J4" s="57" t="s">
        <v>891</v>
      </c>
      <c r="K4" s="98" t="s">
        <v>899</v>
      </c>
      <c r="L4" s="151" t="str">
        <f>IF(K4&lt;&gt;"",IFERROR(VLOOKUP(A4,'1C'!A:X,8,0),IFERROR(VLOOKUP(K4,Colors!D:E,2,0),"")),"")</f>
        <v>черный</v>
      </c>
      <c r="M4" s="62"/>
      <c r="N4" s="62" t="s">
        <v>1125</v>
      </c>
      <c r="O4" s="62"/>
      <c r="P4" s="62"/>
      <c r="Q4" s="132" t="s">
        <v>914</v>
      </c>
      <c r="R4" s="64"/>
      <c r="S4" s="62" t="s">
        <v>43</v>
      </c>
      <c r="T4" s="58"/>
      <c r="U4" s="58" t="s">
        <v>1126</v>
      </c>
      <c r="V4" s="58">
        <v>3</v>
      </c>
      <c r="Y4" s="58"/>
      <c r="AA4" s="58"/>
      <c r="AC4" s="58"/>
      <c r="AE4" s="58"/>
      <c r="AG4" s="58"/>
      <c r="AT4" s="57">
        <f t="shared" si="1"/>
        <v>3</v>
      </c>
      <c r="AU4" s="65" t="s">
        <v>560</v>
      </c>
      <c r="AV4" s="56" t="str">
        <f t="shared" ca="1" si="2"/>
        <v>ERR</v>
      </c>
      <c r="AW4" s="43" t="str">
        <f t="shared" ca="1" si="3"/>
        <v>ВЬЕТНАМ</v>
      </c>
      <c r="AX4" s="74">
        <f t="shared" si="4"/>
        <v>0.1</v>
      </c>
      <c r="AY4" s="43">
        <f t="shared" si="5"/>
        <v>0.15000000000000002</v>
      </c>
      <c r="AZ4" s="43">
        <f t="shared" si="6"/>
        <v>0.30000000000000004</v>
      </c>
      <c r="BA4" s="43">
        <f t="shared" si="7"/>
        <v>0.45000000000000007</v>
      </c>
      <c r="BB4" s="139">
        <v>4114</v>
      </c>
      <c r="BC4" s="152">
        <f t="shared" si="8"/>
        <v>12342</v>
      </c>
      <c r="BD4" s="45">
        <f>IF(A4&lt;&gt;"",IF(_xlfn.XLOOKUP(A4,'1C'!A:A,'1C'!A:A,0,0)&gt;0,1,0),"")</f>
        <v>0</v>
      </c>
      <c r="BE4" s="153">
        <f>IF(C4&lt;&gt;"",IF(_xlfn.XLOOKUP(TEXT(C4,"###"),'1C'!W:W,'1C'!D:D,0,0)&gt;0,0,1),"")</f>
        <v>1</v>
      </c>
      <c r="BF4" s="72" t="str">
        <f t="shared" si="9"/>
        <v>-</v>
      </c>
    </row>
    <row r="5" spans="1:59" ht="98.1" customHeight="1">
      <c r="A5" s="43" t="str">
        <f t="shared" si="0"/>
        <v>RK4709166navy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56-065-16</v>
      </c>
      <c r="C5" s="145" t="s">
        <v>1123</v>
      </c>
      <c r="D5" s="44" t="s">
        <v>1127</v>
      </c>
      <c r="E5" s="43" t="str">
        <f>IF(F5&lt;&gt;"",IFERROR(VLOOKUP(F5,Категории!A:B,2,0),""),"Требуется категория")</f>
        <v>Бейсболки</v>
      </c>
      <c r="F5" s="44" t="s">
        <v>327</v>
      </c>
      <c r="G5" s="62" t="s">
        <v>891</v>
      </c>
      <c r="H5" s="44" t="s">
        <v>388</v>
      </c>
      <c r="I5" s="134" t="str">
        <f t="shared" si="10"/>
        <v>RK4709166 Cap</v>
      </c>
      <c r="J5" s="57" t="s">
        <v>891</v>
      </c>
      <c r="K5" s="98" t="s">
        <v>987</v>
      </c>
      <c r="L5" s="151" t="str">
        <f>IF(K5&lt;&gt;"",IFERROR(VLOOKUP(A5,'1C'!A:X,8,0),IFERROR(VLOOKUP(K5,Colors!D:E,2,0),"")),"")</f>
        <v>темно-синий</v>
      </c>
      <c r="M5" s="62"/>
      <c r="N5" s="62" t="s">
        <v>1125</v>
      </c>
      <c r="O5" s="62"/>
      <c r="P5" s="62"/>
      <c r="Q5" s="132" t="s">
        <v>914</v>
      </c>
      <c r="R5" s="64"/>
      <c r="S5" s="62" t="s">
        <v>43</v>
      </c>
      <c r="T5" s="58"/>
      <c r="U5" s="58" t="s">
        <v>1126</v>
      </c>
      <c r="V5" s="58">
        <v>2</v>
      </c>
      <c r="Y5" s="58"/>
      <c r="AA5" s="58"/>
      <c r="AC5" s="58"/>
      <c r="AE5" s="58"/>
      <c r="AG5" s="58"/>
      <c r="AT5" s="57">
        <f t="shared" si="1"/>
        <v>2</v>
      </c>
      <c r="AU5" s="65" t="s">
        <v>560</v>
      </c>
      <c r="AV5" s="56" t="str">
        <f t="shared" ca="1" si="2"/>
        <v>ERR</v>
      </c>
      <c r="AW5" s="43" t="str">
        <f t="shared" ca="1" si="3"/>
        <v>ВЬЕТНАМ</v>
      </c>
      <c r="AX5" s="74">
        <f t="shared" si="4"/>
        <v>0.1</v>
      </c>
      <c r="AY5" s="43">
        <f t="shared" si="5"/>
        <v>0.15000000000000002</v>
      </c>
      <c r="AZ5" s="43">
        <f t="shared" si="6"/>
        <v>0.2</v>
      </c>
      <c r="BA5" s="43">
        <f t="shared" si="7"/>
        <v>0.30000000000000004</v>
      </c>
      <c r="BB5" s="139">
        <v>4114</v>
      </c>
      <c r="BC5" s="152">
        <f t="shared" si="8"/>
        <v>8228</v>
      </c>
      <c r="BD5" s="45">
        <f>IF(A5&lt;&gt;"",IF(_xlfn.XLOOKUP(A5,'1C'!A:A,'1C'!A:A,0,0)&gt;0,1,0),"")</f>
        <v>0</v>
      </c>
      <c r="BE5" s="153">
        <f>IF(C5&lt;&gt;"",IF(_xlfn.XLOOKUP(TEXT(C5,"###"),'1C'!W:W,'1C'!D:D,0,0)&gt;0,0,1),"")</f>
        <v>1</v>
      </c>
      <c r="BF5" s="72" t="str">
        <f t="shared" si="9"/>
        <v>-</v>
      </c>
    </row>
    <row r="6" spans="1:59" ht="98.1" customHeight="1">
      <c r="A6" s="43" t="str">
        <f t="shared" si="0"/>
        <v>RK4709240red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56-066-18</v>
      </c>
      <c r="C6" s="146" t="s">
        <v>1124</v>
      </c>
      <c r="D6" s="44" t="s">
        <v>1127</v>
      </c>
      <c r="E6" s="43" t="str">
        <f>IF(F6&lt;&gt;"",IFERROR(VLOOKUP(F6,Категории!A:B,2,0),""),"Требуется категория")</f>
        <v>Бейсболки</v>
      </c>
      <c r="F6" s="44" t="s">
        <v>327</v>
      </c>
      <c r="G6" s="62" t="s">
        <v>891</v>
      </c>
      <c r="H6" s="44" t="s">
        <v>388</v>
      </c>
      <c r="I6" s="134" t="str">
        <f t="shared" si="10"/>
        <v>RK4709240 Cap</v>
      </c>
      <c r="J6" s="57" t="s">
        <v>891</v>
      </c>
      <c r="K6" s="100" t="s">
        <v>994</v>
      </c>
      <c r="L6" s="151" t="str">
        <f>IF(K6&lt;&gt;"",IFERROR(VLOOKUP(A6,'1C'!A:X,8,0),IFERROR(VLOOKUP(K6,Colors!D:E,2,0),"")),"")</f>
        <v>красный</v>
      </c>
      <c r="M6" s="62"/>
      <c r="N6" s="62" t="s">
        <v>1125</v>
      </c>
      <c r="O6" s="62"/>
      <c r="P6" s="62"/>
      <c r="Q6" s="132" t="s">
        <v>914</v>
      </c>
      <c r="R6" s="64"/>
      <c r="S6" s="62" t="s">
        <v>43</v>
      </c>
      <c r="T6" s="58"/>
      <c r="U6" s="58" t="s">
        <v>1126</v>
      </c>
      <c r="V6" s="58">
        <v>1</v>
      </c>
      <c r="Y6" s="58"/>
      <c r="AA6" s="58"/>
      <c r="AC6" s="58"/>
      <c r="AE6" s="58"/>
      <c r="AG6" s="58"/>
      <c r="AT6" s="57">
        <f t="shared" si="1"/>
        <v>1</v>
      </c>
      <c r="AU6" s="65" t="s">
        <v>560</v>
      </c>
      <c r="AV6" s="56" t="str">
        <f t="shared" ca="1" si="2"/>
        <v>ERR</v>
      </c>
      <c r="AW6" s="43" t="str">
        <f t="shared" ca="1" si="3"/>
        <v>ВЬЕТНАМ</v>
      </c>
      <c r="AX6" s="74">
        <f t="shared" si="4"/>
        <v>0.1</v>
      </c>
      <c r="AY6" s="43">
        <f t="shared" si="5"/>
        <v>0.15000000000000002</v>
      </c>
      <c r="AZ6" s="43">
        <f t="shared" si="6"/>
        <v>0.1</v>
      </c>
      <c r="BA6" s="43">
        <f t="shared" si="7"/>
        <v>0.15000000000000002</v>
      </c>
      <c r="BB6" s="139">
        <v>4114</v>
      </c>
      <c r="BC6" s="152">
        <f t="shared" si="8"/>
        <v>4114</v>
      </c>
      <c r="BD6" s="45">
        <f>IF(A6&lt;&gt;"",IF(_xlfn.XLOOKUP(A6,'1C'!A:A,'1C'!A:A,0,0)&gt;0,1,0),"")</f>
        <v>0</v>
      </c>
      <c r="BE6" s="153">
        <f>IF(C6&lt;&gt;"",IF(_xlfn.XLOOKUP(TEXT(C6,"###"),'1C'!W:W,'1C'!D:D,0,0)&gt;0,0,1),"")</f>
        <v>1</v>
      </c>
      <c r="BF6" s="72" t="str">
        <f t="shared" si="9"/>
        <v>-</v>
      </c>
    </row>
    <row r="7" spans="1:59" ht="98.1" customHeight="1">
      <c r="C7" s="146" t="s">
        <v>47</v>
      </c>
      <c r="G7" s="56"/>
      <c r="I7" s="134"/>
      <c r="J7" s="64"/>
      <c r="K7" s="100"/>
      <c r="M7" s="62"/>
      <c r="N7" s="62"/>
      <c r="O7" s="62"/>
      <c r="P7" s="62"/>
      <c r="Q7" s="132"/>
      <c r="R7" s="64"/>
      <c r="S7" s="62"/>
      <c r="T7" s="58"/>
      <c r="U7" s="58"/>
      <c r="V7" s="58"/>
      <c r="Y7" s="58"/>
      <c r="AA7" s="58"/>
      <c r="AC7" s="58"/>
      <c r="AE7" s="58"/>
      <c r="AG7" s="58"/>
      <c r="AT7" s="57"/>
      <c r="AU7" s="65"/>
      <c r="AV7" s="56"/>
      <c r="BE7" s="102"/>
      <c r="BF7" s="72"/>
    </row>
    <row r="8" spans="1:59" ht="98.1" customHeight="1">
      <c r="C8" s="146"/>
      <c r="G8" s="56"/>
      <c r="J8" s="64"/>
      <c r="K8" s="100"/>
      <c r="M8" s="62"/>
      <c r="N8" s="62"/>
      <c r="O8" s="62"/>
      <c r="P8" s="62"/>
      <c r="Q8" s="132"/>
      <c r="R8" s="64"/>
      <c r="S8" s="62"/>
      <c r="T8" s="58"/>
      <c r="U8" s="58"/>
      <c r="V8" s="58"/>
      <c r="Y8" s="58"/>
      <c r="AA8" s="58"/>
      <c r="AC8" s="58"/>
      <c r="AE8" s="58"/>
      <c r="AG8" s="58"/>
      <c r="AT8" s="57"/>
      <c r="AU8" s="65"/>
      <c r="AV8" s="56"/>
      <c r="BE8" s="102"/>
      <c r="BF8" s="72"/>
    </row>
    <row r="9" spans="1:59" ht="98.1" customHeight="1">
      <c r="C9" s="146"/>
      <c r="G9" s="56"/>
      <c r="J9" s="64"/>
      <c r="K9" s="100"/>
      <c r="M9" s="62"/>
      <c r="N9" s="62"/>
      <c r="O9" s="62"/>
      <c r="P9" s="62"/>
      <c r="Q9" s="132"/>
      <c r="R9" s="64"/>
      <c r="S9" s="62"/>
      <c r="T9" s="58"/>
      <c r="U9" s="58"/>
      <c r="V9" s="58"/>
      <c r="Y9" s="58"/>
      <c r="AA9" s="58"/>
      <c r="AC9" s="58"/>
      <c r="AE9" s="58"/>
      <c r="AG9" s="58"/>
      <c r="AT9" s="57"/>
      <c r="AU9" s="65"/>
      <c r="AV9" s="56"/>
      <c r="BE9" s="102"/>
      <c r="BF9" s="72"/>
    </row>
    <row r="10" spans="1:59" ht="98.1" customHeight="1">
      <c r="C10" s="146"/>
      <c r="G10" s="56"/>
      <c r="J10" s="64"/>
      <c r="K10" s="100"/>
      <c r="M10" s="62"/>
      <c r="N10" s="62"/>
      <c r="O10" s="62"/>
      <c r="P10" s="62"/>
      <c r="Q10" s="132"/>
      <c r="R10" s="64"/>
      <c r="S10" s="62"/>
      <c r="T10" s="58"/>
      <c r="U10" s="58"/>
      <c r="V10" s="58"/>
      <c r="Y10" s="58"/>
      <c r="AA10" s="58"/>
      <c r="AC10" s="58"/>
      <c r="AE10" s="58"/>
      <c r="AG10" s="58"/>
      <c r="AT10" s="57"/>
      <c r="AU10" s="65"/>
      <c r="AV10" s="56"/>
      <c r="BE10" s="102"/>
      <c r="BF10" s="72"/>
    </row>
    <row r="11" spans="1:59" ht="98.1" customHeight="1">
      <c r="C11" s="146"/>
      <c r="G11" s="56"/>
      <c r="J11" s="64"/>
      <c r="K11" s="100"/>
      <c r="M11" s="62"/>
      <c r="N11" s="62"/>
      <c r="O11" s="62"/>
      <c r="P11" s="62"/>
      <c r="Q11" s="132"/>
      <c r="R11" s="64"/>
      <c r="S11" s="62"/>
      <c r="T11" s="58"/>
      <c r="U11" s="58"/>
      <c r="V11" s="58"/>
      <c r="Y11" s="58"/>
      <c r="AA11" s="58"/>
      <c r="AC11" s="58"/>
      <c r="AE11" s="58"/>
      <c r="AG11" s="58"/>
      <c r="AT11" s="57"/>
      <c r="AU11" s="65"/>
      <c r="AV11" s="56"/>
      <c r="BE11" s="102"/>
      <c r="BF11" s="72"/>
    </row>
    <row r="12" spans="1:59" ht="98.1" customHeight="1">
      <c r="C12" s="146"/>
      <c r="G12" s="56"/>
      <c r="J12" s="64"/>
      <c r="K12" s="100"/>
      <c r="M12" s="62"/>
      <c r="N12" s="62"/>
      <c r="O12" s="62"/>
      <c r="P12" s="62"/>
      <c r="Q12" s="132"/>
      <c r="R12" s="64"/>
      <c r="S12" s="62"/>
      <c r="T12" s="58"/>
      <c r="U12" s="58"/>
      <c r="V12" s="58"/>
      <c r="Y12" s="58"/>
      <c r="AA12" s="58"/>
      <c r="AC12" s="58"/>
      <c r="AE12" s="58"/>
      <c r="AG12" s="58"/>
      <c r="AT12" s="57"/>
      <c r="AU12" s="65"/>
      <c r="AV12" s="56"/>
      <c r="BE12" s="102"/>
      <c r="BF12" s="72"/>
    </row>
    <row r="13" spans="1:59" ht="98.1" customHeight="1">
      <c r="C13" s="146"/>
      <c r="G13" s="56"/>
      <c r="J13" s="64"/>
      <c r="K13" s="100"/>
      <c r="M13" s="62"/>
      <c r="N13" s="62"/>
      <c r="O13" s="62"/>
      <c r="P13" s="62"/>
      <c r="Q13" s="132"/>
      <c r="R13" s="64"/>
      <c r="S13" s="62"/>
      <c r="T13" s="58"/>
      <c r="U13" s="58"/>
      <c r="V13" s="58"/>
      <c r="Y13" s="58"/>
      <c r="AA13" s="58"/>
      <c r="AC13" s="58"/>
      <c r="AE13" s="58"/>
      <c r="AG13" s="58"/>
      <c r="AT13" s="57"/>
      <c r="AU13" s="65"/>
      <c r="AV13" s="56"/>
      <c r="BE13" s="102"/>
      <c r="BF13" s="72"/>
    </row>
    <row r="14" spans="1:59" ht="98.1" customHeight="1">
      <c r="C14" s="146"/>
      <c r="G14" s="56"/>
      <c r="J14" s="64"/>
      <c r="K14" s="100"/>
      <c r="M14" s="62"/>
      <c r="N14" s="62"/>
      <c r="O14" s="62"/>
      <c r="P14" s="62"/>
      <c r="Q14" s="132"/>
      <c r="R14" s="64"/>
      <c r="S14" s="62"/>
      <c r="T14" s="58"/>
      <c r="U14" s="58"/>
      <c r="V14" s="58"/>
      <c r="Y14" s="58"/>
      <c r="AA14" s="58"/>
      <c r="AC14" s="58"/>
      <c r="AE14" s="58"/>
      <c r="AG14" s="58"/>
      <c r="AT14" s="57"/>
      <c r="AU14" s="65"/>
      <c r="AV14" s="56"/>
      <c r="BE14" s="102"/>
      <c r="BF14" s="72"/>
    </row>
    <row r="15" spans="1:59" ht="98.1" customHeight="1">
      <c r="C15" s="146"/>
      <c r="G15" s="56"/>
      <c r="J15" s="64"/>
      <c r="K15" s="100"/>
      <c r="M15" s="62"/>
      <c r="N15" s="62"/>
      <c r="O15" s="62"/>
      <c r="P15" s="62"/>
      <c r="Q15" s="132"/>
      <c r="R15" s="64"/>
      <c r="S15" s="62"/>
      <c r="T15" s="58"/>
      <c r="U15" s="58"/>
      <c r="V15" s="58"/>
      <c r="Y15" s="58"/>
      <c r="AA15" s="58"/>
      <c r="AC15" s="58"/>
      <c r="AE15" s="58"/>
      <c r="AG15" s="58"/>
      <c r="AT15" s="57"/>
      <c r="AU15" s="65"/>
      <c r="AV15" s="56"/>
      <c r="BE15" s="102"/>
      <c r="BF15" s="72"/>
    </row>
    <row r="16" spans="1:59" ht="98.1" customHeight="1">
      <c r="C16" s="146"/>
      <c r="G16" s="56"/>
      <c r="J16" s="64"/>
      <c r="K16" s="100"/>
      <c r="M16" s="62"/>
      <c r="N16" s="62"/>
      <c r="O16" s="62"/>
      <c r="P16" s="62"/>
      <c r="Q16" s="132"/>
      <c r="R16" s="64"/>
      <c r="S16" s="62"/>
      <c r="T16" s="58"/>
      <c r="U16" s="58"/>
      <c r="V16" s="58"/>
      <c r="Y16" s="58"/>
      <c r="AA16" s="58"/>
      <c r="AC16" s="58"/>
      <c r="AE16" s="58"/>
      <c r="AG16" s="58"/>
      <c r="AT16" s="57"/>
      <c r="AU16" s="65"/>
      <c r="AV16" s="56"/>
      <c r="BE16" s="102"/>
      <c r="BF16" s="72"/>
    </row>
    <row r="17" spans="3:58" ht="98.1" customHeight="1">
      <c r="C17" s="146"/>
      <c r="G17" s="56"/>
      <c r="J17" s="64"/>
      <c r="K17" s="100"/>
      <c r="M17" s="62"/>
      <c r="N17" s="62"/>
      <c r="O17" s="62"/>
      <c r="P17" s="62"/>
      <c r="Q17" s="132"/>
      <c r="R17" s="64"/>
      <c r="S17" s="62"/>
      <c r="T17" s="58"/>
      <c r="U17" s="58"/>
      <c r="V17" s="58"/>
      <c r="Y17" s="58"/>
      <c r="AA17" s="58"/>
      <c r="AC17" s="58"/>
      <c r="AE17" s="58"/>
      <c r="AG17" s="58"/>
      <c r="AT17" s="57"/>
      <c r="AU17" s="65"/>
      <c r="AV17" s="56"/>
      <c r="BE17" s="102"/>
      <c r="BF17" s="72"/>
    </row>
    <row r="18" spans="3:58" ht="98.1" customHeight="1">
      <c r="C18" s="146"/>
      <c r="G18" s="56"/>
      <c r="J18" s="64"/>
      <c r="K18" s="100"/>
      <c r="M18" s="62"/>
      <c r="N18" s="62"/>
      <c r="O18" s="62"/>
      <c r="P18" s="62"/>
      <c r="Q18" s="132"/>
      <c r="R18" s="64"/>
      <c r="S18" s="62"/>
      <c r="T18" s="58"/>
      <c r="U18" s="58"/>
      <c r="V18" s="58"/>
      <c r="Y18" s="58"/>
      <c r="AA18" s="58"/>
      <c r="AC18" s="58"/>
      <c r="AE18" s="58"/>
      <c r="AG18" s="58"/>
      <c r="AT18" s="57"/>
      <c r="AU18" s="65"/>
      <c r="AV18" s="56"/>
      <c r="BE18" s="102"/>
      <c r="BF18" s="72"/>
    </row>
    <row r="19" spans="3:58" ht="98.1" customHeight="1">
      <c r="C19" s="146"/>
      <c r="G19" s="56"/>
      <c r="J19" s="64"/>
      <c r="K19" s="100"/>
      <c r="M19" s="62"/>
      <c r="N19" s="62"/>
      <c r="O19" s="62"/>
      <c r="P19" s="62"/>
      <c r="Q19" s="132"/>
      <c r="R19" s="64"/>
      <c r="S19" s="62"/>
      <c r="T19" s="58"/>
      <c r="U19" s="58"/>
      <c r="V19" s="58"/>
      <c r="Y19" s="58"/>
      <c r="AA19" s="58"/>
      <c r="AC19" s="58"/>
      <c r="AE19" s="58"/>
      <c r="AG19" s="58"/>
      <c r="AT19" s="57"/>
      <c r="AU19" s="65"/>
      <c r="AV19" s="56"/>
      <c r="BE19" s="102"/>
      <c r="BF19" s="72"/>
    </row>
    <row r="20" spans="3:58" ht="98.1" customHeight="1">
      <c r="C20" s="146"/>
      <c r="G20" s="56"/>
      <c r="J20" s="64"/>
      <c r="K20" s="100"/>
      <c r="M20" s="62"/>
      <c r="N20" s="62"/>
      <c r="O20" s="62"/>
      <c r="P20" s="62"/>
      <c r="Q20" s="132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/>
      <c r="AU20" s="65"/>
      <c r="AV20" s="56"/>
      <c r="BE20" s="102"/>
      <c r="BF20" s="72"/>
    </row>
    <row r="21" spans="3:58" ht="98.1" customHeight="1">
      <c r="C21" s="146"/>
      <c r="G21" s="56"/>
      <c r="J21" s="64"/>
      <c r="K21" s="100"/>
      <c r="M21" s="62"/>
      <c r="N21" s="62"/>
      <c r="O21" s="62"/>
      <c r="P21" s="62"/>
      <c r="Q21" s="132"/>
      <c r="R21" s="64"/>
      <c r="S21" s="62"/>
      <c r="T21" s="58"/>
      <c r="U21" s="58"/>
      <c r="V21" s="58"/>
      <c r="Y21" s="58"/>
      <c r="AA21" s="58"/>
      <c r="AC21" s="58"/>
      <c r="AE21" s="58"/>
      <c r="AG21" s="58"/>
      <c r="AT21" s="57"/>
      <c r="AU21" s="65"/>
      <c r="AV21" s="56"/>
      <c r="BE21" s="102"/>
      <c r="BF21" s="72"/>
    </row>
    <row r="22" spans="3:58" ht="98.1" customHeight="1">
      <c r="C22" s="146"/>
      <c r="G22" s="56"/>
      <c r="J22" s="64"/>
      <c r="K22" s="100"/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/>
      <c r="AU22" s="65"/>
      <c r="AV22" s="56"/>
      <c r="BE22" s="102"/>
      <c r="BF22" s="72"/>
    </row>
    <row r="23" spans="3:58" ht="98.1" customHeight="1">
      <c r="C23" s="146"/>
      <c r="G23" s="56"/>
      <c r="J23" s="64"/>
      <c r="K23" s="100"/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/>
      <c r="AU23" s="65"/>
      <c r="AV23" s="56"/>
      <c r="BE23" s="102"/>
      <c r="BF23" s="72"/>
    </row>
    <row r="24" spans="3:58" ht="98.1" customHeight="1">
      <c r="C24" s="146"/>
      <c r="G24" s="56"/>
      <c r="J24" s="64"/>
      <c r="K24" s="100"/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/>
      <c r="AU24" s="65"/>
      <c r="AV24" s="56"/>
      <c r="BE24" s="102"/>
      <c r="BF24" s="72"/>
    </row>
    <row r="25" spans="3:58" ht="98.1" customHeight="1">
      <c r="C25" s="146"/>
      <c r="G25" s="56"/>
      <c r="J25" s="64"/>
      <c r="K25" s="100"/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/>
      <c r="AU25" s="65"/>
      <c r="AV25" s="56"/>
      <c r="BE25" s="102"/>
      <c r="BF25" s="72"/>
    </row>
    <row r="26" spans="3:58" ht="98.1" customHeight="1">
      <c r="C26" s="146"/>
      <c r="G26" s="56"/>
      <c r="J26" s="64"/>
      <c r="K26" s="100"/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/>
      <c r="AU26" s="65"/>
      <c r="AV26" s="56"/>
      <c r="BE26" s="102"/>
      <c r="BF26" s="72"/>
    </row>
    <row r="27" spans="3:58" ht="98.1" customHeight="1">
      <c r="C27" s="146"/>
      <c r="G27" s="56"/>
      <c r="J27" s="64"/>
      <c r="K27" s="100"/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/>
      <c r="AU27" s="65"/>
      <c r="AV27" s="56"/>
      <c r="BE27" s="102"/>
      <c r="BF27" s="72"/>
    </row>
    <row r="28" spans="3:58" ht="98.1" customHeight="1">
      <c r="C28" s="146"/>
      <c r="G28" s="56"/>
      <c r="J28" s="64"/>
      <c r="K28" s="100"/>
      <c r="M28" s="62"/>
      <c r="N28" s="62"/>
      <c r="O28" s="62"/>
      <c r="P28" s="62"/>
      <c r="Q28" s="132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7"/>
      <c r="AU28" s="65"/>
      <c r="AV28" s="56"/>
      <c r="BE28" s="102"/>
      <c r="BF28" s="72"/>
    </row>
    <row r="29" spans="3:58" ht="98.1" customHeight="1">
      <c r="C29" s="146"/>
      <c r="G29" s="56"/>
      <c r="J29" s="64"/>
      <c r="K29" s="100"/>
      <c r="M29" s="62"/>
      <c r="N29" s="62"/>
      <c r="O29" s="62"/>
      <c r="P29" s="62"/>
      <c r="Q29" s="132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7"/>
      <c r="AU29" s="65"/>
      <c r="AV29" s="56"/>
      <c r="BE29" s="102"/>
      <c r="BF29" s="72"/>
    </row>
    <row r="30" spans="3:58" ht="98.1" customHeight="1">
      <c r="C30" s="146"/>
      <c r="G30" s="56"/>
      <c r="J30" s="58"/>
      <c r="K30" s="100"/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/>
      <c r="AU30" s="65"/>
      <c r="AV30" s="56"/>
      <c r="BE30" s="102"/>
      <c r="BF30" s="72"/>
    </row>
    <row r="31" spans="3:58" ht="98.1" customHeight="1">
      <c r="C31" s="146"/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3:58" ht="98.1" customHeight="1">
      <c r="C32" s="146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6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6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6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T35" s="57"/>
      <c r="AU35" s="65"/>
      <c r="AV35" s="56"/>
      <c r="BE35" s="102"/>
      <c r="BF35" s="72"/>
    </row>
    <row r="36" spans="3:58" ht="98.1" customHeight="1">
      <c r="C36" s="146"/>
      <c r="G36" s="56"/>
      <c r="J36" s="58"/>
      <c r="K36" s="100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6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6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6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6"/>
      <c r="G40" s="56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6"/>
      <c r="G41" s="56"/>
      <c r="L41" s="99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6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6"/>
      <c r="G43" s="56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6"/>
      <c r="G44" s="56"/>
      <c r="L44" s="99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6"/>
      <c r="G45" s="56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6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6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6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6"/>
      <c r="G49" s="56"/>
      <c r="L49" s="99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6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6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6"/>
      <c r="G52" s="56"/>
      <c r="M52" s="62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6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6"/>
      <c r="G54" s="56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6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6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6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6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6"/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6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6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6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J3:M3 M3:O52 A1:O2 N3:O187 B3:B187 A8:O356 P1:BD356 A3:H7 J4:O7">
    <cfRule type="expression" dxfId="25" priority="16">
      <formula>IF(УФ_Переключатель=1,IFERROR(TEXT(RIGHT(A1,255),"###"),TRUE))</formula>
    </cfRule>
  </conditionalFormatting>
  <conditionalFormatting sqref="J3:M3 M3:O52 A1:O2 N3:O187 B3:B187 A8:O356 P1:BF356 A3:H7 J4:O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6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4" t="s">
        <v>572</v>
      </c>
      <c r="C9" s="165"/>
      <c r="D9" s="166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885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887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888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L24" s="46" t="s">
        <v>889</v>
      </c>
      <c r="N24" s="46" t="s">
        <v>541</v>
      </c>
      <c r="O24" s="46" t="s">
        <v>571</v>
      </c>
    </row>
    <row r="25" spans="2:17" ht="22.15" customHeight="1">
      <c r="L25" s="46" t="s">
        <v>890</v>
      </c>
      <c r="N25" s="46" t="s">
        <v>538</v>
      </c>
      <c r="O25" s="46" t="s">
        <v>589</v>
      </c>
    </row>
    <row r="26" spans="2:17" ht="22.15" customHeight="1">
      <c r="L26" s="46" t="s">
        <v>892</v>
      </c>
      <c r="N26" s="46" t="s">
        <v>542</v>
      </c>
      <c r="O26" s="46" t="s">
        <v>438</v>
      </c>
    </row>
    <row r="27" spans="2:17" ht="22.15" customHeight="1">
      <c r="L27" s="46" t="s">
        <v>891</v>
      </c>
    </row>
    <row r="28" spans="2:17" ht="22.15" customHeight="1">
      <c r="L28" s="46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869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870</v>
      </c>
      <c r="B831" s="113" t="s">
        <v>598</v>
      </c>
    </row>
    <row r="832" spans="1:2">
      <c r="A832" s="112" t="s">
        <v>871</v>
      </c>
      <c r="B832" s="113" t="s">
        <v>605</v>
      </c>
    </row>
    <row r="833" spans="1:2">
      <c r="A833" s="112" t="s">
        <v>872</v>
      </c>
      <c r="B833" s="113" t="s">
        <v>604</v>
      </c>
    </row>
    <row r="834" spans="1:2">
      <c r="A834" s="112" t="s">
        <v>873</v>
      </c>
      <c r="B834" s="113" t="s">
        <v>603</v>
      </c>
    </row>
    <row r="835" spans="1:2">
      <c r="A835" s="112" t="s">
        <v>874</v>
      </c>
      <c r="B835" s="113" t="s">
        <v>602</v>
      </c>
    </row>
    <row r="836" spans="1:2">
      <c r="A836" s="112" t="s">
        <v>875</v>
      </c>
      <c r="B836" s="113" t="s">
        <v>598</v>
      </c>
    </row>
    <row r="837" spans="1:2">
      <c r="A837" s="112" t="s">
        <v>876</v>
      </c>
      <c r="B837" s="113" t="s">
        <v>600</v>
      </c>
    </row>
    <row r="838" spans="1:2">
      <c r="A838" s="112" t="s">
        <v>877</v>
      </c>
      <c r="B838" s="113" t="s">
        <v>599</v>
      </c>
    </row>
    <row r="839" spans="1:2">
      <c r="A839" s="112" t="s">
        <v>878</v>
      </c>
      <c r="B839" s="113" t="s">
        <v>638</v>
      </c>
    </row>
    <row r="840" spans="1:2">
      <c r="A840" s="112" t="s">
        <v>879</v>
      </c>
      <c r="B840" s="113" t="s">
        <v>779</v>
      </c>
    </row>
    <row r="841" spans="1:2">
      <c r="A841" s="112" t="s">
        <v>880</v>
      </c>
      <c r="B841" s="113" t="s">
        <v>661</v>
      </c>
    </row>
    <row r="842" spans="1:2">
      <c r="A842" s="112" t="s">
        <v>881</v>
      </c>
      <c r="B842" s="113" t="s">
        <v>686</v>
      </c>
    </row>
    <row r="843" spans="1:2">
      <c r="A843" s="112" t="s">
        <v>882</v>
      </c>
      <c r="B843" s="113" t="s">
        <v>644</v>
      </c>
    </row>
    <row r="844" spans="1:2">
      <c r="A844" s="112" t="s">
        <v>883</v>
      </c>
      <c r="B844" s="113" t="s">
        <v>764</v>
      </c>
    </row>
    <row r="845" spans="1:2">
      <c r="A845" s="112" t="s">
        <v>884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opLeftCell="CK1" zoomScale="70" zoomScaleNormal="70" workbookViewId="0">
      <pane ySplit="1" topLeftCell="A2" activePane="bottomLeft" state="frozen"/>
      <selection pane="bottomLeft" activeCell="CU11" sqref="CU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56" activePane="bottomLeft" state="frozen"/>
      <selection pane="bottomLeft" activeCell="C77" sqref="C77:G8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868</v>
      </c>
      <c r="AB1" s="77" t="s">
        <v>557</v>
      </c>
      <c r="AC1" s="75">
        <f>MAX(AC2:AC10000)</f>
        <v>56</v>
      </c>
      <c r="AD1" s="75"/>
      <c r="AE1" s="75" t="str">
        <f>RIGHT(TEXT(MAX(AE2:AE10000),"###"),3)</f>
        <v>066</v>
      </c>
      <c r="AF1" s="76" t="str">
        <f>RIGHT("000"&amp;AC1,2)&amp;"-"&amp;RIGHT("000"&amp;AE1,3)</f>
        <v>56-066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56-067-</v>
      </c>
      <c r="AI1" s="78" t="s">
        <v>582</v>
      </c>
      <c r="AJ1" s="142" t="s">
        <v>885</v>
      </c>
      <c r="AK1" s="78" t="s">
        <v>852</v>
      </c>
      <c r="AL1" s="143">
        <v>1</v>
      </c>
    </row>
    <row r="2" spans="1:38">
      <c r="A2" s="81" t="str">
        <f>IF(G2&amp;Q2&lt;&gt;"",W2&amp;Q2,"")</f>
        <v>HD9695black</v>
      </c>
      <c r="B2" s="81" t="str">
        <f>IF(C2&lt;&gt;"",LEFT(C2,9),"")</f>
        <v>56-019-09</v>
      </c>
      <c r="C2" s="103" t="s">
        <v>900</v>
      </c>
      <c r="D2" s="103" t="s">
        <v>901</v>
      </c>
      <c r="E2" s="103" t="s">
        <v>902</v>
      </c>
      <c r="F2" s="104">
        <v>57</v>
      </c>
      <c r="G2" s="104" t="s">
        <v>903</v>
      </c>
      <c r="H2" s="103" t="s">
        <v>246</v>
      </c>
      <c r="I2" s="103" t="s">
        <v>904</v>
      </c>
      <c r="J2" s="103" t="s">
        <v>356</v>
      </c>
      <c r="K2" s="103" t="s">
        <v>382</v>
      </c>
      <c r="L2" s="103" t="s">
        <v>888</v>
      </c>
      <c r="M2" s="103" t="s">
        <v>388</v>
      </c>
      <c r="O2" s="103" t="s">
        <v>386</v>
      </c>
      <c r="P2" s="103" t="s">
        <v>905</v>
      </c>
      <c r="Q2" s="103" t="s">
        <v>899</v>
      </c>
      <c r="R2" s="103" t="s">
        <v>83</v>
      </c>
      <c r="V2" s="81" t="str">
        <f>W2&amp;H2</f>
        <v>HD9695серый / черный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HD9695</v>
      </c>
      <c r="X2" s="81" t="str">
        <f>IF(A2&lt;&gt;"",IFERROR(IF(FIND(" ",G2)&gt;=1,MID(G2,FIND(" ",G2)+1,LEN(G2)),""),""),"")</f>
        <v>CURVED TRUCKER</v>
      </c>
      <c r="AC2" s="60">
        <f>IFERROR(VALUE(MID($C2,1,2)),0)</f>
        <v>56</v>
      </c>
      <c r="AD2" s="49">
        <f t="shared" ref="AD2:AD66" si="1">IFERROR(VALUE(MID($C2,4,3)),0)</f>
        <v>19</v>
      </c>
      <c r="AE2" s="60">
        <f>VALUE(RIGHT("00"&amp;AC2,2)&amp;RIGHT("000"&amp;AD2,3))</f>
        <v>56019</v>
      </c>
    </row>
    <row r="3" spans="1:38">
      <c r="A3" s="81" t="str">
        <f t="shared" ref="A3:A66" si="2">IF(G3&amp;Q3&lt;&gt;"",W3&amp;Q3,"")</f>
        <v>HD9755multicoloured</v>
      </c>
      <c r="B3" s="81" t="str">
        <f t="shared" ref="B3:B66" si="3">IF(C3&lt;&gt;"",LEFT(C3,9),"")</f>
        <v>56-018-35</v>
      </c>
      <c r="C3" s="103" t="s">
        <v>906</v>
      </c>
      <c r="D3" s="103" t="s">
        <v>907</v>
      </c>
      <c r="E3" s="103" t="s">
        <v>902</v>
      </c>
      <c r="F3" s="104">
        <v>57</v>
      </c>
      <c r="G3" s="104" t="s">
        <v>908</v>
      </c>
      <c r="H3" s="103" t="s">
        <v>209</v>
      </c>
      <c r="I3" s="103" t="s">
        <v>909</v>
      </c>
      <c r="J3" s="103" t="s">
        <v>327</v>
      </c>
      <c r="K3" s="103" t="s">
        <v>382</v>
      </c>
      <c r="L3" s="103" t="s">
        <v>888</v>
      </c>
      <c r="M3" s="103" t="s">
        <v>388</v>
      </c>
      <c r="O3" s="103" t="s">
        <v>386</v>
      </c>
      <c r="P3" s="103" t="s">
        <v>905</v>
      </c>
      <c r="Q3" s="103" t="s">
        <v>910</v>
      </c>
      <c r="R3" s="103" t="s">
        <v>209</v>
      </c>
      <c r="V3" s="81" t="str">
        <f t="shared" ref="V3:V66" si="4">W3&amp;H3</f>
        <v>HD9755разноцветный</v>
      </c>
      <c r="W3" s="81" t="str">
        <f t="shared" si="0"/>
        <v>HD9755</v>
      </c>
      <c r="X3" s="81" t="str">
        <f t="shared" ref="X3:X66" si="5">IF(A3&lt;&gt;"",IFERROR(IF(FIND(" ",G3)&gt;=1,MID(G3,FIND(" ",G3)+1,LEN(G3)),""),""),"")</f>
        <v>CAMO BALLCAP</v>
      </c>
      <c r="AC3" s="60">
        <f t="shared" ref="AC3:AC66" si="6">IFERROR(VALUE(MID($C3,1,2)),0)</f>
        <v>56</v>
      </c>
      <c r="AD3" s="49">
        <f t="shared" si="1"/>
        <v>18</v>
      </c>
      <c r="AE3" s="60">
        <f t="shared" ref="AE3:AE66" si="7">VALUE(RIGHT("00"&amp;AC3,2)&amp;RIGHT("000"&amp;AD3,3))</f>
        <v>56018</v>
      </c>
    </row>
    <row r="4" spans="1:38">
      <c r="A4" s="81" t="str">
        <f t="shared" si="2"/>
        <v>HD2224beige</v>
      </c>
      <c r="B4" s="81" t="str">
        <f t="shared" si="3"/>
        <v>56-017-02</v>
      </c>
      <c r="C4" s="103" t="s">
        <v>911</v>
      </c>
      <c r="D4" s="103" t="s">
        <v>912</v>
      </c>
      <c r="E4" s="103" t="s">
        <v>902</v>
      </c>
      <c r="F4" s="104">
        <v>57</v>
      </c>
      <c r="G4" s="104" t="s">
        <v>913</v>
      </c>
      <c r="H4" s="103" t="s">
        <v>63</v>
      </c>
      <c r="I4" s="103" t="s">
        <v>914</v>
      </c>
      <c r="J4" s="103" t="s">
        <v>327</v>
      </c>
      <c r="K4" s="103" t="s">
        <v>382</v>
      </c>
      <c r="L4" s="103" t="s">
        <v>888</v>
      </c>
      <c r="M4" s="103" t="s">
        <v>388</v>
      </c>
      <c r="N4" s="103" t="s">
        <v>43</v>
      </c>
      <c r="O4" s="103" t="s">
        <v>386</v>
      </c>
      <c r="P4" s="103" t="s">
        <v>905</v>
      </c>
      <c r="Q4" s="103" t="s">
        <v>915</v>
      </c>
      <c r="R4" s="103" t="s">
        <v>63</v>
      </c>
      <c r="V4" s="81" t="str">
        <f t="shared" si="4"/>
        <v>HD2224бежевый</v>
      </c>
      <c r="W4" s="81" t="str">
        <f t="shared" si="0"/>
        <v>HD2224</v>
      </c>
      <c r="X4" s="81" t="str">
        <f t="shared" si="5"/>
        <v>BSBL STREET</v>
      </c>
      <c r="AC4" s="60">
        <f t="shared" si="6"/>
        <v>56</v>
      </c>
      <c r="AD4" s="49">
        <f t="shared" si="1"/>
        <v>17</v>
      </c>
      <c r="AE4" s="60">
        <f t="shared" si="7"/>
        <v>56017</v>
      </c>
    </row>
    <row r="5" spans="1:38">
      <c r="A5" s="81" t="str">
        <f t="shared" si="2"/>
        <v>HD7239blue</v>
      </c>
      <c r="B5" s="81" t="str">
        <f t="shared" si="3"/>
        <v>56-016-06</v>
      </c>
      <c r="C5" s="103" t="s">
        <v>916</v>
      </c>
      <c r="D5" s="103" t="s">
        <v>917</v>
      </c>
      <c r="E5" s="103" t="s">
        <v>918</v>
      </c>
      <c r="F5" s="104">
        <v>61</v>
      </c>
      <c r="G5" s="104" t="s">
        <v>919</v>
      </c>
      <c r="H5" s="103" t="s">
        <v>71</v>
      </c>
      <c r="I5" s="103" t="s">
        <v>914</v>
      </c>
      <c r="J5" s="103" t="s">
        <v>327</v>
      </c>
      <c r="K5" s="103" t="s">
        <v>382</v>
      </c>
      <c r="L5" s="103" t="s">
        <v>888</v>
      </c>
      <c r="M5" s="103" t="s">
        <v>388</v>
      </c>
      <c r="N5" s="103" t="s">
        <v>43</v>
      </c>
      <c r="O5" s="103" t="s">
        <v>386</v>
      </c>
      <c r="P5" s="103" t="s">
        <v>905</v>
      </c>
      <c r="Q5" s="103" t="s">
        <v>920</v>
      </c>
      <c r="R5" s="103" t="s">
        <v>71</v>
      </c>
      <c r="V5" s="81" t="str">
        <f t="shared" si="4"/>
        <v>HD7239синий</v>
      </c>
      <c r="W5" s="81" t="str">
        <f t="shared" si="0"/>
        <v>HD7239</v>
      </c>
      <c r="X5" s="81" t="str">
        <f t="shared" si="5"/>
        <v>BBALLCAP LT MET</v>
      </c>
      <c r="AC5" s="60">
        <f t="shared" si="6"/>
        <v>56</v>
      </c>
      <c r="AD5" s="49">
        <f t="shared" si="1"/>
        <v>16</v>
      </c>
      <c r="AE5" s="60">
        <f t="shared" si="7"/>
        <v>56016</v>
      </c>
    </row>
    <row r="6" spans="1:38">
      <c r="A6" s="81" t="str">
        <f t="shared" si="2"/>
        <v>HD7239blue</v>
      </c>
      <c r="B6" s="81" t="str">
        <f t="shared" si="3"/>
        <v>56-016-06</v>
      </c>
      <c r="C6" s="103" t="s">
        <v>921</v>
      </c>
      <c r="D6" s="103" t="s">
        <v>917</v>
      </c>
      <c r="E6" s="103" t="s">
        <v>902</v>
      </c>
      <c r="F6" s="104">
        <v>57</v>
      </c>
      <c r="G6" s="104" t="s">
        <v>919</v>
      </c>
      <c r="H6" s="103" t="s">
        <v>71</v>
      </c>
      <c r="I6" s="103" t="s">
        <v>914</v>
      </c>
      <c r="J6" s="103" t="s">
        <v>327</v>
      </c>
      <c r="K6" s="103" t="s">
        <v>382</v>
      </c>
      <c r="L6" s="103" t="s">
        <v>888</v>
      </c>
      <c r="M6" s="103" t="s">
        <v>388</v>
      </c>
      <c r="N6" s="103" t="s">
        <v>43</v>
      </c>
      <c r="O6" s="103" t="s">
        <v>386</v>
      </c>
      <c r="P6" s="103" t="s">
        <v>905</v>
      </c>
      <c r="Q6" s="103" t="s">
        <v>920</v>
      </c>
      <c r="R6" s="103" t="s">
        <v>71</v>
      </c>
      <c r="V6" s="81" t="str">
        <f t="shared" si="4"/>
        <v>HD7239синий</v>
      </c>
      <c r="W6" s="81" t="str">
        <f t="shared" si="0"/>
        <v>HD7239</v>
      </c>
      <c r="X6" s="81" t="str">
        <f t="shared" si="5"/>
        <v>BBALLCAP LT MET</v>
      </c>
      <c r="AC6" s="60">
        <f t="shared" si="6"/>
        <v>56</v>
      </c>
      <c r="AD6" s="49">
        <f t="shared" si="1"/>
        <v>16</v>
      </c>
      <c r="AE6" s="60">
        <f t="shared" si="7"/>
        <v>56016</v>
      </c>
    </row>
    <row r="7" spans="1:38">
      <c r="A7" s="81" t="str">
        <f t="shared" si="2"/>
        <v>HD7045black</v>
      </c>
      <c r="B7" s="81" t="str">
        <f t="shared" si="3"/>
        <v>56-015-09</v>
      </c>
      <c r="C7" s="103" t="s">
        <v>922</v>
      </c>
      <c r="D7" s="103" t="s">
        <v>923</v>
      </c>
      <c r="E7" s="103" t="s">
        <v>918</v>
      </c>
      <c r="F7" s="104">
        <v>61</v>
      </c>
      <c r="G7" s="104" t="s">
        <v>924</v>
      </c>
      <c r="H7" s="103" t="s">
        <v>53</v>
      </c>
      <c r="I7" s="103" t="s">
        <v>909</v>
      </c>
      <c r="J7" s="103" t="s">
        <v>327</v>
      </c>
      <c r="K7" s="103" t="s">
        <v>382</v>
      </c>
      <c r="L7" s="103" t="s">
        <v>888</v>
      </c>
      <c r="M7" s="103" t="s">
        <v>388</v>
      </c>
      <c r="O7" s="103" t="s">
        <v>386</v>
      </c>
      <c r="P7" s="103" t="s">
        <v>905</v>
      </c>
      <c r="Q7" s="103" t="s">
        <v>899</v>
      </c>
      <c r="R7" s="103" t="s">
        <v>53</v>
      </c>
      <c r="V7" s="81" t="str">
        <f t="shared" si="4"/>
        <v>HD7045черный</v>
      </c>
      <c r="W7" s="81" t="str">
        <f t="shared" si="0"/>
        <v>HD7045</v>
      </c>
      <c r="X7" s="81" t="str">
        <f t="shared" si="5"/>
        <v>BASEBALL CAP</v>
      </c>
      <c r="AC7" s="60">
        <f t="shared" si="6"/>
        <v>56</v>
      </c>
      <c r="AD7" s="49">
        <f t="shared" si="1"/>
        <v>15</v>
      </c>
      <c r="AE7" s="60">
        <f t="shared" si="7"/>
        <v>56015</v>
      </c>
    </row>
    <row r="8" spans="1:38">
      <c r="A8" s="81" t="str">
        <f t="shared" si="2"/>
        <v>HD7045black</v>
      </c>
      <c r="B8" s="81" t="str">
        <f t="shared" si="3"/>
        <v>56-015-09</v>
      </c>
      <c r="C8" s="103" t="s">
        <v>925</v>
      </c>
      <c r="D8" s="103" t="s">
        <v>923</v>
      </c>
      <c r="E8" s="103" t="s">
        <v>902</v>
      </c>
      <c r="F8" s="104">
        <v>57</v>
      </c>
      <c r="G8" s="104" t="s">
        <v>924</v>
      </c>
      <c r="H8" s="103" t="s">
        <v>53</v>
      </c>
      <c r="I8" s="103" t="s">
        <v>909</v>
      </c>
      <c r="J8" s="103" t="s">
        <v>327</v>
      </c>
      <c r="K8" s="103" t="s">
        <v>382</v>
      </c>
      <c r="L8" s="103" t="s">
        <v>888</v>
      </c>
      <c r="M8" s="103" t="s">
        <v>388</v>
      </c>
      <c r="O8" s="103" t="s">
        <v>386</v>
      </c>
      <c r="P8" s="103" t="s">
        <v>905</v>
      </c>
      <c r="Q8" s="103" t="s">
        <v>899</v>
      </c>
      <c r="R8" s="103" t="s">
        <v>53</v>
      </c>
      <c r="V8" s="81" t="str">
        <f t="shared" si="4"/>
        <v>HD7045черный</v>
      </c>
      <c r="W8" s="81" t="str">
        <f t="shared" si="0"/>
        <v>HD7045</v>
      </c>
      <c r="X8" s="81" t="str">
        <f t="shared" si="5"/>
        <v>BASEBALL CAP</v>
      </c>
      <c r="AC8" s="60">
        <f t="shared" si="6"/>
        <v>56</v>
      </c>
      <c r="AD8" s="49">
        <f t="shared" si="1"/>
        <v>15</v>
      </c>
      <c r="AE8" s="60">
        <f t="shared" si="7"/>
        <v>56015</v>
      </c>
    </row>
    <row r="9" spans="1:38">
      <c r="A9" s="81" t="str">
        <f t="shared" si="2"/>
        <v>HD9700purple</v>
      </c>
      <c r="B9" s="81" t="str">
        <f t="shared" si="3"/>
        <v>56-014-41</v>
      </c>
      <c r="C9" s="103" t="s">
        <v>926</v>
      </c>
      <c r="D9" s="103" t="s">
        <v>927</v>
      </c>
      <c r="E9" s="103" t="s">
        <v>902</v>
      </c>
      <c r="F9" s="104">
        <v>57</v>
      </c>
      <c r="G9" s="104" t="s">
        <v>928</v>
      </c>
      <c r="H9" s="103" t="s">
        <v>286</v>
      </c>
      <c r="I9" s="103" t="s">
        <v>914</v>
      </c>
      <c r="J9" s="103" t="s">
        <v>327</v>
      </c>
      <c r="K9" s="103" t="s">
        <v>382</v>
      </c>
      <c r="L9" s="103" t="s">
        <v>888</v>
      </c>
      <c r="M9" s="103" t="s">
        <v>388</v>
      </c>
      <c r="N9" s="103" t="s">
        <v>43</v>
      </c>
      <c r="O9" s="103" t="s">
        <v>386</v>
      </c>
      <c r="P9" s="103" t="s">
        <v>905</v>
      </c>
      <c r="Q9" s="103" t="s">
        <v>929</v>
      </c>
      <c r="R9" s="103" t="s">
        <v>286</v>
      </c>
      <c r="V9" s="81" t="str">
        <f t="shared" si="4"/>
        <v>HD9700фиолетовый</v>
      </c>
      <c r="W9" s="81" t="str">
        <f t="shared" si="0"/>
        <v>HD9700</v>
      </c>
      <c r="X9" s="81" t="str">
        <f t="shared" si="5"/>
        <v>BASEB CLASS TRE</v>
      </c>
      <c r="AC9" s="60">
        <f t="shared" si="6"/>
        <v>56</v>
      </c>
      <c r="AD9" s="49">
        <f t="shared" si="1"/>
        <v>14</v>
      </c>
      <c r="AE9" s="60">
        <f t="shared" si="7"/>
        <v>56014</v>
      </c>
    </row>
    <row r="10" spans="1:38">
      <c r="A10" s="81" t="str">
        <f t="shared" si="2"/>
        <v>HD9700purple</v>
      </c>
      <c r="B10" s="81" t="str">
        <f t="shared" si="3"/>
        <v>56-014-41</v>
      </c>
      <c r="C10" s="103" t="s">
        <v>930</v>
      </c>
      <c r="D10" s="103" t="s">
        <v>927</v>
      </c>
      <c r="E10" s="103" t="s">
        <v>931</v>
      </c>
      <c r="F10" s="104">
        <v>56</v>
      </c>
      <c r="G10" s="104" t="s">
        <v>928</v>
      </c>
      <c r="H10" s="103" t="s">
        <v>286</v>
      </c>
      <c r="I10" s="103" t="s">
        <v>914</v>
      </c>
      <c r="J10" s="103" t="s">
        <v>327</v>
      </c>
      <c r="K10" s="103" t="s">
        <v>382</v>
      </c>
      <c r="L10" s="103" t="s">
        <v>888</v>
      </c>
      <c r="M10" s="103" t="s">
        <v>388</v>
      </c>
      <c r="N10" s="103" t="s">
        <v>43</v>
      </c>
      <c r="O10" s="103" t="s">
        <v>386</v>
      </c>
      <c r="P10" s="103" t="s">
        <v>905</v>
      </c>
      <c r="Q10" s="103" t="s">
        <v>929</v>
      </c>
      <c r="R10" s="103" t="s">
        <v>286</v>
      </c>
      <c r="V10" s="81" t="str">
        <f t="shared" si="4"/>
        <v>HD9700фиолетовый</v>
      </c>
      <c r="W10" s="81" t="str">
        <f t="shared" si="0"/>
        <v>HD9700</v>
      </c>
      <c r="X10" s="81" t="str">
        <f t="shared" si="5"/>
        <v>BASEB CLASS TRE</v>
      </c>
      <c r="AC10" s="60">
        <f t="shared" si="6"/>
        <v>56</v>
      </c>
      <c r="AD10" s="49">
        <f t="shared" si="1"/>
        <v>14</v>
      </c>
      <c r="AE10" s="60">
        <f t="shared" si="7"/>
        <v>56014</v>
      </c>
    </row>
    <row r="11" spans="1:38">
      <c r="A11" s="81" t="str">
        <f t="shared" si="2"/>
        <v>HD9699black</v>
      </c>
      <c r="B11" s="81" t="str">
        <f t="shared" si="3"/>
        <v>56-013-09</v>
      </c>
      <c r="C11" s="103" t="s">
        <v>932</v>
      </c>
      <c r="D11" s="103" t="s">
        <v>933</v>
      </c>
      <c r="E11" s="103" t="s">
        <v>902</v>
      </c>
      <c r="F11" s="104">
        <v>57</v>
      </c>
      <c r="G11" s="104" t="s">
        <v>934</v>
      </c>
      <c r="H11" s="103" t="s">
        <v>83</v>
      </c>
      <c r="I11" s="103" t="s">
        <v>914</v>
      </c>
      <c r="J11" s="103" t="s">
        <v>327</v>
      </c>
      <c r="K11" s="103" t="s">
        <v>382</v>
      </c>
      <c r="L11" s="103" t="s">
        <v>888</v>
      </c>
      <c r="M11" s="103" t="s">
        <v>388</v>
      </c>
      <c r="N11" s="103" t="s">
        <v>43</v>
      </c>
      <c r="O11" s="103" t="s">
        <v>386</v>
      </c>
      <c r="P11" s="103" t="s">
        <v>905</v>
      </c>
      <c r="Q11" s="103" t="s">
        <v>899</v>
      </c>
      <c r="R11" s="103" t="s">
        <v>53</v>
      </c>
      <c r="V11" s="81" t="str">
        <f t="shared" si="4"/>
        <v>HD9699серый</v>
      </c>
      <c r="W11" s="81" t="str">
        <f t="shared" si="0"/>
        <v>HD9699</v>
      </c>
      <c r="X11" s="81" t="str">
        <f t="shared" si="5"/>
        <v>BASEB CLASS TRE</v>
      </c>
      <c r="AC11" s="60">
        <f t="shared" si="6"/>
        <v>56</v>
      </c>
      <c r="AD11" s="49">
        <f t="shared" si="1"/>
        <v>13</v>
      </c>
      <c r="AE11" s="60">
        <f t="shared" si="7"/>
        <v>56013</v>
      </c>
    </row>
    <row r="12" spans="1:38">
      <c r="A12" s="81" t="str">
        <f t="shared" si="2"/>
        <v>HE9766pink</v>
      </c>
      <c r="B12" s="81" t="str">
        <f t="shared" si="3"/>
        <v>56-012-34</v>
      </c>
      <c r="C12" s="103" t="s">
        <v>935</v>
      </c>
      <c r="D12" s="103" t="s">
        <v>936</v>
      </c>
      <c r="E12" s="103" t="s">
        <v>902</v>
      </c>
      <c r="F12" s="104">
        <v>57</v>
      </c>
      <c r="G12" s="104" t="s">
        <v>937</v>
      </c>
      <c r="H12" s="103" t="s">
        <v>68</v>
      </c>
      <c r="I12" s="103" t="s">
        <v>914</v>
      </c>
      <c r="J12" s="103" t="s">
        <v>327</v>
      </c>
      <c r="K12" s="103" t="s">
        <v>387</v>
      </c>
      <c r="L12" s="103" t="s">
        <v>888</v>
      </c>
      <c r="M12" s="103" t="s">
        <v>388</v>
      </c>
      <c r="N12" s="103" t="s">
        <v>43</v>
      </c>
      <c r="O12" s="103" t="s">
        <v>386</v>
      </c>
      <c r="P12" s="103" t="s">
        <v>905</v>
      </c>
      <c r="Q12" s="103" t="s">
        <v>938</v>
      </c>
      <c r="R12" s="103" t="s">
        <v>68</v>
      </c>
      <c r="V12" s="81" t="str">
        <f t="shared" si="4"/>
        <v>HE9766розовый</v>
      </c>
      <c r="W12" s="81" t="str">
        <f t="shared" si="0"/>
        <v>HE9766</v>
      </c>
      <c r="X12" s="81" t="str">
        <f t="shared" si="5"/>
        <v>BASEB CLASS TRE</v>
      </c>
      <c r="AC12" s="60">
        <f t="shared" si="6"/>
        <v>56</v>
      </c>
      <c r="AD12" s="49">
        <f t="shared" si="1"/>
        <v>12</v>
      </c>
      <c r="AE12" s="60">
        <f t="shared" si="7"/>
        <v>56012</v>
      </c>
    </row>
    <row r="13" spans="1:38">
      <c r="A13" s="81" t="str">
        <f t="shared" si="2"/>
        <v>GN2291black</v>
      </c>
      <c r="B13" s="81" t="str">
        <f t="shared" si="3"/>
        <v>56-011-09</v>
      </c>
      <c r="C13" s="103" t="s">
        <v>939</v>
      </c>
      <c r="D13" s="103" t="s">
        <v>940</v>
      </c>
      <c r="E13" s="103" t="s">
        <v>918</v>
      </c>
      <c r="F13" s="104">
        <v>61</v>
      </c>
      <c r="G13" s="104" t="s">
        <v>941</v>
      </c>
      <c r="H13" s="103" t="s">
        <v>53</v>
      </c>
      <c r="I13" s="103" t="s">
        <v>909</v>
      </c>
      <c r="J13" s="103" t="s">
        <v>327</v>
      </c>
      <c r="K13" s="103" t="s">
        <v>382</v>
      </c>
      <c r="L13" s="103" t="s">
        <v>888</v>
      </c>
      <c r="M13" s="103" t="s">
        <v>388</v>
      </c>
      <c r="O13" s="103" t="s">
        <v>386</v>
      </c>
      <c r="P13" s="103" t="s">
        <v>905</v>
      </c>
      <c r="Q13" s="103" t="s">
        <v>899</v>
      </c>
      <c r="R13" s="103" t="s">
        <v>53</v>
      </c>
      <c r="V13" s="81" t="str">
        <f t="shared" si="4"/>
        <v>GN2291черный</v>
      </c>
      <c r="W13" s="81" t="str">
        <f t="shared" si="0"/>
        <v>GN2291</v>
      </c>
      <c r="X13" s="81" t="str">
        <f t="shared" si="5"/>
        <v>STAN BBALL CAP</v>
      </c>
      <c r="AC13" s="60">
        <f t="shared" si="6"/>
        <v>56</v>
      </c>
      <c r="AD13" s="49">
        <f t="shared" si="1"/>
        <v>11</v>
      </c>
      <c r="AE13" s="60">
        <f t="shared" si="7"/>
        <v>56011</v>
      </c>
    </row>
    <row r="14" spans="1:38">
      <c r="A14" s="81" t="str">
        <f t="shared" si="2"/>
        <v>GN2291black</v>
      </c>
      <c r="B14" s="81" t="str">
        <f t="shared" si="3"/>
        <v>56-011-09</v>
      </c>
      <c r="C14" s="103" t="s">
        <v>942</v>
      </c>
      <c r="D14" s="103" t="s">
        <v>940</v>
      </c>
      <c r="E14" s="103" t="s">
        <v>902</v>
      </c>
      <c r="F14" s="104">
        <v>57</v>
      </c>
      <c r="G14" s="104" t="s">
        <v>941</v>
      </c>
      <c r="H14" s="103" t="s">
        <v>53</v>
      </c>
      <c r="I14" s="103" t="s">
        <v>909</v>
      </c>
      <c r="J14" s="103" t="s">
        <v>327</v>
      </c>
      <c r="K14" s="103" t="s">
        <v>382</v>
      </c>
      <c r="L14" s="103" t="s">
        <v>888</v>
      </c>
      <c r="M14" s="103" t="s">
        <v>388</v>
      </c>
      <c r="O14" s="103" t="s">
        <v>386</v>
      </c>
      <c r="P14" s="103" t="s">
        <v>905</v>
      </c>
      <c r="Q14" s="103" t="s">
        <v>899</v>
      </c>
      <c r="R14" s="103" t="s">
        <v>53</v>
      </c>
      <c r="V14" s="81" t="str">
        <f t="shared" si="4"/>
        <v>GN2291черный</v>
      </c>
      <c r="W14" s="81" t="str">
        <f t="shared" si="0"/>
        <v>GN2291</v>
      </c>
      <c r="X14" s="81" t="str">
        <f t="shared" si="5"/>
        <v>STAN BBALL CAP</v>
      </c>
      <c r="AC14" s="60">
        <f t="shared" si="6"/>
        <v>56</v>
      </c>
      <c r="AD14" s="49">
        <f t="shared" si="1"/>
        <v>11</v>
      </c>
      <c r="AE14" s="60">
        <f t="shared" si="7"/>
        <v>56011</v>
      </c>
    </row>
    <row r="15" spans="1:38">
      <c r="A15" s="81" t="str">
        <f t="shared" si="2"/>
        <v>GN2052black</v>
      </c>
      <c r="B15" s="81" t="str">
        <f t="shared" si="3"/>
        <v>56-010-09</v>
      </c>
      <c r="C15" s="103" t="s">
        <v>943</v>
      </c>
      <c r="D15" s="103" t="s">
        <v>944</v>
      </c>
      <c r="E15" s="103" t="s">
        <v>918</v>
      </c>
      <c r="F15" s="104">
        <v>61</v>
      </c>
      <c r="G15" s="104" t="s">
        <v>945</v>
      </c>
      <c r="H15" s="103" t="s">
        <v>53</v>
      </c>
      <c r="I15" s="103" t="s">
        <v>914</v>
      </c>
      <c r="J15" s="103" t="s">
        <v>327</v>
      </c>
      <c r="K15" s="103" t="s">
        <v>382</v>
      </c>
      <c r="L15" s="103" t="s">
        <v>888</v>
      </c>
      <c r="M15" s="103" t="s">
        <v>388</v>
      </c>
      <c r="N15" s="103" t="s">
        <v>43</v>
      </c>
      <c r="O15" s="103" t="s">
        <v>386</v>
      </c>
      <c r="P15" s="103" t="s">
        <v>905</v>
      </c>
      <c r="Q15" s="103" t="s">
        <v>899</v>
      </c>
      <c r="R15" s="103" t="s">
        <v>53</v>
      </c>
      <c r="V15" s="81" t="str">
        <f t="shared" si="4"/>
        <v>GN2052черный</v>
      </c>
      <c r="W15" s="81" t="str">
        <f t="shared" si="0"/>
        <v>GN2052</v>
      </c>
      <c r="X15" s="81" t="str">
        <f t="shared" si="5"/>
        <v>3S CAP</v>
      </c>
      <c r="AC15" s="60">
        <f t="shared" si="6"/>
        <v>56</v>
      </c>
      <c r="AD15" s="49">
        <f t="shared" si="1"/>
        <v>10</v>
      </c>
      <c r="AE15" s="60">
        <f t="shared" si="7"/>
        <v>56010</v>
      </c>
    </row>
    <row r="16" spans="1:38">
      <c r="A16" s="81" t="str">
        <f t="shared" si="2"/>
        <v>GN2052black</v>
      </c>
      <c r="B16" s="81" t="str">
        <f t="shared" si="3"/>
        <v>56-010-09</v>
      </c>
      <c r="C16" s="103" t="s">
        <v>946</v>
      </c>
      <c r="D16" s="103" t="s">
        <v>944</v>
      </c>
      <c r="E16" s="103" t="s">
        <v>902</v>
      </c>
      <c r="F16" s="104">
        <v>57</v>
      </c>
      <c r="G16" s="104" t="s">
        <v>945</v>
      </c>
      <c r="H16" s="103" t="s">
        <v>53</v>
      </c>
      <c r="I16" s="103" t="s">
        <v>914</v>
      </c>
      <c r="J16" s="103" t="s">
        <v>327</v>
      </c>
      <c r="K16" s="103" t="s">
        <v>382</v>
      </c>
      <c r="L16" s="103" t="s">
        <v>888</v>
      </c>
      <c r="M16" s="103" t="s">
        <v>388</v>
      </c>
      <c r="N16" s="103" t="s">
        <v>43</v>
      </c>
      <c r="O16" s="103" t="s">
        <v>386</v>
      </c>
      <c r="P16" s="103" t="s">
        <v>905</v>
      </c>
      <c r="Q16" s="103" t="s">
        <v>899</v>
      </c>
      <c r="R16" s="103" t="s">
        <v>53</v>
      </c>
      <c r="V16" s="81" t="str">
        <f t="shared" si="4"/>
        <v>GN2052черный</v>
      </c>
      <c r="W16" s="81" t="str">
        <f t="shared" si="0"/>
        <v>GN2052</v>
      </c>
      <c r="X16" s="81" t="str">
        <f t="shared" si="5"/>
        <v>3S CAP</v>
      </c>
      <c r="AC16" s="60">
        <f t="shared" si="6"/>
        <v>56</v>
      </c>
      <c r="AD16" s="49">
        <f t="shared" si="1"/>
        <v>10</v>
      </c>
      <c r="AE16" s="60">
        <f t="shared" si="7"/>
        <v>56010</v>
      </c>
    </row>
    <row r="17" spans="1:31">
      <c r="A17" s="81" t="str">
        <f t="shared" si="2"/>
        <v>GM4508black</v>
      </c>
      <c r="B17" s="81" t="str">
        <f t="shared" si="3"/>
        <v>56-009-09</v>
      </c>
      <c r="C17" s="103" t="s">
        <v>947</v>
      </c>
      <c r="D17" s="103" t="s">
        <v>948</v>
      </c>
      <c r="E17" s="103" t="s">
        <v>918</v>
      </c>
      <c r="F17" s="104">
        <v>61</v>
      </c>
      <c r="G17" s="104" t="s">
        <v>949</v>
      </c>
      <c r="H17" s="103" t="s">
        <v>53</v>
      </c>
      <c r="I17" s="103" t="s">
        <v>909</v>
      </c>
      <c r="J17" s="103" t="s">
        <v>327</v>
      </c>
      <c r="K17" s="103" t="s">
        <v>382</v>
      </c>
      <c r="L17" s="103" t="s">
        <v>888</v>
      </c>
      <c r="M17" s="103" t="s">
        <v>388</v>
      </c>
      <c r="O17" s="103" t="s">
        <v>386</v>
      </c>
      <c r="P17" s="103" t="s">
        <v>905</v>
      </c>
      <c r="Q17" s="103" t="s">
        <v>899</v>
      </c>
      <c r="R17" s="103" t="s">
        <v>53</v>
      </c>
      <c r="V17" s="81" t="str">
        <f t="shared" si="4"/>
        <v>GM4508черный</v>
      </c>
      <c r="W17" s="81" t="str">
        <f t="shared" si="0"/>
        <v>GM4508</v>
      </c>
      <c r="X17" s="81" t="str">
        <f t="shared" si="5"/>
        <v>BBALLCAP LT MET</v>
      </c>
      <c r="AC17" s="60">
        <f t="shared" si="6"/>
        <v>56</v>
      </c>
      <c r="AD17" s="49">
        <f t="shared" si="1"/>
        <v>9</v>
      </c>
      <c r="AE17" s="60">
        <f t="shared" si="7"/>
        <v>56009</v>
      </c>
    </row>
    <row r="18" spans="1:31">
      <c r="A18" s="81" t="str">
        <f t="shared" si="2"/>
        <v>GM4508black</v>
      </c>
      <c r="B18" s="81" t="str">
        <f t="shared" si="3"/>
        <v>56-009-09</v>
      </c>
      <c r="C18" s="103" t="s">
        <v>950</v>
      </c>
      <c r="D18" s="103" t="s">
        <v>948</v>
      </c>
      <c r="E18" s="103" t="s">
        <v>902</v>
      </c>
      <c r="F18" s="104">
        <v>57</v>
      </c>
      <c r="G18" s="104" t="s">
        <v>949</v>
      </c>
      <c r="H18" s="103" t="s">
        <v>53</v>
      </c>
      <c r="I18" s="103" t="s">
        <v>909</v>
      </c>
      <c r="J18" s="103" t="s">
        <v>327</v>
      </c>
      <c r="K18" s="103" t="s">
        <v>382</v>
      </c>
      <c r="L18" s="103" t="s">
        <v>888</v>
      </c>
      <c r="M18" s="103" t="s">
        <v>388</v>
      </c>
      <c r="O18" s="103" t="s">
        <v>386</v>
      </c>
      <c r="P18" s="103" t="s">
        <v>905</v>
      </c>
      <c r="Q18" s="103" t="s">
        <v>899</v>
      </c>
      <c r="R18" s="103" t="s">
        <v>53</v>
      </c>
      <c r="V18" s="81" t="str">
        <f t="shared" si="4"/>
        <v>GM4508черный</v>
      </c>
      <c r="W18" s="81" t="str">
        <f t="shared" si="0"/>
        <v>GM4508</v>
      </c>
      <c r="X18" s="81" t="str">
        <f t="shared" si="5"/>
        <v>BBALLCAP LT MET</v>
      </c>
      <c r="AC18" s="60">
        <f t="shared" si="6"/>
        <v>56</v>
      </c>
      <c r="AD18" s="49">
        <f t="shared" si="1"/>
        <v>9</v>
      </c>
      <c r="AE18" s="60">
        <f t="shared" si="7"/>
        <v>56009</v>
      </c>
    </row>
    <row r="19" spans="1:31">
      <c r="A19" s="81" t="str">
        <f t="shared" si="2"/>
        <v>GE0750black</v>
      </c>
      <c r="B19" s="81" t="str">
        <f t="shared" si="3"/>
        <v>56-008-09</v>
      </c>
      <c r="C19" s="103" t="s">
        <v>951</v>
      </c>
      <c r="D19" s="103" t="s">
        <v>952</v>
      </c>
      <c r="E19" s="103" t="s">
        <v>918</v>
      </c>
      <c r="F19" s="104">
        <v>61</v>
      </c>
      <c r="G19" s="104" t="s">
        <v>953</v>
      </c>
      <c r="H19" s="103" t="s">
        <v>55</v>
      </c>
      <c r="I19" s="103" t="s">
        <v>914</v>
      </c>
      <c r="J19" s="103" t="s">
        <v>327</v>
      </c>
      <c r="K19" s="103" t="s">
        <v>382</v>
      </c>
      <c r="L19" s="103" t="s">
        <v>888</v>
      </c>
      <c r="M19" s="103" t="s">
        <v>388</v>
      </c>
      <c r="N19" s="103" t="s">
        <v>43</v>
      </c>
      <c r="O19" s="103" t="s">
        <v>386</v>
      </c>
      <c r="P19" s="103" t="s">
        <v>905</v>
      </c>
      <c r="Q19" s="103" t="s">
        <v>899</v>
      </c>
      <c r="R19" s="103" t="s">
        <v>71</v>
      </c>
      <c r="V19" s="81" t="str">
        <f t="shared" si="4"/>
        <v>GE0750темно-синий</v>
      </c>
      <c r="W19" s="81" t="str">
        <f t="shared" si="0"/>
        <v>GE0750</v>
      </c>
      <c r="X19" s="81" t="str">
        <f t="shared" si="5"/>
        <v>BBALL 3S CAP CT</v>
      </c>
      <c r="AC19" s="60">
        <f t="shared" si="6"/>
        <v>56</v>
      </c>
      <c r="AD19" s="49">
        <f t="shared" si="1"/>
        <v>8</v>
      </c>
      <c r="AE19" s="60">
        <f t="shared" si="7"/>
        <v>56008</v>
      </c>
    </row>
    <row r="20" spans="1:31">
      <c r="A20" s="81" t="str">
        <f t="shared" si="2"/>
        <v>GE0750black</v>
      </c>
      <c r="B20" s="81" t="str">
        <f t="shared" si="3"/>
        <v>56-008-09</v>
      </c>
      <c r="C20" s="103" t="s">
        <v>954</v>
      </c>
      <c r="D20" s="103" t="s">
        <v>952</v>
      </c>
      <c r="E20" s="103" t="s">
        <v>902</v>
      </c>
      <c r="F20" s="104">
        <v>57</v>
      </c>
      <c r="G20" s="104" t="s">
        <v>953</v>
      </c>
      <c r="H20" s="103" t="s">
        <v>55</v>
      </c>
      <c r="I20" s="103" t="s">
        <v>914</v>
      </c>
      <c r="J20" s="103" t="s">
        <v>327</v>
      </c>
      <c r="K20" s="103" t="s">
        <v>382</v>
      </c>
      <c r="L20" s="103" t="s">
        <v>888</v>
      </c>
      <c r="M20" s="103" t="s">
        <v>388</v>
      </c>
      <c r="N20" s="103" t="s">
        <v>43</v>
      </c>
      <c r="O20" s="103" t="s">
        <v>386</v>
      </c>
      <c r="P20" s="103" t="s">
        <v>905</v>
      </c>
      <c r="Q20" s="103" t="s">
        <v>899</v>
      </c>
      <c r="R20" s="103" t="s">
        <v>71</v>
      </c>
      <c r="V20" s="81" t="str">
        <f t="shared" si="4"/>
        <v>GE0750темно-синий</v>
      </c>
      <c r="W20" s="81" t="str">
        <f t="shared" si="0"/>
        <v>GE0750</v>
      </c>
      <c r="X20" s="81" t="str">
        <f t="shared" si="5"/>
        <v>BBALL 3S CAP CT</v>
      </c>
      <c r="AC20" s="60">
        <f t="shared" si="6"/>
        <v>56</v>
      </c>
      <c r="AD20" s="49">
        <f t="shared" si="1"/>
        <v>8</v>
      </c>
      <c r="AE20" s="60">
        <f t="shared" si="7"/>
        <v>56008</v>
      </c>
    </row>
    <row r="21" spans="1:31">
      <c r="A21" s="81" t="str">
        <f t="shared" si="2"/>
        <v>DM6178black</v>
      </c>
      <c r="B21" s="81" t="str">
        <f t="shared" si="3"/>
        <v>56-007-09</v>
      </c>
      <c r="C21" s="103" t="s">
        <v>955</v>
      </c>
      <c r="D21" s="103" t="s">
        <v>956</v>
      </c>
      <c r="E21" s="103" t="s">
        <v>918</v>
      </c>
      <c r="F21" s="104">
        <v>61</v>
      </c>
      <c r="G21" s="104" t="s">
        <v>957</v>
      </c>
      <c r="H21" s="103" t="s">
        <v>53</v>
      </c>
      <c r="I21" s="103" t="s">
        <v>914</v>
      </c>
      <c r="J21" s="103" t="s">
        <v>327</v>
      </c>
      <c r="K21" s="103" t="s">
        <v>382</v>
      </c>
      <c r="L21" s="103" t="s">
        <v>888</v>
      </c>
      <c r="M21" s="103" t="s">
        <v>388</v>
      </c>
      <c r="N21" s="103" t="s">
        <v>43</v>
      </c>
      <c r="O21" s="103" t="s">
        <v>386</v>
      </c>
      <c r="P21" s="103" t="s">
        <v>905</v>
      </c>
      <c r="Q21" s="103" t="s">
        <v>899</v>
      </c>
      <c r="R21" s="103" t="s">
        <v>53</v>
      </c>
      <c r="V21" s="81" t="str">
        <f t="shared" si="4"/>
        <v>DM6178черный</v>
      </c>
      <c r="W21" s="81" t="str">
        <f t="shared" si="0"/>
        <v>DM6178</v>
      </c>
      <c r="X21" s="81" t="str">
        <f t="shared" si="5"/>
        <v>DAILY CAP</v>
      </c>
      <c r="AC21" s="60">
        <f t="shared" si="6"/>
        <v>56</v>
      </c>
      <c r="AD21" s="49">
        <f t="shared" si="1"/>
        <v>7</v>
      </c>
      <c r="AE21" s="60">
        <f t="shared" si="7"/>
        <v>56007</v>
      </c>
    </row>
    <row r="22" spans="1:31">
      <c r="A22" s="81" t="str">
        <f t="shared" si="2"/>
        <v>DM6178black</v>
      </c>
      <c r="B22" s="81" t="str">
        <f t="shared" si="3"/>
        <v>56-007-09</v>
      </c>
      <c r="C22" s="103" t="s">
        <v>958</v>
      </c>
      <c r="D22" s="103" t="s">
        <v>956</v>
      </c>
      <c r="E22" s="103" t="s">
        <v>902</v>
      </c>
      <c r="F22" s="104">
        <v>57</v>
      </c>
      <c r="G22" s="104" t="s">
        <v>957</v>
      </c>
      <c r="H22" s="103" t="s">
        <v>53</v>
      </c>
      <c r="I22" s="103" t="s">
        <v>914</v>
      </c>
      <c r="J22" s="103" t="s">
        <v>327</v>
      </c>
      <c r="K22" s="103" t="s">
        <v>382</v>
      </c>
      <c r="L22" s="103" t="s">
        <v>888</v>
      </c>
      <c r="M22" s="103" t="s">
        <v>388</v>
      </c>
      <c r="N22" s="103" t="s">
        <v>43</v>
      </c>
      <c r="O22" s="103" t="s">
        <v>386</v>
      </c>
      <c r="P22" s="103" t="s">
        <v>905</v>
      </c>
      <c r="Q22" s="103" t="s">
        <v>899</v>
      </c>
      <c r="R22" s="103" t="s">
        <v>53</v>
      </c>
      <c r="V22" s="81" t="str">
        <f t="shared" si="4"/>
        <v>DM6178черный</v>
      </c>
      <c r="W22" s="81" t="str">
        <f t="shared" si="0"/>
        <v>DM6178</v>
      </c>
      <c r="X22" s="81" t="str">
        <f t="shared" si="5"/>
        <v>DAILY CAP</v>
      </c>
      <c r="AC22" s="60">
        <f t="shared" si="6"/>
        <v>56</v>
      </c>
      <c r="AD22" s="49">
        <f t="shared" si="1"/>
        <v>7</v>
      </c>
      <c r="AE22" s="60">
        <f t="shared" si="7"/>
        <v>56007</v>
      </c>
    </row>
    <row r="23" spans="1:31">
      <c r="A23" s="81" t="str">
        <f t="shared" si="2"/>
        <v>FK0891black</v>
      </c>
      <c r="B23" s="81" t="str">
        <f t="shared" si="3"/>
        <v>56-006-09</v>
      </c>
      <c r="C23" s="103" t="s">
        <v>959</v>
      </c>
      <c r="D23" s="103" t="s">
        <v>960</v>
      </c>
      <c r="E23" s="103" t="s">
        <v>918</v>
      </c>
      <c r="F23" s="104">
        <v>61</v>
      </c>
      <c r="G23" s="104" t="s">
        <v>961</v>
      </c>
      <c r="H23" s="103" t="s">
        <v>53</v>
      </c>
      <c r="I23" s="103" t="s">
        <v>914</v>
      </c>
      <c r="J23" s="103" t="s">
        <v>327</v>
      </c>
      <c r="K23" s="103" t="s">
        <v>382</v>
      </c>
      <c r="L23" s="103" t="s">
        <v>888</v>
      </c>
      <c r="M23" s="103" t="s">
        <v>388</v>
      </c>
      <c r="N23" s="103" t="s">
        <v>43</v>
      </c>
      <c r="O23" s="103" t="s">
        <v>386</v>
      </c>
      <c r="P23" s="103" t="s">
        <v>905</v>
      </c>
      <c r="Q23" s="103" t="s">
        <v>899</v>
      </c>
      <c r="R23" s="103" t="s">
        <v>53</v>
      </c>
      <c r="V23" s="81" t="str">
        <f t="shared" si="4"/>
        <v>FK0891черный</v>
      </c>
      <c r="W23" s="81" t="str">
        <f t="shared" si="0"/>
        <v>FK0891</v>
      </c>
      <c r="X23" s="81" t="str">
        <f t="shared" si="5"/>
        <v>BBALL CAP COT</v>
      </c>
      <c r="AC23" s="60">
        <f t="shared" si="6"/>
        <v>56</v>
      </c>
      <c r="AD23" s="49">
        <f t="shared" si="1"/>
        <v>6</v>
      </c>
      <c r="AE23" s="60">
        <f t="shared" si="7"/>
        <v>56006</v>
      </c>
    </row>
    <row r="24" spans="1:31">
      <c r="A24" s="81" t="str">
        <f t="shared" si="2"/>
        <v>FK0891black</v>
      </c>
      <c r="B24" s="81" t="str">
        <f t="shared" si="3"/>
        <v>56-006-09</v>
      </c>
      <c r="C24" s="103" t="s">
        <v>962</v>
      </c>
      <c r="D24" s="103" t="s">
        <v>960</v>
      </c>
      <c r="E24" s="103" t="s">
        <v>902</v>
      </c>
      <c r="F24" s="104">
        <v>57</v>
      </c>
      <c r="G24" s="104" t="s">
        <v>961</v>
      </c>
      <c r="H24" s="103" t="s">
        <v>53</v>
      </c>
      <c r="I24" s="103" t="s">
        <v>914</v>
      </c>
      <c r="J24" s="103" t="s">
        <v>327</v>
      </c>
      <c r="K24" s="103" t="s">
        <v>382</v>
      </c>
      <c r="L24" s="103" t="s">
        <v>888</v>
      </c>
      <c r="M24" s="103" t="s">
        <v>388</v>
      </c>
      <c r="N24" s="103" t="s">
        <v>43</v>
      </c>
      <c r="O24" s="103" t="s">
        <v>386</v>
      </c>
      <c r="P24" s="103" t="s">
        <v>905</v>
      </c>
      <c r="Q24" s="103" t="s">
        <v>899</v>
      </c>
      <c r="R24" s="103" t="s">
        <v>53</v>
      </c>
      <c r="V24" s="81" t="str">
        <f t="shared" si="4"/>
        <v>FK0891черный</v>
      </c>
      <c r="W24" s="81" t="str">
        <f t="shared" si="0"/>
        <v>FK0891</v>
      </c>
      <c r="X24" s="81" t="str">
        <f t="shared" si="5"/>
        <v>BBALL CAP COT</v>
      </c>
      <c r="AC24" s="60">
        <f t="shared" si="6"/>
        <v>56</v>
      </c>
      <c r="AD24" s="49">
        <f t="shared" si="1"/>
        <v>6</v>
      </c>
      <c r="AE24" s="60">
        <f t="shared" si="7"/>
        <v>56006</v>
      </c>
    </row>
    <row r="25" spans="1:31">
      <c r="A25" s="81" t="str">
        <f t="shared" si="2"/>
        <v>FK0890white</v>
      </c>
      <c r="B25" s="81" t="str">
        <f t="shared" si="3"/>
        <v>56-005-17</v>
      </c>
      <c r="C25" s="103" t="s">
        <v>963</v>
      </c>
      <c r="D25" s="103" t="s">
        <v>964</v>
      </c>
      <c r="E25" s="103" t="s">
        <v>902</v>
      </c>
      <c r="F25" s="104">
        <v>57</v>
      </c>
      <c r="G25" s="104" t="s">
        <v>965</v>
      </c>
      <c r="H25" s="103" t="s">
        <v>57</v>
      </c>
      <c r="I25" s="103" t="s">
        <v>914</v>
      </c>
      <c r="J25" s="103" t="s">
        <v>327</v>
      </c>
      <c r="K25" s="103" t="s">
        <v>382</v>
      </c>
      <c r="L25" s="103" t="s">
        <v>888</v>
      </c>
      <c r="M25" s="103" t="s">
        <v>388</v>
      </c>
      <c r="N25" s="103" t="s">
        <v>43</v>
      </c>
      <c r="O25" s="103" t="s">
        <v>386</v>
      </c>
      <c r="P25" s="103" t="s">
        <v>905</v>
      </c>
      <c r="Q25" s="103" t="s">
        <v>966</v>
      </c>
      <c r="R25" s="103" t="s">
        <v>57</v>
      </c>
      <c r="V25" s="81" t="str">
        <f t="shared" si="4"/>
        <v>FK0890белый</v>
      </c>
      <c r="W25" s="81" t="str">
        <f t="shared" si="0"/>
        <v>FK0890</v>
      </c>
      <c r="X25" s="81" t="str">
        <f t="shared" si="5"/>
        <v>BBALL CAP COT</v>
      </c>
      <c r="AC25" s="60">
        <f t="shared" si="6"/>
        <v>56</v>
      </c>
      <c r="AD25" s="49">
        <f t="shared" si="1"/>
        <v>5</v>
      </c>
      <c r="AE25" s="60">
        <f t="shared" si="7"/>
        <v>56005</v>
      </c>
    </row>
    <row r="26" spans="1:31">
      <c r="A26" s="81" t="str">
        <f t="shared" si="2"/>
        <v>FQ5411white</v>
      </c>
      <c r="B26" s="81" t="str">
        <f t="shared" si="3"/>
        <v>56-004-17</v>
      </c>
      <c r="C26" s="103" t="s">
        <v>967</v>
      </c>
      <c r="D26" s="103" t="s">
        <v>968</v>
      </c>
      <c r="E26" s="103" t="s">
        <v>918</v>
      </c>
      <c r="F26" s="104">
        <v>61</v>
      </c>
      <c r="G26" s="104" t="s">
        <v>969</v>
      </c>
      <c r="H26" s="103" t="s">
        <v>57</v>
      </c>
      <c r="I26" s="103" t="s">
        <v>914</v>
      </c>
      <c r="J26" s="103" t="s">
        <v>327</v>
      </c>
      <c r="K26" s="103" t="s">
        <v>382</v>
      </c>
      <c r="L26" s="103" t="s">
        <v>888</v>
      </c>
      <c r="M26" s="103" t="s">
        <v>388</v>
      </c>
      <c r="N26" s="103" t="s">
        <v>43</v>
      </c>
      <c r="O26" s="103" t="s">
        <v>386</v>
      </c>
      <c r="P26" s="103" t="s">
        <v>905</v>
      </c>
      <c r="Q26" s="103" t="s">
        <v>966</v>
      </c>
      <c r="R26" s="103" t="s">
        <v>57</v>
      </c>
      <c r="V26" s="81" t="str">
        <f t="shared" si="4"/>
        <v>FQ5411белый</v>
      </c>
      <c r="W26" s="81" t="str">
        <f t="shared" si="0"/>
        <v>FQ5411</v>
      </c>
      <c r="X26" s="81" t="str">
        <f t="shared" si="5"/>
        <v>BBALL 3S CAP CT</v>
      </c>
      <c r="AC26" s="60">
        <f t="shared" si="6"/>
        <v>56</v>
      </c>
      <c r="AD26" s="49">
        <f t="shared" si="1"/>
        <v>4</v>
      </c>
      <c r="AE26" s="60">
        <f t="shared" si="7"/>
        <v>56004</v>
      </c>
    </row>
    <row r="27" spans="1:31">
      <c r="A27" s="81" t="str">
        <f t="shared" si="2"/>
        <v>FQ5411white</v>
      </c>
      <c r="B27" s="81" t="str">
        <f t="shared" si="3"/>
        <v>56-004-17</v>
      </c>
      <c r="C27" s="103" t="s">
        <v>970</v>
      </c>
      <c r="D27" s="103" t="s">
        <v>968</v>
      </c>
      <c r="E27" s="103" t="s">
        <v>902</v>
      </c>
      <c r="F27" s="104">
        <v>57</v>
      </c>
      <c r="G27" s="104" t="s">
        <v>969</v>
      </c>
      <c r="H27" s="103" t="s">
        <v>57</v>
      </c>
      <c r="I27" s="103" t="s">
        <v>914</v>
      </c>
      <c r="J27" s="103" t="s">
        <v>327</v>
      </c>
      <c r="K27" s="103" t="s">
        <v>382</v>
      </c>
      <c r="L27" s="103" t="s">
        <v>888</v>
      </c>
      <c r="M27" s="103" t="s">
        <v>388</v>
      </c>
      <c r="N27" s="103" t="s">
        <v>43</v>
      </c>
      <c r="O27" s="103" t="s">
        <v>386</v>
      </c>
      <c r="P27" s="103" t="s">
        <v>905</v>
      </c>
      <c r="Q27" s="103" t="s">
        <v>966</v>
      </c>
      <c r="R27" s="103" t="s">
        <v>57</v>
      </c>
      <c r="V27" s="81" t="str">
        <f t="shared" si="4"/>
        <v>FQ5411белый</v>
      </c>
      <c r="W27" s="81" t="str">
        <f t="shared" si="0"/>
        <v>FQ5411</v>
      </c>
      <c r="X27" s="81" t="str">
        <f t="shared" si="5"/>
        <v>BBALL 3S CAP CT</v>
      </c>
      <c r="AC27" s="60">
        <f t="shared" si="6"/>
        <v>56</v>
      </c>
      <c r="AD27" s="49">
        <f t="shared" si="1"/>
        <v>4</v>
      </c>
      <c r="AE27" s="60">
        <f t="shared" si="7"/>
        <v>56004</v>
      </c>
    </row>
    <row r="28" spans="1:31">
      <c r="A28" s="81" t="str">
        <f t="shared" si="2"/>
        <v>FK0894black</v>
      </c>
      <c r="B28" s="81" t="str">
        <f t="shared" si="3"/>
        <v>56-003-09</v>
      </c>
      <c r="C28" s="103" t="s">
        <v>971</v>
      </c>
      <c r="D28" s="103" t="s">
        <v>972</v>
      </c>
      <c r="E28" s="103" t="s">
        <v>902</v>
      </c>
      <c r="F28" s="104">
        <v>57</v>
      </c>
      <c r="G28" s="104" t="s">
        <v>973</v>
      </c>
      <c r="H28" s="103" t="s">
        <v>53</v>
      </c>
      <c r="I28" s="103" t="s">
        <v>914</v>
      </c>
      <c r="J28" s="103" t="s">
        <v>327</v>
      </c>
      <c r="K28" s="103" t="s">
        <v>382</v>
      </c>
      <c r="L28" s="103" t="s">
        <v>888</v>
      </c>
      <c r="M28" s="103" t="s">
        <v>388</v>
      </c>
      <c r="N28" s="103" t="s">
        <v>43</v>
      </c>
      <c r="O28" s="103" t="s">
        <v>386</v>
      </c>
      <c r="P28" s="103" t="s">
        <v>905</v>
      </c>
      <c r="Q28" s="103" t="s">
        <v>899</v>
      </c>
      <c r="R28" s="103" t="s">
        <v>53</v>
      </c>
      <c r="V28" s="81" t="str">
        <f t="shared" si="4"/>
        <v>FK0894черный</v>
      </c>
      <c r="W28" s="81" t="str">
        <f t="shared" si="0"/>
        <v>FK0894</v>
      </c>
      <c r="X28" s="81" t="str">
        <f t="shared" si="5"/>
        <v>BBALL 3S CAP CT</v>
      </c>
      <c r="AC28" s="60">
        <f t="shared" si="6"/>
        <v>56</v>
      </c>
      <c r="AD28" s="49">
        <f t="shared" si="1"/>
        <v>3</v>
      </c>
      <c r="AE28" s="60">
        <f t="shared" si="7"/>
        <v>56003</v>
      </c>
    </row>
    <row r="29" spans="1:31">
      <c r="A29" s="81" t="str">
        <f t="shared" si="2"/>
        <v>FL3713black</v>
      </c>
      <c r="B29" s="81" t="str">
        <f t="shared" si="3"/>
        <v>56-002-09</v>
      </c>
      <c r="C29" s="103" t="s">
        <v>974</v>
      </c>
      <c r="D29" s="103" t="s">
        <v>975</v>
      </c>
      <c r="E29" s="103" t="s">
        <v>918</v>
      </c>
      <c r="F29" s="104">
        <v>61</v>
      </c>
      <c r="G29" s="104" t="s">
        <v>976</v>
      </c>
      <c r="H29" s="103" t="s">
        <v>53</v>
      </c>
      <c r="I29" s="103" t="s">
        <v>909</v>
      </c>
      <c r="J29" s="103" t="s">
        <v>327</v>
      </c>
      <c r="K29" s="103" t="s">
        <v>382</v>
      </c>
      <c r="L29" s="103" t="s">
        <v>888</v>
      </c>
      <c r="M29" s="103" t="s">
        <v>388</v>
      </c>
      <c r="O29" s="103" t="s">
        <v>386</v>
      </c>
      <c r="P29" s="103" t="s">
        <v>905</v>
      </c>
      <c r="Q29" s="103" t="s">
        <v>899</v>
      </c>
      <c r="R29" s="103" t="s">
        <v>53</v>
      </c>
      <c r="V29" s="81" t="str">
        <f t="shared" si="4"/>
        <v>FL3713черный</v>
      </c>
      <c r="W29" s="81" t="str">
        <f t="shared" si="0"/>
        <v>FL3713</v>
      </c>
      <c r="X29" s="81" t="str">
        <f t="shared" si="5"/>
        <v>BASEBALL BOLD</v>
      </c>
      <c r="AC29" s="60">
        <f t="shared" si="6"/>
        <v>56</v>
      </c>
      <c r="AD29" s="49">
        <f t="shared" si="1"/>
        <v>2</v>
      </c>
      <c r="AE29" s="60">
        <f t="shared" si="7"/>
        <v>56002</v>
      </c>
    </row>
    <row r="30" spans="1:31">
      <c r="A30" s="81" t="str">
        <f t="shared" si="2"/>
        <v>FL3713black</v>
      </c>
      <c r="B30" s="81" t="str">
        <f t="shared" si="3"/>
        <v>56-002-09</v>
      </c>
      <c r="C30" s="103" t="s">
        <v>977</v>
      </c>
      <c r="D30" s="103" t="s">
        <v>975</v>
      </c>
      <c r="E30" s="103" t="s">
        <v>902</v>
      </c>
      <c r="F30" s="104">
        <v>57</v>
      </c>
      <c r="G30" s="104" t="s">
        <v>976</v>
      </c>
      <c r="H30" s="103" t="s">
        <v>53</v>
      </c>
      <c r="I30" s="103" t="s">
        <v>909</v>
      </c>
      <c r="J30" s="103" t="s">
        <v>327</v>
      </c>
      <c r="K30" s="103" t="s">
        <v>382</v>
      </c>
      <c r="L30" s="103" t="s">
        <v>888</v>
      </c>
      <c r="M30" s="103" t="s">
        <v>388</v>
      </c>
      <c r="O30" s="103" t="s">
        <v>386</v>
      </c>
      <c r="P30" s="103" t="s">
        <v>905</v>
      </c>
      <c r="Q30" s="103" t="s">
        <v>899</v>
      </c>
      <c r="R30" s="103" t="s">
        <v>53</v>
      </c>
      <c r="V30" s="81" t="str">
        <f t="shared" si="4"/>
        <v>FL3713черный</v>
      </c>
      <c r="W30" s="81" t="str">
        <f t="shared" si="0"/>
        <v>FL3713</v>
      </c>
      <c r="X30" s="81" t="str">
        <f t="shared" si="5"/>
        <v>BASEBALL BOLD</v>
      </c>
      <c r="AC30" s="60">
        <f t="shared" si="6"/>
        <v>56</v>
      </c>
      <c r="AD30" s="49">
        <f t="shared" si="1"/>
        <v>2</v>
      </c>
      <c r="AE30" s="60">
        <f t="shared" si="7"/>
        <v>56002</v>
      </c>
    </row>
    <row r="31" spans="1:31">
      <c r="A31" s="81" t="str">
        <f t="shared" si="2"/>
        <v>EC3603black</v>
      </c>
      <c r="B31" s="81" t="str">
        <f t="shared" si="3"/>
        <v>56-001-09</v>
      </c>
      <c r="C31" s="103" t="s">
        <v>978</v>
      </c>
      <c r="D31" s="103" t="s">
        <v>979</v>
      </c>
      <c r="E31" s="103" t="s">
        <v>918</v>
      </c>
      <c r="F31" s="104">
        <v>61</v>
      </c>
      <c r="G31" s="104" t="s">
        <v>980</v>
      </c>
      <c r="H31" s="103" t="s">
        <v>53</v>
      </c>
      <c r="I31" s="103" t="s">
        <v>914</v>
      </c>
      <c r="J31" s="103" t="s">
        <v>327</v>
      </c>
      <c r="K31" s="103" t="s">
        <v>382</v>
      </c>
      <c r="L31" s="103" t="s">
        <v>888</v>
      </c>
      <c r="M31" s="103" t="s">
        <v>388</v>
      </c>
      <c r="N31" s="103" t="s">
        <v>43</v>
      </c>
      <c r="O31" s="103" t="s">
        <v>386</v>
      </c>
      <c r="P31" s="103" t="s">
        <v>905</v>
      </c>
      <c r="Q31" s="103" t="s">
        <v>899</v>
      </c>
      <c r="R31" s="103" t="s">
        <v>53</v>
      </c>
      <c r="V31" s="81" t="str">
        <f t="shared" si="4"/>
        <v>EC3603черный</v>
      </c>
      <c r="W31" s="81" t="str">
        <f t="shared" si="0"/>
        <v>EC3603</v>
      </c>
      <c r="X31" s="81" t="str">
        <f t="shared" si="5"/>
        <v>BASEB CLASS TRE</v>
      </c>
      <c r="AC31" s="60">
        <f t="shared" si="6"/>
        <v>56</v>
      </c>
      <c r="AD31" s="49">
        <f t="shared" si="1"/>
        <v>1</v>
      </c>
      <c r="AE31" s="60">
        <f t="shared" si="7"/>
        <v>56001</v>
      </c>
    </row>
    <row r="32" spans="1:31">
      <c r="A32" s="81" t="str">
        <f t="shared" si="2"/>
        <v>EC3603black</v>
      </c>
      <c r="B32" s="81" t="str">
        <f t="shared" si="3"/>
        <v>56-001-09</v>
      </c>
      <c r="C32" s="103" t="s">
        <v>981</v>
      </c>
      <c r="D32" s="103" t="s">
        <v>979</v>
      </c>
      <c r="E32" s="103" t="s">
        <v>902</v>
      </c>
      <c r="F32" s="104">
        <v>57</v>
      </c>
      <c r="G32" s="104" t="s">
        <v>980</v>
      </c>
      <c r="H32" s="103" t="s">
        <v>53</v>
      </c>
      <c r="I32" s="103" t="s">
        <v>914</v>
      </c>
      <c r="J32" s="103" t="s">
        <v>327</v>
      </c>
      <c r="K32" s="103" t="s">
        <v>382</v>
      </c>
      <c r="L32" s="103" t="s">
        <v>888</v>
      </c>
      <c r="M32" s="103" t="s">
        <v>388</v>
      </c>
      <c r="N32" s="103" t="s">
        <v>43</v>
      </c>
      <c r="O32" s="103" t="s">
        <v>386</v>
      </c>
      <c r="P32" s="103" t="s">
        <v>905</v>
      </c>
      <c r="Q32" s="103" t="s">
        <v>899</v>
      </c>
      <c r="R32" s="103" t="s">
        <v>53</v>
      </c>
      <c r="V32" s="81" t="str">
        <f t="shared" si="4"/>
        <v>EC3603черный</v>
      </c>
      <c r="W32" s="81" t="str">
        <f t="shared" si="0"/>
        <v>EC3603</v>
      </c>
      <c r="X32" s="81" t="str">
        <f t="shared" si="5"/>
        <v>BASEB CLASS TRE</v>
      </c>
      <c r="AC32" s="60">
        <f t="shared" si="6"/>
        <v>56</v>
      </c>
      <c r="AD32" s="49">
        <f t="shared" si="1"/>
        <v>1</v>
      </c>
      <c r="AE32" s="60">
        <f t="shared" si="7"/>
        <v>56001</v>
      </c>
    </row>
    <row r="33" spans="1:31">
      <c r="A33" s="81" t="str">
        <f t="shared" si="2"/>
        <v>RK7415HDEnavy</v>
      </c>
      <c r="B33" s="81" t="str">
        <f t="shared" si="3"/>
        <v>56-023-16</v>
      </c>
      <c r="C33" s="103" t="s">
        <v>982</v>
      </c>
      <c r="D33" s="103" t="s">
        <v>983</v>
      </c>
      <c r="E33" s="103" t="s">
        <v>984</v>
      </c>
      <c r="F33" s="104" t="s">
        <v>632</v>
      </c>
      <c r="G33" s="103" t="s">
        <v>985</v>
      </c>
      <c r="H33" s="103" t="s">
        <v>55</v>
      </c>
      <c r="I33" s="103" t="s">
        <v>914</v>
      </c>
      <c r="J33" s="103" t="s">
        <v>327</v>
      </c>
      <c r="K33" s="103" t="s">
        <v>382</v>
      </c>
      <c r="L33" s="103" t="s">
        <v>891</v>
      </c>
      <c r="M33" s="103" t="s">
        <v>388</v>
      </c>
      <c r="N33" s="103" t="s">
        <v>43</v>
      </c>
      <c r="O33" s="103" t="s">
        <v>533</v>
      </c>
      <c r="P33" s="103" t="s">
        <v>986</v>
      </c>
      <c r="Q33" s="103" t="s">
        <v>987</v>
      </c>
      <c r="R33" s="103" t="s">
        <v>71</v>
      </c>
      <c r="V33" s="81" t="str">
        <f t="shared" si="4"/>
        <v>RK7415HDEтемно-синий</v>
      </c>
      <c r="W33" s="81" t="str">
        <f t="shared" si="0"/>
        <v>RK7415HDE</v>
      </c>
      <c r="X33" s="81" t="str">
        <f t="shared" si="5"/>
        <v>LACOSTE CAP</v>
      </c>
      <c r="AC33" s="60">
        <f t="shared" si="6"/>
        <v>56</v>
      </c>
      <c r="AD33" s="49">
        <f t="shared" si="1"/>
        <v>23</v>
      </c>
      <c r="AE33" s="60">
        <f t="shared" si="7"/>
        <v>56023</v>
      </c>
    </row>
    <row r="34" spans="1:31">
      <c r="A34" s="81" t="str">
        <f t="shared" si="2"/>
        <v>RK741502Sbeige</v>
      </c>
      <c r="B34" s="81" t="str">
        <f t="shared" si="3"/>
        <v>56-022-02</v>
      </c>
      <c r="C34" s="103" t="s">
        <v>988</v>
      </c>
      <c r="D34" s="103" t="s">
        <v>989</v>
      </c>
      <c r="E34" s="103" t="s">
        <v>984</v>
      </c>
      <c r="F34" s="104" t="s">
        <v>632</v>
      </c>
      <c r="G34" s="104" t="s">
        <v>990</v>
      </c>
      <c r="H34" s="103" t="s">
        <v>63</v>
      </c>
      <c r="I34" s="103" t="s">
        <v>914</v>
      </c>
      <c r="J34" s="103" t="s">
        <v>327</v>
      </c>
      <c r="K34" s="103" t="s">
        <v>382</v>
      </c>
      <c r="L34" s="103" t="s">
        <v>891</v>
      </c>
      <c r="M34" s="103" t="s">
        <v>388</v>
      </c>
      <c r="N34" s="103" t="s">
        <v>43</v>
      </c>
      <c r="O34" s="103" t="s">
        <v>386</v>
      </c>
      <c r="P34" s="103" t="s">
        <v>986</v>
      </c>
      <c r="Q34" s="103" t="s">
        <v>915</v>
      </c>
      <c r="R34" s="103" t="s">
        <v>63</v>
      </c>
      <c r="V34" s="81" t="str">
        <f t="shared" si="4"/>
        <v>RK741502Sбежевый</v>
      </c>
      <c r="W34" s="81" t="str">
        <f t="shared" si="0"/>
        <v>RK741502S</v>
      </c>
      <c r="X34" s="81" t="str">
        <f t="shared" si="5"/>
        <v>LACOSTE CAP</v>
      </c>
      <c r="AC34" s="60">
        <f t="shared" si="6"/>
        <v>56</v>
      </c>
      <c r="AD34" s="49">
        <f t="shared" si="1"/>
        <v>22</v>
      </c>
      <c r="AE34" s="60">
        <f t="shared" si="7"/>
        <v>56022</v>
      </c>
    </row>
    <row r="35" spans="1:31">
      <c r="A35" s="81" t="str">
        <f t="shared" si="2"/>
        <v>RK2450DP4red</v>
      </c>
      <c r="B35" s="81" t="str">
        <f t="shared" si="3"/>
        <v>56-021-18</v>
      </c>
      <c r="C35" s="103" t="s">
        <v>991</v>
      </c>
      <c r="D35" s="103" t="s">
        <v>992</v>
      </c>
      <c r="E35" s="103" t="s">
        <v>984</v>
      </c>
      <c r="F35" s="104" t="s">
        <v>632</v>
      </c>
      <c r="G35" s="104" t="s">
        <v>993</v>
      </c>
      <c r="H35" s="103" t="s">
        <v>78</v>
      </c>
      <c r="I35" s="103" t="s">
        <v>909</v>
      </c>
      <c r="J35" s="103" t="s">
        <v>327</v>
      </c>
      <c r="K35" s="103" t="s">
        <v>382</v>
      </c>
      <c r="L35" s="103" t="s">
        <v>891</v>
      </c>
      <c r="M35" s="103" t="s">
        <v>388</v>
      </c>
      <c r="O35" s="103" t="s">
        <v>533</v>
      </c>
      <c r="P35" s="103" t="s">
        <v>986</v>
      </c>
      <c r="Q35" s="103" t="s">
        <v>994</v>
      </c>
      <c r="R35" s="103" t="s">
        <v>78</v>
      </c>
      <c r="V35" s="81" t="str">
        <f t="shared" si="4"/>
        <v>RK2450DP4красный</v>
      </c>
      <c r="W35" s="81" t="str">
        <f t="shared" si="0"/>
        <v>RK2450DP4</v>
      </c>
      <c r="X35" s="81" t="str">
        <f t="shared" si="5"/>
        <v>LACOSTE CAP</v>
      </c>
      <c r="AC35" s="60">
        <f t="shared" si="6"/>
        <v>56</v>
      </c>
      <c r="AD35" s="49">
        <f t="shared" si="1"/>
        <v>21</v>
      </c>
      <c r="AE35" s="60">
        <f t="shared" si="7"/>
        <v>56021</v>
      </c>
    </row>
    <row r="36" spans="1:31">
      <c r="A36" s="81" t="str">
        <f t="shared" si="2"/>
        <v>RK2450800white</v>
      </c>
      <c r="B36" s="81" t="str">
        <f t="shared" si="3"/>
        <v>56-020-17</v>
      </c>
      <c r="C36" s="103" t="s">
        <v>995</v>
      </c>
      <c r="D36" s="103" t="s">
        <v>996</v>
      </c>
      <c r="E36" s="103" t="s">
        <v>984</v>
      </c>
      <c r="F36" s="104" t="s">
        <v>632</v>
      </c>
      <c r="G36" s="104" t="s">
        <v>997</v>
      </c>
      <c r="H36" s="103" t="s">
        <v>57</v>
      </c>
      <c r="I36" s="103" t="s">
        <v>909</v>
      </c>
      <c r="J36" s="103" t="s">
        <v>327</v>
      </c>
      <c r="K36" s="103" t="s">
        <v>382</v>
      </c>
      <c r="L36" s="103" t="s">
        <v>891</v>
      </c>
      <c r="M36" s="103" t="s">
        <v>388</v>
      </c>
      <c r="O36" s="103" t="s">
        <v>386</v>
      </c>
      <c r="P36" s="103" t="s">
        <v>986</v>
      </c>
      <c r="Q36" s="103" t="s">
        <v>966</v>
      </c>
      <c r="R36" s="103" t="s">
        <v>57</v>
      </c>
      <c r="V36" s="81" t="str">
        <f t="shared" si="4"/>
        <v>RK2450800белый</v>
      </c>
      <c r="W36" s="81" t="str">
        <f t="shared" si="0"/>
        <v>RK2450800</v>
      </c>
      <c r="X36" s="81" t="str">
        <f t="shared" si="5"/>
        <v>CAPS</v>
      </c>
      <c r="AC36" s="60">
        <f t="shared" si="6"/>
        <v>56</v>
      </c>
      <c r="AD36" s="49">
        <f t="shared" si="1"/>
        <v>20</v>
      </c>
      <c r="AE36" s="60">
        <f t="shared" si="7"/>
        <v>56020</v>
      </c>
    </row>
    <row r="37" spans="1:31">
      <c r="A37" s="81" t="str">
        <f t="shared" si="2"/>
        <v>5291902white</v>
      </c>
      <c r="B37" s="81" t="str">
        <f t="shared" si="3"/>
        <v>56-044-17</v>
      </c>
      <c r="C37" s="103" t="s">
        <v>998</v>
      </c>
      <c r="D37" s="103" t="s">
        <v>999</v>
      </c>
      <c r="E37" s="103" t="s">
        <v>902</v>
      </c>
      <c r="F37" s="103">
        <v>57</v>
      </c>
      <c r="G37" s="103" t="s">
        <v>1000</v>
      </c>
      <c r="H37" s="103" t="s">
        <v>57</v>
      </c>
      <c r="I37" s="103" t="s">
        <v>914</v>
      </c>
      <c r="J37" s="103" t="s">
        <v>327</v>
      </c>
      <c r="K37" s="103" t="s">
        <v>382</v>
      </c>
      <c r="L37" s="103" t="s">
        <v>892</v>
      </c>
      <c r="M37" s="103" t="s">
        <v>388</v>
      </c>
      <c r="N37" s="103" t="s">
        <v>43</v>
      </c>
      <c r="O37" s="103" t="s">
        <v>541</v>
      </c>
      <c r="P37" s="103" t="s">
        <v>1001</v>
      </c>
      <c r="Q37" s="103" t="s">
        <v>966</v>
      </c>
      <c r="R37" s="103" t="s">
        <v>57</v>
      </c>
      <c r="V37" s="81" t="str">
        <f t="shared" si="4"/>
        <v>5291902белый</v>
      </c>
      <c r="W37" s="81" t="str">
        <f t="shared" si="0"/>
        <v>5291902</v>
      </c>
      <c r="X37" s="81" t="str">
        <f t="shared" si="5"/>
        <v>ESS CAP</v>
      </c>
      <c r="AC37" s="60">
        <f t="shared" si="6"/>
        <v>56</v>
      </c>
      <c r="AD37" s="49">
        <f t="shared" si="1"/>
        <v>44</v>
      </c>
      <c r="AE37" s="60">
        <f t="shared" si="7"/>
        <v>56044</v>
      </c>
    </row>
    <row r="38" spans="1:31">
      <c r="A38" s="81" t="str">
        <f t="shared" si="2"/>
        <v>5291901black</v>
      </c>
      <c r="B38" s="81" t="str">
        <f t="shared" si="3"/>
        <v>56-043-09</v>
      </c>
      <c r="C38" s="103" t="s">
        <v>1002</v>
      </c>
      <c r="D38" s="103" t="s">
        <v>1003</v>
      </c>
      <c r="E38" s="103" t="s">
        <v>902</v>
      </c>
      <c r="F38" s="104">
        <v>57</v>
      </c>
      <c r="G38" s="104" t="s">
        <v>1004</v>
      </c>
      <c r="H38" s="103" t="s">
        <v>53</v>
      </c>
      <c r="I38" s="103" t="s">
        <v>914</v>
      </c>
      <c r="J38" s="103" t="s">
        <v>327</v>
      </c>
      <c r="K38" s="103" t="s">
        <v>382</v>
      </c>
      <c r="L38" s="103" t="s">
        <v>892</v>
      </c>
      <c r="M38" s="103" t="s">
        <v>388</v>
      </c>
      <c r="N38" s="103" t="s">
        <v>43</v>
      </c>
      <c r="O38" s="103" t="s">
        <v>541</v>
      </c>
      <c r="P38" s="103" t="s">
        <v>1001</v>
      </c>
      <c r="Q38" s="103" t="s">
        <v>899</v>
      </c>
      <c r="R38" s="103" t="s">
        <v>53</v>
      </c>
      <c r="V38" s="81" t="str">
        <f t="shared" si="4"/>
        <v>5291901черный</v>
      </c>
      <c r="W38" s="81" t="str">
        <f t="shared" si="0"/>
        <v>5291901</v>
      </c>
      <c r="X38" s="81" t="str">
        <f t="shared" si="5"/>
        <v>ESS CAP</v>
      </c>
      <c r="AC38" s="60">
        <f t="shared" si="6"/>
        <v>56</v>
      </c>
      <c r="AD38" s="49">
        <f t="shared" si="1"/>
        <v>43</v>
      </c>
      <c r="AE38" s="60">
        <f t="shared" si="7"/>
        <v>56043</v>
      </c>
    </row>
    <row r="39" spans="1:31">
      <c r="A39" s="81" t="str">
        <f t="shared" si="2"/>
        <v>2390901black</v>
      </c>
      <c r="B39" s="81" t="str">
        <f t="shared" si="3"/>
        <v>56-042-09</v>
      </c>
      <c r="C39" s="103" t="s">
        <v>1005</v>
      </c>
      <c r="D39" s="103" t="s">
        <v>1006</v>
      </c>
      <c r="E39" s="103" t="s">
        <v>984</v>
      </c>
      <c r="F39" s="104" t="s">
        <v>632</v>
      </c>
      <c r="G39" s="104" t="s">
        <v>1007</v>
      </c>
      <c r="H39" s="103" t="s">
        <v>53</v>
      </c>
      <c r="I39" s="103" t="s">
        <v>1008</v>
      </c>
      <c r="J39" s="103" t="s">
        <v>327</v>
      </c>
      <c r="K39" s="103" t="s">
        <v>382</v>
      </c>
      <c r="L39" s="103" t="s">
        <v>892</v>
      </c>
      <c r="M39" s="103" t="s">
        <v>388</v>
      </c>
      <c r="O39" s="103" t="s">
        <v>386</v>
      </c>
      <c r="P39" s="103" t="s">
        <v>1001</v>
      </c>
      <c r="Q39" s="103" t="s">
        <v>899</v>
      </c>
      <c r="R39" s="103" t="s">
        <v>53</v>
      </c>
      <c r="V39" s="81" t="str">
        <f t="shared" si="4"/>
        <v>2390901черный</v>
      </c>
      <c r="W39" s="81" t="str">
        <f t="shared" si="0"/>
        <v>2390901</v>
      </c>
      <c r="X39" s="81" t="str">
        <f t="shared" si="5"/>
        <v>PUMA X NJR BB CAP</v>
      </c>
      <c r="AC39" s="60">
        <f t="shared" si="6"/>
        <v>56</v>
      </c>
      <c r="AD39" s="49">
        <f t="shared" si="1"/>
        <v>42</v>
      </c>
      <c r="AE39" s="60">
        <f t="shared" si="7"/>
        <v>56042</v>
      </c>
    </row>
    <row r="40" spans="1:31">
      <c r="A40" s="81" t="str">
        <f t="shared" si="2"/>
        <v>2375801black</v>
      </c>
      <c r="B40" s="81" t="str">
        <f t="shared" si="3"/>
        <v>56-041-09</v>
      </c>
      <c r="C40" s="103" t="s">
        <v>1009</v>
      </c>
      <c r="D40" s="103" t="s">
        <v>1010</v>
      </c>
      <c r="E40" s="103" t="s">
        <v>902</v>
      </c>
      <c r="F40" s="104">
        <v>57</v>
      </c>
      <c r="G40" s="104" t="s">
        <v>1011</v>
      </c>
      <c r="H40" s="103" t="s">
        <v>53</v>
      </c>
      <c r="I40" s="103" t="s">
        <v>909</v>
      </c>
      <c r="J40" s="103" t="s">
        <v>327</v>
      </c>
      <c r="K40" s="103" t="s">
        <v>382</v>
      </c>
      <c r="L40" s="103" t="s">
        <v>892</v>
      </c>
      <c r="M40" s="103" t="s">
        <v>388</v>
      </c>
      <c r="O40" s="103" t="s">
        <v>1012</v>
      </c>
      <c r="P40" s="103" t="s">
        <v>1001</v>
      </c>
      <c r="Q40" s="103" t="s">
        <v>899</v>
      </c>
      <c r="R40" s="103" t="s">
        <v>53</v>
      </c>
      <c r="V40" s="81" t="str">
        <f t="shared" si="4"/>
        <v>2375801черный</v>
      </c>
      <c r="W40" s="81" t="str">
        <f t="shared" si="0"/>
        <v>2375801</v>
      </c>
      <c r="X40" s="81" t="str">
        <f t="shared" si="5"/>
        <v>RUNNING PONYTAIL CAP</v>
      </c>
      <c r="AC40" s="60">
        <f t="shared" si="6"/>
        <v>56</v>
      </c>
      <c r="AD40" s="49">
        <f t="shared" si="1"/>
        <v>41</v>
      </c>
      <c r="AE40" s="60">
        <f t="shared" si="7"/>
        <v>56041</v>
      </c>
    </row>
    <row r="41" spans="1:31">
      <c r="A41" s="81" t="str">
        <f t="shared" si="2"/>
        <v>2241685white</v>
      </c>
      <c r="B41" s="81" t="str">
        <f t="shared" si="3"/>
        <v>56-040-17</v>
      </c>
      <c r="C41" s="103" t="s">
        <v>1013</v>
      </c>
      <c r="D41" s="103" t="s">
        <v>1014</v>
      </c>
      <c r="E41" s="103" t="s">
        <v>984</v>
      </c>
      <c r="F41" s="104" t="s">
        <v>632</v>
      </c>
      <c r="G41" s="104" t="s">
        <v>1015</v>
      </c>
      <c r="H41" s="103" t="s">
        <v>57</v>
      </c>
      <c r="I41" s="103" t="s">
        <v>914</v>
      </c>
      <c r="J41" s="103" t="s">
        <v>327</v>
      </c>
      <c r="K41" s="103" t="s">
        <v>382</v>
      </c>
      <c r="L41" s="103" t="s">
        <v>892</v>
      </c>
      <c r="M41" s="103" t="s">
        <v>388</v>
      </c>
      <c r="N41" s="103" t="s">
        <v>43</v>
      </c>
      <c r="O41" s="103" t="s">
        <v>541</v>
      </c>
      <c r="P41" s="103" t="s">
        <v>1001</v>
      </c>
      <c r="Q41" s="103" t="s">
        <v>966</v>
      </c>
      <c r="R41" s="103" t="s">
        <v>57</v>
      </c>
      <c r="V41" s="81" t="str">
        <f t="shared" si="4"/>
        <v>2241685белый</v>
      </c>
      <c r="W41" s="81" t="str">
        <f t="shared" si="0"/>
        <v>2241685</v>
      </c>
      <c r="X41" s="81" t="str">
        <f t="shared" si="5"/>
        <v>ESS CAP</v>
      </c>
      <c r="AC41" s="60">
        <f t="shared" si="6"/>
        <v>56</v>
      </c>
      <c r="AD41" s="49">
        <f t="shared" si="1"/>
        <v>40</v>
      </c>
      <c r="AE41" s="60">
        <f t="shared" si="7"/>
        <v>56040</v>
      </c>
    </row>
    <row r="42" spans="1:31">
      <c r="A42" s="81" t="str">
        <f t="shared" si="2"/>
        <v>2371104grey</v>
      </c>
      <c r="B42" s="81" t="str">
        <f t="shared" si="3"/>
        <v>56-039-80</v>
      </c>
      <c r="C42" s="103" t="s">
        <v>1016</v>
      </c>
      <c r="D42" s="103" t="s">
        <v>1017</v>
      </c>
      <c r="E42" s="103" t="s">
        <v>984</v>
      </c>
      <c r="F42" s="104" t="s">
        <v>632</v>
      </c>
      <c r="G42" s="104" t="s">
        <v>1018</v>
      </c>
      <c r="H42" s="103" t="s">
        <v>83</v>
      </c>
      <c r="I42" s="103" t="s">
        <v>909</v>
      </c>
      <c r="J42" s="103" t="s">
        <v>327</v>
      </c>
      <c r="K42" s="103" t="s">
        <v>382</v>
      </c>
      <c r="L42" s="103" t="s">
        <v>892</v>
      </c>
      <c r="M42" s="103" t="s">
        <v>388</v>
      </c>
      <c r="O42" s="103" t="s">
        <v>386</v>
      </c>
      <c r="P42" s="103" t="s">
        <v>1001</v>
      </c>
      <c r="Q42" s="103" t="s">
        <v>1019</v>
      </c>
      <c r="R42" s="103" t="s">
        <v>83</v>
      </c>
      <c r="V42" s="81" t="str">
        <f t="shared" si="4"/>
        <v>2371104серый</v>
      </c>
      <c r="W42" s="81" t="str">
        <f t="shared" si="0"/>
        <v>2371104</v>
      </c>
      <c r="X42" s="81" t="str">
        <f t="shared" si="5"/>
        <v>POLY COTTON CAP</v>
      </c>
      <c r="AC42" s="60">
        <f t="shared" si="6"/>
        <v>56</v>
      </c>
      <c r="AD42" s="49">
        <f t="shared" si="1"/>
        <v>39</v>
      </c>
      <c r="AE42" s="60">
        <f t="shared" si="7"/>
        <v>56039</v>
      </c>
    </row>
    <row r="43" spans="1:31">
      <c r="A43" s="81" t="str">
        <f t="shared" si="2"/>
        <v>2367503grey</v>
      </c>
      <c r="B43" s="81" t="str">
        <f t="shared" si="3"/>
        <v>56-038-80</v>
      </c>
      <c r="C43" s="103" t="s">
        <v>1020</v>
      </c>
      <c r="D43" s="103" t="s">
        <v>1021</v>
      </c>
      <c r="E43" s="103" t="s">
        <v>984</v>
      </c>
      <c r="F43" s="104" t="s">
        <v>632</v>
      </c>
      <c r="G43" s="104" t="s">
        <v>1022</v>
      </c>
      <c r="H43" s="103" t="s">
        <v>158</v>
      </c>
      <c r="I43" s="103" t="s">
        <v>909</v>
      </c>
      <c r="J43" s="103" t="s">
        <v>327</v>
      </c>
      <c r="K43" s="103" t="s">
        <v>382</v>
      </c>
      <c r="L43" s="103" t="s">
        <v>892</v>
      </c>
      <c r="M43" s="103" t="s">
        <v>388</v>
      </c>
      <c r="O43" s="103" t="s">
        <v>386</v>
      </c>
      <c r="P43" s="103" t="s">
        <v>1001</v>
      </c>
      <c r="Q43" s="103" t="s">
        <v>1019</v>
      </c>
      <c r="R43" s="103" t="s">
        <v>60</v>
      </c>
      <c r="V43" s="81" t="str">
        <f t="shared" si="4"/>
        <v>2367503камуфляж</v>
      </c>
      <c r="W43" s="81" t="str">
        <f t="shared" si="0"/>
        <v>2367503</v>
      </c>
      <c r="X43" s="81" t="str">
        <f t="shared" si="5"/>
        <v>ACADEMY AOP CAP</v>
      </c>
      <c r="AC43" s="60">
        <f t="shared" si="6"/>
        <v>56</v>
      </c>
      <c r="AD43" s="49">
        <f t="shared" si="1"/>
        <v>38</v>
      </c>
      <c r="AE43" s="60">
        <f t="shared" si="7"/>
        <v>56038</v>
      </c>
    </row>
    <row r="44" spans="1:31">
      <c r="A44" s="81" t="str">
        <f t="shared" si="2"/>
        <v>2366901black</v>
      </c>
      <c r="B44" s="81" t="str">
        <f t="shared" si="3"/>
        <v>56-037-09</v>
      </c>
      <c r="C44" s="103" t="s">
        <v>1023</v>
      </c>
      <c r="D44" s="103" t="s">
        <v>1024</v>
      </c>
      <c r="E44" s="103" t="s">
        <v>984</v>
      </c>
      <c r="F44" s="104" t="s">
        <v>632</v>
      </c>
      <c r="G44" s="104" t="s">
        <v>1025</v>
      </c>
      <c r="H44" s="103" t="s">
        <v>53</v>
      </c>
      <c r="I44" s="103" t="s">
        <v>914</v>
      </c>
      <c r="J44" s="103" t="s">
        <v>327</v>
      </c>
      <c r="K44" s="103" t="s">
        <v>382</v>
      </c>
      <c r="L44" s="103" t="s">
        <v>892</v>
      </c>
      <c r="M44" s="103" t="s">
        <v>388</v>
      </c>
      <c r="N44" s="103" t="s">
        <v>43</v>
      </c>
      <c r="O44" s="103" t="s">
        <v>541</v>
      </c>
      <c r="P44" s="103" t="s">
        <v>1001</v>
      </c>
      <c r="Q44" s="103" t="s">
        <v>899</v>
      </c>
      <c r="R44" s="103" t="s">
        <v>53</v>
      </c>
      <c r="V44" s="81" t="str">
        <f t="shared" si="4"/>
        <v>2366901черный</v>
      </c>
      <c r="W44" s="81" t="str">
        <f t="shared" si="0"/>
        <v>2366901</v>
      </c>
      <c r="X44" s="81" t="str">
        <f t="shared" si="5"/>
        <v>ESS CAP III</v>
      </c>
      <c r="AC44" s="60">
        <f t="shared" si="6"/>
        <v>56</v>
      </c>
      <c r="AD44" s="49">
        <f t="shared" si="1"/>
        <v>37</v>
      </c>
      <c r="AE44" s="60">
        <f t="shared" si="7"/>
        <v>56037</v>
      </c>
    </row>
    <row r="45" spans="1:31">
      <c r="A45" s="81" t="str">
        <f t="shared" si="2"/>
        <v>2343805pink</v>
      </c>
      <c r="B45" s="81" t="str">
        <f t="shared" si="3"/>
        <v>56-036-34</v>
      </c>
      <c r="C45" s="103" t="s">
        <v>1026</v>
      </c>
      <c r="D45" s="103" t="s">
        <v>1027</v>
      </c>
      <c r="E45" s="103" t="s">
        <v>984</v>
      </c>
      <c r="F45" s="104" t="s">
        <v>632</v>
      </c>
      <c r="G45" s="104" t="s">
        <v>1028</v>
      </c>
      <c r="H45" s="103" t="s">
        <v>68</v>
      </c>
      <c r="I45" s="103" t="s">
        <v>1029</v>
      </c>
      <c r="J45" s="103" t="s">
        <v>356</v>
      </c>
      <c r="K45" s="103" t="s">
        <v>387</v>
      </c>
      <c r="L45" s="103" t="s">
        <v>892</v>
      </c>
      <c r="M45" s="103" t="s">
        <v>388</v>
      </c>
      <c r="O45" s="103" t="s">
        <v>386</v>
      </c>
      <c r="P45" s="103" t="s">
        <v>1001</v>
      </c>
      <c r="Q45" s="103" t="s">
        <v>938</v>
      </c>
      <c r="R45" s="103" t="s">
        <v>68</v>
      </c>
      <c r="V45" s="81" t="str">
        <f t="shared" si="4"/>
        <v>2343805розовый</v>
      </c>
      <c r="W45" s="81" t="str">
        <f t="shared" si="0"/>
        <v>2343805</v>
      </c>
      <c r="X45" s="81" t="str">
        <f t="shared" si="5"/>
        <v>PRIME TRUCKER CAP</v>
      </c>
      <c r="AC45" s="60">
        <f t="shared" si="6"/>
        <v>56</v>
      </c>
      <c r="AD45" s="49">
        <f t="shared" si="1"/>
        <v>36</v>
      </c>
      <c r="AE45" s="60">
        <f t="shared" si="7"/>
        <v>56036</v>
      </c>
    </row>
    <row r="46" spans="1:31">
      <c r="A46" s="81" t="str">
        <f t="shared" si="2"/>
        <v>2343801black</v>
      </c>
      <c r="B46" s="81" t="str">
        <f t="shared" si="3"/>
        <v>56-035-09</v>
      </c>
      <c r="C46" s="103" t="s">
        <v>1030</v>
      </c>
      <c r="D46" s="103" t="s">
        <v>1031</v>
      </c>
      <c r="E46" s="103" t="s">
        <v>984</v>
      </c>
      <c r="F46" s="104" t="s">
        <v>632</v>
      </c>
      <c r="G46" s="104" t="s">
        <v>1032</v>
      </c>
      <c r="H46" s="103" t="s">
        <v>53</v>
      </c>
      <c r="I46" s="103" t="s">
        <v>1029</v>
      </c>
      <c r="J46" s="103" t="s">
        <v>356</v>
      </c>
      <c r="K46" s="103" t="s">
        <v>382</v>
      </c>
      <c r="L46" s="103" t="s">
        <v>892</v>
      </c>
      <c r="M46" s="103" t="s">
        <v>388</v>
      </c>
      <c r="O46" s="103" t="s">
        <v>386</v>
      </c>
      <c r="P46" s="103" t="s">
        <v>1001</v>
      </c>
      <c r="Q46" s="103" t="s">
        <v>899</v>
      </c>
      <c r="R46" s="103" t="s">
        <v>53</v>
      </c>
      <c r="V46" s="81" t="str">
        <f t="shared" si="4"/>
        <v>2343801черный</v>
      </c>
      <c r="W46" s="81" t="str">
        <f t="shared" si="0"/>
        <v>2343801</v>
      </c>
      <c r="X46" s="81" t="str">
        <f t="shared" si="5"/>
        <v>PRIME TRUCKER CAP</v>
      </c>
      <c r="AC46" s="60">
        <f t="shared" si="6"/>
        <v>56</v>
      </c>
      <c r="AD46" s="49">
        <f t="shared" si="1"/>
        <v>35</v>
      </c>
      <c r="AE46" s="60">
        <f t="shared" si="7"/>
        <v>56035</v>
      </c>
    </row>
    <row r="47" spans="1:31">
      <c r="A47" s="81" t="str">
        <f t="shared" si="2"/>
        <v>2342801black</v>
      </c>
      <c r="B47" s="81" t="str">
        <f t="shared" si="3"/>
        <v>56-034-09</v>
      </c>
      <c r="C47" s="103" t="s">
        <v>1033</v>
      </c>
      <c r="D47" s="103" t="s">
        <v>1034</v>
      </c>
      <c r="E47" s="103" t="s">
        <v>984</v>
      </c>
      <c r="F47" s="104" t="s">
        <v>632</v>
      </c>
      <c r="G47" s="104" t="s">
        <v>1035</v>
      </c>
      <c r="H47" s="103" t="s">
        <v>53</v>
      </c>
      <c r="I47" s="103" t="s">
        <v>909</v>
      </c>
      <c r="J47" s="103" t="s">
        <v>356</v>
      </c>
      <c r="K47" s="103" t="s">
        <v>382</v>
      </c>
      <c r="L47" s="103" t="s">
        <v>892</v>
      </c>
      <c r="M47" s="103" t="s">
        <v>388</v>
      </c>
      <c r="O47" s="103" t="s">
        <v>386</v>
      </c>
      <c r="P47" s="103" t="s">
        <v>1001</v>
      </c>
      <c r="Q47" s="103" t="s">
        <v>899</v>
      </c>
      <c r="R47" s="103" t="s">
        <v>53</v>
      </c>
      <c r="V47" s="81" t="str">
        <f t="shared" si="4"/>
        <v>2342801черный</v>
      </c>
      <c r="W47" s="81" t="str">
        <f t="shared" si="0"/>
        <v>2342801</v>
      </c>
      <c r="X47" s="81" t="str">
        <f t="shared" si="5"/>
        <v>PUMA TRUCKER CAP</v>
      </c>
      <c r="AC47" s="60">
        <f t="shared" si="6"/>
        <v>56</v>
      </c>
      <c r="AD47" s="49">
        <f t="shared" si="1"/>
        <v>34</v>
      </c>
      <c r="AE47" s="60">
        <f t="shared" si="7"/>
        <v>56034</v>
      </c>
    </row>
    <row r="48" spans="1:31">
      <c r="A48" s="81" t="str">
        <f t="shared" si="2"/>
        <v>2255417blue</v>
      </c>
      <c r="B48" s="81" t="str">
        <f t="shared" si="3"/>
        <v>56-033-06</v>
      </c>
      <c r="C48" s="103" t="s">
        <v>1036</v>
      </c>
      <c r="D48" s="103" t="s">
        <v>1037</v>
      </c>
      <c r="E48" s="103" t="s">
        <v>984</v>
      </c>
      <c r="F48" s="104" t="s">
        <v>632</v>
      </c>
      <c r="G48" s="104" t="s">
        <v>1038</v>
      </c>
      <c r="H48" s="103" t="s">
        <v>71</v>
      </c>
      <c r="I48" s="103" t="s">
        <v>914</v>
      </c>
      <c r="J48" s="103" t="s">
        <v>327</v>
      </c>
      <c r="K48" s="103" t="s">
        <v>382</v>
      </c>
      <c r="L48" s="103" t="s">
        <v>892</v>
      </c>
      <c r="M48" s="103" t="s">
        <v>388</v>
      </c>
      <c r="N48" s="103" t="s">
        <v>43</v>
      </c>
      <c r="O48" s="103" t="s">
        <v>541</v>
      </c>
      <c r="P48" s="103" t="s">
        <v>1001</v>
      </c>
      <c r="Q48" s="103" t="s">
        <v>920</v>
      </c>
      <c r="R48" s="103" t="s">
        <v>71</v>
      </c>
      <c r="V48" s="81" t="str">
        <f t="shared" si="4"/>
        <v>2255417синий</v>
      </c>
      <c r="W48" s="81" t="str">
        <f t="shared" si="0"/>
        <v>2255417</v>
      </c>
      <c r="X48" s="81" t="str">
        <f t="shared" si="5"/>
        <v>ARCHIVE LOGO BB CAP</v>
      </c>
      <c r="AC48" s="60">
        <f t="shared" si="6"/>
        <v>56</v>
      </c>
      <c r="AD48" s="49">
        <f t="shared" si="1"/>
        <v>33</v>
      </c>
      <c r="AE48" s="60">
        <f t="shared" si="7"/>
        <v>56033</v>
      </c>
    </row>
    <row r="49" spans="1:31">
      <c r="A49" s="81" t="str">
        <f t="shared" si="2"/>
        <v>2241679purple</v>
      </c>
      <c r="B49" s="81" t="str">
        <f t="shared" si="3"/>
        <v>56-032-41</v>
      </c>
      <c r="C49" s="103" t="s">
        <v>1039</v>
      </c>
      <c r="D49" s="103" t="s">
        <v>1040</v>
      </c>
      <c r="E49" s="103" t="s">
        <v>984</v>
      </c>
      <c r="F49" s="104" t="s">
        <v>632</v>
      </c>
      <c r="G49" s="104" t="s">
        <v>1041</v>
      </c>
      <c r="H49" s="103" t="s">
        <v>286</v>
      </c>
      <c r="I49" s="103" t="s">
        <v>914</v>
      </c>
      <c r="J49" s="103" t="s">
        <v>327</v>
      </c>
      <c r="K49" s="103" t="s">
        <v>382</v>
      </c>
      <c r="L49" s="103" t="s">
        <v>892</v>
      </c>
      <c r="M49" s="103" t="s">
        <v>388</v>
      </c>
      <c r="N49" s="103" t="s">
        <v>43</v>
      </c>
      <c r="O49" s="103" t="s">
        <v>541</v>
      </c>
      <c r="P49" s="103" t="s">
        <v>1001</v>
      </c>
      <c r="Q49" s="103" t="s">
        <v>929</v>
      </c>
      <c r="R49" s="103" t="s">
        <v>286</v>
      </c>
      <c r="V49" s="81" t="str">
        <f t="shared" si="4"/>
        <v>2241679фиолетовый</v>
      </c>
      <c r="W49" s="81" t="str">
        <f t="shared" si="0"/>
        <v>2241679</v>
      </c>
      <c r="X49" s="81" t="str">
        <f t="shared" si="5"/>
        <v>ESS CAP</v>
      </c>
      <c r="AC49" s="60">
        <f t="shared" si="6"/>
        <v>56</v>
      </c>
      <c r="AD49" s="49">
        <f t="shared" si="1"/>
        <v>32</v>
      </c>
      <c r="AE49" s="60">
        <f t="shared" si="7"/>
        <v>56032</v>
      </c>
    </row>
    <row r="50" spans="1:31">
      <c r="A50" s="81" t="str">
        <f t="shared" si="2"/>
        <v>2241678pink</v>
      </c>
      <c r="B50" s="81" t="str">
        <f t="shared" si="3"/>
        <v>56-031-34</v>
      </c>
      <c r="C50" s="103" t="s">
        <v>1042</v>
      </c>
      <c r="D50" s="103" t="s">
        <v>1043</v>
      </c>
      <c r="E50" s="103" t="s">
        <v>984</v>
      </c>
      <c r="F50" s="104" t="s">
        <v>632</v>
      </c>
      <c r="G50" s="104" t="s">
        <v>1044</v>
      </c>
      <c r="H50" s="103" t="s">
        <v>68</v>
      </c>
      <c r="I50" s="103" t="s">
        <v>914</v>
      </c>
      <c r="J50" s="103" t="s">
        <v>327</v>
      </c>
      <c r="K50" s="103" t="s">
        <v>387</v>
      </c>
      <c r="L50" s="103" t="s">
        <v>892</v>
      </c>
      <c r="M50" s="103" t="s">
        <v>388</v>
      </c>
      <c r="N50" s="103" t="s">
        <v>43</v>
      </c>
      <c r="O50" s="103" t="s">
        <v>541</v>
      </c>
      <c r="P50" s="103" t="s">
        <v>1001</v>
      </c>
      <c r="Q50" s="103" t="s">
        <v>938</v>
      </c>
      <c r="R50" s="103" t="s">
        <v>68</v>
      </c>
      <c r="V50" s="81" t="str">
        <f t="shared" si="4"/>
        <v>2241678розовый</v>
      </c>
      <c r="W50" s="81" t="str">
        <f t="shared" si="0"/>
        <v>2241678</v>
      </c>
      <c r="X50" s="81" t="str">
        <f t="shared" si="5"/>
        <v>ESS CAP</v>
      </c>
      <c r="AC50" s="60">
        <f t="shared" si="6"/>
        <v>56</v>
      </c>
      <c r="AD50" s="49">
        <f t="shared" si="1"/>
        <v>31</v>
      </c>
      <c r="AE50" s="60">
        <f t="shared" si="7"/>
        <v>56031</v>
      </c>
    </row>
    <row r="51" spans="1:31">
      <c r="A51" s="81" t="str">
        <f t="shared" si="2"/>
        <v>2241675white</v>
      </c>
      <c r="B51" s="81" t="str">
        <f t="shared" si="3"/>
        <v>56-030-17</v>
      </c>
      <c r="C51" s="103" t="s">
        <v>1045</v>
      </c>
      <c r="D51" s="103" t="s">
        <v>1046</v>
      </c>
      <c r="E51" s="103" t="s">
        <v>984</v>
      </c>
      <c r="F51" s="104" t="s">
        <v>632</v>
      </c>
      <c r="G51" s="104" t="s">
        <v>1047</v>
      </c>
      <c r="H51" s="103" t="s">
        <v>57</v>
      </c>
      <c r="I51" s="103" t="s">
        <v>914</v>
      </c>
      <c r="J51" s="103" t="s">
        <v>327</v>
      </c>
      <c r="K51" s="103" t="s">
        <v>382</v>
      </c>
      <c r="L51" s="103" t="s">
        <v>892</v>
      </c>
      <c r="M51" s="103" t="s">
        <v>388</v>
      </c>
      <c r="N51" s="103" t="s">
        <v>43</v>
      </c>
      <c r="O51" s="103" t="s">
        <v>541</v>
      </c>
      <c r="P51" s="103" t="s">
        <v>1001</v>
      </c>
      <c r="Q51" s="103" t="s">
        <v>966</v>
      </c>
      <c r="R51" s="103" t="s">
        <v>57</v>
      </c>
      <c r="V51" s="81" t="str">
        <f t="shared" si="4"/>
        <v>2241675белый</v>
      </c>
      <c r="W51" s="81" t="str">
        <f t="shared" si="0"/>
        <v>2241675</v>
      </c>
      <c r="X51" s="81" t="str">
        <f t="shared" si="5"/>
        <v>ESS CAP</v>
      </c>
      <c r="AC51" s="60">
        <f t="shared" si="6"/>
        <v>56</v>
      </c>
      <c r="AD51" s="49">
        <f t="shared" si="1"/>
        <v>30</v>
      </c>
      <c r="AE51" s="60">
        <f t="shared" si="7"/>
        <v>56030</v>
      </c>
    </row>
    <row r="52" spans="1:31">
      <c r="A52" s="81" t="str">
        <f t="shared" si="2"/>
        <v>2359301black</v>
      </c>
      <c r="B52" s="81" t="str">
        <f t="shared" si="3"/>
        <v>56-029-09</v>
      </c>
      <c r="C52" s="103" t="s">
        <v>1048</v>
      </c>
      <c r="D52" s="103" t="s">
        <v>1049</v>
      </c>
      <c r="E52" s="103" t="s">
        <v>984</v>
      </c>
      <c r="F52" s="104" t="s">
        <v>632</v>
      </c>
      <c r="G52" s="104" t="s">
        <v>1050</v>
      </c>
      <c r="H52" s="103" t="s">
        <v>53</v>
      </c>
      <c r="I52" s="103" t="s">
        <v>1008</v>
      </c>
      <c r="J52" s="103" t="s">
        <v>327</v>
      </c>
      <c r="K52" s="103" t="s">
        <v>382</v>
      </c>
      <c r="L52" s="103" t="s">
        <v>892</v>
      </c>
      <c r="M52" s="103" t="s">
        <v>388</v>
      </c>
      <c r="O52" s="103" t="s">
        <v>1012</v>
      </c>
      <c r="P52" s="103" t="s">
        <v>1001</v>
      </c>
      <c r="Q52" s="103" t="s">
        <v>899</v>
      </c>
      <c r="R52" s="103" t="s">
        <v>53</v>
      </c>
      <c r="V52" s="81" t="str">
        <f t="shared" si="4"/>
        <v>2359301черный</v>
      </c>
      <c r="W52" s="81" t="str">
        <f t="shared" si="0"/>
        <v>2359301</v>
      </c>
      <c r="X52" s="81" t="str">
        <f t="shared" si="5"/>
        <v>BMW MMS HERITAGE BB CAP</v>
      </c>
      <c r="AC52" s="60">
        <f t="shared" si="6"/>
        <v>56</v>
      </c>
      <c r="AD52" s="49">
        <f t="shared" si="1"/>
        <v>29</v>
      </c>
      <c r="AE52" s="60">
        <f t="shared" si="7"/>
        <v>56029</v>
      </c>
    </row>
    <row r="53" spans="1:31">
      <c r="A53" s="81" t="str">
        <f t="shared" si="2"/>
        <v>2353501black</v>
      </c>
      <c r="B53" s="81" t="str">
        <f t="shared" si="3"/>
        <v>56-028-09</v>
      </c>
      <c r="C53" s="103" t="s">
        <v>1051</v>
      </c>
      <c r="D53" s="103" t="s">
        <v>1052</v>
      </c>
      <c r="E53" s="103" t="s">
        <v>984</v>
      </c>
      <c r="F53" s="104" t="s">
        <v>632</v>
      </c>
      <c r="G53" s="104" t="s">
        <v>1053</v>
      </c>
      <c r="H53" s="103" t="s">
        <v>53</v>
      </c>
      <c r="I53" s="103" t="s">
        <v>914</v>
      </c>
      <c r="J53" s="103" t="s">
        <v>327</v>
      </c>
      <c r="K53" s="103" t="s">
        <v>382</v>
      </c>
      <c r="L53" s="103" t="s">
        <v>892</v>
      </c>
      <c r="M53" s="103" t="s">
        <v>388</v>
      </c>
      <c r="N53" s="103" t="s">
        <v>43</v>
      </c>
      <c r="O53" s="103" t="s">
        <v>386</v>
      </c>
      <c r="P53" s="103" t="s">
        <v>1001</v>
      </c>
      <c r="Q53" s="103" t="s">
        <v>899</v>
      </c>
      <c r="R53" s="103" t="s">
        <v>53</v>
      </c>
      <c r="V53" s="81" t="str">
        <f t="shared" si="4"/>
        <v>2353501черный</v>
      </c>
      <c r="W53" s="81" t="str">
        <f t="shared" si="0"/>
        <v>2353501</v>
      </c>
      <c r="X53" s="81" t="str">
        <f t="shared" si="5"/>
        <v>ARCHIVE LOGO LABEL CAP</v>
      </c>
      <c r="AC53" s="60">
        <f t="shared" si="6"/>
        <v>56</v>
      </c>
      <c r="AD53" s="49">
        <f t="shared" si="1"/>
        <v>28</v>
      </c>
      <c r="AE53" s="60">
        <f t="shared" si="7"/>
        <v>56028</v>
      </c>
    </row>
    <row r="54" spans="1:31">
      <c r="A54" s="81" t="str">
        <f t="shared" si="2"/>
        <v>2344502black</v>
      </c>
      <c r="B54" s="81" t="str">
        <f t="shared" si="3"/>
        <v>56-027-09</v>
      </c>
      <c r="C54" s="103" t="s">
        <v>1054</v>
      </c>
      <c r="D54" s="103" t="s">
        <v>1055</v>
      </c>
      <c r="E54" s="103" t="s">
        <v>984</v>
      </c>
      <c r="F54" s="104" t="s">
        <v>632</v>
      </c>
      <c r="G54" s="104" t="s">
        <v>1056</v>
      </c>
      <c r="H54" s="103" t="s">
        <v>53</v>
      </c>
      <c r="I54" s="103" t="s">
        <v>909</v>
      </c>
      <c r="J54" s="103" t="s">
        <v>327</v>
      </c>
      <c r="K54" s="103" t="s">
        <v>382</v>
      </c>
      <c r="L54" s="103" t="s">
        <v>892</v>
      </c>
      <c r="M54" s="103" t="s">
        <v>388</v>
      </c>
      <c r="O54" s="103" t="s">
        <v>386</v>
      </c>
      <c r="P54" s="103" t="s">
        <v>1001</v>
      </c>
      <c r="Q54" s="103" t="s">
        <v>899</v>
      </c>
      <c r="R54" s="103" t="s">
        <v>53</v>
      </c>
      <c r="V54" s="81" t="str">
        <f t="shared" si="4"/>
        <v>2344502черный</v>
      </c>
      <c r="W54" s="81" t="str">
        <f t="shared" si="0"/>
        <v>2344502</v>
      </c>
      <c r="X54" s="81" t="str">
        <f t="shared" si="5"/>
        <v>CLASSICS CAPSULE CAP</v>
      </c>
      <c r="AC54" s="60">
        <f t="shared" si="6"/>
        <v>56</v>
      </c>
      <c r="AD54" s="49">
        <f t="shared" si="1"/>
        <v>27</v>
      </c>
      <c r="AE54" s="60">
        <f t="shared" si="7"/>
        <v>56027</v>
      </c>
    </row>
    <row r="55" spans="1:31">
      <c r="A55" s="81" t="str">
        <f t="shared" si="2"/>
        <v>2241674black</v>
      </c>
      <c r="B55" s="81" t="str">
        <f t="shared" si="3"/>
        <v>56-026-09</v>
      </c>
      <c r="C55" s="103" t="s">
        <v>1057</v>
      </c>
      <c r="D55" s="103" t="s">
        <v>1058</v>
      </c>
      <c r="E55" s="103" t="s">
        <v>984</v>
      </c>
      <c r="F55" s="104" t="s">
        <v>632</v>
      </c>
      <c r="G55" s="104" t="s">
        <v>1059</v>
      </c>
      <c r="H55" s="103" t="s">
        <v>53</v>
      </c>
      <c r="I55" s="103" t="s">
        <v>914</v>
      </c>
      <c r="J55" s="103" t="s">
        <v>327</v>
      </c>
      <c r="K55" s="103" t="s">
        <v>382</v>
      </c>
      <c r="L55" s="103" t="s">
        <v>892</v>
      </c>
      <c r="M55" s="103" t="s">
        <v>388</v>
      </c>
      <c r="N55" s="103" t="s">
        <v>43</v>
      </c>
      <c r="O55" s="103" t="s">
        <v>541</v>
      </c>
      <c r="P55" s="103" t="s">
        <v>1001</v>
      </c>
      <c r="Q55" s="103" t="s">
        <v>899</v>
      </c>
      <c r="R55" s="103" t="s">
        <v>53</v>
      </c>
      <c r="V55" s="81" t="str">
        <f t="shared" si="4"/>
        <v>2241674черный</v>
      </c>
      <c r="W55" s="81" t="str">
        <f t="shared" si="0"/>
        <v>2241674</v>
      </c>
      <c r="X55" s="81" t="str">
        <f t="shared" si="5"/>
        <v>ESS CAP</v>
      </c>
      <c r="AC55" s="60">
        <f t="shared" si="6"/>
        <v>56</v>
      </c>
      <c r="AD55" s="49">
        <f t="shared" si="1"/>
        <v>26</v>
      </c>
      <c r="AE55" s="60">
        <f t="shared" si="7"/>
        <v>56026</v>
      </c>
    </row>
    <row r="56" spans="1:31">
      <c r="A56" s="81" t="str">
        <f t="shared" si="2"/>
        <v>2126907blue</v>
      </c>
      <c r="B56" s="81" t="str">
        <f t="shared" si="3"/>
        <v>56-025-06</v>
      </c>
      <c r="C56" s="103" t="s">
        <v>1060</v>
      </c>
      <c r="D56" s="103" t="s">
        <v>1061</v>
      </c>
      <c r="E56" s="103" t="s">
        <v>902</v>
      </c>
      <c r="F56" s="104">
        <v>57</v>
      </c>
      <c r="G56" s="104" t="s">
        <v>1062</v>
      </c>
      <c r="H56" s="103" t="s">
        <v>71</v>
      </c>
      <c r="I56" s="103" t="s">
        <v>909</v>
      </c>
      <c r="J56" s="103" t="s">
        <v>327</v>
      </c>
      <c r="K56" s="103" t="s">
        <v>382</v>
      </c>
      <c r="L56" s="103" t="s">
        <v>892</v>
      </c>
      <c r="M56" s="103" t="s">
        <v>388</v>
      </c>
      <c r="O56" s="103" t="s">
        <v>1012</v>
      </c>
      <c r="P56" s="103" t="s">
        <v>1001</v>
      </c>
      <c r="Q56" s="103" t="s">
        <v>920</v>
      </c>
      <c r="R56" s="103" t="s">
        <v>71</v>
      </c>
      <c r="V56" s="81" t="str">
        <f t="shared" si="4"/>
        <v>2126907синий</v>
      </c>
      <c r="W56" s="81" t="str">
        <f t="shared" si="0"/>
        <v>2126907</v>
      </c>
      <c r="X56" s="81" t="str">
        <f t="shared" si="5"/>
        <v>PUMA METAL CAT CAP</v>
      </c>
      <c r="AC56" s="60">
        <f t="shared" si="6"/>
        <v>56</v>
      </c>
      <c r="AD56" s="49">
        <f t="shared" si="1"/>
        <v>25</v>
      </c>
      <c r="AE56" s="60">
        <f t="shared" si="7"/>
        <v>56025</v>
      </c>
    </row>
    <row r="57" spans="1:31">
      <c r="A57" s="81" t="str">
        <f t="shared" si="2"/>
        <v>2126901black</v>
      </c>
      <c r="B57" s="81" t="str">
        <f t="shared" si="3"/>
        <v>56-024-09</v>
      </c>
      <c r="C57" s="103" t="s">
        <v>1063</v>
      </c>
      <c r="D57" s="103" t="s">
        <v>1064</v>
      </c>
      <c r="E57" s="103" t="s">
        <v>902</v>
      </c>
      <c r="F57" s="104">
        <v>57</v>
      </c>
      <c r="G57" s="104" t="s">
        <v>1065</v>
      </c>
      <c r="H57" s="103" t="s">
        <v>53</v>
      </c>
      <c r="I57" s="103" t="s">
        <v>909</v>
      </c>
      <c r="J57" s="103" t="s">
        <v>327</v>
      </c>
      <c r="K57" s="103" t="s">
        <v>382</v>
      </c>
      <c r="L57" s="103" t="s">
        <v>892</v>
      </c>
      <c r="M57" s="103" t="s">
        <v>388</v>
      </c>
      <c r="O57" s="103" t="s">
        <v>1012</v>
      </c>
      <c r="P57" s="103" t="s">
        <v>1001</v>
      </c>
      <c r="Q57" s="103" t="s">
        <v>899</v>
      </c>
      <c r="R57" s="103" t="s">
        <v>53</v>
      </c>
      <c r="V57" s="81" t="str">
        <f t="shared" si="4"/>
        <v>2126901черный</v>
      </c>
      <c r="W57" s="81" t="str">
        <f t="shared" si="0"/>
        <v>2126901</v>
      </c>
      <c r="X57" s="81" t="str">
        <f t="shared" si="5"/>
        <v>PUMA METAL CAT CAP</v>
      </c>
      <c r="AC57" s="60">
        <f t="shared" si="6"/>
        <v>56</v>
      </c>
      <c r="AD57" s="49">
        <f t="shared" si="1"/>
        <v>24</v>
      </c>
      <c r="AE57" s="60">
        <f t="shared" si="7"/>
        <v>56024</v>
      </c>
    </row>
    <row r="58" spans="1:31">
      <c r="A58" s="81" t="str">
        <f t="shared" si="2"/>
        <v>2360205beige</v>
      </c>
      <c r="B58" s="81" t="str">
        <f t="shared" si="3"/>
        <v>56-056-02</v>
      </c>
      <c r="C58" s="103" t="s">
        <v>1066</v>
      </c>
      <c r="D58" s="103" t="s">
        <v>1067</v>
      </c>
      <c r="E58" s="103" t="s">
        <v>984</v>
      </c>
      <c r="F58" s="104" t="s">
        <v>632</v>
      </c>
      <c r="G58" s="104" t="s">
        <v>1068</v>
      </c>
      <c r="H58" s="103" t="s">
        <v>55</v>
      </c>
      <c r="I58" s="103" t="s">
        <v>914</v>
      </c>
      <c r="J58" s="103" t="s">
        <v>327</v>
      </c>
      <c r="K58" s="103" t="s">
        <v>382</v>
      </c>
      <c r="L58" s="103" t="s">
        <v>892</v>
      </c>
      <c r="M58" s="103" t="s">
        <v>388</v>
      </c>
      <c r="N58" s="103" t="s">
        <v>43</v>
      </c>
      <c r="O58" s="103" t="s">
        <v>386</v>
      </c>
      <c r="P58" s="103" t="s">
        <v>1001</v>
      </c>
      <c r="Q58" s="103" t="s">
        <v>915</v>
      </c>
      <c r="R58" s="103" t="s">
        <v>71</v>
      </c>
      <c r="V58" s="81" t="str">
        <f t="shared" si="4"/>
        <v>2360205темно-синий</v>
      </c>
      <c r="W58" s="81" t="str">
        <f t="shared" si="0"/>
        <v>2360205</v>
      </c>
      <c r="X58" s="81" t="str">
        <f t="shared" si="5"/>
        <v>MCFC LEGACY BB CAP</v>
      </c>
      <c r="AC58" s="60">
        <f t="shared" si="6"/>
        <v>56</v>
      </c>
      <c r="AD58" s="49">
        <f t="shared" si="1"/>
        <v>56</v>
      </c>
      <c r="AE58" s="60">
        <f t="shared" si="7"/>
        <v>56056</v>
      </c>
    </row>
    <row r="59" spans="1:31">
      <c r="A59" s="81" t="str">
        <f t="shared" si="2"/>
        <v>HE2388black</v>
      </c>
      <c r="B59" s="81" t="str">
        <f t="shared" si="3"/>
        <v>56-050-09</v>
      </c>
      <c r="C59" s="103" t="s">
        <v>1069</v>
      </c>
      <c r="D59" s="103" t="s">
        <v>1070</v>
      </c>
      <c r="E59" s="103" t="s">
        <v>902</v>
      </c>
      <c r="F59" s="104">
        <v>57</v>
      </c>
      <c r="G59" s="103" t="s">
        <v>1071</v>
      </c>
      <c r="H59" s="103" t="s">
        <v>53</v>
      </c>
      <c r="I59" s="103" t="s">
        <v>1072</v>
      </c>
      <c r="J59" s="103" t="s">
        <v>327</v>
      </c>
      <c r="K59" s="103" t="s">
        <v>382</v>
      </c>
      <c r="L59" s="103" t="s">
        <v>889</v>
      </c>
      <c r="M59" s="103" t="s">
        <v>388</v>
      </c>
      <c r="O59" s="103" t="s">
        <v>386</v>
      </c>
      <c r="P59" s="103" t="s">
        <v>905</v>
      </c>
      <c r="Q59" s="103" t="s">
        <v>899</v>
      </c>
      <c r="R59" s="103" t="s">
        <v>53</v>
      </c>
      <c r="V59" s="81" t="str">
        <f t="shared" si="4"/>
        <v>HE2388черный</v>
      </c>
      <c r="W59" s="81" t="str">
        <f t="shared" si="0"/>
        <v>HE2388</v>
      </c>
      <c r="X59" s="81" t="str">
        <f t="shared" si="5"/>
        <v>UBF ATHLETE A-FLEX CAP</v>
      </c>
      <c r="AC59" s="60">
        <f t="shared" si="6"/>
        <v>56</v>
      </c>
      <c r="AD59" s="49">
        <f t="shared" si="1"/>
        <v>50</v>
      </c>
      <c r="AE59" s="60">
        <f t="shared" si="7"/>
        <v>56050</v>
      </c>
    </row>
    <row r="60" spans="1:31">
      <c r="A60" s="81" t="str">
        <f t="shared" si="2"/>
        <v>HE2388black</v>
      </c>
      <c r="B60" s="81" t="str">
        <f t="shared" si="3"/>
        <v>56-050-09</v>
      </c>
      <c r="C60" s="103" t="s">
        <v>1073</v>
      </c>
      <c r="D60" s="103" t="s">
        <v>1070</v>
      </c>
      <c r="E60" s="103" t="s">
        <v>931</v>
      </c>
      <c r="F60" s="104">
        <v>56</v>
      </c>
      <c r="G60" s="104" t="s">
        <v>1071</v>
      </c>
      <c r="H60" s="103" t="s">
        <v>53</v>
      </c>
      <c r="I60" s="103" t="s">
        <v>1072</v>
      </c>
      <c r="J60" s="103" t="s">
        <v>327</v>
      </c>
      <c r="K60" s="103" t="s">
        <v>382</v>
      </c>
      <c r="L60" s="103" t="s">
        <v>889</v>
      </c>
      <c r="M60" s="103" t="s">
        <v>388</v>
      </c>
      <c r="O60" s="103" t="s">
        <v>386</v>
      </c>
      <c r="P60" s="103" t="s">
        <v>905</v>
      </c>
      <c r="Q60" s="103" t="s">
        <v>899</v>
      </c>
      <c r="R60" s="103" t="s">
        <v>53</v>
      </c>
      <c r="V60" s="81" t="str">
        <f t="shared" si="4"/>
        <v>HE2388черный</v>
      </c>
      <c r="W60" s="81" t="str">
        <f t="shared" si="0"/>
        <v>HE2388</v>
      </c>
      <c r="X60" s="81" t="str">
        <f t="shared" si="5"/>
        <v>UBF ATHLETE A-FLEX CAP</v>
      </c>
      <c r="AC60" s="60">
        <f t="shared" si="6"/>
        <v>56</v>
      </c>
      <c r="AD60" s="49">
        <f t="shared" si="1"/>
        <v>50</v>
      </c>
      <c r="AE60" s="60">
        <f t="shared" si="7"/>
        <v>56050</v>
      </c>
    </row>
    <row r="61" spans="1:31">
      <c r="A61" s="81" t="str">
        <f t="shared" si="2"/>
        <v>HE2381blue</v>
      </c>
      <c r="B61" s="81" t="str">
        <f t="shared" si="3"/>
        <v>56-049-06</v>
      </c>
      <c r="C61" s="103" t="s">
        <v>1074</v>
      </c>
      <c r="D61" s="103" t="s">
        <v>1075</v>
      </c>
      <c r="E61" s="103" t="s">
        <v>902</v>
      </c>
      <c r="F61" s="104">
        <v>57</v>
      </c>
      <c r="G61" s="104" t="s">
        <v>1076</v>
      </c>
      <c r="H61" s="103" t="s">
        <v>71</v>
      </c>
      <c r="I61" s="103" t="s">
        <v>909</v>
      </c>
      <c r="J61" s="103" t="s">
        <v>327</v>
      </c>
      <c r="K61" s="103" t="s">
        <v>382</v>
      </c>
      <c r="L61" s="103" t="s">
        <v>889</v>
      </c>
      <c r="M61" s="103" t="s">
        <v>388</v>
      </c>
      <c r="O61" s="103" t="s">
        <v>386</v>
      </c>
      <c r="P61" s="103" t="s">
        <v>905</v>
      </c>
      <c r="Q61" s="103" t="s">
        <v>920</v>
      </c>
      <c r="R61" s="103" t="s">
        <v>71</v>
      </c>
      <c r="V61" s="81" t="str">
        <f t="shared" si="4"/>
        <v>HE2381синий</v>
      </c>
      <c r="W61" s="81" t="str">
        <f t="shared" si="0"/>
        <v>HE2381</v>
      </c>
      <c r="X61" s="81" t="str">
        <f t="shared" si="5"/>
        <v>UBF BASEB CAP</v>
      </c>
      <c r="AC61" s="60">
        <f t="shared" si="6"/>
        <v>56</v>
      </c>
      <c r="AD61" s="49">
        <f t="shared" si="1"/>
        <v>49</v>
      </c>
      <c r="AE61" s="60">
        <f t="shared" si="7"/>
        <v>56049</v>
      </c>
    </row>
    <row r="62" spans="1:31">
      <c r="A62" s="81" t="str">
        <f t="shared" si="2"/>
        <v>HD9887grey</v>
      </c>
      <c r="B62" s="81" t="str">
        <f t="shared" si="3"/>
        <v>56-048-80</v>
      </c>
      <c r="C62" s="103" t="s">
        <v>1077</v>
      </c>
      <c r="D62" s="103" t="s">
        <v>1078</v>
      </c>
      <c r="E62" s="103" t="s">
        <v>902</v>
      </c>
      <c r="F62" s="104">
        <v>57</v>
      </c>
      <c r="G62" s="104" t="s">
        <v>1079</v>
      </c>
      <c r="H62" s="103" t="s">
        <v>83</v>
      </c>
      <c r="I62" s="103" t="s">
        <v>914</v>
      </c>
      <c r="J62" s="103" t="s">
        <v>327</v>
      </c>
      <c r="K62" s="103" t="s">
        <v>382</v>
      </c>
      <c r="L62" s="103" t="s">
        <v>889</v>
      </c>
      <c r="M62" s="103" t="s">
        <v>388</v>
      </c>
      <c r="N62" s="103" t="s">
        <v>43</v>
      </c>
      <c r="O62" s="103" t="s">
        <v>386</v>
      </c>
      <c r="P62" s="103" t="s">
        <v>905</v>
      </c>
      <c r="Q62" s="103" t="s">
        <v>1019</v>
      </c>
      <c r="R62" s="103" t="s">
        <v>83</v>
      </c>
      <c r="V62" s="81" t="str">
        <f t="shared" si="4"/>
        <v>HD9887серый</v>
      </c>
      <c r="W62" s="81" t="str">
        <f t="shared" si="0"/>
        <v>HD9887</v>
      </c>
      <c r="X62" s="81" t="str">
        <f t="shared" si="5"/>
        <v>TE LOGO CAP</v>
      </c>
      <c r="AC62" s="60">
        <f t="shared" si="6"/>
        <v>56</v>
      </c>
      <c r="AD62" s="49">
        <f t="shared" si="1"/>
        <v>48</v>
      </c>
      <c r="AE62" s="60">
        <f t="shared" si="7"/>
        <v>56048</v>
      </c>
    </row>
    <row r="63" spans="1:31">
      <c r="A63" s="81" t="str">
        <f t="shared" si="2"/>
        <v>HD9884lt.blue</v>
      </c>
      <c r="B63" s="81" t="str">
        <f t="shared" si="3"/>
        <v>56-047-19</v>
      </c>
      <c r="C63" s="103" t="s">
        <v>1080</v>
      </c>
      <c r="D63" s="103" t="s">
        <v>1081</v>
      </c>
      <c r="E63" s="103" t="s">
        <v>902</v>
      </c>
      <c r="F63" s="104">
        <v>57</v>
      </c>
      <c r="G63" s="104" t="s">
        <v>1082</v>
      </c>
      <c r="H63" s="103" t="s">
        <v>91</v>
      </c>
      <c r="I63" s="103" t="s">
        <v>914</v>
      </c>
      <c r="J63" s="103" t="s">
        <v>327</v>
      </c>
      <c r="K63" s="103" t="s">
        <v>382</v>
      </c>
      <c r="L63" s="103" t="s">
        <v>889</v>
      </c>
      <c r="M63" s="103" t="s">
        <v>388</v>
      </c>
      <c r="N63" s="103" t="s">
        <v>43</v>
      </c>
      <c r="O63" s="103" t="s">
        <v>386</v>
      </c>
      <c r="P63" s="103" t="s">
        <v>905</v>
      </c>
      <c r="Q63" s="103" t="s">
        <v>1083</v>
      </c>
      <c r="R63" s="103" t="s">
        <v>91</v>
      </c>
      <c r="V63" s="81" t="str">
        <f t="shared" si="4"/>
        <v>HD9884голубой</v>
      </c>
      <c r="W63" s="81" t="str">
        <f t="shared" si="0"/>
        <v>HD9884</v>
      </c>
      <c r="X63" s="81" t="str">
        <f t="shared" si="5"/>
        <v>TE BADGE CAP</v>
      </c>
      <c r="AC63" s="60">
        <f t="shared" si="6"/>
        <v>56</v>
      </c>
      <c r="AD63" s="49">
        <f t="shared" si="1"/>
        <v>47</v>
      </c>
      <c r="AE63" s="60">
        <f t="shared" si="7"/>
        <v>56047</v>
      </c>
    </row>
    <row r="64" spans="1:31">
      <c r="A64" s="81" t="str">
        <f t="shared" si="2"/>
        <v>HD9885pink</v>
      </c>
      <c r="B64" s="81" t="str">
        <f t="shared" si="3"/>
        <v>56-046-34</v>
      </c>
      <c r="C64" s="103" t="s">
        <v>1084</v>
      </c>
      <c r="D64" s="103" t="s">
        <v>1085</v>
      </c>
      <c r="E64" s="103" t="s">
        <v>902</v>
      </c>
      <c r="F64" s="104">
        <v>57</v>
      </c>
      <c r="G64" s="104" t="s">
        <v>1086</v>
      </c>
      <c r="H64" s="103" t="s">
        <v>68</v>
      </c>
      <c r="I64" s="103" t="s">
        <v>914</v>
      </c>
      <c r="J64" s="103" t="s">
        <v>327</v>
      </c>
      <c r="K64" s="103" t="s">
        <v>387</v>
      </c>
      <c r="L64" s="103" t="s">
        <v>889</v>
      </c>
      <c r="M64" s="103" t="s">
        <v>388</v>
      </c>
      <c r="N64" s="103" t="s">
        <v>43</v>
      </c>
      <c r="O64" s="103" t="s">
        <v>386</v>
      </c>
      <c r="P64" s="103" t="s">
        <v>905</v>
      </c>
      <c r="Q64" s="103" t="s">
        <v>938</v>
      </c>
      <c r="R64" s="103" t="s">
        <v>68</v>
      </c>
      <c r="V64" s="81" t="str">
        <f t="shared" si="4"/>
        <v>HD9885розовый</v>
      </c>
      <c r="W64" s="81" t="str">
        <f t="shared" si="0"/>
        <v>HD9885</v>
      </c>
      <c r="X64" s="81" t="str">
        <f t="shared" si="5"/>
        <v>TE BADGE CAP</v>
      </c>
      <c r="AC64" s="60">
        <f t="shared" si="6"/>
        <v>56</v>
      </c>
      <c r="AD64" s="49">
        <f t="shared" si="1"/>
        <v>46</v>
      </c>
      <c r="AE64" s="60">
        <f t="shared" si="7"/>
        <v>56046</v>
      </c>
    </row>
    <row r="65" spans="1:31">
      <c r="A65" s="81" t="str">
        <f t="shared" si="2"/>
        <v>GP0124black</v>
      </c>
      <c r="B65" s="81" t="str">
        <f t="shared" si="3"/>
        <v>56-045-09</v>
      </c>
      <c r="C65" s="103" t="s">
        <v>1087</v>
      </c>
      <c r="D65" s="103" t="s">
        <v>1088</v>
      </c>
      <c r="E65" s="103" t="s">
        <v>902</v>
      </c>
      <c r="F65" s="104">
        <v>57</v>
      </c>
      <c r="G65" s="104" t="s">
        <v>1089</v>
      </c>
      <c r="H65" s="103" t="s">
        <v>53</v>
      </c>
      <c r="I65" s="103" t="s">
        <v>909</v>
      </c>
      <c r="J65" s="103" t="s">
        <v>327</v>
      </c>
      <c r="K65" s="103" t="s">
        <v>382</v>
      </c>
      <c r="L65" s="103" t="s">
        <v>889</v>
      </c>
      <c r="M65" s="103" t="s">
        <v>388</v>
      </c>
      <c r="O65" s="103" t="s">
        <v>386</v>
      </c>
      <c r="P65" s="103" t="s">
        <v>905</v>
      </c>
      <c r="Q65" s="103" t="s">
        <v>899</v>
      </c>
      <c r="R65" s="103" t="s">
        <v>53</v>
      </c>
      <c r="V65" s="81" t="str">
        <f t="shared" si="4"/>
        <v>GP0124черный</v>
      </c>
      <c r="W65" s="81" t="str">
        <f t="shared" si="0"/>
        <v>GP0124</v>
      </c>
      <c r="X65" s="81" t="str">
        <f t="shared" si="5"/>
        <v>TE LOGO CAP</v>
      </c>
      <c r="AC65" s="60">
        <f t="shared" si="6"/>
        <v>56</v>
      </c>
      <c r="AD65" s="49">
        <f t="shared" si="1"/>
        <v>45</v>
      </c>
      <c r="AE65" s="60">
        <f t="shared" si="7"/>
        <v>56045</v>
      </c>
    </row>
    <row r="66" spans="1:31">
      <c r="A66" s="81" t="str">
        <f t="shared" si="2"/>
        <v>1369804-012grey</v>
      </c>
      <c r="B66" s="81" t="str">
        <f t="shared" si="3"/>
        <v>56-055-80</v>
      </c>
      <c r="C66" s="103" t="s">
        <v>1090</v>
      </c>
      <c r="D66" s="103" t="s">
        <v>1091</v>
      </c>
      <c r="E66" s="103" t="s">
        <v>984</v>
      </c>
      <c r="F66" s="104" t="s">
        <v>632</v>
      </c>
      <c r="G66" s="103" t="s">
        <v>1092</v>
      </c>
      <c r="H66" s="103" t="s">
        <v>83</v>
      </c>
      <c r="I66" s="103" t="s">
        <v>904</v>
      </c>
      <c r="J66" s="103" t="s">
        <v>356</v>
      </c>
      <c r="K66" s="103" t="s">
        <v>382</v>
      </c>
      <c r="L66" s="103" t="s">
        <v>890</v>
      </c>
      <c r="M66" s="103" t="s">
        <v>388</v>
      </c>
      <c r="O66" s="103" t="s">
        <v>386</v>
      </c>
      <c r="P66" s="103" t="s">
        <v>1093</v>
      </c>
      <c r="Q66" s="103" t="s">
        <v>1019</v>
      </c>
      <c r="R66" s="103" t="s">
        <v>83</v>
      </c>
      <c r="V66" s="81" t="str">
        <f t="shared" si="4"/>
        <v>1369804-012серый</v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1369804-012</v>
      </c>
      <c r="X66" s="81" t="str">
        <f t="shared" si="5"/>
        <v>ISO-CHILL DRIVER MESH</v>
      </c>
      <c r="AC66" s="60">
        <f t="shared" si="6"/>
        <v>56</v>
      </c>
      <c r="AD66" s="49">
        <f t="shared" si="1"/>
        <v>55</v>
      </c>
      <c r="AE66" s="60">
        <f t="shared" si="7"/>
        <v>56055</v>
      </c>
    </row>
    <row r="67" spans="1:31">
      <c r="A67" s="81" t="str">
        <f t="shared" ref="A67:A130" si="9">IF(G67&amp;Q67&lt;&gt;"",W67&amp;Q67,"")</f>
        <v>1369785-100white</v>
      </c>
      <c r="B67" s="81" t="str">
        <f t="shared" ref="B67:B130" si="10">IF(C67&lt;&gt;"",LEFT(C67,9),"")</f>
        <v>56-054-17</v>
      </c>
      <c r="C67" s="103" t="s">
        <v>1094</v>
      </c>
      <c r="D67" s="103" t="s">
        <v>1095</v>
      </c>
      <c r="E67" s="103" t="s">
        <v>1096</v>
      </c>
      <c r="F67" s="104">
        <v>59</v>
      </c>
      <c r="G67" s="104" t="s">
        <v>1097</v>
      </c>
      <c r="H67" s="103" t="s">
        <v>57</v>
      </c>
      <c r="I67" s="103" t="s">
        <v>1098</v>
      </c>
      <c r="J67" s="103" t="s">
        <v>327</v>
      </c>
      <c r="K67" s="103" t="s">
        <v>382</v>
      </c>
      <c r="L67" s="103" t="s">
        <v>890</v>
      </c>
      <c r="M67" s="103" t="s">
        <v>388</v>
      </c>
      <c r="O67" s="103" t="s">
        <v>386</v>
      </c>
      <c r="P67" s="103" t="s">
        <v>1093</v>
      </c>
      <c r="Q67" s="103" t="s">
        <v>966</v>
      </c>
      <c r="R67" s="103" t="s">
        <v>57</v>
      </c>
      <c r="V67" s="81" t="str">
        <f t="shared" ref="V67:V130" si="11">W67&amp;H67</f>
        <v>1369785-100белый</v>
      </c>
      <c r="W67" s="81" t="str">
        <f t="shared" si="8"/>
        <v>1369785-100</v>
      </c>
      <c r="X67" s="81" t="str">
        <f t="shared" ref="X67:X130" si="12">IF(A67&lt;&gt;"",IFERROR(IF(FIND(" ",G67)&gt;=1,MID(G67,FIND(" ",G67)+1,LEN(G67)),""),""),"")</f>
        <v>TEAM BLANK CHINO ADJ</v>
      </c>
      <c r="AC67" s="60">
        <f t="shared" ref="AC67:AC130" si="13">IFERROR(VALUE(MID($C67,1,2)),0)</f>
        <v>56</v>
      </c>
      <c r="AD67" s="49">
        <f t="shared" ref="AD67:AD130" si="14">IFERROR(VALUE(MID($C67,4,3)),0)</f>
        <v>54</v>
      </c>
      <c r="AE67" s="60">
        <f t="shared" ref="AE67:AE130" si="15">VALUE(RIGHT("00"&amp;AC67,2)&amp;RIGHT("000"&amp;AD67,3))</f>
        <v>56054</v>
      </c>
    </row>
    <row r="68" spans="1:31">
      <c r="A68" s="81" t="str">
        <f t="shared" si="9"/>
        <v>1361562-100white</v>
      </c>
      <c r="B68" s="81" t="str">
        <f t="shared" si="10"/>
        <v>56-053-17</v>
      </c>
      <c r="C68" s="103" t="s">
        <v>1099</v>
      </c>
      <c r="D68" s="103" t="s">
        <v>1100</v>
      </c>
      <c r="E68" s="103" t="s">
        <v>1096</v>
      </c>
      <c r="F68" s="104">
        <v>59</v>
      </c>
      <c r="G68" s="104" t="s">
        <v>1101</v>
      </c>
      <c r="H68" s="103" t="s">
        <v>57</v>
      </c>
      <c r="I68" s="103" t="s">
        <v>909</v>
      </c>
      <c r="J68" s="103" t="s">
        <v>327</v>
      </c>
      <c r="K68" s="103" t="s">
        <v>382</v>
      </c>
      <c r="L68" s="103" t="s">
        <v>890</v>
      </c>
      <c r="M68" s="103" t="s">
        <v>388</v>
      </c>
      <c r="O68" s="103" t="s">
        <v>533</v>
      </c>
      <c r="P68" s="103" t="s">
        <v>1093</v>
      </c>
      <c r="Q68" s="103" t="s">
        <v>966</v>
      </c>
      <c r="R68" s="103" t="s">
        <v>57</v>
      </c>
      <c r="V68" s="81" t="str">
        <f t="shared" si="11"/>
        <v>1361562-100белый</v>
      </c>
      <c r="W68" s="81" t="str">
        <f t="shared" si="8"/>
        <v>1361562-100</v>
      </c>
      <c r="X68" s="81" t="str">
        <f t="shared" si="12"/>
        <v>ISOCHILL LAUNCH RUN</v>
      </c>
      <c r="AC68" s="60">
        <f t="shared" si="13"/>
        <v>56</v>
      </c>
      <c r="AD68" s="49">
        <f t="shared" si="14"/>
        <v>53</v>
      </c>
      <c r="AE68" s="60">
        <f t="shared" si="15"/>
        <v>56053</v>
      </c>
    </row>
    <row r="69" spans="1:31">
      <c r="A69" s="81" t="str">
        <f t="shared" si="9"/>
        <v>1361532-601red</v>
      </c>
      <c r="B69" s="81" t="str">
        <f t="shared" si="10"/>
        <v>56-052-18</v>
      </c>
      <c r="C69" s="103" t="s">
        <v>1102</v>
      </c>
      <c r="D69" s="103" t="s">
        <v>1103</v>
      </c>
      <c r="E69" s="103" t="s">
        <v>1096</v>
      </c>
      <c r="F69" s="104">
        <v>59</v>
      </c>
      <c r="G69" s="104" t="s">
        <v>1104</v>
      </c>
      <c r="H69" s="103" t="s">
        <v>78</v>
      </c>
      <c r="I69" s="103" t="s">
        <v>909</v>
      </c>
      <c r="J69" s="103" t="s">
        <v>327</v>
      </c>
      <c r="K69" s="103" t="s">
        <v>382</v>
      </c>
      <c r="L69" s="103" t="s">
        <v>890</v>
      </c>
      <c r="M69" s="103" t="s">
        <v>388</v>
      </c>
      <c r="O69" s="103" t="s">
        <v>386</v>
      </c>
      <c r="P69" s="103" t="s">
        <v>1093</v>
      </c>
      <c r="Q69" s="103" t="s">
        <v>994</v>
      </c>
      <c r="R69" s="103" t="s">
        <v>78</v>
      </c>
      <c r="V69" s="81" t="str">
        <f t="shared" si="11"/>
        <v>1361532-601красный</v>
      </c>
      <c r="W69" s="81" t="str">
        <f t="shared" si="8"/>
        <v>1361532-601</v>
      </c>
      <c r="X69" s="81" t="str">
        <f t="shared" si="12"/>
        <v>UA BLITZING ADJ HAT</v>
      </c>
      <c r="AC69" s="60">
        <f t="shared" si="13"/>
        <v>56</v>
      </c>
      <c r="AD69" s="49">
        <f t="shared" si="14"/>
        <v>52</v>
      </c>
      <c r="AE69" s="60">
        <f t="shared" si="15"/>
        <v>56052</v>
      </c>
    </row>
    <row r="70" spans="1:31">
      <c r="A70" s="81" t="str">
        <f t="shared" si="9"/>
        <v>1361532-012grey</v>
      </c>
      <c r="B70" s="81" t="str">
        <f t="shared" si="10"/>
        <v>56-051-80</v>
      </c>
      <c r="C70" s="103" t="s">
        <v>1105</v>
      </c>
      <c r="D70" s="103" t="s">
        <v>1106</v>
      </c>
      <c r="E70" s="103" t="s">
        <v>1096</v>
      </c>
      <c r="F70" s="104">
        <v>59</v>
      </c>
      <c r="G70" s="104" t="s">
        <v>1107</v>
      </c>
      <c r="H70" s="103" t="s">
        <v>83</v>
      </c>
      <c r="I70" s="103" t="s">
        <v>909</v>
      </c>
      <c r="J70" s="103" t="s">
        <v>327</v>
      </c>
      <c r="K70" s="103" t="s">
        <v>382</v>
      </c>
      <c r="L70" s="103" t="s">
        <v>890</v>
      </c>
      <c r="M70" s="103" t="s">
        <v>388</v>
      </c>
      <c r="O70" s="103" t="s">
        <v>386</v>
      </c>
      <c r="P70" s="103" t="s">
        <v>1093</v>
      </c>
      <c r="Q70" s="103" t="s">
        <v>1019</v>
      </c>
      <c r="R70" s="103" t="s">
        <v>83</v>
      </c>
      <c r="V70" s="81" t="str">
        <f t="shared" si="11"/>
        <v>1361532-012серый</v>
      </c>
      <c r="W70" s="81" t="str">
        <f t="shared" si="8"/>
        <v>1361532-012</v>
      </c>
      <c r="X70" s="81" t="str">
        <f t="shared" si="12"/>
        <v>UA BLITZING ADJ HAT</v>
      </c>
      <c r="AC70" s="60">
        <f t="shared" si="13"/>
        <v>56</v>
      </c>
      <c r="AD70" s="49">
        <f t="shared" si="14"/>
        <v>51</v>
      </c>
      <c r="AE70" s="60">
        <f t="shared" si="15"/>
        <v>56051</v>
      </c>
    </row>
    <row r="71" spans="1:31">
      <c r="A71" s="81" t="str">
        <f t="shared" si="9"/>
        <v>2324601</v>
      </c>
      <c r="B71" s="81" t="str">
        <f t="shared" si="10"/>
        <v>56-057-</v>
      </c>
      <c r="C71" s="103" t="s">
        <v>1113</v>
      </c>
      <c r="G71" s="104" t="s">
        <v>1108</v>
      </c>
      <c r="V71" s="81" t="str">
        <f t="shared" si="11"/>
        <v>2324601</v>
      </c>
      <c r="W71" s="81" t="str">
        <f t="shared" si="8"/>
        <v>2324601</v>
      </c>
      <c r="X71" s="81" t="str">
        <f t="shared" si="12"/>
        <v/>
      </c>
      <c r="AC71" s="60">
        <f t="shared" si="13"/>
        <v>56</v>
      </c>
      <c r="AD71" s="49">
        <f t="shared" si="14"/>
        <v>57</v>
      </c>
      <c r="AE71" s="60">
        <f t="shared" si="15"/>
        <v>56057</v>
      </c>
    </row>
    <row r="72" spans="1:31">
      <c r="A72" s="81" t="str">
        <f t="shared" si="9"/>
        <v>2372001</v>
      </c>
      <c r="B72" s="81" t="str">
        <f t="shared" si="10"/>
        <v>56-058-</v>
      </c>
      <c r="C72" s="103" t="s">
        <v>1114</v>
      </c>
      <c r="G72" s="104" t="s">
        <v>1109</v>
      </c>
      <c r="V72" s="81" t="str">
        <f t="shared" si="11"/>
        <v>2372001</v>
      </c>
      <c r="W72" s="81" t="str">
        <f t="shared" si="8"/>
        <v>2372001</v>
      </c>
      <c r="X72" s="81" t="str">
        <f t="shared" si="12"/>
        <v/>
      </c>
      <c r="AC72" s="60">
        <f t="shared" si="13"/>
        <v>56</v>
      </c>
      <c r="AD72" s="49">
        <f t="shared" si="14"/>
        <v>58</v>
      </c>
      <c r="AE72" s="60">
        <f t="shared" si="15"/>
        <v>56058</v>
      </c>
    </row>
    <row r="73" spans="1:31">
      <c r="A73" s="81" t="str">
        <f t="shared" si="9"/>
        <v>2372201</v>
      </c>
      <c r="B73" s="81" t="str">
        <f t="shared" si="10"/>
        <v>56-059-</v>
      </c>
      <c r="C73" s="103" t="s">
        <v>1115</v>
      </c>
      <c r="G73" s="104" t="s">
        <v>1110</v>
      </c>
      <c r="V73" s="81" t="str">
        <f t="shared" si="11"/>
        <v>2372201</v>
      </c>
      <c r="W73" s="81" t="str">
        <f t="shared" si="8"/>
        <v>2372201</v>
      </c>
      <c r="X73" s="81" t="str">
        <f t="shared" si="12"/>
        <v/>
      </c>
      <c r="AC73" s="60">
        <f t="shared" si="13"/>
        <v>56</v>
      </c>
      <c r="AD73" s="49">
        <f t="shared" si="14"/>
        <v>59</v>
      </c>
      <c r="AE73" s="60">
        <f t="shared" si="15"/>
        <v>56059</v>
      </c>
    </row>
    <row r="74" spans="1:31">
      <c r="A74" s="81" t="str">
        <f t="shared" si="9"/>
        <v>2373201</v>
      </c>
      <c r="B74" s="81" t="str">
        <f t="shared" si="10"/>
        <v>56-060-</v>
      </c>
      <c r="C74" s="103" t="s">
        <v>1116</v>
      </c>
      <c r="G74" s="104" t="s">
        <v>1111</v>
      </c>
      <c r="V74" s="81" t="str">
        <f t="shared" si="11"/>
        <v>2373201</v>
      </c>
      <c r="W74" s="81" t="str">
        <f t="shared" si="8"/>
        <v>2373201</v>
      </c>
      <c r="X74" s="81" t="str">
        <f t="shared" si="12"/>
        <v/>
      </c>
      <c r="AC74" s="60">
        <f t="shared" si="13"/>
        <v>56</v>
      </c>
      <c r="AD74" s="49">
        <f t="shared" si="14"/>
        <v>60</v>
      </c>
      <c r="AE74" s="60">
        <f t="shared" si="15"/>
        <v>56060</v>
      </c>
    </row>
    <row r="75" spans="1:31">
      <c r="A75" s="81" t="str">
        <f t="shared" si="9"/>
        <v>2374301</v>
      </c>
      <c r="B75" s="81" t="str">
        <f t="shared" si="10"/>
        <v>56-061-</v>
      </c>
      <c r="C75" s="103" t="s">
        <v>1117</v>
      </c>
      <c r="G75" s="104" t="s">
        <v>1112</v>
      </c>
      <c r="V75" s="81" t="str">
        <f t="shared" si="11"/>
        <v>2374301</v>
      </c>
      <c r="W75" s="81" t="str">
        <f t="shared" si="8"/>
        <v>2374301</v>
      </c>
      <c r="X75" s="81" t="str">
        <f t="shared" si="12"/>
        <v/>
      </c>
      <c r="AC75" s="60">
        <f t="shared" si="13"/>
        <v>56</v>
      </c>
      <c r="AD75" s="49">
        <f t="shared" si="14"/>
        <v>61</v>
      </c>
      <c r="AE75" s="60">
        <f t="shared" si="15"/>
        <v>56061</v>
      </c>
    </row>
    <row r="76" spans="1:31">
      <c r="A76" s="81" t="str">
        <f t="shared" si="9"/>
        <v>HD9721</v>
      </c>
      <c r="B76" s="81" t="str">
        <f t="shared" si="10"/>
        <v>56-062-</v>
      </c>
      <c r="C76" s="103" t="s">
        <v>1119</v>
      </c>
      <c r="G76" s="104" t="s">
        <v>1118</v>
      </c>
      <c r="V76" s="81" t="str">
        <f t="shared" si="11"/>
        <v>HD9721</v>
      </c>
      <c r="W76" s="81" t="str">
        <f t="shared" si="8"/>
        <v>HD9721</v>
      </c>
      <c r="X76" s="81" t="str">
        <f t="shared" si="12"/>
        <v/>
      </c>
      <c r="AC76" s="60">
        <f t="shared" si="13"/>
        <v>56</v>
      </c>
      <c r="AD76" s="49">
        <f t="shared" si="14"/>
        <v>62</v>
      </c>
      <c r="AE76" s="60">
        <f t="shared" si="15"/>
        <v>56062</v>
      </c>
    </row>
    <row r="77" spans="1:31">
      <c r="A77" s="81" t="str">
        <f t="shared" si="9"/>
        <v>RK4709001</v>
      </c>
      <c r="B77" s="81" t="str">
        <f t="shared" si="10"/>
        <v>56-063-</v>
      </c>
      <c r="C77" s="103" t="s">
        <v>1120</v>
      </c>
      <c r="G77" s="104" t="s">
        <v>1121</v>
      </c>
      <c r="V77" s="81" t="str">
        <f t="shared" si="11"/>
        <v>RK4709001</v>
      </c>
      <c r="W77" s="81" t="str">
        <f t="shared" si="8"/>
        <v>RK4709001</v>
      </c>
      <c r="X77" s="81" t="str">
        <f t="shared" si="12"/>
        <v/>
      </c>
      <c r="AC77" s="60">
        <f t="shared" si="13"/>
        <v>56</v>
      </c>
      <c r="AD77" s="49">
        <f t="shared" si="14"/>
        <v>63</v>
      </c>
      <c r="AE77" s="60">
        <f t="shared" si="15"/>
        <v>56063</v>
      </c>
    </row>
    <row r="78" spans="1:31">
      <c r="A78" s="81" t="str">
        <f t="shared" si="9"/>
        <v>RK4709031</v>
      </c>
      <c r="B78" s="81" t="str">
        <f t="shared" si="10"/>
        <v>56-064-</v>
      </c>
      <c r="C78" s="103" t="s">
        <v>1128</v>
      </c>
      <c r="G78" s="104" t="s">
        <v>1122</v>
      </c>
      <c r="V78" s="81" t="str">
        <f t="shared" si="11"/>
        <v>RK4709031</v>
      </c>
      <c r="W78" s="81" t="str">
        <f t="shared" si="8"/>
        <v>RK4709031</v>
      </c>
      <c r="X78" s="81" t="str">
        <f t="shared" si="12"/>
        <v/>
      </c>
      <c r="AC78" s="60">
        <f t="shared" si="13"/>
        <v>56</v>
      </c>
      <c r="AD78" s="49">
        <f t="shared" si="14"/>
        <v>64</v>
      </c>
      <c r="AE78" s="60">
        <f t="shared" si="15"/>
        <v>56064</v>
      </c>
    </row>
    <row r="79" spans="1:31">
      <c r="A79" s="81" t="str">
        <f t="shared" si="9"/>
        <v>RK4709166</v>
      </c>
      <c r="B79" s="81" t="str">
        <f t="shared" si="10"/>
        <v>56-065-</v>
      </c>
      <c r="C79" s="103" t="s">
        <v>1129</v>
      </c>
      <c r="G79" s="104" t="s">
        <v>1123</v>
      </c>
      <c r="V79" s="81" t="str">
        <f t="shared" si="11"/>
        <v>RK4709166</v>
      </c>
      <c r="W79" s="81" t="str">
        <f t="shared" si="8"/>
        <v>RK4709166</v>
      </c>
      <c r="X79" s="81" t="str">
        <f t="shared" si="12"/>
        <v/>
      </c>
      <c r="AC79" s="60">
        <f t="shared" si="13"/>
        <v>56</v>
      </c>
      <c r="AD79" s="49">
        <f t="shared" si="14"/>
        <v>65</v>
      </c>
      <c r="AE79" s="60">
        <f t="shared" si="15"/>
        <v>56065</v>
      </c>
    </row>
    <row r="80" spans="1:31">
      <c r="A80" s="81" t="str">
        <f t="shared" si="9"/>
        <v>RK4709240</v>
      </c>
      <c r="B80" s="81" t="str">
        <f t="shared" si="10"/>
        <v>56-066-</v>
      </c>
      <c r="C80" s="103" t="s">
        <v>1130</v>
      </c>
      <c r="G80" s="104" t="s">
        <v>1124</v>
      </c>
      <c r="V80" s="81" t="str">
        <f t="shared" si="11"/>
        <v>RK4709240</v>
      </c>
      <c r="W80" s="81" t="str">
        <f t="shared" si="8"/>
        <v>RK4709240</v>
      </c>
      <c r="X80" s="81" t="str">
        <f t="shared" si="12"/>
        <v/>
      </c>
      <c r="AC80" s="60">
        <f t="shared" si="13"/>
        <v>56</v>
      </c>
      <c r="AD80" s="49">
        <f t="shared" si="14"/>
        <v>66</v>
      </c>
      <c r="AE80" s="60">
        <f t="shared" si="15"/>
        <v>56066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85</vt:i4>
      </vt:variant>
    </vt:vector>
  </HeadingPairs>
  <TitlesOfParts>
    <vt:vector size="9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2022-04-25T15:26:26Z</dcterms:modified>
</cp:coreProperties>
</file>