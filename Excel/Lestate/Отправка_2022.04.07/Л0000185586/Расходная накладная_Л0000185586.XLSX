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BUH\Documents\HatsAndCaps\Excel\Lestate\Отправка_2022.04.07\Л0000185586\"/>
    </mc:Choice>
  </mc:AlternateContent>
  <xr:revisionPtr revIDLastSave="0" documentId="13_ncr:1_{E2C7E4C5-30F8-4431-9558-4C045582D5FD}" xr6:coauthVersionLast="47" xr6:coauthVersionMax="47" xr10:uidLastSave="{00000000-0000-0000-0000-000000000000}"/>
  <bookViews>
    <workbookView xWindow="-120" yWindow="-120" windowWidth="29040" windowHeight="15840" tabRatio="481" activeTab="1" xr2:uid="{00000000-000D-0000-FFFF-FFFF00000000}"/>
  </bookViews>
  <sheets>
    <sheet name="TDSheet" sheetId="1" r:id="rId1"/>
    <sheet name="Цвета" sheetId="3" r:id="rId2"/>
    <sheet name="Table" sheetId="2" r:id="rId3"/>
    <sheet name="TableResult" sheetId="4" r:id="rId4"/>
  </sheets>
  <definedNames>
    <definedName name="_xlnm._FilterDatabase" localSheetId="2" hidden="1">Table!$A$1:$K$69</definedName>
    <definedName name="_xlnm._FilterDatabase" localSheetId="3" hidden="1">TableResult!$A$1:$G$56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2" i="4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2" i="2"/>
  <c r="O3" i="2" l="1"/>
  <c r="P3" i="2"/>
  <c r="Q3" i="2"/>
  <c r="R3" i="2"/>
  <c r="O4" i="2"/>
  <c r="P4" i="2"/>
  <c r="Q4" i="2"/>
  <c r="R4" i="2"/>
  <c r="O5" i="2"/>
  <c r="P5" i="2"/>
  <c r="Q5" i="2"/>
  <c r="R5" i="2"/>
  <c r="O6" i="2"/>
  <c r="P6" i="2"/>
  <c r="Q6" i="2"/>
  <c r="R6" i="2"/>
  <c r="O7" i="2"/>
  <c r="P7" i="2"/>
  <c r="Q7" i="2"/>
  <c r="R7" i="2"/>
  <c r="O8" i="2"/>
  <c r="P8" i="2"/>
  <c r="Q8" i="2"/>
  <c r="R8" i="2"/>
  <c r="O9" i="2"/>
  <c r="P9" i="2"/>
  <c r="Q9" i="2"/>
  <c r="R9" i="2"/>
  <c r="O10" i="2"/>
  <c r="P10" i="2"/>
  <c r="Q10" i="2"/>
  <c r="R10" i="2"/>
  <c r="O11" i="2"/>
  <c r="P11" i="2"/>
  <c r="Q11" i="2"/>
  <c r="R11" i="2"/>
  <c r="O12" i="2"/>
  <c r="P12" i="2"/>
  <c r="Q12" i="2"/>
  <c r="R12" i="2"/>
  <c r="O13" i="2"/>
  <c r="P13" i="2"/>
  <c r="Q13" i="2"/>
  <c r="R13" i="2"/>
  <c r="O14" i="2"/>
  <c r="P14" i="2"/>
  <c r="Q14" i="2"/>
  <c r="R14" i="2"/>
  <c r="O15" i="2"/>
  <c r="P15" i="2"/>
  <c r="Q15" i="2"/>
  <c r="R15" i="2"/>
  <c r="O16" i="2"/>
  <c r="P16" i="2"/>
  <c r="Q16" i="2"/>
  <c r="R16" i="2"/>
  <c r="O17" i="2"/>
  <c r="P17" i="2"/>
  <c r="Q17" i="2"/>
  <c r="R17" i="2"/>
  <c r="O18" i="2"/>
  <c r="P18" i="2"/>
  <c r="Q18" i="2"/>
  <c r="R18" i="2"/>
  <c r="O19" i="2"/>
  <c r="P19" i="2"/>
  <c r="Q19" i="2"/>
  <c r="R19" i="2"/>
  <c r="O20" i="2"/>
  <c r="P20" i="2"/>
  <c r="Q20" i="2"/>
  <c r="R20" i="2"/>
  <c r="O21" i="2"/>
  <c r="P21" i="2"/>
  <c r="Q21" i="2"/>
  <c r="R21" i="2"/>
  <c r="O22" i="2"/>
  <c r="P22" i="2"/>
  <c r="Q22" i="2"/>
  <c r="R22" i="2"/>
  <c r="O23" i="2"/>
  <c r="P23" i="2"/>
  <c r="Q23" i="2"/>
  <c r="R23" i="2"/>
  <c r="O24" i="2"/>
  <c r="P24" i="2"/>
  <c r="Q24" i="2"/>
  <c r="R24" i="2"/>
  <c r="O25" i="2"/>
  <c r="P25" i="2"/>
  <c r="Q25" i="2"/>
  <c r="R25" i="2"/>
  <c r="O26" i="2"/>
  <c r="P26" i="2"/>
  <c r="Q26" i="2"/>
  <c r="R26" i="2"/>
  <c r="O27" i="2"/>
  <c r="P27" i="2"/>
  <c r="Q27" i="2"/>
  <c r="R27" i="2"/>
  <c r="O28" i="2"/>
  <c r="P28" i="2"/>
  <c r="Q28" i="2"/>
  <c r="R28" i="2"/>
  <c r="O29" i="2"/>
  <c r="P29" i="2"/>
  <c r="Q29" i="2"/>
  <c r="R29" i="2"/>
  <c r="O30" i="2"/>
  <c r="P30" i="2"/>
  <c r="Q30" i="2"/>
  <c r="R30" i="2"/>
  <c r="O31" i="2"/>
  <c r="P31" i="2"/>
  <c r="Q31" i="2"/>
  <c r="R31" i="2"/>
  <c r="O32" i="2"/>
  <c r="P32" i="2"/>
  <c r="Q32" i="2"/>
  <c r="R32" i="2"/>
  <c r="O33" i="2"/>
  <c r="P33" i="2"/>
  <c r="Q33" i="2"/>
  <c r="R33" i="2"/>
  <c r="O34" i="2"/>
  <c r="P34" i="2"/>
  <c r="Q34" i="2"/>
  <c r="R34" i="2"/>
  <c r="O35" i="2"/>
  <c r="P35" i="2"/>
  <c r="Q35" i="2"/>
  <c r="R35" i="2"/>
  <c r="O36" i="2"/>
  <c r="P36" i="2"/>
  <c r="Q36" i="2"/>
  <c r="R36" i="2"/>
  <c r="O37" i="2"/>
  <c r="P37" i="2"/>
  <c r="Q37" i="2"/>
  <c r="R37" i="2"/>
  <c r="O38" i="2"/>
  <c r="P38" i="2"/>
  <c r="Q38" i="2"/>
  <c r="R38" i="2"/>
  <c r="O39" i="2"/>
  <c r="P39" i="2"/>
  <c r="Q39" i="2"/>
  <c r="R39" i="2"/>
  <c r="O40" i="2"/>
  <c r="P40" i="2"/>
  <c r="Q40" i="2"/>
  <c r="R40" i="2"/>
  <c r="O41" i="2"/>
  <c r="P41" i="2"/>
  <c r="Q41" i="2"/>
  <c r="R41" i="2"/>
  <c r="O42" i="2"/>
  <c r="P42" i="2"/>
  <c r="Q42" i="2"/>
  <c r="R42" i="2"/>
  <c r="O43" i="2"/>
  <c r="P43" i="2"/>
  <c r="Q43" i="2"/>
  <c r="R43" i="2"/>
  <c r="O44" i="2"/>
  <c r="P44" i="2"/>
  <c r="Q44" i="2"/>
  <c r="R44" i="2"/>
  <c r="O45" i="2"/>
  <c r="P45" i="2"/>
  <c r="Q45" i="2"/>
  <c r="R45" i="2"/>
  <c r="O46" i="2"/>
  <c r="P46" i="2"/>
  <c r="Q46" i="2"/>
  <c r="R46" i="2"/>
  <c r="O47" i="2"/>
  <c r="P47" i="2"/>
  <c r="Q47" i="2"/>
  <c r="R47" i="2"/>
  <c r="O48" i="2"/>
  <c r="P48" i="2"/>
  <c r="Q48" i="2"/>
  <c r="R48" i="2"/>
  <c r="O49" i="2"/>
  <c r="P49" i="2"/>
  <c r="Q49" i="2"/>
  <c r="R49" i="2"/>
  <c r="O50" i="2"/>
  <c r="P50" i="2"/>
  <c r="Q50" i="2"/>
  <c r="R50" i="2"/>
  <c r="O51" i="2"/>
  <c r="P51" i="2"/>
  <c r="Q51" i="2"/>
  <c r="R51" i="2"/>
  <c r="O52" i="2"/>
  <c r="P52" i="2"/>
  <c r="Q52" i="2"/>
  <c r="R52" i="2"/>
  <c r="O53" i="2"/>
  <c r="P53" i="2"/>
  <c r="Q53" i="2"/>
  <c r="R53" i="2"/>
  <c r="O54" i="2"/>
  <c r="P54" i="2"/>
  <c r="Q54" i="2"/>
  <c r="R54" i="2"/>
  <c r="O55" i="2"/>
  <c r="P55" i="2"/>
  <c r="Q55" i="2"/>
  <c r="R55" i="2"/>
  <c r="O56" i="2"/>
  <c r="P56" i="2"/>
  <c r="Q56" i="2"/>
  <c r="R56" i="2"/>
  <c r="O57" i="2"/>
  <c r="P57" i="2"/>
  <c r="Q57" i="2"/>
  <c r="R57" i="2"/>
  <c r="O58" i="2"/>
  <c r="P58" i="2"/>
  <c r="Q58" i="2"/>
  <c r="R58" i="2"/>
  <c r="O59" i="2"/>
  <c r="P59" i="2"/>
  <c r="Q59" i="2"/>
  <c r="R59" i="2"/>
  <c r="O60" i="2"/>
  <c r="P60" i="2"/>
  <c r="Q60" i="2"/>
  <c r="R60" i="2"/>
  <c r="O61" i="2"/>
  <c r="P61" i="2"/>
  <c r="Q61" i="2"/>
  <c r="R61" i="2"/>
  <c r="O62" i="2"/>
  <c r="P62" i="2"/>
  <c r="Q62" i="2"/>
  <c r="R62" i="2"/>
  <c r="O63" i="2"/>
  <c r="P63" i="2"/>
  <c r="Q63" i="2"/>
  <c r="R63" i="2"/>
  <c r="O64" i="2"/>
  <c r="P64" i="2"/>
  <c r="Q64" i="2"/>
  <c r="R64" i="2"/>
  <c r="O65" i="2"/>
  <c r="P65" i="2"/>
  <c r="Q65" i="2"/>
  <c r="R65" i="2"/>
  <c r="O66" i="2"/>
  <c r="P66" i="2"/>
  <c r="Q66" i="2"/>
  <c r="R66" i="2"/>
  <c r="O67" i="2"/>
  <c r="P67" i="2"/>
  <c r="Q67" i="2"/>
  <c r="R67" i="2"/>
  <c r="O68" i="2"/>
  <c r="P68" i="2"/>
  <c r="Q68" i="2"/>
  <c r="R68" i="2"/>
  <c r="O69" i="2"/>
  <c r="P69" i="2"/>
  <c r="Q69" i="2"/>
  <c r="R69" i="2"/>
  <c r="R2" i="2"/>
  <c r="Q2" i="2"/>
  <c r="P2" i="2"/>
  <c r="O2" i="2"/>
</calcChain>
</file>

<file path=xl/sharedStrings.xml><?xml version="1.0" encoding="utf-8"?>
<sst xmlns="http://schemas.openxmlformats.org/spreadsheetml/2006/main" count="2515" uniqueCount="321">
  <si>
    <t>РН № Л0000185586; Заказ № Л0000002946; Бланк: Склад Lestate</t>
  </si>
  <si>
    <t>Индивидуальный предприниматель Сбитенков Владимир Владимирович</t>
  </si>
  <si>
    <t>№</t>
  </si>
  <si>
    <t>Артикул товара</t>
  </si>
  <si>
    <t>Название товара</t>
  </si>
  <si>
    <t>Предназначение</t>
  </si>
  <si>
    <t>Категория</t>
  </si>
  <si>
    <t>Пол</t>
  </si>
  <si>
    <t>Бренд</t>
  </si>
  <si>
    <t>Английское наименование</t>
  </si>
  <si>
    <t>Цвет</t>
  </si>
  <si>
    <t>Российский Размер</t>
  </si>
  <si>
    <t>Размер поставщика</t>
  </si>
  <si>
    <t>Состав</t>
  </si>
  <si>
    <t>Индивидуальная упаковка товара (ед. измерения пар шт уп)</t>
  </si>
  <si>
    <t>Страна-
изготовитель</t>
  </si>
  <si>
    <t>Количество, шт.</t>
  </si>
  <si>
    <t>Цена в руб. с НДС</t>
  </si>
  <si>
    <t>Ставка
НДС</t>
  </si>
  <si>
    <t>Цена в руб. без НДС</t>
  </si>
  <si>
    <t>РРЦ</t>
  </si>
  <si>
    <t>ГТД</t>
  </si>
  <si>
    <t>Штрихкод (EAN13)</t>
  </si>
  <si>
    <t>Описание товара</t>
  </si>
  <si>
    <t>Ссылка на Фото</t>
  </si>
  <si>
    <t>ТН ВЭД</t>
  </si>
  <si>
    <t>Подлежит маркировке DM</t>
  </si>
  <si>
    <t>Сумма</t>
  </si>
  <si>
    <t xml:space="preserve"> </t>
  </si>
  <si>
    <t>Кепка</t>
  </si>
  <si>
    <t>Спортивный стиль</t>
  </si>
  <si>
    <t>Аксессуары</t>
  </si>
  <si>
    <t>Мужчины</t>
  </si>
  <si>
    <t>Puma</t>
  </si>
  <si>
    <t>PUMA Metal Cat Cap</t>
  </si>
  <si>
    <t>черный</t>
  </si>
  <si>
    <t>56-58</t>
  </si>
  <si>
    <t>ADULT</t>
  </si>
  <si>
    <t>100% полиэстер</t>
  </si>
  <si>
    <t>шт</t>
  </si>
  <si>
    <t>ФИЛИППИНЫ</t>
  </si>
  <si>
    <t>10702070/190820/0194193/001</t>
  </si>
  <si>
    <t>Благодаря легко регулируемому ремешку эта бейсболка  всегда идеально вам подходит. Шести панельный дизайн. Плавно регулируемый тканевый ремешок и вышитые люверсы. Черный металлический логотип PUMA Cat в старинном стиле спереди.</t>
  </si>
  <si>
    <t>https://lestate-pro.ru/upload/product_images/base/21/2126/212690/2126901_00.jpg</t>
  </si>
  <si>
    <t>Нет</t>
  </si>
  <si>
    <t>синий</t>
  </si>
  <si>
    <t>10013160/030321/0114763/001</t>
  </si>
  <si>
    <t>https://lestate-pro.ru/upload/product_images/base/21/2126/212690/2126907_00.jpg</t>
  </si>
  <si>
    <t>EC3603</t>
  </si>
  <si>
    <t>Adidas</t>
  </si>
  <si>
    <t>BASEB CLASS TRE     BLACK/WHITE</t>
  </si>
  <si>
    <t>OSFM</t>
  </si>
  <si>
    <t>100% хлопок</t>
  </si>
  <si>
    <t>КИТАЙ</t>
  </si>
  <si>
    <t>10216170/120122/3008448</t>
  </si>
  <si>
    <t>Кепка в бейсбольном стиле с изогнутым козырьком. Сшита из комфортного хлопка. Большой вышитый Трилистник спереди. Ремешок удобно регулируется.</t>
  </si>
  <si>
    <t>https://lestate-pro.ru/upload/product_images/base/ec/ec36/ec3603/ec3603_00.jpg</t>
  </si>
  <si>
    <t>60-62</t>
  </si>
  <si>
    <t>OSFL</t>
  </si>
  <si>
    <t>FL3713</t>
  </si>
  <si>
    <t>Унисекс</t>
  </si>
  <si>
    <t>BASEBALL BOLD</t>
  </si>
  <si>
    <t>100% Полиэстер</t>
  </si>
  <si>
    <t>10216170/280122/3024958</t>
  </si>
  <si>
    <t>Добавьте тень в своем направлении. Эта бейсбольная кепка с предварительно закругленными полями для солнечных дней. Застежка-защелка обеспечивает идеальную посадку. Большой логотип adidas добавляет спортивного стиля.</t>
  </si>
  <si>
    <t>https://lestate-pro.ru/upload/product_images/base/fl/fl37/fl3713/fl3713_00.jpg</t>
  </si>
  <si>
    <t>FK0894</t>
  </si>
  <si>
    <t>BBALL 3S CAP CT</t>
  </si>
  <si>
    <t>Спортивная кепка, которая гармонично впишется в повседневный образ. Эта более современная версия классического аксессуара выполнена из мягкого материала с защитой от УФ-лучей. Украшена фирменными тремя полосками и логотипом adidas.</t>
  </si>
  <si>
    <t>https://lestate-pro.ru/upload/product_images/base/fk/fk08/fk0894/fk0894_00.jpg</t>
  </si>
  <si>
    <t>FQ5411</t>
  </si>
  <si>
    <t>белый</t>
  </si>
  <si>
    <t>10216170/030222/3031956</t>
  </si>
  <si>
    <t>Спортивная кепка, которая гармонично впишется в повседневный образ. Эта более современная версия классического аксессуара выполнена из мягкого материала с защитой от УФ-лучей. Украшена фирменными тремя полосками и логотипом adidas. Защита от УФ-лучей 50.</t>
  </si>
  <si>
    <t>https://lestate-pro.ru/upload/product_images/base/fq/fq54/fq5411/fq5411_00.jpg</t>
  </si>
  <si>
    <t>FK0890</t>
  </si>
  <si>
    <t>BBALL CAP COT</t>
  </si>
  <si>
    <t>Дополни свой образ этой классической бейсболкой adidas. Мягкая ткань защищает от солнца. Модель украшена фирменным логотипом.</t>
  </si>
  <si>
    <t>https://lestate-pro.ru/upload/product_images/base/fk/fk08/fk0890/fk0890_00.jpg</t>
  </si>
  <si>
    <t>FK0891</t>
  </si>
  <si>
    <t>10216170/180222/3048837</t>
  </si>
  <si>
    <t>https://lestate-pro.ru/upload/product_images/base/fk/fk08/fk0891/fk0891_00.jpg</t>
  </si>
  <si>
    <t>DM6178</t>
  </si>
  <si>
    <t>DAILY CAP</t>
  </si>
  <si>
    <t>100% Хлопок</t>
  </si>
  <si>
    <t>10216170/120122/3008300</t>
  </si>
  <si>
    <t>Бренд, который всегда с тобой. Повседневная спортивная бейсболка из хлопкового материала с застежкой на кнопках. Изогнутый козырек среднего размера. Регулируемая застежка на кнопках.</t>
  </si>
  <si>
    <t>https://lestate-pro.ru/upload/product_images/base/dm/dm61/dm6178/dm6178_00.jpg</t>
  </si>
  <si>
    <t>GE0750</t>
  </si>
  <si>
    <t>BBALL 3S CAP CT   LEGINK/WHITE/WHITE</t>
  </si>
  <si>
    <t>10216170/161121/0342075</t>
  </si>
  <si>
    <t>https://lestate-pro.ru/upload/product_images/base/ge/ge07/ge0750/ge0750_00.jpg</t>
  </si>
  <si>
    <t>1361532-012</t>
  </si>
  <si>
    <t>Бег и Фитнес</t>
  </si>
  <si>
    <t>Under Armour</t>
  </si>
  <si>
    <t>UA Blitzing Adj Hat</t>
  </si>
  <si>
    <t>серый</t>
  </si>
  <si>
    <t>58-60</t>
  </si>
  <si>
    <t>10013160/150222/3091369</t>
  </si>
  <si>
    <t>Даже наши кепки созданы, чтобы делать вас лучше. Встроенные повязки HeatGear отводят пот и помогают сохранять прохладу. Эластичные материалы дышат, когда вы тренируетесь, чтобы вы чувствовали себя комфортно и сосредоточенно.</t>
  </si>
  <si>
    <t>https://lestate-pro.ru/upload/product_images/base/13/1361/136153/1361532-012_00.jpg</t>
  </si>
  <si>
    <t>1361532-601</t>
  </si>
  <si>
    <t>красный</t>
  </si>
  <si>
    <t>10013160/080222/3073930</t>
  </si>
  <si>
    <t>https://lestate-pro.ru/upload/product_images/base/13/1361/136153/1361532-601_00.jpg</t>
  </si>
  <si>
    <t>GP0124</t>
  </si>
  <si>
    <t>Reebok</t>
  </si>
  <si>
    <t>TE LOGO CAP</t>
  </si>
  <si>
    <t>10216170/180222/3049596</t>
  </si>
  <si>
    <t>Хлопковая кепка защитит твое лицо от солнца во время тренировок и игр на улице. Размер можно регулировать с помощью застежки сзади. Внутренняя лента будет впитывать пот, пока солнце не сядет за горизонт.</t>
  </si>
  <si>
    <t>https://lestate-pro.ru/upload/product_images/base/gp/gp01/gp0124/gp0124_00.jpg</t>
  </si>
  <si>
    <t>GM4508</t>
  </si>
  <si>
    <t>BBALLCAP LT MET</t>
  </si>
  <si>
    <t>10216170/140122/3011425</t>
  </si>
  <si>
    <t>Все самое интересное происходит на свежем воздухе. Так что хватай свою кепку adidas и выходи тренироваться на улицу. Она сшита из гладкой легкой ткани и дополнена регулируемым ремешком.</t>
  </si>
  <si>
    <t>https://lestate-pro.ru/upload/product_images/base/gm/gm45/gm4508/gm4508_00.jpg</t>
  </si>
  <si>
    <t>GN2052</t>
  </si>
  <si>
    <t>3S CAP</t>
  </si>
  <si>
    <t>10216170/070122/3004177</t>
  </si>
  <si>
    <t>Стильная кепка на каждый день. Крупные три полоски сзади подчеркивают наследие adidas. Мягкий, но прочный хлопковый твил, изогнутый козырек и регулируемый ремешок обеспечивают комфорт и идеальную посадку.</t>
  </si>
  <si>
    <t>https://lestate-pro.ru/upload/product_images/base/gn/gn20/gn2052/gn2052_00.jpg</t>
  </si>
  <si>
    <t>GN2291</t>
  </si>
  <si>
    <t>STAN BBALL CAP</t>
  </si>
  <si>
    <t>100 % переработанный полиэстер</t>
  </si>
  <si>
    <t>10216170/230321/0078124</t>
  </si>
  <si>
    <t>Стэн Смит был звездой теннисных кортов в течение десятилетий, и его фирменные кроссовки стали символом уличного стиля. Эта кепка adidas отдает дань уважения наследию знаменитого спортсмена. Лаконичный стиль идеально впишется в любой образ. Изогнутый козырек защитит глаза от солнца.</t>
  </si>
  <si>
    <t>https://lestate-pro.ru/upload/product_images/base/gn/gn22/gn2291/gn2291_00.jpg</t>
  </si>
  <si>
    <t>ESS Cap</t>
  </si>
  <si>
    <t>_</t>
  </si>
  <si>
    <t>Adult</t>
  </si>
  <si>
    <t>БАНГЛАДЕШ</t>
  </si>
  <si>
    <t>10317120/100122/3004427/012</t>
  </si>
  <si>
    <t>Классика – это здорово. Кепку ESS Cap отличают эффектная вышивка и удобная застежка-«липучка». Подходит для мужчин и женщин. Конструкция из шести панелей. Изогнутый козырек. Отделка люверсов (вышивка). Логотип PUMA Cat/PUMA No. 1 (трехмерная вышивка).</t>
  </si>
  <si>
    <t>https://lestate-pro.ru/upload/product_images/base/22/2241/224167/2241674_00.jpg</t>
  </si>
  <si>
    <t>Classics Capsule Cap</t>
  </si>
  <si>
    <t>10131010/240122/3040299/010</t>
  </si>
  <si>
    <t>Большая кошка – большая любовь. Кепка Classics Capsule Cap – дань уважения нашему культовому логотипу PUMA Cat. Модель отличают бейсбольный силуэт, структурированная конструкция из шести панелей, изогнутый козырек, люверсы с отделкой вышивкой, регулируемая застежка и внутренняя, впитывающая влагу, сетчатая тесьма. Добавьте к этому мягкую замшу, элегантное тиснение и эффектную аппликацию – логотип PUMA Cat, и вы получите классный, идеальный для любого времени суток аксессуар. Подходит для мужчин и женщин.</t>
  </si>
  <si>
    <t>https://lestate-pro.ru/upload/product_images/base/23/2344/234450/2344502.jpg</t>
  </si>
  <si>
    <t>Archive Logo Label Cap</t>
  </si>
  <si>
    <t>Кепка Archive Logo Label Cap – это простая элегантность и элегантная простота. Модель отличают конструкция с защипами, вельветовая фронтальная панель и изогнутый козырек. Впитывающая влагу тесьма (основной материал), люверсы с отделкой вышивкой, а также тканевый ремешок с регулировкой длины и матовой серебристой металлической пряжкой-слайдером делают этот аксессуар практичным, универсальным, удобным. Подходит для мужчин и женщин. Панели с защипами 
 Изогнутый козырек 
 Полужесткая конструкция 
 Вельветовая фронтальная панель 
 Впитывающая влагу тесьма (основной материал) 
 Люверсы с отделкой вышивкой (по бокам и сзади) 
 Ремешок с регулировкой длины и матовой серебристой металлической пряжкой-слайдером 
 Логотип PUMA Cat с отделкой вышивкой – спереди, по центру 
 Логотип PUMA Cat на застежке</t>
  </si>
  <si>
    <t>https://lestate-pro.ru/upload/product_images/base/23/2353/235350/2353501.jpg</t>
  </si>
  <si>
    <t>BMW MMS Heritage BB Cap</t>
  </si>
  <si>
    <t>100% нейлон</t>
  </si>
  <si>
    <t>10317120/160222/3024657/001</t>
  </si>
  <si>
    <t>Кепка Puma Bmw M Motorsport Heritage Bb Cap оснащена вышитыми проушинами для улучшения воздухопроницаемости. Значок BMW на передней панели придают ей особенный вид. Подходит для мужчин и женщин.</t>
  </si>
  <si>
    <t>https://lestate-pro.ru/upload/product_images/base/23/2359/235930/2359301.jpg</t>
  </si>
  <si>
    <t>HD9885</t>
  </si>
  <si>
    <t>TE BADGE CAP</t>
  </si>
  <si>
    <t>розовый</t>
  </si>
  <si>
    <t>10216170/181221/0373538</t>
  </si>
  <si>
    <t>Ешь. Спи. Тренируйся. Кепка с некрупной символикой Reebok расскажет твою историю. Внутренняя лента впитывает влагу и быстро высыхает.</t>
  </si>
  <si>
    <t>https://lestate-pro.ru/upload/product_images/base/hd/hd98/hd9885/hd9885_00.jpg</t>
  </si>
  <si>
    <t>HD9884</t>
  </si>
  <si>
    <t>голубой</t>
  </si>
  <si>
    <t>10216170/181221/0373733</t>
  </si>
  <si>
    <t>https://lestate-pro.ru/upload/product_images/base/hd/hd98/hd9884/hd9884_00.jpg</t>
  </si>
  <si>
    <t>HD9887</t>
  </si>
  <si>
    <t>Эта полностью хлопковая кепка защитит ваше лицо от солнечных лучей во время игр и праздничных выходных. Кепка имеет заднюю застежку с пряжкой для микрорегулировки. Внутренняя спортивная лента сохраняет вас сухими, пока солнце не уйдет.</t>
  </si>
  <si>
    <t>https://lestate-pro.ru/upload/product_images/base/hd/hd98/hd9887/hd9887_00.jpg</t>
  </si>
  <si>
    <t>HE2381</t>
  </si>
  <si>
    <t>UBF BASEB CAP</t>
  </si>
  <si>
    <t>100% переработанный полиэстер</t>
  </si>
  <si>
    <t>10216170/040222/3033990</t>
  </si>
  <si>
    <t>Ты планируешь несколько разных тренировок на выходные. Сессия в тренажерном зале, пробежка, может быть, партия в гольф. Эта кепка Reebok с внутренней лентой для отвода влаги Speedwick позволяет коже дольше оставаться сухой, независимо от твоего занятия. Люверсы пропускают еще больше воздуха.</t>
  </si>
  <si>
    <t>https://lestate-pro.ru/upload/product_images/base/he/he23/he2381/he2381_00.jpg</t>
  </si>
  <si>
    <t>HE9766</t>
  </si>
  <si>
    <t>BASEB CLASS TRE</t>
  </si>
  <si>
    <t>Хлопок-100%</t>
  </si>
  <si>
    <t>https://lestate-pro.ru/upload/product_images/base/he/he97/he9766/he9766_00.jpg</t>
  </si>
  <si>
    <t>HD9699</t>
  </si>
  <si>
    <t>10216170/071221/0361724</t>
  </si>
  <si>
    <t>https://lestate-pro.ru/upload/product_images/base/hd/hd96/hd9699/hd9699_00.jpg</t>
  </si>
  <si>
    <t>HD9700</t>
  </si>
  <si>
    <t>фиолетовый</t>
  </si>
  <si>
    <t>55-56</t>
  </si>
  <si>
    <t>OSFW</t>
  </si>
  <si>
    <t>Бейсболка Trefoil. Кепка в бейсбольном стиле с изогнутым козырьком. Сшита из комфортного хлопка. Большой вышитый Трилистник спереди. Ремешок удобно регулируется.</t>
  </si>
  <si>
    <t>https://lestate-pro.ru/upload/product_images/base/hd/hd97/hd9700/hd9700_00.jpg</t>
  </si>
  <si>
    <t>HD7045</t>
  </si>
  <si>
    <t>BASEBALL CAP</t>
  </si>
  <si>
    <t>10216170/221121/0347306</t>
  </si>
  <si>
    <t>Бейсболки adidas подходят не только для матчей. Особенно когда они выполнены из атласа, как эта модель. Надень ее и заяви о себе. Плюс сто очков к стилю. Проще простого.</t>
  </si>
  <si>
    <t>https://lestate-pro.ru/upload/product_images/base/hd/hd70/hd7045/hd7045_00.jpg</t>
  </si>
  <si>
    <t>HD7239</t>
  </si>
  <si>
    <t>Бейсболка Metal Badge. Все самое интересное происходит на свежем воздухе. Так что хватай свою кепку adidas и выходи тренироваться на улицу. Она сшита из гладкой легкой ткани и дополнена регулируемым ремешком.   В состав этой модели входит материал Primegreen, созданный из переработанного пластика.</t>
  </si>
  <si>
    <t>https://lestate-pro.ru/upload/product_images/base/hd/hd72/hd7239/hd7239_00.jpg</t>
  </si>
  <si>
    <t>HD2224</t>
  </si>
  <si>
    <t>BSBL STREET</t>
  </si>
  <si>
    <t>бежевый</t>
  </si>
  <si>
    <t>Бейсболка Street. Хлопковая бейсболка на каждый день. Простота и классика всегда смотрятся хорошо. Эта кепка adidas подойдет к любому образу. Надень ее и отправляйся куда захочешь.</t>
  </si>
  <si>
    <t>https://lestate-pro.ru/upload/product_images/base/hd/hd22/hd2224/hd2224_00.jpg</t>
  </si>
  <si>
    <t>HD9755</t>
  </si>
  <si>
    <t>CAMO BALLCAP</t>
  </si>
  <si>
    <t>разноцветный</t>
  </si>
  <si>
    <t>Камуфляжный принт выделит тебя в городской толпе. Не веришь? Надень эту стильную бейсболку adidas и проверь. Сочетай ее с джоггерами, худи и любимыми кроссовками. Неправильной комбинации не существует.</t>
  </si>
  <si>
    <t>https://lestate-pro.ru/upload/product_images/base/hd/hd97/hd9755/hd9755_00.jpg</t>
  </si>
  <si>
    <t>HD9695</t>
  </si>
  <si>
    <t>CURVED TRUCKER</t>
  </si>
  <si>
    <t>90% полиэстер, 10% эластан</t>
  </si>
  <si>
    <t>Кепка с Трилистником, который является символом спорта с 70-х годов. Но заниматься спортом в ней необязательно. Она для расслабленного отдыха и стильного образа. Изогнутый козырек защищает глаза от солнца, а сетчатые вставки обеспечивают вентиляцию.</t>
  </si>
  <si>
    <t>https://lestate-pro.ru/upload/product_images/base/hd/hd96/hd9695/hd9695_00.jpg</t>
  </si>
  <si>
    <t>HE2388</t>
  </si>
  <si>
    <t>UBF ATHLETE A-FLEX CAP</t>
  </si>
  <si>
    <t>M</t>
  </si>
  <si>
    <t>88% переработанный полиэстер, 12% эластан</t>
  </si>
  <si>
    <t>10216170/120122/3008307</t>
  </si>
  <si>
    <t>Ты не всегда знаешь, что принесет тебе новый день. Но скорее всего ты будешь много двигаться. Дополни свой образ этой стильной кепкой Reebok, и можно не тратить много времени на прическу. Внутренняя лента отводит влагу, чтобы кожа дольше оставалась сухой даже в самый активный день.</t>
  </si>
  <si>
    <t>https://lestate-pro.ru/upload/product_images/base/he/he23/he2388/he2388_00.jpg</t>
  </si>
  <si>
    <t>L</t>
  </si>
  <si>
    <t>1361562-100</t>
  </si>
  <si>
    <t>Isochill Launch Run</t>
  </si>
  <si>
    <t>ВЬЕТНАМ</t>
  </si>
  <si>
    <t>10013160/240122/3036324</t>
  </si>
  <si>
    <t>https://lestate-pro.ru/upload/product_images/base/13/1361/136156/1361562-100.jpg</t>
  </si>
  <si>
    <t>1369785-100</t>
  </si>
  <si>
    <t>Team Blank Chino Adj</t>
  </si>
  <si>
    <t>65% полиэстер, 35% хлопок</t>
  </si>
  <si>
    <t>UA Free Fit имеет предварительно изогнутый козырек и неструктурированные передние панели, которые облегают вашу голову, обеспечивая гладкую низкопрофильную посадку.</t>
  </si>
  <si>
    <t>https://lestate-pro.ru/upload/product_images/base/13/1369/136978/1369785-100_00.jpg</t>
  </si>
  <si>
    <t>1369804-012</t>
  </si>
  <si>
    <t>Гольф</t>
  </si>
  <si>
    <t>Iso-chill Driver Mesh</t>
  </si>
  <si>
    <t>58-61</t>
  </si>
  <si>
    <t>L/XL</t>
  </si>
  <si>
    <t>https://lestate-pro.ru/upload/product_images/base/13/1369/136980/1369804-012.jpg</t>
  </si>
  <si>
    <t>Кепка ESS Cap от Puma - очень стильный и модный аксессуар для каждого, кото предпочитает активный образ жизни и любит спорт. Кепка создана в стиле унисекс и подойдет абсолютно всем. Бейсболка способна обеспечить максимальный комфорт в носке, специальные люверсы дают воздуху возможность циркулировать, охлаждая кожу головы во время тренировок, застежка на липучке поможет подобрать оптимальный размер.</t>
  </si>
  <si>
    <t>https://lestate-pro.ru/upload/product_images/base/22/2241/224167/2241675_00.jpg</t>
  </si>
  <si>
    <t>https://lestate-pro.ru/upload/product_images/base/22/2241/224167/2241678_00.jpg</t>
  </si>
  <si>
    <t>https://lestate-pro.ru/upload/product_images/base/22/2241/224167/2241679_00.jpg</t>
  </si>
  <si>
    <t>Archive Logo BB Cap</t>
  </si>
  <si>
    <t>Классическая бейсбольная кепка с шестью панелями выглядит просто великолепно. Благодаря вышитым проушинам, регулируемому тканому ремешку с D-образным кольцом из матового серебристого металла и смелому логотипу PUMA Archive № 1 спереди по центру эта вещь наверняка станет вашей любимой. Подходит для мужчин и женщин. Бейсбольный силуэт с шестью панелями и изогнутым козырьком.
 -Вышитые петельки 
 -Саморегулирующийся тканевый ремешок с D-образным кольцом из матового серебра 
 -Вышитый логотип PUMA Archive № 1 в центре спереди
 -Тканый логотип PUMA № 2</t>
  </si>
  <si>
    <t>https://lestate-pro.ru/upload/product_images/base/22/2255/225541/2255417_00.jpg</t>
  </si>
  <si>
    <t>PUMA Trucker Cap</t>
  </si>
  <si>
    <t>Хотите узнать, как добавить любому образу нотку уличного стиля? Просто наденьте кепку Trucker Cap. Классический силуэт дополнен изогнутым козырьком и впитывающей влагу сетчатой тесьмой – для вашего комфорта. За адаптивную, индивидуальную посадку отвечает застежка сзади. Фирменное спортивное звучание передано каждой деталью: элегантной структурированной тканью, отделкой люверсов вышивкой и, конечно же, эффектным брендингом PUMA. Подходит для мужчин и женщин.</t>
  </si>
  <si>
    <t>https://lestate-pro.ru/upload/product_images/base/23/2342/234280/2342801.jpg</t>
  </si>
  <si>
    <t>PRIME Trucker Cap</t>
  </si>
  <si>
    <t>80% полиэстер, 20% полиуретан</t>
  </si>
  <si>
    <t>Классическая кепка сочетается со спортивным стилем PUMA в этой кепке Prime Trucker. Сетчатые вставки с камуфляжным принтом улучшают воздухопроницаемость, а вышитый логотип PUMA Archive придает стильный классический вид.</t>
  </si>
  <si>
    <t>https://lestate-pro.ru/upload/product_images/base/23/2343/234380/2343801_00.jpg</t>
  </si>
  <si>
    <t>80% Полиэстер, 20% Полиуретан + 100% Полиэстер</t>
  </si>
  <si>
    <t>https://lestate-pro.ru/upload/product_images/base/23/2343/234380/2343805_00.jpg</t>
  </si>
  <si>
    <t>Ess Cap III</t>
  </si>
  <si>
    <t>Кепка Ess Cap III создана из высокофункциональных материалов, которые впитывают пот и влагу и обеспечивают полный комфорт даже во время самых интенсивных тренировок. Бейсболка создана в стиле унисекс и подходит как мужчинам, так и женщинам, завершая модный образ современного городского человека, ведущего активный образ жизни.</t>
  </si>
  <si>
    <t>https://lestate-pro.ru/upload/product_images/base/23/2366/236690/2366901_00.jpg</t>
  </si>
  <si>
    <t>Academy AOP Cap</t>
  </si>
  <si>
    <t>Классическая бейсболка с декором в элегантном повседневном стиле. Кепка с изогнутым козырьком. Регулятор размера ремешка с металлической пряжкой с логотипом PUMA</t>
  </si>
  <si>
    <t>https://lestate-pro.ru/upload/product_images/base/23/2367/236750/2367503_00.jpg</t>
  </si>
  <si>
    <t>Poly Cotton Cap</t>
  </si>
  <si>
    <t>В кепке Poly Cotton Cap применяется технология dryCELL - высокотехнологичный материал отводит влагу, обеспечивая ощущение сухости и комфорт даже во время интенсивной тренировки. Оснащенная безопасным для волос регулятором на застежке-липучке и тканевой лентой, модель украшена светоотражающим логотипом PUMA, чтобы вас заметили, где бы вы ни находились. Подходит для мужчин и женщин.</t>
  </si>
  <si>
    <t>https://lestate-pro.ru/upload/product_images/base/23/2371/237110/2371104_00.jpg</t>
  </si>
  <si>
    <t>хлопок, вискоза</t>
  </si>
  <si>
    <t>Классика – это здорово. Кепку ESS Cap отличают эффектная вышивка и удобная застежка-«липучка». Подходит для мужчин и женщин.  Конструкция из шести панелей
Изогнутый козырек
Отделка люверсов (вышивка) 
Ремешок с «липучкой» 
Логотип PUMA Cat/PUMA No. 1 (трехмерная вышивка)</t>
  </si>
  <si>
    <t>https://lestate-pro.ru/upload/product_images/base/22/2241/224168/2241685.jpg</t>
  </si>
  <si>
    <t>Женщины</t>
  </si>
  <si>
    <t>Running Ponytail Cap</t>
  </si>
  <si>
    <t>Функциональная, но при этом женственная. Крутую кепку Ponytail Women's Running Cap отличает вырез сзади – можете поэкспериментировать с разной высотой хвоста. «Бейсбольный» силуэт, структурированная конструкция, изогнутый козырек, эластичная регулируемая застежка, впитывающая влагу тесьма внутри, светоотражающие дизайнерские элементы и яркий брендинг PUMA – характерные черты. Преодолевая мили, вы будете выглядеть потрясающе.</t>
  </si>
  <si>
    <t>https://lestate-pro.ru/upload/product_images/base/23/2375/237580/2375801.jpg</t>
  </si>
  <si>
    <t>RK2450800</t>
  </si>
  <si>
    <t>Lacoste</t>
  </si>
  <si>
    <t>CAPS</t>
  </si>
  <si>
    <t>56/60</t>
  </si>
  <si>
    <t>U</t>
  </si>
  <si>
    <t>10013160/281021/0673347</t>
  </si>
  <si>
    <t>https://lestate-pro.ru/upload/product_images/base/rk/rk24/rk2450/rk2450800_00.jpg</t>
  </si>
  <si>
    <t>PUMA x NJR BB Cap Puma Black</t>
  </si>
  <si>
    <t>10702070/060921/0279253/006</t>
  </si>
  <si>
    <t>Встречайте спортивную экипировку, которая прославляет живую футбольную легенду – Неймара Жуниора. Мы вдохновились историей футболиста, его домашним клубом и культовыми татуировками. Кепка Neymar Jr. Baseball Cap – завершение любого образа, истинно «фанатский» аксессуар, чествующий легендарного футболиста.</t>
  </si>
  <si>
    <t>https://lestate-pro.ru/upload/product_images/base/23/2390/239090/2390901_00.jpg</t>
  </si>
  <si>
    <t>RK2450DP4</t>
  </si>
  <si>
    <t>Lacoste Cap</t>
  </si>
  <si>
    <t>56/60см</t>
  </si>
  <si>
    <t>https://lestate-pro.ru/upload/product_images/base/rk/rk24/rk2450/rk2450dp4_00.jpg</t>
  </si>
  <si>
    <t>RK741502S</t>
  </si>
  <si>
    <t>10013160/311221/3079413</t>
  </si>
  <si>
    <t>https://lestate-pro.ru/upload/product_images/base/rk/rk74/rk7415/rk741502s_00.jpg</t>
  </si>
  <si>
    <t>RK7415HDE</t>
  </si>
  <si>
    <t>https://lestate-pro.ru/upload/product_images/base/rk/rk74/rk7415/rk7415hde_00.jpg</t>
  </si>
  <si>
    <t>10702070/240621/0189320/012</t>
  </si>
  <si>
    <t>Классическая бейсболка-шестиклинка декорирована спереди объемной вышитой надписью PUMA и логотипом PUMA. Элегантный козырек закруглен. Люверсы с обработанными вышивкой краями создают дополнительную вентиляцию. Застежка сзади на липучке  позволяет легко регулировать окружность изделия.</t>
  </si>
  <si>
    <t>https://lestate-pro.ru/upload/product_images/base/52/5291/529190/5291901_00.jpg</t>
  </si>
  <si>
    <t>https://lestate-pro.ru/upload/product_images/base/52/5291/529190/5291902_00.jpg</t>
  </si>
  <si>
    <t>Итого:</t>
  </si>
  <si>
    <t>В том числе НДС:</t>
  </si>
  <si>
    <t>Всего наименований 68, на сумму 280 908,04 руб.</t>
  </si>
  <si>
    <t>Двести восемьдесят тысяч девятьсот восемь рублей 04 копейки</t>
  </si>
  <si>
    <t>Получил</t>
  </si>
  <si>
    <t>Style</t>
  </si>
  <si>
    <t>Brand</t>
  </si>
  <si>
    <t>Name</t>
  </si>
  <si>
    <t>Размер</t>
  </si>
  <si>
    <t>Кол-во</t>
  </si>
  <si>
    <t>Цена</t>
  </si>
  <si>
    <t>One Size</t>
  </si>
  <si>
    <t>Цвет поставщика</t>
  </si>
  <si>
    <t>темно-синий</t>
  </si>
  <si>
    <t>black</t>
  </si>
  <si>
    <t>blue</t>
  </si>
  <si>
    <t>white</t>
  </si>
  <si>
    <t>grey</t>
  </si>
  <si>
    <t>red</t>
  </si>
  <si>
    <t>pink</t>
  </si>
  <si>
    <t>lt.blue</t>
  </si>
  <si>
    <t>purple</t>
  </si>
  <si>
    <t>beige</t>
  </si>
  <si>
    <t>navy</t>
  </si>
  <si>
    <t>multicoloured</t>
  </si>
  <si>
    <t>Наш размер</t>
  </si>
  <si>
    <t/>
  </si>
  <si>
    <t>Страна</t>
  </si>
  <si>
    <t>RowsCount</t>
  </si>
  <si>
    <t>PUMA x NJR BB Cap</t>
  </si>
  <si>
    <t>65% полиэстер - 35% хлопок</t>
  </si>
  <si>
    <t>90% полиэстер - 10% эластан</t>
  </si>
  <si>
    <t>80% полиэстер - 20% полиуретан</t>
  </si>
  <si>
    <t>хлопок - вискоза</t>
  </si>
  <si>
    <t>80% Полиэстер - 20% Полиуретан / Подклад: 100% Полиэстер</t>
  </si>
  <si>
    <t>88% полиэстер - 12% эластан</t>
  </si>
  <si>
    <t>100 % полиэстер</t>
  </si>
  <si>
    <t>Группа</t>
  </si>
  <si>
    <t>Бейсболка</t>
  </si>
  <si>
    <t>Бейсболка с сеточкой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</si>
</sst>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%&quot;"/>
    <numFmt numFmtId="165" formatCode="0000000000000"/>
  </numFmts>
  <fonts count="8" x14ac:knownFonts="1">
    <font>
      <sz val="8"/>
      <name val="Arial"/>
    </font>
    <font>
      <sz val="8"/>
      <name val="Arial"/>
      <family val="2"/>
    </font>
    <font>
      <b/>
      <sz val="14"/>
      <name val="Arial"/>
      <family val="2"/>
      <charset val="204"/>
    </font>
    <font>
      <b/>
      <sz val="9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left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 indent="1"/>
    </xf>
    <xf numFmtId="4" fontId="0" fillId="0" borderId="8" xfId="0" applyNumberFormat="1" applyBorder="1" applyAlignment="1">
      <alignment horizontal="right" vertical="top"/>
    </xf>
    <xf numFmtId="164" fontId="0" fillId="0" borderId="8" xfId="0" applyNumberFormat="1" applyBorder="1" applyAlignment="1">
      <alignment horizontal="center" vertical="top" wrapText="1"/>
    </xf>
    <xf numFmtId="0" fontId="0" fillId="0" borderId="8" xfId="0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1" fontId="0" fillId="0" borderId="8" xfId="0" applyNumberFormat="1" applyBorder="1" applyAlignment="1">
      <alignment horizontal="center" vertical="top" wrapText="1"/>
    </xf>
    <xf numFmtId="4" fontId="0" fillId="0" borderId="10" xfId="0" applyNumberFormat="1" applyBorder="1" applyAlignment="1">
      <alignment horizontal="right" vertical="top"/>
    </xf>
    <xf numFmtId="2" fontId="0" fillId="0" borderId="8" xfId="0" applyNumberFormat="1" applyBorder="1" applyAlignment="1">
      <alignment horizontal="right" vertical="top"/>
    </xf>
    <xf numFmtId="165" fontId="0" fillId="0" borderId="8" xfId="0" applyNumberFormat="1" applyBorder="1" applyAlignment="1">
      <alignment horizontal="left" vertical="top" wrapText="1"/>
    </xf>
    <xf numFmtId="0" fontId="0" fillId="0" borderId="11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/>
    </xf>
    <xf numFmtId="0" fontId="0" fillId="0" borderId="12" xfId="0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right"/>
    </xf>
    <xf numFmtId="0" fontId="0" fillId="0" borderId="0" xfId="0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left" vertical="top" wrapText="1" indent="1"/>
    </xf>
    <xf numFmtId="0" fontId="0" fillId="0" borderId="8" xfId="0" applyBorder="1" applyAlignment="1">
      <alignment horizontal="left" vertical="top"/>
    </xf>
    <xf numFmtId="0" fontId="0" fillId="0" borderId="8" xfId="0" applyBorder="1" applyAlignment="1">
      <alignment horizontal="center" vertical="top" wrapText="1" indent="1"/>
    </xf>
    <xf numFmtId="1" fontId="0" fillId="0" borderId="8" xfId="0" applyNumberFormat="1" applyBorder="1" applyAlignment="1">
      <alignment horizontal="right" vertical="top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0" fillId="0" borderId="13" xfId="0" applyBorder="1" applyAlignment="1">
      <alignment horizontal="right"/>
    </xf>
    <xf numFmtId="1" fontId="0" fillId="0" borderId="7" xfId="0" applyNumberFormat="1" applyBorder="1" applyAlignment="1">
      <alignment horizontal="center" vertical="top"/>
    </xf>
    <xf numFmtId="1" fontId="0" fillId="0" borderId="8" xfId="0" applyNumberForma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left" vertical="top" wrapText="1" indent="2"/>
    </xf>
    <xf numFmtId="0" fontId="7" fillId="0" borderId="8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outlinePr summaryBelow="0" summaryRight="0"/>
    <pageSetUpPr autoPageBreaks="0"/>
  </sheetPr>
  <dimension ref="A1:CF84"/>
  <sheetViews>
    <sheetView topLeftCell="B57" workbookViewId="0">
      <selection activeCell="P77" sqref="P77"/>
    </sheetView>
  </sheetViews>
  <sheetFormatPr defaultColWidth="3.5" defaultRowHeight="11.45" customHeight="1" x14ac:dyDescent="0.2"/>
  <cols>
    <col min="1" max="1" width="1" style="1" customWidth="1"/>
    <col min="2" max="2" width="3.5" style="1" customWidth="1"/>
    <col min="3" max="3" width="1.83203125" style="1" customWidth="1"/>
    <col min="4" max="4" width="1.6640625" style="1" customWidth="1"/>
    <col min="5" max="9" width="2.33203125" style="1" customWidth="1"/>
    <col min="10" max="11" width="1.1640625" style="1" customWidth="1"/>
    <col min="12" max="16" width="2.33203125" style="1" customWidth="1"/>
    <col min="17" max="17" width="3.5" style="1" customWidth="1"/>
    <col min="18" max="18" width="1.5" style="1" customWidth="1"/>
    <col min="19" max="19" width="2" style="1" customWidth="1"/>
    <col min="20" max="24" width="3.5" style="1" customWidth="1"/>
    <col min="25" max="25" width="2.1640625" style="1" customWidth="1"/>
    <col min="26" max="26" width="1.33203125" style="1" customWidth="1"/>
    <col min="27" max="29" width="3.5" style="1" customWidth="1"/>
    <col min="30" max="30" width="3" style="1" customWidth="1"/>
    <col min="31" max="31" width="0.6640625" style="1" customWidth="1"/>
    <col min="32" max="32" width="3.5" style="1" customWidth="1"/>
    <col min="33" max="33" width="2" style="1" customWidth="1"/>
    <col min="34" max="34" width="1.5" style="1" customWidth="1"/>
    <col min="35" max="36" width="3.5" style="1" customWidth="1"/>
    <col min="37" max="37" width="3.1640625" style="1" customWidth="1"/>
    <col min="38" max="38" width="0.33203125" style="1" customWidth="1"/>
    <col min="39" max="40" width="3.5" style="1" customWidth="1"/>
    <col min="41" max="41" width="15.6640625" style="1" customWidth="1"/>
    <col min="42" max="42" width="10.6640625" style="1" customWidth="1"/>
    <col min="43" max="43" width="14.33203125" style="1" customWidth="1"/>
    <col min="44" max="44" width="8.6640625" style="1" customWidth="1"/>
    <col min="45" max="45" width="3.5" style="1" customWidth="1"/>
    <col min="46" max="46" width="2.1640625" style="1" customWidth="1"/>
    <col min="47" max="47" width="1.33203125" style="1" customWidth="1"/>
    <col min="48" max="53" width="3.5" style="1" customWidth="1"/>
    <col min="54" max="54" width="0.6640625" style="1" customWidth="1"/>
    <col min="55" max="55" width="3" style="1" customWidth="1"/>
    <col min="56" max="60" width="3.5" style="1" customWidth="1"/>
    <col min="61" max="61" width="0.1640625" style="1" customWidth="1"/>
    <col min="62" max="62" width="3.33203125" style="1" customWidth="1"/>
    <col min="63" max="65" width="3.5" style="1" customWidth="1"/>
    <col min="66" max="66" width="2.83203125" style="1" customWidth="1"/>
    <col min="67" max="67" width="0.6640625" style="1" customWidth="1"/>
    <col min="68" max="71" width="3.5" style="1" customWidth="1"/>
    <col min="72" max="72" width="1.1640625" style="1" customWidth="1"/>
    <col min="73" max="73" width="12.83203125" style="1" customWidth="1"/>
    <col min="74" max="74" width="10.6640625" style="1" customWidth="1"/>
    <col min="75" max="76" width="12.83203125" style="1" customWidth="1"/>
    <col min="77" max="77" width="16.5" style="1" customWidth="1"/>
    <col min="78" max="78" width="28.83203125" style="1" customWidth="1"/>
    <col min="79" max="79" width="22.1640625" style="1" customWidth="1"/>
    <col min="80" max="80" width="15.33203125" style="1" customWidth="1"/>
    <col min="81" max="81" width="23.83203125" style="1" customWidth="1"/>
    <col min="82" max="82" width="12.83203125" style="1" customWidth="1"/>
    <col min="83" max="83" width="10" style="1" customWidth="1"/>
    <col min="84" max="84" width="3.5" style="1" customWidth="1"/>
  </cols>
  <sheetData>
    <row r="1" spans="2:84" s="1" customFormat="1" ht="10.9" customHeight="1" x14ac:dyDescent="0.2"/>
    <row r="2" spans="2:84" s="1" customFormat="1" ht="22.15" customHeight="1" x14ac:dyDescent="0.2">
      <c r="B2" s="50" t="s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0"/>
      <c r="BR2" s="50"/>
      <c r="BS2" s="50"/>
    </row>
    <row r="4" spans="2:84" s="1" customFormat="1" ht="13.15" customHeight="1" x14ac:dyDescent="0.2">
      <c r="B4" s="34" t="s">
        <v>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</row>
    <row r="5" spans="2:84" s="1" customFormat="1" ht="7.15" customHeight="1" x14ac:dyDescent="0.2"/>
    <row r="6" spans="2:84" s="1" customFormat="1" ht="16.899999999999999" customHeight="1" x14ac:dyDescent="0.2">
      <c r="B6" s="51" t="s">
        <v>2</v>
      </c>
      <c r="C6" s="51"/>
      <c r="D6" s="48" t="s">
        <v>3</v>
      </c>
      <c r="E6" s="48"/>
      <c r="F6" s="48"/>
      <c r="G6" s="48"/>
      <c r="H6" s="48"/>
      <c r="I6" s="48"/>
      <c r="J6" s="48"/>
      <c r="K6" s="42" t="s">
        <v>4</v>
      </c>
      <c r="L6" s="42"/>
      <c r="M6" s="42"/>
      <c r="N6" s="42"/>
      <c r="O6" s="42"/>
      <c r="P6" s="42"/>
      <c r="Q6" s="42"/>
      <c r="R6" s="42"/>
      <c r="S6" s="42" t="s">
        <v>5</v>
      </c>
      <c r="T6" s="42"/>
      <c r="U6" s="42"/>
      <c r="V6" s="42"/>
      <c r="W6" s="42"/>
      <c r="X6" s="42"/>
      <c r="Y6" s="42"/>
      <c r="Z6" s="42" t="s">
        <v>6</v>
      </c>
      <c r="AA6" s="42"/>
      <c r="AB6" s="42"/>
      <c r="AC6" s="42"/>
      <c r="AD6" s="42"/>
      <c r="AE6" s="47" t="s">
        <v>7</v>
      </c>
      <c r="AF6" s="47"/>
      <c r="AG6" s="47"/>
      <c r="AH6" s="47" t="s">
        <v>8</v>
      </c>
      <c r="AI6" s="47"/>
      <c r="AJ6" s="47"/>
      <c r="AK6" s="47"/>
      <c r="AL6" s="42" t="s">
        <v>9</v>
      </c>
      <c r="AM6" s="42"/>
      <c r="AN6" s="42"/>
      <c r="AO6" s="42"/>
      <c r="AP6" s="42" t="s">
        <v>10</v>
      </c>
      <c r="AQ6" s="42" t="s">
        <v>11</v>
      </c>
      <c r="AR6" s="42" t="s">
        <v>12</v>
      </c>
      <c r="AS6" s="42"/>
      <c r="AT6" s="42"/>
      <c r="AU6" s="47" t="s">
        <v>13</v>
      </c>
      <c r="AV6" s="47"/>
      <c r="AW6" s="47"/>
      <c r="AX6" s="47"/>
      <c r="AY6" s="47"/>
      <c r="AZ6" s="47"/>
      <c r="BA6" s="47"/>
      <c r="BB6" s="47"/>
      <c r="BC6" s="42" t="s">
        <v>14</v>
      </c>
      <c r="BD6" s="42"/>
      <c r="BE6" s="42"/>
      <c r="BF6" s="42"/>
      <c r="BG6" s="42"/>
      <c r="BH6" s="42"/>
      <c r="BI6" s="42"/>
      <c r="BJ6" s="42" t="s">
        <v>15</v>
      </c>
      <c r="BK6" s="42"/>
      <c r="BL6" s="42"/>
      <c r="BM6" s="42"/>
      <c r="BN6" s="42"/>
      <c r="BO6" s="42" t="s">
        <v>16</v>
      </c>
      <c r="BP6" s="42"/>
      <c r="BQ6" s="42"/>
      <c r="BR6" s="42"/>
      <c r="BS6" s="42"/>
      <c r="BT6" s="42"/>
      <c r="BU6" s="42" t="s">
        <v>17</v>
      </c>
      <c r="BV6" s="42" t="s">
        <v>18</v>
      </c>
      <c r="BW6" s="42" t="s">
        <v>19</v>
      </c>
      <c r="BX6" s="47" t="s">
        <v>20</v>
      </c>
      <c r="BY6" s="47" t="s">
        <v>21</v>
      </c>
      <c r="BZ6" s="42" t="s">
        <v>22</v>
      </c>
      <c r="CA6" s="42" t="s">
        <v>23</v>
      </c>
      <c r="CB6" s="48" t="s">
        <v>24</v>
      </c>
      <c r="CC6" s="42" t="s">
        <v>25</v>
      </c>
      <c r="CD6" s="42" t="s">
        <v>26</v>
      </c>
      <c r="CE6" s="44" t="s">
        <v>27</v>
      </c>
      <c r="CF6" s="1" t="s">
        <v>28</v>
      </c>
    </row>
    <row r="7" spans="2:84" s="1" customFormat="1" ht="33" customHeight="1" x14ac:dyDescent="0.2">
      <c r="B7" s="52"/>
      <c r="C7" s="53"/>
      <c r="D7" s="49"/>
      <c r="E7" s="54"/>
      <c r="F7" s="54"/>
      <c r="G7" s="54"/>
      <c r="H7" s="54"/>
      <c r="I7" s="54"/>
      <c r="J7" s="54"/>
      <c r="K7" s="43"/>
      <c r="L7" s="55"/>
      <c r="M7" s="55"/>
      <c r="N7" s="55"/>
      <c r="O7" s="55"/>
      <c r="P7" s="55"/>
      <c r="Q7" s="55"/>
      <c r="R7" s="55"/>
      <c r="S7" s="43"/>
      <c r="T7" s="55"/>
      <c r="U7" s="55"/>
      <c r="V7" s="55"/>
      <c r="W7" s="55"/>
      <c r="X7" s="55"/>
      <c r="Y7" s="55"/>
      <c r="Z7" s="43"/>
      <c r="AA7" s="55"/>
      <c r="AB7" s="55"/>
      <c r="AC7" s="55"/>
      <c r="AD7" s="55"/>
      <c r="AE7" s="46"/>
      <c r="AF7" s="53"/>
      <c r="AG7" s="53"/>
      <c r="AH7" s="46"/>
      <c r="AI7" s="53"/>
      <c r="AJ7" s="53"/>
      <c r="AK7" s="53"/>
      <c r="AL7" s="43"/>
      <c r="AM7" s="55"/>
      <c r="AN7" s="55"/>
      <c r="AO7" s="55"/>
      <c r="AP7" s="43"/>
      <c r="AQ7" s="43"/>
      <c r="AR7" s="43"/>
      <c r="AS7" s="55"/>
      <c r="AT7" s="55"/>
      <c r="AU7" s="46"/>
      <c r="AV7" s="53"/>
      <c r="AW7" s="53"/>
      <c r="AX7" s="53"/>
      <c r="AY7" s="53"/>
      <c r="AZ7" s="53"/>
      <c r="BA7" s="53"/>
      <c r="BB7" s="53"/>
      <c r="BC7" s="43"/>
      <c r="BD7" s="55"/>
      <c r="BE7" s="55"/>
      <c r="BF7" s="55"/>
      <c r="BG7" s="55"/>
      <c r="BH7" s="55"/>
      <c r="BI7" s="55"/>
      <c r="BJ7" s="43"/>
      <c r="BK7" s="55"/>
      <c r="BL7" s="55"/>
      <c r="BM7" s="55"/>
      <c r="BN7" s="55"/>
      <c r="BO7" s="43"/>
      <c r="BP7" s="55"/>
      <c r="BQ7" s="55"/>
      <c r="BR7" s="55"/>
      <c r="BS7" s="55"/>
      <c r="BT7" s="55"/>
      <c r="BU7" s="43"/>
      <c r="BV7" s="46"/>
      <c r="BW7" s="43"/>
      <c r="BX7" s="46"/>
      <c r="BY7" s="46"/>
      <c r="BZ7" s="43"/>
      <c r="CA7" s="43"/>
      <c r="CB7" s="49"/>
      <c r="CC7" s="43"/>
      <c r="CD7" s="43"/>
      <c r="CE7" s="45"/>
    </row>
    <row r="8" spans="2:84" s="1" customFormat="1" ht="29.45" customHeight="1" x14ac:dyDescent="0.2">
      <c r="B8" s="36">
        <v>1</v>
      </c>
      <c r="C8" s="36"/>
      <c r="D8" s="37">
        <v>2126901</v>
      </c>
      <c r="E8" s="37"/>
      <c r="F8" s="37"/>
      <c r="G8" s="37"/>
      <c r="H8" s="37"/>
      <c r="I8" s="37"/>
      <c r="J8" s="37"/>
      <c r="K8" s="38" t="s">
        <v>29</v>
      </c>
      <c r="L8" s="38"/>
      <c r="M8" s="38"/>
      <c r="N8" s="38"/>
      <c r="O8" s="38"/>
      <c r="P8" s="38"/>
      <c r="Q8" s="38"/>
      <c r="R8" s="38"/>
      <c r="S8" s="38" t="s">
        <v>30</v>
      </c>
      <c r="T8" s="38"/>
      <c r="U8" s="38"/>
      <c r="V8" s="38"/>
      <c r="W8" s="38"/>
      <c r="X8" s="38"/>
      <c r="Y8" s="38"/>
      <c r="Z8" s="38" t="s">
        <v>31</v>
      </c>
      <c r="AA8" s="38"/>
      <c r="AB8" s="38"/>
      <c r="AC8" s="38"/>
      <c r="AD8" s="38"/>
      <c r="AE8" s="39" t="s">
        <v>32</v>
      </c>
      <c r="AF8" s="39"/>
      <c r="AG8" s="39"/>
      <c r="AH8" s="40" t="s">
        <v>33</v>
      </c>
      <c r="AI8" s="40"/>
      <c r="AJ8" s="40"/>
      <c r="AK8" s="40"/>
      <c r="AL8" s="29" t="s">
        <v>34</v>
      </c>
      <c r="AM8" s="29"/>
      <c r="AN8" s="29"/>
      <c r="AO8" s="29"/>
      <c r="AP8" s="5" t="s">
        <v>35</v>
      </c>
      <c r="AQ8" s="4" t="s">
        <v>36</v>
      </c>
      <c r="AR8" s="40" t="s">
        <v>37</v>
      </c>
      <c r="AS8" s="40"/>
      <c r="AT8" s="40"/>
      <c r="AU8" s="29" t="s">
        <v>38</v>
      </c>
      <c r="AV8" s="29"/>
      <c r="AW8" s="29"/>
      <c r="AX8" s="29"/>
      <c r="AY8" s="29"/>
      <c r="AZ8" s="29"/>
      <c r="BA8" s="29"/>
      <c r="BB8" s="29"/>
      <c r="BC8" s="30" t="s">
        <v>39</v>
      </c>
      <c r="BD8" s="30"/>
      <c r="BE8" s="30"/>
      <c r="BF8" s="30"/>
      <c r="BG8" s="30"/>
      <c r="BH8" s="30"/>
      <c r="BI8" s="30"/>
      <c r="BJ8" s="31" t="s">
        <v>40</v>
      </c>
      <c r="BK8" s="31"/>
      <c r="BL8" s="31"/>
      <c r="BM8" s="31"/>
      <c r="BN8" s="31"/>
      <c r="BO8" s="32">
        <v>6</v>
      </c>
      <c r="BP8" s="32"/>
      <c r="BQ8" s="32"/>
      <c r="BR8" s="32"/>
      <c r="BS8" s="32"/>
      <c r="BT8" s="32"/>
      <c r="BU8" s="6">
        <v>1194</v>
      </c>
      <c r="BV8" s="7">
        <v>20</v>
      </c>
      <c r="BW8" s="8"/>
      <c r="BX8" s="6">
        <v>1990</v>
      </c>
      <c r="BY8" s="9" t="s">
        <v>41</v>
      </c>
      <c r="BZ8" s="2">
        <v>4056207606916</v>
      </c>
      <c r="CA8" s="9" t="s">
        <v>42</v>
      </c>
      <c r="CB8" s="3" t="s">
        <v>43</v>
      </c>
      <c r="CC8" s="10">
        <v>6505003000</v>
      </c>
      <c r="CD8" s="4" t="s">
        <v>44</v>
      </c>
      <c r="CE8" s="11">
        <v>7164</v>
      </c>
    </row>
    <row r="9" spans="2:84" s="1" customFormat="1" ht="29.45" customHeight="1" x14ac:dyDescent="0.2">
      <c r="B9" s="36">
        <v>2</v>
      </c>
      <c r="C9" s="36"/>
      <c r="D9" s="37">
        <v>2126907</v>
      </c>
      <c r="E9" s="37"/>
      <c r="F9" s="37"/>
      <c r="G9" s="37"/>
      <c r="H9" s="37"/>
      <c r="I9" s="37"/>
      <c r="J9" s="37"/>
      <c r="K9" s="38" t="s">
        <v>29</v>
      </c>
      <c r="L9" s="38"/>
      <c r="M9" s="38"/>
      <c r="N9" s="38"/>
      <c r="O9" s="38"/>
      <c r="P9" s="38"/>
      <c r="Q9" s="38"/>
      <c r="R9" s="38"/>
      <c r="S9" s="38" t="s">
        <v>30</v>
      </c>
      <c r="T9" s="38"/>
      <c r="U9" s="38"/>
      <c r="V9" s="38"/>
      <c r="W9" s="38"/>
      <c r="X9" s="38"/>
      <c r="Y9" s="38"/>
      <c r="Z9" s="38" t="s">
        <v>31</v>
      </c>
      <c r="AA9" s="38"/>
      <c r="AB9" s="38"/>
      <c r="AC9" s="38"/>
      <c r="AD9" s="38"/>
      <c r="AE9" s="39" t="s">
        <v>32</v>
      </c>
      <c r="AF9" s="39"/>
      <c r="AG9" s="39"/>
      <c r="AH9" s="40" t="s">
        <v>33</v>
      </c>
      <c r="AI9" s="40"/>
      <c r="AJ9" s="40"/>
      <c r="AK9" s="40"/>
      <c r="AL9" s="29" t="s">
        <v>34</v>
      </c>
      <c r="AM9" s="29"/>
      <c r="AN9" s="29"/>
      <c r="AO9" s="29"/>
      <c r="AP9" s="5" t="s">
        <v>45</v>
      </c>
      <c r="AQ9" s="4" t="s">
        <v>36</v>
      </c>
      <c r="AR9" s="40" t="s">
        <v>37</v>
      </c>
      <c r="AS9" s="40"/>
      <c r="AT9" s="40"/>
      <c r="AU9" s="29" t="s">
        <v>38</v>
      </c>
      <c r="AV9" s="29"/>
      <c r="AW9" s="29"/>
      <c r="AX9" s="29"/>
      <c r="AY9" s="29"/>
      <c r="AZ9" s="29"/>
      <c r="BA9" s="29"/>
      <c r="BB9" s="29"/>
      <c r="BC9" s="30" t="s">
        <v>39</v>
      </c>
      <c r="BD9" s="30"/>
      <c r="BE9" s="30"/>
      <c r="BF9" s="30"/>
      <c r="BG9" s="30"/>
      <c r="BH9" s="30"/>
      <c r="BI9" s="30"/>
      <c r="BJ9" s="31" t="s">
        <v>40</v>
      </c>
      <c r="BK9" s="31"/>
      <c r="BL9" s="31"/>
      <c r="BM9" s="31"/>
      <c r="BN9" s="31"/>
      <c r="BO9" s="32">
        <v>3</v>
      </c>
      <c r="BP9" s="32"/>
      <c r="BQ9" s="32"/>
      <c r="BR9" s="32"/>
      <c r="BS9" s="32"/>
      <c r="BT9" s="32"/>
      <c r="BU9" s="6">
        <v>1194</v>
      </c>
      <c r="BV9" s="7">
        <v>20</v>
      </c>
      <c r="BW9" s="8"/>
      <c r="BX9" s="6">
        <v>1990</v>
      </c>
      <c r="BY9" s="9" t="s">
        <v>46</v>
      </c>
      <c r="BZ9" s="2">
        <v>4059504716395</v>
      </c>
      <c r="CA9" s="9" t="s">
        <v>42</v>
      </c>
      <c r="CB9" s="3" t="s">
        <v>47</v>
      </c>
      <c r="CC9" s="10">
        <v>6505003000</v>
      </c>
      <c r="CD9" s="4" t="s">
        <v>44</v>
      </c>
      <c r="CE9" s="11">
        <v>3582</v>
      </c>
    </row>
    <row r="10" spans="2:84" s="1" customFormat="1" ht="29.45" customHeight="1" x14ac:dyDescent="0.2">
      <c r="B10" s="36">
        <v>3</v>
      </c>
      <c r="C10" s="36"/>
      <c r="D10" s="38" t="s">
        <v>48</v>
      </c>
      <c r="E10" s="38"/>
      <c r="F10" s="38"/>
      <c r="G10" s="38"/>
      <c r="H10" s="38"/>
      <c r="I10" s="38"/>
      <c r="J10" s="38"/>
      <c r="K10" s="38" t="s">
        <v>29</v>
      </c>
      <c r="L10" s="38"/>
      <c r="M10" s="38"/>
      <c r="N10" s="38"/>
      <c r="O10" s="38"/>
      <c r="P10" s="38"/>
      <c r="Q10" s="38"/>
      <c r="R10" s="38"/>
      <c r="S10" s="38" t="s">
        <v>30</v>
      </c>
      <c r="T10" s="38"/>
      <c r="U10" s="38"/>
      <c r="V10" s="38"/>
      <c r="W10" s="38"/>
      <c r="X10" s="38"/>
      <c r="Y10" s="38"/>
      <c r="Z10" s="38" t="s">
        <v>31</v>
      </c>
      <c r="AA10" s="38"/>
      <c r="AB10" s="38"/>
      <c r="AC10" s="38"/>
      <c r="AD10" s="38"/>
      <c r="AE10" s="39" t="s">
        <v>32</v>
      </c>
      <c r="AF10" s="39"/>
      <c r="AG10" s="39"/>
      <c r="AH10" s="40" t="s">
        <v>49</v>
      </c>
      <c r="AI10" s="40"/>
      <c r="AJ10" s="40"/>
      <c r="AK10" s="40"/>
      <c r="AL10" s="29" t="s">
        <v>50</v>
      </c>
      <c r="AM10" s="29"/>
      <c r="AN10" s="29"/>
      <c r="AO10" s="29"/>
      <c r="AP10" s="5" t="s">
        <v>35</v>
      </c>
      <c r="AQ10" s="4" t="s">
        <v>36</v>
      </c>
      <c r="AR10" s="40" t="s">
        <v>51</v>
      </c>
      <c r="AS10" s="40"/>
      <c r="AT10" s="40"/>
      <c r="AU10" s="29" t="s">
        <v>52</v>
      </c>
      <c r="AV10" s="29"/>
      <c r="AW10" s="29"/>
      <c r="AX10" s="29"/>
      <c r="AY10" s="29"/>
      <c r="AZ10" s="29"/>
      <c r="BA10" s="29"/>
      <c r="BB10" s="29"/>
      <c r="BC10" s="30" t="s">
        <v>39</v>
      </c>
      <c r="BD10" s="30"/>
      <c r="BE10" s="30"/>
      <c r="BF10" s="30"/>
      <c r="BG10" s="30"/>
      <c r="BH10" s="30"/>
      <c r="BI10" s="30"/>
      <c r="BJ10" s="31" t="s">
        <v>53</v>
      </c>
      <c r="BK10" s="31"/>
      <c r="BL10" s="31"/>
      <c r="BM10" s="31"/>
      <c r="BN10" s="31"/>
      <c r="BO10" s="32">
        <v>4</v>
      </c>
      <c r="BP10" s="32"/>
      <c r="BQ10" s="32"/>
      <c r="BR10" s="32"/>
      <c r="BS10" s="32"/>
      <c r="BT10" s="32"/>
      <c r="BU10" s="6">
        <v>1511.37</v>
      </c>
      <c r="BV10" s="7">
        <v>20</v>
      </c>
      <c r="BW10" s="8"/>
      <c r="BX10" s="6">
        <v>2399</v>
      </c>
      <c r="BY10" s="9" t="s">
        <v>54</v>
      </c>
      <c r="BZ10" s="2">
        <v>4061616047564</v>
      </c>
      <c r="CA10" s="9" t="s">
        <v>55</v>
      </c>
      <c r="CB10" s="3" t="s">
        <v>56</v>
      </c>
      <c r="CC10" s="10">
        <v>6505003000</v>
      </c>
      <c r="CD10" s="4" t="s">
        <v>44</v>
      </c>
      <c r="CE10" s="11">
        <v>6045.48</v>
      </c>
    </row>
    <row r="11" spans="2:84" s="1" customFormat="1" ht="29.45" customHeight="1" x14ac:dyDescent="0.2">
      <c r="B11" s="36">
        <v>4</v>
      </c>
      <c r="C11" s="36"/>
      <c r="D11" s="38" t="s">
        <v>48</v>
      </c>
      <c r="E11" s="38"/>
      <c r="F11" s="38"/>
      <c r="G11" s="38"/>
      <c r="H11" s="38"/>
      <c r="I11" s="38"/>
      <c r="J11" s="38"/>
      <c r="K11" s="38" t="s">
        <v>29</v>
      </c>
      <c r="L11" s="38"/>
      <c r="M11" s="38"/>
      <c r="N11" s="38"/>
      <c r="O11" s="38"/>
      <c r="P11" s="38"/>
      <c r="Q11" s="38"/>
      <c r="R11" s="38"/>
      <c r="S11" s="38" t="s">
        <v>30</v>
      </c>
      <c r="T11" s="38"/>
      <c r="U11" s="38"/>
      <c r="V11" s="38"/>
      <c r="W11" s="38"/>
      <c r="X11" s="38"/>
      <c r="Y11" s="38"/>
      <c r="Z11" s="38" t="s">
        <v>31</v>
      </c>
      <c r="AA11" s="38"/>
      <c r="AB11" s="38"/>
      <c r="AC11" s="38"/>
      <c r="AD11" s="38"/>
      <c r="AE11" s="39" t="s">
        <v>32</v>
      </c>
      <c r="AF11" s="39"/>
      <c r="AG11" s="39"/>
      <c r="AH11" s="40" t="s">
        <v>49</v>
      </c>
      <c r="AI11" s="40"/>
      <c r="AJ11" s="40"/>
      <c r="AK11" s="40"/>
      <c r="AL11" s="29" t="s">
        <v>50</v>
      </c>
      <c r="AM11" s="29"/>
      <c r="AN11" s="29"/>
      <c r="AO11" s="29"/>
      <c r="AP11" s="5" t="s">
        <v>35</v>
      </c>
      <c r="AQ11" s="4" t="s">
        <v>57</v>
      </c>
      <c r="AR11" s="40" t="s">
        <v>58</v>
      </c>
      <c r="AS11" s="40"/>
      <c r="AT11" s="40"/>
      <c r="AU11" s="29" t="s">
        <v>52</v>
      </c>
      <c r="AV11" s="29"/>
      <c r="AW11" s="29"/>
      <c r="AX11" s="29"/>
      <c r="AY11" s="29"/>
      <c r="AZ11" s="29"/>
      <c r="BA11" s="29"/>
      <c r="BB11" s="29"/>
      <c r="BC11" s="30" t="s">
        <v>39</v>
      </c>
      <c r="BD11" s="30"/>
      <c r="BE11" s="30"/>
      <c r="BF11" s="30"/>
      <c r="BG11" s="30"/>
      <c r="BH11" s="30"/>
      <c r="BI11" s="30"/>
      <c r="BJ11" s="31" t="s">
        <v>53</v>
      </c>
      <c r="BK11" s="31"/>
      <c r="BL11" s="31"/>
      <c r="BM11" s="31"/>
      <c r="BN11" s="31"/>
      <c r="BO11" s="32">
        <v>1</v>
      </c>
      <c r="BP11" s="32"/>
      <c r="BQ11" s="32"/>
      <c r="BR11" s="32"/>
      <c r="BS11" s="32"/>
      <c r="BT11" s="32"/>
      <c r="BU11" s="6">
        <v>1511.37</v>
      </c>
      <c r="BV11" s="7">
        <v>20</v>
      </c>
      <c r="BW11" s="8"/>
      <c r="BX11" s="6">
        <v>2399</v>
      </c>
      <c r="BY11" s="9" t="s">
        <v>54</v>
      </c>
      <c r="BZ11" s="2">
        <v>4061616047557</v>
      </c>
      <c r="CA11" s="9" t="s">
        <v>55</v>
      </c>
      <c r="CB11" s="3" t="s">
        <v>56</v>
      </c>
      <c r="CC11" s="10">
        <v>6505003000</v>
      </c>
      <c r="CD11" s="4" t="s">
        <v>44</v>
      </c>
      <c r="CE11" s="11">
        <v>1511.37</v>
      </c>
    </row>
    <row r="12" spans="2:84" s="1" customFormat="1" ht="29.45" customHeight="1" x14ac:dyDescent="0.2">
      <c r="B12" s="36">
        <v>5</v>
      </c>
      <c r="C12" s="36"/>
      <c r="D12" s="38" t="s">
        <v>59</v>
      </c>
      <c r="E12" s="38"/>
      <c r="F12" s="38"/>
      <c r="G12" s="38"/>
      <c r="H12" s="38"/>
      <c r="I12" s="38"/>
      <c r="J12" s="38"/>
      <c r="K12" s="38" t="s">
        <v>29</v>
      </c>
      <c r="L12" s="38"/>
      <c r="M12" s="38"/>
      <c r="N12" s="38"/>
      <c r="O12" s="38"/>
      <c r="P12" s="38"/>
      <c r="Q12" s="38"/>
      <c r="R12" s="38"/>
      <c r="S12" s="38" t="s">
        <v>30</v>
      </c>
      <c r="T12" s="38"/>
      <c r="U12" s="38"/>
      <c r="V12" s="38"/>
      <c r="W12" s="38"/>
      <c r="X12" s="38"/>
      <c r="Y12" s="38"/>
      <c r="Z12" s="38" t="s">
        <v>31</v>
      </c>
      <c r="AA12" s="38"/>
      <c r="AB12" s="38"/>
      <c r="AC12" s="38"/>
      <c r="AD12" s="38"/>
      <c r="AE12" s="39" t="s">
        <v>60</v>
      </c>
      <c r="AF12" s="39"/>
      <c r="AG12" s="39"/>
      <c r="AH12" s="40" t="s">
        <v>49</v>
      </c>
      <c r="AI12" s="40"/>
      <c r="AJ12" s="40"/>
      <c r="AK12" s="40"/>
      <c r="AL12" s="29" t="s">
        <v>61</v>
      </c>
      <c r="AM12" s="29"/>
      <c r="AN12" s="29"/>
      <c r="AO12" s="29"/>
      <c r="AP12" s="5" t="s">
        <v>35</v>
      </c>
      <c r="AQ12" s="4" t="s">
        <v>36</v>
      </c>
      <c r="AR12" s="40" t="s">
        <v>51</v>
      </c>
      <c r="AS12" s="40"/>
      <c r="AT12" s="40"/>
      <c r="AU12" s="29" t="s">
        <v>62</v>
      </c>
      <c r="AV12" s="29"/>
      <c r="AW12" s="29"/>
      <c r="AX12" s="29"/>
      <c r="AY12" s="29"/>
      <c r="AZ12" s="29"/>
      <c r="BA12" s="29"/>
      <c r="BB12" s="29"/>
      <c r="BC12" s="30" t="s">
        <v>39</v>
      </c>
      <c r="BD12" s="30"/>
      <c r="BE12" s="30"/>
      <c r="BF12" s="30"/>
      <c r="BG12" s="30"/>
      <c r="BH12" s="30"/>
      <c r="BI12" s="30"/>
      <c r="BJ12" s="31" t="s">
        <v>53</v>
      </c>
      <c r="BK12" s="31"/>
      <c r="BL12" s="31"/>
      <c r="BM12" s="31"/>
      <c r="BN12" s="31"/>
      <c r="BO12" s="32">
        <v>6</v>
      </c>
      <c r="BP12" s="32"/>
      <c r="BQ12" s="32"/>
      <c r="BR12" s="32"/>
      <c r="BS12" s="32"/>
      <c r="BT12" s="32"/>
      <c r="BU12" s="6">
        <v>1259.3699999999999</v>
      </c>
      <c r="BV12" s="7">
        <v>20</v>
      </c>
      <c r="BW12" s="8"/>
      <c r="BX12" s="6">
        <v>1999</v>
      </c>
      <c r="BY12" s="9" t="s">
        <v>63</v>
      </c>
      <c r="BZ12" s="2">
        <v>4062054552498</v>
      </c>
      <c r="CA12" s="9" t="s">
        <v>64</v>
      </c>
      <c r="CB12" s="3" t="s">
        <v>65</v>
      </c>
      <c r="CC12" s="10">
        <v>6505003000</v>
      </c>
      <c r="CD12" s="4" t="s">
        <v>44</v>
      </c>
      <c r="CE12" s="11">
        <v>7556.22</v>
      </c>
    </row>
    <row r="13" spans="2:84" s="1" customFormat="1" ht="29.45" customHeight="1" x14ac:dyDescent="0.2">
      <c r="B13" s="36">
        <v>6</v>
      </c>
      <c r="C13" s="36"/>
      <c r="D13" s="38" t="s">
        <v>59</v>
      </c>
      <c r="E13" s="38"/>
      <c r="F13" s="38"/>
      <c r="G13" s="38"/>
      <c r="H13" s="38"/>
      <c r="I13" s="38"/>
      <c r="J13" s="38"/>
      <c r="K13" s="38" t="s">
        <v>29</v>
      </c>
      <c r="L13" s="38"/>
      <c r="M13" s="38"/>
      <c r="N13" s="38"/>
      <c r="O13" s="38"/>
      <c r="P13" s="38"/>
      <c r="Q13" s="38"/>
      <c r="R13" s="38"/>
      <c r="S13" s="38" t="s">
        <v>30</v>
      </c>
      <c r="T13" s="38"/>
      <c r="U13" s="38"/>
      <c r="V13" s="38"/>
      <c r="W13" s="38"/>
      <c r="X13" s="38"/>
      <c r="Y13" s="38"/>
      <c r="Z13" s="38" t="s">
        <v>31</v>
      </c>
      <c r="AA13" s="38"/>
      <c r="AB13" s="38"/>
      <c r="AC13" s="38"/>
      <c r="AD13" s="38"/>
      <c r="AE13" s="39" t="s">
        <v>60</v>
      </c>
      <c r="AF13" s="39"/>
      <c r="AG13" s="39"/>
      <c r="AH13" s="40" t="s">
        <v>49</v>
      </c>
      <c r="AI13" s="40"/>
      <c r="AJ13" s="40"/>
      <c r="AK13" s="40"/>
      <c r="AL13" s="29" t="s">
        <v>61</v>
      </c>
      <c r="AM13" s="29"/>
      <c r="AN13" s="29"/>
      <c r="AO13" s="29"/>
      <c r="AP13" s="5" t="s">
        <v>35</v>
      </c>
      <c r="AQ13" s="4" t="s">
        <v>57</v>
      </c>
      <c r="AR13" s="40" t="s">
        <v>58</v>
      </c>
      <c r="AS13" s="40"/>
      <c r="AT13" s="40"/>
      <c r="AU13" s="29" t="s">
        <v>62</v>
      </c>
      <c r="AV13" s="29"/>
      <c r="AW13" s="29"/>
      <c r="AX13" s="29"/>
      <c r="AY13" s="29"/>
      <c r="AZ13" s="29"/>
      <c r="BA13" s="29"/>
      <c r="BB13" s="29"/>
      <c r="BC13" s="30" t="s">
        <v>39</v>
      </c>
      <c r="BD13" s="30"/>
      <c r="BE13" s="30"/>
      <c r="BF13" s="30"/>
      <c r="BG13" s="30"/>
      <c r="BH13" s="30"/>
      <c r="BI13" s="30"/>
      <c r="BJ13" s="31" t="s">
        <v>53</v>
      </c>
      <c r="BK13" s="31"/>
      <c r="BL13" s="31"/>
      <c r="BM13" s="31"/>
      <c r="BN13" s="31"/>
      <c r="BO13" s="32">
        <v>3</v>
      </c>
      <c r="BP13" s="32"/>
      <c r="BQ13" s="32"/>
      <c r="BR13" s="32"/>
      <c r="BS13" s="32"/>
      <c r="BT13" s="32"/>
      <c r="BU13" s="6">
        <v>1259.3699999999999</v>
      </c>
      <c r="BV13" s="7">
        <v>20</v>
      </c>
      <c r="BW13" s="8"/>
      <c r="BX13" s="6">
        <v>1999</v>
      </c>
      <c r="BY13" s="9" t="s">
        <v>63</v>
      </c>
      <c r="BZ13" s="2">
        <v>4062054552511</v>
      </c>
      <c r="CA13" s="9" t="s">
        <v>64</v>
      </c>
      <c r="CB13" s="3" t="s">
        <v>65</v>
      </c>
      <c r="CC13" s="10">
        <v>6505003000</v>
      </c>
      <c r="CD13" s="4" t="s">
        <v>44</v>
      </c>
      <c r="CE13" s="11">
        <v>3778.11</v>
      </c>
    </row>
    <row r="14" spans="2:84" s="1" customFormat="1" ht="29.45" customHeight="1" x14ac:dyDescent="0.2">
      <c r="B14" s="36">
        <v>7</v>
      </c>
      <c r="C14" s="36"/>
      <c r="D14" s="38" t="s">
        <v>66</v>
      </c>
      <c r="E14" s="38"/>
      <c r="F14" s="38"/>
      <c r="G14" s="38"/>
      <c r="H14" s="38"/>
      <c r="I14" s="38"/>
      <c r="J14" s="38"/>
      <c r="K14" s="38" t="s">
        <v>29</v>
      </c>
      <c r="L14" s="38"/>
      <c r="M14" s="38"/>
      <c r="N14" s="38"/>
      <c r="O14" s="38"/>
      <c r="P14" s="38"/>
      <c r="Q14" s="38"/>
      <c r="R14" s="38"/>
      <c r="S14" s="38" t="s">
        <v>30</v>
      </c>
      <c r="T14" s="38"/>
      <c r="U14" s="38"/>
      <c r="V14" s="38"/>
      <c r="W14" s="38"/>
      <c r="X14" s="38"/>
      <c r="Y14" s="38"/>
      <c r="Z14" s="38" t="s">
        <v>31</v>
      </c>
      <c r="AA14" s="38"/>
      <c r="AB14" s="38"/>
      <c r="AC14" s="38"/>
      <c r="AD14" s="38"/>
      <c r="AE14" s="39" t="s">
        <v>60</v>
      </c>
      <c r="AF14" s="39"/>
      <c r="AG14" s="39"/>
      <c r="AH14" s="40" t="s">
        <v>49</v>
      </c>
      <c r="AI14" s="40"/>
      <c r="AJ14" s="40"/>
      <c r="AK14" s="40"/>
      <c r="AL14" s="29" t="s">
        <v>67</v>
      </c>
      <c r="AM14" s="29"/>
      <c r="AN14" s="29"/>
      <c r="AO14" s="29"/>
      <c r="AP14" s="5" t="s">
        <v>35</v>
      </c>
      <c r="AQ14" s="4" t="s">
        <v>36</v>
      </c>
      <c r="AR14" s="40" t="s">
        <v>51</v>
      </c>
      <c r="AS14" s="40"/>
      <c r="AT14" s="40"/>
      <c r="AU14" s="29" t="s">
        <v>52</v>
      </c>
      <c r="AV14" s="29"/>
      <c r="AW14" s="29"/>
      <c r="AX14" s="29"/>
      <c r="AY14" s="29"/>
      <c r="AZ14" s="29"/>
      <c r="BA14" s="29"/>
      <c r="BB14" s="29"/>
      <c r="BC14" s="30" t="s">
        <v>39</v>
      </c>
      <c r="BD14" s="30"/>
      <c r="BE14" s="30"/>
      <c r="BF14" s="30"/>
      <c r="BG14" s="30"/>
      <c r="BH14" s="30"/>
      <c r="BI14" s="30"/>
      <c r="BJ14" s="31" t="s">
        <v>53</v>
      </c>
      <c r="BK14" s="31"/>
      <c r="BL14" s="31"/>
      <c r="BM14" s="31"/>
      <c r="BN14" s="31"/>
      <c r="BO14" s="32">
        <v>6</v>
      </c>
      <c r="BP14" s="32"/>
      <c r="BQ14" s="32"/>
      <c r="BR14" s="32"/>
      <c r="BS14" s="32"/>
      <c r="BT14" s="32"/>
      <c r="BU14" s="6">
        <v>1316.7</v>
      </c>
      <c r="BV14" s="7">
        <v>20</v>
      </c>
      <c r="BW14" s="8"/>
      <c r="BX14" s="6">
        <v>2090</v>
      </c>
      <c r="BY14" s="9" t="s">
        <v>54</v>
      </c>
      <c r="BZ14" s="2">
        <v>4062054954186</v>
      </c>
      <c r="CA14" s="9" t="s">
        <v>68</v>
      </c>
      <c r="CB14" s="3" t="s">
        <v>69</v>
      </c>
      <c r="CC14" s="10">
        <v>6505003000</v>
      </c>
      <c r="CD14" s="4" t="s">
        <v>44</v>
      </c>
      <c r="CE14" s="11">
        <v>7900.2</v>
      </c>
    </row>
    <row r="15" spans="2:84" s="1" customFormat="1" ht="29.45" customHeight="1" x14ac:dyDescent="0.2">
      <c r="B15" s="36">
        <v>8</v>
      </c>
      <c r="C15" s="36"/>
      <c r="D15" s="38" t="s">
        <v>70</v>
      </c>
      <c r="E15" s="38"/>
      <c r="F15" s="38"/>
      <c r="G15" s="38"/>
      <c r="H15" s="38"/>
      <c r="I15" s="38"/>
      <c r="J15" s="38"/>
      <c r="K15" s="38" t="s">
        <v>29</v>
      </c>
      <c r="L15" s="38"/>
      <c r="M15" s="38"/>
      <c r="N15" s="38"/>
      <c r="O15" s="38"/>
      <c r="P15" s="38"/>
      <c r="Q15" s="38"/>
      <c r="R15" s="38"/>
      <c r="S15" s="38" t="s">
        <v>30</v>
      </c>
      <c r="T15" s="38"/>
      <c r="U15" s="38"/>
      <c r="V15" s="38"/>
      <c r="W15" s="38"/>
      <c r="X15" s="38"/>
      <c r="Y15" s="38"/>
      <c r="Z15" s="38" t="s">
        <v>31</v>
      </c>
      <c r="AA15" s="38"/>
      <c r="AB15" s="38"/>
      <c r="AC15" s="38"/>
      <c r="AD15" s="38"/>
      <c r="AE15" s="39" t="s">
        <v>60</v>
      </c>
      <c r="AF15" s="39"/>
      <c r="AG15" s="39"/>
      <c r="AH15" s="40" t="s">
        <v>49</v>
      </c>
      <c r="AI15" s="40"/>
      <c r="AJ15" s="40"/>
      <c r="AK15" s="40"/>
      <c r="AL15" s="29" t="s">
        <v>67</v>
      </c>
      <c r="AM15" s="29"/>
      <c r="AN15" s="29"/>
      <c r="AO15" s="29"/>
      <c r="AP15" s="5" t="s">
        <v>71</v>
      </c>
      <c r="AQ15" s="4" t="s">
        <v>36</v>
      </c>
      <c r="AR15" s="40" t="s">
        <v>51</v>
      </c>
      <c r="AS15" s="40"/>
      <c r="AT15" s="40"/>
      <c r="AU15" s="29" t="s">
        <v>52</v>
      </c>
      <c r="AV15" s="29"/>
      <c r="AW15" s="29"/>
      <c r="AX15" s="29"/>
      <c r="AY15" s="29"/>
      <c r="AZ15" s="29"/>
      <c r="BA15" s="29"/>
      <c r="BB15" s="29"/>
      <c r="BC15" s="30" t="s">
        <v>39</v>
      </c>
      <c r="BD15" s="30"/>
      <c r="BE15" s="30"/>
      <c r="BF15" s="30"/>
      <c r="BG15" s="30"/>
      <c r="BH15" s="30"/>
      <c r="BI15" s="30"/>
      <c r="BJ15" s="31" t="s">
        <v>53</v>
      </c>
      <c r="BK15" s="31"/>
      <c r="BL15" s="31"/>
      <c r="BM15" s="31"/>
      <c r="BN15" s="31"/>
      <c r="BO15" s="32">
        <v>3</v>
      </c>
      <c r="BP15" s="32"/>
      <c r="BQ15" s="32"/>
      <c r="BR15" s="32"/>
      <c r="BS15" s="32"/>
      <c r="BT15" s="32"/>
      <c r="BU15" s="6">
        <v>1316.7</v>
      </c>
      <c r="BV15" s="7">
        <v>20</v>
      </c>
      <c r="BW15" s="8"/>
      <c r="BX15" s="6">
        <v>2090</v>
      </c>
      <c r="BY15" s="9" t="s">
        <v>72</v>
      </c>
      <c r="BZ15" s="2">
        <v>4062054979950</v>
      </c>
      <c r="CA15" s="9" t="s">
        <v>73</v>
      </c>
      <c r="CB15" s="3" t="s">
        <v>74</v>
      </c>
      <c r="CC15" s="10">
        <v>6505003000</v>
      </c>
      <c r="CD15" s="4" t="s">
        <v>44</v>
      </c>
      <c r="CE15" s="11">
        <v>3950.1</v>
      </c>
    </row>
    <row r="16" spans="2:84" s="1" customFormat="1" ht="29.45" customHeight="1" x14ac:dyDescent="0.2">
      <c r="B16" s="36">
        <v>9</v>
      </c>
      <c r="C16" s="36"/>
      <c r="D16" s="38" t="s">
        <v>70</v>
      </c>
      <c r="E16" s="38"/>
      <c r="F16" s="38"/>
      <c r="G16" s="38"/>
      <c r="H16" s="38"/>
      <c r="I16" s="38"/>
      <c r="J16" s="38"/>
      <c r="K16" s="38" t="s">
        <v>29</v>
      </c>
      <c r="L16" s="38"/>
      <c r="M16" s="38"/>
      <c r="N16" s="38"/>
      <c r="O16" s="38"/>
      <c r="P16" s="38"/>
      <c r="Q16" s="38"/>
      <c r="R16" s="38"/>
      <c r="S16" s="38" t="s">
        <v>30</v>
      </c>
      <c r="T16" s="38"/>
      <c r="U16" s="38"/>
      <c r="V16" s="38"/>
      <c r="W16" s="38"/>
      <c r="X16" s="38"/>
      <c r="Y16" s="38"/>
      <c r="Z16" s="38" t="s">
        <v>31</v>
      </c>
      <c r="AA16" s="38"/>
      <c r="AB16" s="38"/>
      <c r="AC16" s="38"/>
      <c r="AD16" s="38"/>
      <c r="AE16" s="39" t="s">
        <v>60</v>
      </c>
      <c r="AF16" s="39"/>
      <c r="AG16" s="39"/>
      <c r="AH16" s="40" t="s">
        <v>49</v>
      </c>
      <c r="AI16" s="40"/>
      <c r="AJ16" s="40"/>
      <c r="AK16" s="40"/>
      <c r="AL16" s="29" t="s">
        <v>67</v>
      </c>
      <c r="AM16" s="29"/>
      <c r="AN16" s="29"/>
      <c r="AO16" s="29"/>
      <c r="AP16" s="5" t="s">
        <v>71</v>
      </c>
      <c r="AQ16" s="4" t="s">
        <v>57</v>
      </c>
      <c r="AR16" s="40" t="s">
        <v>58</v>
      </c>
      <c r="AS16" s="40"/>
      <c r="AT16" s="40"/>
      <c r="AU16" s="29" t="s">
        <v>52</v>
      </c>
      <c r="AV16" s="29"/>
      <c r="AW16" s="29"/>
      <c r="AX16" s="29"/>
      <c r="AY16" s="29"/>
      <c r="AZ16" s="29"/>
      <c r="BA16" s="29"/>
      <c r="BB16" s="29"/>
      <c r="BC16" s="30" t="s">
        <v>39</v>
      </c>
      <c r="BD16" s="30"/>
      <c r="BE16" s="30"/>
      <c r="BF16" s="30"/>
      <c r="BG16" s="30"/>
      <c r="BH16" s="30"/>
      <c r="BI16" s="30"/>
      <c r="BJ16" s="31" t="s">
        <v>53</v>
      </c>
      <c r="BK16" s="31"/>
      <c r="BL16" s="31"/>
      <c r="BM16" s="31"/>
      <c r="BN16" s="31"/>
      <c r="BO16" s="32">
        <v>1</v>
      </c>
      <c r="BP16" s="32"/>
      <c r="BQ16" s="32"/>
      <c r="BR16" s="32"/>
      <c r="BS16" s="32"/>
      <c r="BT16" s="32"/>
      <c r="BU16" s="6">
        <v>1316.7</v>
      </c>
      <c r="BV16" s="7">
        <v>20</v>
      </c>
      <c r="BW16" s="8"/>
      <c r="BX16" s="6">
        <v>2090</v>
      </c>
      <c r="BY16" s="9" t="s">
        <v>72</v>
      </c>
      <c r="BZ16" s="2">
        <v>4062054979929</v>
      </c>
      <c r="CA16" s="9" t="s">
        <v>73</v>
      </c>
      <c r="CB16" s="3" t="s">
        <v>74</v>
      </c>
      <c r="CC16" s="10">
        <v>6505003000</v>
      </c>
      <c r="CD16" s="4" t="s">
        <v>44</v>
      </c>
      <c r="CE16" s="11">
        <v>1316.7</v>
      </c>
    </row>
    <row r="17" spans="2:83" s="1" customFormat="1" ht="29.45" customHeight="1" x14ac:dyDescent="0.2">
      <c r="B17" s="36">
        <v>10</v>
      </c>
      <c r="C17" s="36"/>
      <c r="D17" s="38" t="s">
        <v>75</v>
      </c>
      <c r="E17" s="38"/>
      <c r="F17" s="38"/>
      <c r="G17" s="38"/>
      <c r="H17" s="38"/>
      <c r="I17" s="38"/>
      <c r="J17" s="38"/>
      <c r="K17" s="38" t="s">
        <v>29</v>
      </c>
      <c r="L17" s="38"/>
      <c r="M17" s="38"/>
      <c r="N17" s="38"/>
      <c r="O17" s="38"/>
      <c r="P17" s="38"/>
      <c r="Q17" s="38"/>
      <c r="R17" s="38"/>
      <c r="S17" s="38" t="s">
        <v>30</v>
      </c>
      <c r="T17" s="38"/>
      <c r="U17" s="38"/>
      <c r="V17" s="38"/>
      <c r="W17" s="38"/>
      <c r="X17" s="38"/>
      <c r="Y17" s="38"/>
      <c r="Z17" s="38" t="s">
        <v>31</v>
      </c>
      <c r="AA17" s="38"/>
      <c r="AB17" s="38"/>
      <c r="AC17" s="38"/>
      <c r="AD17" s="38"/>
      <c r="AE17" s="39" t="s">
        <v>60</v>
      </c>
      <c r="AF17" s="39"/>
      <c r="AG17" s="39"/>
      <c r="AH17" s="40" t="s">
        <v>49</v>
      </c>
      <c r="AI17" s="40"/>
      <c r="AJ17" s="40"/>
      <c r="AK17" s="40"/>
      <c r="AL17" s="29" t="s">
        <v>76</v>
      </c>
      <c r="AM17" s="29"/>
      <c r="AN17" s="29"/>
      <c r="AO17" s="29"/>
      <c r="AP17" s="5" t="s">
        <v>71</v>
      </c>
      <c r="AQ17" s="4" t="s">
        <v>36</v>
      </c>
      <c r="AR17" s="40" t="s">
        <v>51</v>
      </c>
      <c r="AS17" s="40"/>
      <c r="AT17" s="40"/>
      <c r="AU17" s="29" t="s">
        <v>38</v>
      </c>
      <c r="AV17" s="29"/>
      <c r="AW17" s="29"/>
      <c r="AX17" s="29"/>
      <c r="AY17" s="29"/>
      <c r="AZ17" s="29"/>
      <c r="BA17" s="29"/>
      <c r="BB17" s="29"/>
      <c r="BC17" s="30" t="s">
        <v>39</v>
      </c>
      <c r="BD17" s="30"/>
      <c r="BE17" s="30"/>
      <c r="BF17" s="30"/>
      <c r="BG17" s="30"/>
      <c r="BH17" s="30"/>
      <c r="BI17" s="30"/>
      <c r="BJ17" s="31" t="s">
        <v>53</v>
      </c>
      <c r="BK17" s="31"/>
      <c r="BL17" s="31"/>
      <c r="BM17" s="31"/>
      <c r="BN17" s="31"/>
      <c r="BO17" s="32">
        <v>3</v>
      </c>
      <c r="BP17" s="32"/>
      <c r="BQ17" s="32"/>
      <c r="BR17" s="32"/>
      <c r="BS17" s="32"/>
      <c r="BT17" s="32"/>
      <c r="BU17" s="6">
        <v>1316.7</v>
      </c>
      <c r="BV17" s="7">
        <v>20</v>
      </c>
      <c r="BW17" s="8"/>
      <c r="BX17" s="6">
        <v>2090</v>
      </c>
      <c r="BY17" s="9" t="s">
        <v>63</v>
      </c>
      <c r="BZ17" s="2">
        <v>4062055497552</v>
      </c>
      <c r="CA17" s="9" t="s">
        <v>77</v>
      </c>
      <c r="CB17" s="3" t="s">
        <v>78</v>
      </c>
      <c r="CC17" s="10">
        <v>6505003000</v>
      </c>
      <c r="CD17" s="4" t="s">
        <v>44</v>
      </c>
      <c r="CE17" s="11">
        <v>3950.1</v>
      </c>
    </row>
    <row r="18" spans="2:83" s="1" customFormat="1" ht="29.45" customHeight="1" x14ac:dyDescent="0.2">
      <c r="B18" s="36">
        <v>11</v>
      </c>
      <c r="C18" s="36"/>
      <c r="D18" s="38" t="s">
        <v>79</v>
      </c>
      <c r="E18" s="38"/>
      <c r="F18" s="38"/>
      <c r="G18" s="38"/>
      <c r="H18" s="38"/>
      <c r="I18" s="38"/>
      <c r="J18" s="38"/>
      <c r="K18" s="38" t="s">
        <v>29</v>
      </c>
      <c r="L18" s="38"/>
      <c r="M18" s="38"/>
      <c r="N18" s="38"/>
      <c r="O18" s="38"/>
      <c r="P18" s="38"/>
      <c r="Q18" s="38"/>
      <c r="R18" s="38"/>
      <c r="S18" s="38" t="s">
        <v>30</v>
      </c>
      <c r="T18" s="38"/>
      <c r="U18" s="38"/>
      <c r="V18" s="38"/>
      <c r="W18" s="38"/>
      <c r="X18" s="38"/>
      <c r="Y18" s="38"/>
      <c r="Z18" s="38" t="s">
        <v>31</v>
      </c>
      <c r="AA18" s="38"/>
      <c r="AB18" s="38"/>
      <c r="AC18" s="38"/>
      <c r="AD18" s="38"/>
      <c r="AE18" s="39" t="s">
        <v>60</v>
      </c>
      <c r="AF18" s="39"/>
      <c r="AG18" s="39"/>
      <c r="AH18" s="40" t="s">
        <v>49</v>
      </c>
      <c r="AI18" s="40"/>
      <c r="AJ18" s="40"/>
      <c r="AK18" s="40"/>
      <c r="AL18" s="29" t="s">
        <v>76</v>
      </c>
      <c r="AM18" s="29"/>
      <c r="AN18" s="29"/>
      <c r="AO18" s="29"/>
      <c r="AP18" s="5" t="s">
        <v>35</v>
      </c>
      <c r="AQ18" s="4" t="s">
        <v>36</v>
      </c>
      <c r="AR18" s="40" t="s">
        <v>51</v>
      </c>
      <c r="AS18" s="40"/>
      <c r="AT18" s="40"/>
      <c r="AU18" s="29" t="s">
        <v>52</v>
      </c>
      <c r="AV18" s="29"/>
      <c r="AW18" s="29"/>
      <c r="AX18" s="29"/>
      <c r="AY18" s="29"/>
      <c r="AZ18" s="29"/>
      <c r="BA18" s="29"/>
      <c r="BB18" s="29"/>
      <c r="BC18" s="30" t="s">
        <v>39</v>
      </c>
      <c r="BD18" s="30"/>
      <c r="BE18" s="30"/>
      <c r="BF18" s="30"/>
      <c r="BG18" s="30"/>
      <c r="BH18" s="30"/>
      <c r="BI18" s="30"/>
      <c r="BJ18" s="31" t="s">
        <v>53</v>
      </c>
      <c r="BK18" s="31"/>
      <c r="BL18" s="31"/>
      <c r="BM18" s="31"/>
      <c r="BN18" s="31"/>
      <c r="BO18" s="32">
        <v>4</v>
      </c>
      <c r="BP18" s="32"/>
      <c r="BQ18" s="32"/>
      <c r="BR18" s="32"/>
      <c r="BS18" s="32"/>
      <c r="BT18" s="32"/>
      <c r="BU18" s="6">
        <v>1316.7</v>
      </c>
      <c r="BV18" s="7">
        <v>20</v>
      </c>
      <c r="BW18" s="8"/>
      <c r="BX18" s="6">
        <v>2090</v>
      </c>
      <c r="BY18" s="9" t="s">
        <v>80</v>
      </c>
      <c r="BZ18" s="2">
        <v>4062054986774</v>
      </c>
      <c r="CA18" s="9" t="s">
        <v>77</v>
      </c>
      <c r="CB18" s="3" t="s">
        <v>81</v>
      </c>
      <c r="CC18" s="10">
        <v>6505003000</v>
      </c>
      <c r="CD18" s="4" t="s">
        <v>44</v>
      </c>
      <c r="CE18" s="11">
        <v>5266.8</v>
      </c>
    </row>
    <row r="19" spans="2:83" s="1" customFormat="1" ht="29.45" customHeight="1" x14ac:dyDescent="0.2">
      <c r="B19" s="36">
        <v>12</v>
      </c>
      <c r="C19" s="36"/>
      <c r="D19" s="38" t="s">
        <v>79</v>
      </c>
      <c r="E19" s="38"/>
      <c r="F19" s="38"/>
      <c r="G19" s="38"/>
      <c r="H19" s="38"/>
      <c r="I19" s="38"/>
      <c r="J19" s="38"/>
      <c r="K19" s="38" t="s">
        <v>29</v>
      </c>
      <c r="L19" s="38"/>
      <c r="M19" s="38"/>
      <c r="N19" s="38"/>
      <c r="O19" s="38"/>
      <c r="P19" s="38"/>
      <c r="Q19" s="38"/>
      <c r="R19" s="38"/>
      <c r="S19" s="38" t="s">
        <v>30</v>
      </c>
      <c r="T19" s="38"/>
      <c r="U19" s="38"/>
      <c r="V19" s="38"/>
      <c r="W19" s="38"/>
      <c r="X19" s="38"/>
      <c r="Y19" s="38"/>
      <c r="Z19" s="38" t="s">
        <v>31</v>
      </c>
      <c r="AA19" s="38"/>
      <c r="AB19" s="38"/>
      <c r="AC19" s="38"/>
      <c r="AD19" s="38"/>
      <c r="AE19" s="39" t="s">
        <v>60</v>
      </c>
      <c r="AF19" s="39"/>
      <c r="AG19" s="39"/>
      <c r="AH19" s="40" t="s">
        <v>49</v>
      </c>
      <c r="AI19" s="40"/>
      <c r="AJ19" s="40"/>
      <c r="AK19" s="40"/>
      <c r="AL19" s="29" t="s">
        <v>76</v>
      </c>
      <c r="AM19" s="29"/>
      <c r="AN19" s="29"/>
      <c r="AO19" s="29"/>
      <c r="AP19" s="5" t="s">
        <v>35</v>
      </c>
      <c r="AQ19" s="4" t="s">
        <v>57</v>
      </c>
      <c r="AR19" s="40" t="s">
        <v>58</v>
      </c>
      <c r="AS19" s="40"/>
      <c r="AT19" s="40"/>
      <c r="AU19" s="29" t="s">
        <v>52</v>
      </c>
      <c r="AV19" s="29"/>
      <c r="AW19" s="29"/>
      <c r="AX19" s="29"/>
      <c r="AY19" s="29"/>
      <c r="AZ19" s="29"/>
      <c r="BA19" s="29"/>
      <c r="BB19" s="29"/>
      <c r="BC19" s="30" t="s">
        <v>39</v>
      </c>
      <c r="BD19" s="30"/>
      <c r="BE19" s="30"/>
      <c r="BF19" s="30"/>
      <c r="BG19" s="30"/>
      <c r="BH19" s="30"/>
      <c r="BI19" s="30"/>
      <c r="BJ19" s="31" t="s">
        <v>53</v>
      </c>
      <c r="BK19" s="31"/>
      <c r="BL19" s="31"/>
      <c r="BM19" s="31"/>
      <c r="BN19" s="31"/>
      <c r="BO19" s="32">
        <v>2</v>
      </c>
      <c r="BP19" s="32"/>
      <c r="BQ19" s="32"/>
      <c r="BR19" s="32"/>
      <c r="BS19" s="32"/>
      <c r="BT19" s="32"/>
      <c r="BU19" s="6">
        <v>1316.7</v>
      </c>
      <c r="BV19" s="7">
        <v>20</v>
      </c>
      <c r="BW19" s="8"/>
      <c r="BX19" s="6">
        <v>2090</v>
      </c>
      <c r="BY19" s="9" t="s">
        <v>80</v>
      </c>
      <c r="BZ19" s="2">
        <v>4062054983391</v>
      </c>
      <c r="CA19" s="9" t="s">
        <v>77</v>
      </c>
      <c r="CB19" s="3" t="s">
        <v>81</v>
      </c>
      <c r="CC19" s="10">
        <v>6505003000</v>
      </c>
      <c r="CD19" s="4" t="s">
        <v>44</v>
      </c>
      <c r="CE19" s="11">
        <v>2633.4</v>
      </c>
    </row>
    <row r="20" spans="2:83" s="1" customFormat="1" ht="29.45" customHeight="1" x14ac:dyDescent="0.2">
      <c r="B20" s="36">
        <v>13</v>
      </c>
      <c r="C20" s="36"/>
      <c r="D20" s="38" t="s">
        <v>82</v>
      </c>
      <c r="E20" s="38"/>
      <c r="F20" s="38"/>
      <c r="G20" s="38"/>
      <c r="H20" s="38"/>
      <c r="I20" s="38"/>
      <c r="J20" s="38"/>
      <c r="K20" s="38" t="s">
        <v>29</v>
      </c>
      <c r="L20" s="38"/>
      <c r="M20" s="38"/>
      <c r="N20" s="38"/>
      <c r="O20" s="38"/>
      <c r="P20" s="38"/>
      <c r="Q20" s="38"/>
      <c r="R20" s="38"/>
      <c r="S20" s="38" t="s">
        <v>30</v>
      </c>
      <c r="T20" s="38"/>
      <c r="U20" s="38"/>
      <c r="V20" s="38"/>
      <c r="W20" s="38"/>
      <c r="X20" s="38"/>
      <c r="Y20" s="38"/>
      <c r="Z20" s="38" t="s">
        <v>31</v>
      </c>
      <c r="AA20" s="38"/>
      <c r="AB20" s="38"/>
      <c r="AC20" s="38"/>
      <c r="AD20" s="38"/>
      <c r="AE20" s="39" t="s">
        <v>60</v>
      </c>
      <c r="AF20" s="39"/>
      <c r="AG20" s="39"/>
      <c r="AH20" s="40" t="s">
        <v>49</v>
      </c>
      <c r="AI20" s="40"/>
      <c r="AJ20" s="40"/>
      <c r="AK20" s="40"/>
      <c r="AL20" s="29" t="s">
        <v>83</v>
      </c>
      <c r="AM20" s="29"/>
      <c r="AN20" s="29"/>
      <c r="AO20" s="29"/>
      <c r="AP20" s="5" t="s">
        <v>35</v>
      </c>
      <c r="AQ20" s="4" t="s">
        <v>36</v>
      </c>
      <c r="AR20" s="40" t="s">
        <v>51</v>
      </c>
      <c r="AS20" s="40"/>
      <c r="AT20" s="40"/>
      <c r="AU20" s="29" t="s">
        <v>84</v>
      </c>
      <c r="AV20" s="29"/>
      <c r="AW20" s="29"/>
      <c r="AX20" s="29"/>
      <c r="AY20" s="29"/>
      <c r="AZ20" s="29"/>
      <c r="BA20" s="29"/>
      <c r="BB20" s="29"/>
      <c r="BC20" s="30" t="s">
        <v>39</v>
      </c>
      <c r="BD20" s="30"/>
      <c r="BE20" s="30"/>
      <c r="BF20" s="30"/>
      <c r="BG20" s="30"/>
      <c r="BH20" s="30"/>
      <c r="BI20" s="30"/>
      <c r="BJ20" s="31" t="s">
        <v>53</v>
      </c>
      <c r="BK20" s="31"/>
      <c r="BL20" s="31"/>
      <c r="BM20" s="31"/>
      <c r="BN20" s="31"/>
      <c r="BO20" s="32">
        <v>4</v>
      </c>
      <c r="BP20" s="32"/>
      <c r="BQ20" s="32"/>
      <c r="BR20" s="32"/>
      <c r="BS20" s="32"/>
      <c r="BT20" s="32"/>
      <c r="BU20" s="12">
        <v>938.7</v>
      </c>
      <c r="BV20" s="7">
        <v>20</v>
      </c>
      <c r="BW20" s="8"/>
      <c r="BX20" s="6">
        <v>1490</v>
      </c>
      <c r="BY20" s="9" t="s">
        <v>85</v>
      </c>
      <c r="BZ20" s="2">
        <v>4060509652533</v>
      </c>
      <c r="CA20" s="9" t="s">
        <v>86</v>
      </c>
      <c r="CB20" s="3" t="s">
        <v>87</v>
      </c>
      <c r="CC20" s="10">
        <v>6505003000</v>
      </c>
      <c r="CD20" s="4" t="s">
        <v>44</v>
      </c>
      <c r="CE20" s="11">
        <v>3754.8</v>
      </c>
    </row>
    <row r="21" spans="2:83" s="1" customFormat="1" ht="29.45" customHeight="1" x14ac:dyDescent="0.2">
      <c r="B21" s="36">
        <v>14</v>
      </c>
      <c r="C21" s="36"/>
      <c r="D21" s="38" t="s">
        <v>82</v>
      </c>
      <c r="E21" s="38"/>
      <c r="F21" s="38"/>
      <c r="G21" s="38"/>
      <c r="H21" s="38"/>
      <c r="I21" s="38"/>
      <c r="J21" s="38"/>
      <c r="K21" s="38" t="s">
        <v>29</v>
      </c>
      <c r="L21" s="38"/>
      <c r="M21" s="38"/>
      <c r="N21" s="38"/>
      <c r="O21" s="38"/>
      <c r="P21" s="38"/>
      <c r="Q21" s="38"/>
      <c r="R21" s="38"/>
      <c r="S21" s="38" t="s">
        <v>30</v>
      </c>
      <c r="T21" s="38"/>
      <c r="U21" s="38"/>
      <c r="V21" s="38"/>
      <c r="W21" s="38"/>
      <c r="X21" s="38"/>
      <c r="Y21" s="38"/>
      <c r="Z21" s="38" t="s">
        <v>31</v>
      </c>
      <c r="AA21" s="38"/>
      <c r="AB21" s="38"/>
      <c r="AC21" s="38"/>
      <c r="AD21" s="38"/>
      <c r="AE21" s="39" t="s">
        <v>60</v>
      </c>
      <c r="AF21" s="39"/>
      <c r="AG21" s="39"/>
      <c r="AH21" s="40" t="s">
        <v>49</v>
      </c>
      <c r="AI21" s="40"/>
      <c r="AJ21" s="40"/>
      <c r="AK21" s="40"/>
      <c r="AL21" s="29" t="s">
        <v>83</v>
      </c>
      <c r="AM21" s="29"/>
      <c r="AN21" s="29"/>
      <c r="AO21" s="29"/>
      <c r="AP21" s="5" t="s">
        <v>35</v>
      </c>
      <c r="AQ21" s="4" t="s">
        <v>57</v>
      </c>
      <c r="AR21" s="40" t="s">
        <v>58</v>
      </c>
      <c r="AS21" s="40"/>
      <c r="AT21" s="40"/>
      <c r="AU21" s="29" t="s">
        <v>84</v>
      </c>
      <c r="AV21" s="29"/>
      <c r="AW21" s="29"/>
      <c r="AX21" s="29"/>
      <c r="AY21" s="29"/>
      <c r="AZ21" s="29"/>
      <c r="BA21" s="29"/>
      <c r="BB21" s="29"/>
      <c r="BC21" s="30" t="s">
        <v>39</v>
      </c>
      <c r="BD21" s="30"/>
      <c r="BE21" s="30"/>
      <c r="BF21" s="30"/>
      <c r="BG21" s="30"/>
      <c r="BH21" s="30"/>
      <c r="BI21" s="30"/>
      <c r="BJ21" s="31" t="s">
        <v>53</v>
      </c>
      <c r="BK21" s="31"/>
      <c r="BL21" s="31"/>
      <c r="BM21" s="31"/>
      <c r="BN21" s="31"/>
      <c r="BO21" s="32">
        <v>2</v>
      </c>
      <c r="BP21" s="32"/>
      <c r="BQ21" s="32"/>
      <c r="BR21" s="32"/>
      <c r="BS21" s="32"/>
      <c r="BT21" s="32"/>
      <c r="BU21" s="12">
        <v>938.7</v>
      </c>
      <c r="BV21" s="7">
        <v>20</v>
      </c>
      <c r="BW21" s="8"/>
      <c r="BX21" s="6">
        <v>1490</v>
      </c>
      <c r="BY21" s="9" t="s">
        <v>85</v>
      </c>
      <c r="BZ21" s="2">
        <v>4059808593654</v>
      </c>
      <c r="CA21" s="9" t="s">
        <v>86</v>
      </c>
      <c r="CB21" s="3" t="s">
        <v>87</v>
      </c>
      <c r="CC21" s="10">
        <v>6505003000</v>
      </c>
      <c r="CD21" s="4" t="s">
        <v>44</v>
      </c>
      <c r="CE21" s="11">
        <v>1877.4</v>
      </c>
    </row>
    <row r="22" spans="2:83" s="1" customFormat="1" ht="29.45" customHeight="1" x14ac:dyDescent="0.2">
      <c r="B22" s="36">
        <v>15</v>
      </c>
      <c r="C22" s="36"/>
      <c r="D22" s="38" t="s">
        <v>88</v>
      </c>
      <c r="E22" s="38"/>
      <c r="F22" s="38"/>
      <c r="G22" s="38"/>
      <c r="H22" s="38"/>
      <c r="I22" s="38"/>
      <c r="J22" s="38"/>
      <c r="K22" s="38" t="s">
        <v>29</v>
      </c>
      <c r="L22" s="38"/>
      <c r="M22" s="38"/>
      <c r="N22" s="38"/>
      <c r="O22" s="38"/>
      <c r="P22" s="38"/>
      <c r="Q22" s="38"/>
      <c r="R22" s="38"/>
      <c r="S22" s="38" t="s">
        <v>30</v>
      </c>
      <c r="T22" s="38"/>
      <c r="U22" s="38"/>
      <c r="V22" s="38"/>
      <c r="W22" s="38"/>
      <c r="X22" s="38"/>
      <c r="Y22" s="38"/>
      <c r="Z22" s="38" t="s">
        <v>31</v>
      </c>
      <c r="AA22" s="38"/>
      <c r="AB22" s="38"/>
      <c r="AC22" s="38"/>
      <c r="AD22" s="38"/>
      <c r="AE22" s="39" t="s">
        <v>60</v>
      </c>
      <c r="AF22" s="39"/>
      <c r="AG22" s="39"/>
      <c r="AH22" s="40" t="s">
        <v>49</v>
      </c>
      <c r="AI22" s="40"/>
      <c r="AJ22" s="40"/>
      <c r="AK22" s="40"/>
      <c r="AL22" s="41" t="s">
        <v>89</v>
      </c>
      <c r="AM22" s="29"/>
      <c r="AN22" s="29"/>
      <c r="AO22" s="29"/>
      <c r="AP22" s="5" t="s">
        <v>35</v>
      </c>
      <c r="AQ22" s="4" t="s">
        <v>36</v>
      </c>
      <c r="AR22" s="40" t="s">
        <v>51</v>
      </c>
      <c r="AS22" s="40"/>
      <c r="AT22" s="40"/>
      <c r="AU22" s="29" t="s">
        <v>52</v>
      </c>
      <c r="AV22" s="29"/>
      <c r="AW22" s="29"/>
      <c r="AX22" s="29"/>
      <c r="AY22" s="29"/>
      <c r="AZ22" s="29"/>
      <c r="BA22" s="29"/>
      <c r="BB22" s="29"/>
      <c r="BC22" s="30" t="s">
        <v>39</v>
      </c>
      <c r="BD22" s="30"/>
      <c r="BE22" s="30"/>
      <c r="BF22" s="30"/>
      <c r="BG22" s="30"/>
      <c r="BH22" s="30"/>
      <c r="BI22" s="30"/>
      <c r="BJ22" s="31" t="s">
        <v>53</v>
      </c>
      <c r="BK22" s="31"/>
      <c r="BL22" s="31"/>
      <c r="BM22" s="31"/>
      <c r="BN22" s="31"/>
      <c r="BO22" s="32">
        <v>4</v>
      </c>
      <c r="BP22" s="32"/>
      <c r="BQ22" s="32"/>
      <c r="BR22" s="32"/>
      <c r="BS22" s="32"/>
      <c r="BT22" s="32"/>
      <c r="BU22" s="6">
        <v>1316.7</v>
      </c>
      <c r="BV22" s="7">
        <v>20</v>
      </c>
      <c r="BW22" s="8"/>
      <c r="BX22" s="6">
        <v>2090</v>
      </c>
      <c r="BY22" s="9" t="s">
        <v>90</v>
      </c>
      <c r="BZ22" s="2">
        <v>4062062263881</v>
      </c>
      <c r="CA22" s="9" t="s">
        <v>68</v>
      </c>
      <c r="CB22" s="3" t="s">
        <v>91</v>
      </c>
      <c r="CC22" s="10">
        <v>6505003000</v>
      </c>
      <c r="CD22" s="4" t="s">
        <v>44</v>
      </c>
      <c r="CE22" s="11">
        <v>5266.8</v>
      </c>
    </row>
    <row r="23" spans="2:83" s="1" customFormat="1" ht="29.45" customHeight="1" x14ac:dyDescent="0.2">
      <c r="B23" s="36">
        <v>16</v>
      </c>
      <c r="C23" s="36"/>
      <c r="D23" s="38" t="s">
        <v>88</v>
      </c>
      <c r="E23" s="38"/>
      <c r="F23" s="38"/>
      <c r="G23" s="38"/>
      <c r="H23" s="38"/>
      <c r="I23" s="38"/>
      <c r="J23" s="38"/>
      <c r="K23" s="38" t="s">
        <v>29</v>
      </c>
      <c r="L23" s="38"/>
      <c r="M23" s="38"/>
      <c r="N23" s="38"/>
      <c r="O23" s="38"/>
      <c r="P23" s="38"/>
      <c r="Q23" s="38"/>
      <c r="R23" s="38"/>
      <c r="S23" s="38" t="s">
        <v>30</v>
      </c>
      <c r="T23" s="38"/>
      <c r="U23" s="38"/>
      <c r="V23" s="38"/>
      <c r="W23" s="38"/>
      <c r="X23" s="38"/>
      <c r="Y23" s="38"/>
      <c r="Z23" s="38" t="s">
        <v>31</v>
      </c>
      <c r="AA23" s="38"/>
      <c r="AB23" s="38"/>
      <c r="AC23" s="38"/>
      <c r="AD23" s="38"/>
      <c r="AE23" s="39" t="s">
        <v>60</v>
      </c>
      <c r="AF23" s="39"/>
      <c r="AG23" s="39"/>
      <c r="AH23" s="40" t="s">
        <v>49</v>
      </c>
      <c r="AI23" s="40"/>
      <c r="AJ23" s="40"/>
      <c r="AK23" s="40"/>
      <c r="AL23" s="29" t="s">
        <v>89</v>
      </c>
      <c r="AM23" s="29"/>
      <c r="AN23" s="29"/>
      <c r="AO23" s="29"/>
      <c r="AP23" s="5" t="s">
        <v>35</v>
      </c>
      <c r="AQ23" s="4" t="s">
        <v>57</v>
      </c>
      <c r="AR23" s="40" t="s">
        <v>58</v>
      </c>
      <c r="AS23" s="40"/>
      <c r="AT23" s="40"/>
      <c r="AU23" s="29" t="s">
        <v>52</v>
      </c>
      <c r="AV23" s="29"/>
      <c r="AW23" s="29"/>
      <c r="AX23" s="29"/>
      <c r="AY23" s="29"/>
      <c r="AZ23" s="29"/>
      <c r="BA23" s="29"/>
      <c r="BB23" s="29"/>
      <c r="BC23" s="30" t="s">
        <v>39</v>
      </c>
      <c r="BD23" s="30"/>
      <c r="BE23" s="30"/>
      <c r="BF23" s="30"/>
      <c r="BG23" s="30"/>
      <c r="BH23" s="30"/>
      <c r="BI23" s="30"/>
      <c r="BJ23" s="31" t="s">
        <v>53</v>
      </c>
      <c r="BK23" s="31"/>
      <c r="BL23" s="31"/>
      <c r="BM23" s="31"/>
      <c r="BN23" s="31"/>
      <c r="BO23" s="32">
        <v>2</v>
      </c>
      <c r="BP23" s="32"/>
      <c r="BQ23" s="32"/>
      <c r="BR23" s="32"/>
      <c r="BS23" s="32"/>
      <c r="BT23" s="32"/>
      <c r="BU23" s="6">
        <v>1316.7</v>
      </c>
      <c r="BV23" s="7">
        <v>20</v>
      </c>
      <c r="BW23" s="8"/>
      <c r="BX23" s="6">
        <v>2090</v>
      </c>
      <c r="BY23" s="9" t="s">
        <v>90</v>
      </c>
      <c r="BZ23" s="2">
        <v>4062062263874</v>
      </c>
      <c r="CA23" s="9" t="s">
        <v>68</v>
      </c>
      <c r="CB23" s="3" t="s">
        <v>91</v>
      </c>
      <c r="CC23" s="10">
        <v>6505003000</v>
      </c>
      <c r="CD23" s="4" t="s">
        <v>44</v>
      </c>
      <c r="CE23" s="11">
        <v>2633.4</v>
      </c>
    </row>
    <row r="24" spans="2:83" s="1" customFormat="1" ht="29.45" customHeight="1" x14ac:dyDescent="0.2">
      <c r="B24" s="36">
        <v>17</v>
      </c>
      <c r="C24" s="36"/>
      <c r="D24" s="38" t="s">
        <v>92</v>
      </c>
      <c r="E24" s="38"/>
      <c r="F24" s="38"/>
      <c r="G24" s="38"/>
      <c r="H24" s="38"/>
      <c r="I24" s="38"/>
      <c r="J24" s="38"/>
      <c r="K24" s="38" t="s">
        <v>29</v>
      </c>
      <c r="L24" s="38"/>
      <c r="M24" s="38"/>
      <c r="N24" s="38"/>
      <c r="O24" s="38"/>
      <c r="P24" s="38"/>
      <c r="Q24" s="38"/>
      <c r="R24" s="38"/>
      <c r="S24" s="38" t="s">
        <v>93</v>
      </c>
      <c r="T24" s="38"/>
      <c r="U24" s="38"/>
      <c r="V24" s="38"/>
      <c r="W24" s="38"/>
      <c r="X24" s="38"/>
      <c r="Y24" s="38"/>
      <c r="Z24" s="38" t="s">
        <v>31</v>
      </c>
      <c r="AA24" s="38"/>
      <c r="AB24" s="38"/>
      <c r="AC24" s="38"/>
      <c r="AD24" s="38"/>
      <c r="AE24" s="39" t="s">
        <v>32</v>
      </c>
      <c r="AF24" s="39"/>
      <c r="AG24" s="39"/>
      <c r="AH24" s="40" t="s">
        <v>94</v>
      </c>
      <c r="AI24" s="40"/>
      <c r="AJ24" s="40"/>
      <c r="AK24" s="40"/>
      <c r="AL24" s="29" t="s">
        <v>95</v>
      </c>
      <c r="AM24" s="29"/>
      <c r="AN24" s="29"/>
      <c r="AO24" s="29"/>
      <c r="AP24" s="5" t="s">
        <v>96</v>
      </c>
      <c r="AQ24" s="4" t="s">
        <v>97</v>
      </c>
      <c r="AR24" s="40" t="s">
        <v>51</v>
      </c>
      <c r="AS24" s="40"/>
      <c r="AT24" s="40"/>
      <c r="AU24" s="29" t="s">
        <v>38</v>
      </c>
      <c r="AV24" s="29"/>
      <c r="AW24" s="29"/>
      <c r="AX24" s="29"/>
      <c r="AY24" s="29"/>
      <c r="AZ24" s="29"/>
      <c r="BA24" s="29"/>
      <c r="BB24" s="29"/>
      <c r="BC24" s="30" t="s">
        <v>39</v>
      </c>
      <c r="BD24" s="30"/>
      <c r="BE24" s="30"/>
      <c r="BF24" s="30"/>
      <c r="BG24" s="30"/>
      <c r="BH24" s="30"/>
      <c r="BI24" s="30"/>
      <c r="BJ24" s="31" t="s">
        <v>53</v>
      </c>
      <c r="BK24" s="31"/>
      <c r="BL24" s="31"/>
      <c r="BM24" s="31"/>
      <c r="BN24" s="31"/>
      <c r="BO24" s="32">
        <v>3</v>
      </c>
      <c r="BP24" s="32"/>
      <c r="BQ24" s="32"/>
      <c r="BR24" s="32"/>
      <c r="BS24" s="32"/>
      <c r="BT24" s="32"/>
      <c r="BU24" s="6">
        <v>1439.4</v>
      </c>
      <c r="BV24" s="7">
        <v>20</v>
      </c>
      <c r="BW24" s="8"/>
      <c r="BX24" s="6">
        <v>2399</v>
      </c>
      <c r="BY24" s="9" t="s">
        <v>98</v>
      </c>
      <c r="BZ24" s="13">
        <v>194513883578</v>
      </c>
      <c r="CA24" s="9" t="s">
        <v>99</v>
      </c>
      <c r="CB24" s="3" t="s">
        <v>100</v>
      </c>
      <c r="CC24" s="10">
        <v>6505003000</v>
      </c>
      <c r="CD24" s="4" t="s">
        <v>44</v>
      </c>
      <c r="CE24" s="11">
        <v>4318.2</v>
      </c>
    </row>
    <row r="25" spans="2:83" s="1" customFormat="1" ht="29.45" customHeight="1" x14ac:dyDescent="0.2">
      <c r="B25" s="36">
        <v>18</v>
      </c>
      <c r="C25" s="36"/>
      <c r="D25" s="38" t="s">
        <v>101</v>
      </c>
      <c r="E25" s="38"/>
      <c r="F25" s="38"/>
      <c r="G25" s="38"/>
      <c r="H25" s="38"/>
      <c r="I25" s="38"/>
      <c r="J25" s="38"/>
      <c r="K25" s="38" t="s">
        <v>29</v>
      </c>
      <c r="L25" s="38"/>
      <c r="M25" s="38"/>
      <c r="N25" s="38"/>
      <c r="O25" s="38"/>
      <c r="P25" s="38"/>
      <c r="Q25" s="38"/>
      <c r="R25" s="38"/>
      <c r="S25" s="38" t="s">
        <v>93</v>
      </c>
      <c r="T25" s="38"/>
      <c r="U25" s="38"/>
      <c r="V25" s="38"/>
      <c r="W25" s="38"/>
      <c r="X25" s="38"/>
      <c r="Y25" s="38"/>
      <c r="Z25" s="38" t="s">
        <v>31</v>
      </c>
      <c r="AA25" s="38"/>
      <c r="AB25" s="38"/>
      <c r="AC25" s="38"/>
      <c r="AD25" s="38"/>
      <c r="AE25" s="39" t="s">
        <v>32</v>
      </c>
      <c r="AF25" s="39"/>
      <c r="AG25" s="39"/>
      <c r="AH25" s="40" t="s">
        <v>94</v>
      </c>
      <c r="AI25" s="40"/>
      <c r="AJ25" s="40"/>
      <c r="AK25" s="40"/>
      <c r="AL25" s="29" t="s">
        <v>95</v>
      </c>
      <c r="AM25" s="29"/>
      <c r="AN25" s="29"/>
      <c r="AO25" s="29"/>
      <c r="AP25" s="5" t="s">
        <v>102</v>
      </c>
      <c r="AQ25" s="4" t="s">
        <v>97</v>
      </c>
      <c r="AR25" s="40" t="s">
        <v>51</v>
      </c>
      <c r="AS25" s="40"/>
      <c r="AT25" s="40"/>
      <c r="AU25" s="29" t="s">
        <v>38</v>
      </c>
      <c r="AV25" s="29"/>
      <c r="AW25" s="29"/>
      <c r="AX25" s="29"/>
      <c r="AY25" s="29"/>
      <c r="AZ25" s="29"/>
      <c r="BA25" s="29"/>
      <c r="BB25" s="29"/>
      <c r="BC25" s="30" t="s">
        <v>39</v>
      </c>
      <c r="BD25" s="30"/>
      <c r="BE25" s="30"/>
      <c r="BF25" s="30"/>
      <c r="BG25" s="30"/>
      <c r="BH25" s="30"/>
      <c r="BI25" s="30"/>
      <c r="BJ25" s="31" t="s">
        <v>53</v>
      </c>
      <c r="BK25" s="31"/>
      <c r="BL25" s="31"/>
      <c r="BM25" s="31"/>
      <c r="BN25" s="31"/>
      <c r="BO25" s="32">
        <v>2</v>
      </c>
      <c r="BP25" s="32"/>
      <c r="BQ25" s="32"/>
      <c r="BR25" s="32"/>
      <c r="BS25" s="32"/>
      <c r="BT25" s="32"/>
      <c r="BU25" s="6">
        <v>1439.4</v>
      </c>
      <c r="BV25" s="7">
        <v>20</v>
      </c>
      <c r="BW25" s="8"/>
      <c r="BX25" s="6">
        <v>2399</v>
      </c>
      <c r="BY25" s="9" t="s">
        <v>103</v>
      </c>
      <c r="BZ25" s="13">
        <v>194514639822</v>
      </c>
      <c r="CA25" s="9" t="s">
        <v>99</v>
      </c>
      <c r="CB25" s="3" t="s">
        <v>104</v>
      </c>
      <c r="CC25" s="10">
        <v>6505003000</v>
      </c>
      <c r="CD25" s="4" t="s">
        <v>44</v>
      </c>
      <c r="CE25" s="11">
        <v>2878.8</v>
      </c>
    </row>
    <row r="26" spans="2:83" s="1" customFormat="1" ht="29.45" customHeight="1" x14ac:dyDescent="0.2">
      <c r="B26" s="36">
        <v>19</v>
      </c>
      <c r="C26" s="36"/>
      <c r="D26" s="38" t="s">
        <v>105</v>
      </c>
      <c r="E26" s="38"/>
      <c r="F26" s="38"/>
      <c r="G26" s="38"/>
      <c r="H26" s="38"/>
      <c r="I26" s="38"/>
      <c r="J26" s="38"/>
      <c r="K26" s="38" t="s">
        <v>29</v>
      </c>
      <c r="L26" s="38"/>
      <c r="M26" s="38"/>
      <c r="N26" s="38"/>
      <c r="O26" s="38"/>
      <c r="P26" s="38"/>
      <c r="Q26" s="38"/>
      <c r="R26" s="38"/>
      <c r="S26" s="38" t="s">
        <v>93</v>
      </c>
      <c r="T26" s="38"/>
      <c r="U26" s="38"/>
      <c r="V26" s="38"/>
      <c r="W26" s="38"/>
      <c r="X26" s="38"/>
      <c r="Y26" s="38"/>
      <c r="Z26" s="38" t="s">
        <v>31</v>
      </c>
      <c r="AA26" s="38"/>
      <c r="AB26" s="38"/>
      <c r="AC26" s="38"/>
      <c r="AD26" s="38"/>
      <c r="AE26" s="39" t="s">
        <v>60</v>
      </c>
      <c r="AF26" s="39"/>
      <c r="AG26" s="39"/>
      <c r="AH26" s="40" t="s">
        <v>106</v>
      </c>
      <c r="AI26" s="40"/>
      <c r="AJ26" s="40"/>
      <c r="AK26" s="40"/>
      <c r="AL26" s="29" t="s">
        <v>107</v>
      </c>
      <c r="AM26" s="29"/>
      <c r="AN26" s="29"/>
      <c r="AO26" s="29"/>
      <c r="AP26" s="5" t="s">
        <v>35</v>
      </c>
      <c r="AQ26" s="4" t="s">
        <v>36</v>
      </c>
      <c r="AR26" s="40" t="s">
        <v>51</v>
      </c>
      <c r="AS26" s="40"/>
      <c r="AT26" s="40"/>
      <c r="AU26" s="29" t="s">
        <v>38</v>
      </c>
      <c r="AV26" s="29"/>
      <c r="AW26" s="29"/>
      <c r="AX26" s="29"/>
      <c r="AY26" s="29"/>
      <c r="AZ26" s="29"/>
      <c r="BA26" s="29"/>
      <c r="BB26" s="29"/>
      <c r="BC26" s="30" t="s">
        <v>39</v>
      </c>
      <c r="BD26" s="30"/>
      <c r="BE26" s="30"/>
      <c r="BF26" s="30"/>
      <c r="BG26" s="30"/>
      <c r="BH26" s="30"/>
      <c r="BI26" s="30"/>
      <c r="BJ26" s="31" t="s">
        <v>53</v>
      </c>
      <c r="BK26" s="31"/>
      <c r="BL26" s="31"/>
      <c r="BM26" s="31"/>
      <c r="BN26" s="31"/>
      <c r="BO26" s="32">
        <v>4</v>
      </c>
      <c r="BP26" s="32"/>
      <c r="BQ26" s="32"/>
      <c r="BR26" s="32"/>
      <c r="BS26" s="32"/>
      <c r="BT26" s="32"/>
      <c r="BU26" s="6">
        <v>1259.3699999999999</v>
      </c>
      <c r="BV26" s="7">
        <v>20</v>
      </c>
      <c r="BW26" s="8"/>
      <c r="BX26" s="6">
        <v>1999</v>
      </c>
      <c r="BY26" s="9" t="s">
        <v>108</v>
      </c>
      <c r="BZ26" s="2">
        <v>4064046497374</v>
      </c>
      <c r="CA26" s="9" t="s">
        <v>109</v>
      </c>
      <c r="CB26" s="3" t="s">
        <v>110</v>
      </c>
      <c r="CC26" s="10">
        <v>6505003000</v>
      </c>
      <c r="CD26" s="4" t="s">
        <v>44</v>
      </c>
      <c r="CE26" s="11">
        <v>5037.4799999999996</v>
      </c>
    </row>
    <row r="27" spans="2:83" s="1" customFormat="1" ht="29.45" customHeight="1" x14ac:dyDescent="0.2">
      <c r="B27" s="36">
        <v>20</v>
      </c>
      <c r="C27" s="36"/>
      <c r="D27" s="38" t="s">
        <v>111</v>
      </c>
      <c r="E27" s="38"/>
      <c r="F27" s="38"/>
      <c r="G27" s="38"/>
      <c r="H27" s="38"/>
      <c r="I27" s="38"/>
      <c r="J27" s="38"/>
      <c r="K27" s="38" t="s">
        <v>29</v>
      </c>
      <c r="L27" s="38"/>
      <c r="M27" s="38"/>
      <c r="N27" s="38"/>
      <c r="O27" s="38"/>
      <c r="P27" s="38"/>
      <c r="Q27" s="38"/>
      <c r="R27" s="38"/>
      <c r="S27" s="38" t="s">
        <v>93</v>
      </c>
      <c r="T27" s="38"/>
      <c r="U27" s="38"/>
      <c r="V27" s="38"/>
      <c r="W27" s="38"/>
      <c r="X27" s="38"/>
      <c r="Y27" s="38"/>
      <c r="Z27" s="38" t="s">
        <v>31</v>
      </c>
      <c r="AA27" s="38"/>
      <c r="AB27" s="38"/>
      <c r="AC27" s="38"/>
      <c r="AD27" s="38"/>
      <c r="AE27" s="39" t="s">
        <v>60</v>
      </c>
      <c r="AF27" s="39"/>
      <c r="AG27" s="39"/>
      <c r="AH27" s="40" t="s">
        <v>49</v>
      </c>
      <c r="AI27" s="40"/>
      <c r="AJ27" s="40"/>
      <c r="AK27" s="40"/>
      <c r="AL27" s="29" t="s">
        <v>112</v>
      </c>
      <c r="AM27" s="29"/>
      <c r="AN27" s="29"/>
      <c r="AO27" s="29"/>
      <c r="AP27" s="5" t="s">
        <v>35</v>
      </c>
      <c r="AQ27" s="4" t="s">
        <v>36</v>
      </c>
      <c r="AR27" s="40" t="s">
        <v>51</v>
      </c>
      <c r="AS27" s="40"/>
      <c r="AT27" s="40"/>
      <c r="AU27" s="29" t="s">
        <v>38</v>
      </c>
      <c r="AV27" s="29"/>
      <c r="AW27" s="29"/>
      <c r="AX27" s="29"/>
      <c r="AY27" s="29"/>
      <c r="AZ27" s="29"/>
      <c r="BA27" s="29"/>
      <c r="BB27" s="29"/>
      <c r="BC27" s="30" t="s">
        <v>39</v>
      </c>
      <c r="BD27" s="30"/>
      <c r="BE27" s="30"/>
      <c r="BF27" s="30"/>
      <c r="BG27" s="30"/>
      <c r="BH27" s="30"/>
      <c r="BI27" s="30"/>
      <c r="BJ27" s="31" t="s">
        <v>53</v>
      </c>
      <c r="BK27" s="31"/>
      <c r="BL27" s="31"/>
      <c r="BM27" s="31"/>
      <c r="BN27" s="31"/>
      <c r="BO27" s="32">
        <v>6</v>
      </c>
      <c r="BP27" s="32"/>
      <c r="BQ27" s="32"/>
      <c r="BR27" s="32"/>
      <c r="BS27" s="32"/>
      <c r="BT27" s="32"/>
      <c r="BU27" s="6">
        <v>1259.3699999999999</v>
      </c>
      <c r="BV27" s="7">
        <v>20</v>
      </c>
      <c r="BW27" s="8"/>
      <c r="BX27" s="6">
        <v>1999</v>
      </c>
      <c r="BY27" s="9" t="s">
        <v>113</v>
      </c>
      <c r="BZ27" s="2">
        <v>4064044214102</v>
      </c>
      <c r="CA27" s="9" t="s">
        <v>114</v>
      </c>
      <c r="CB27" s="3" t="s">
        <v>115</v>
      </c>
      <c r="CC27" s="10">
        <v>6505003000</v>
      </c>
      <c r="CD27" s="4" t="s">
        <v>44</v>
      </c>
      <c r="CE27" s="11">
        <v>7556.22</v>
      </c>
    </row>
    <row r="28" spans="2:83" s="1" customFormat="1" ht="29.45" customHeight="1" x14ac:dyDescent="0.2">
      <c r="B28" s="36">
        <v>21</v>
      </c>
      <c r="C28" s="36"/>
      <c r="D28" s="38" t="s">
        <v>111</v>
      </c>
      <c r="E28" s="38"/>
      <c r="F28" s="38"/>
      <c r="G28" s="38"/>
      <c r="H28" s="38"/>
      <c r="I28" s="38"/>
      <c r="J28" s="38"/>
      <c r="K28" s="38" t="s">
        <v>29</v>
      </c>
      <c r="L28" s="38"/>
      <c r="M28" s="38"/>
      <c r="N28" s="38"/>
      <c r="O28" s="38"/>
      <c r="P28" s="38"/>
      <c r="Q28" s="38"/>
      <c r="R28" s="38"/>
      <c r="S28" s="38" t="s">
        <v>93</v>
      </c>
      <c r="T28" s="38"/>
      <c r="U28" s="38"/>
      <c r="V28" s="38"/>
      <c r="W28" s="38"/>
      <c r="X28" s="38"/>
      <c r="Y28" s="38"/>
      <c r="Z28" s="38" t="s">
        <v>31</v>
      </c>
      <c r="AA28" s="38"/>
      <c r="AB28" s="38"/>
      <c r="AC28" s="38"/>
      <c r="AD28" s="38"/>
      <c r="AE28" s="39" t="s">
        <v>60</v>
      </c>
      <c r="AF28" s="39"/>
      <c r="AG28" s="39"/>
      <c r="AH28" s="40" t="s">
        <v>49</v>
      </c>
      <c r="AI28" s="40"/>
      <c r="AJ28" s="40"/>
      <c r="AK28" s="40"/>
      <c r="AL28" s="29" t="s">
        <v>112</v>
      </c>
      <c r="AM28" s="29"/>
      <c r="AN28" s="29"/>
      <c r="AO28" s="29"/>
      <c r="AP28" s="5" t="s">
        <v>35</v>
      </c>
      <c r="AQ28" s="4" t="s">
        <v>57</v>
      </c>
      <c r="AR28" s="40" t="s">
        <v>58</v>
      </c>
      <c r="AS28" s="40"/>
      <c r="AT28" s="40"/>
      <c r="AU28" s="29" t="s">
        <v>38</v>
      </c>
      <c r="AV28" s="29"/>
      <c r="AW28" s="29"/>
      <c r="AX28" s="29"/>
      <c r="AY28" s="29"/>
      <c r="AZ28" s="29"/>
      <c r="BA28" s="29"/>
      <c r="BB28" s="29"/>
      <c r="BC28" s="30" t="s">
        <v>39</v>
      </c>
      <c r="BD28" s="30"/>
      <c r="BE28" s="30"/>
      <c r="BF28" s="30"/>
      <c r="BG28" s="30"/>
      <c r="BH28" s="30"/>
      <c r="BI28" s="30"/>
      <c r="BJ28" s="31" t="s">
        <v>53</v>
      </c>
      <c r="BK28" s="31"/>
      <c r="BL28" s="31"/>
      <c r="BM28" s="31"/>
      <c r="BN28" s="31"/>
      <c r="BO28" s="32">
        <v>1</v>
      </c>
      <c r="BP28" s="32"/>
      <c r="BQ28" s="32"/>
      <c r="BR28" s="32"/>
      <c r="BS28" s="32"/>
      <c r="BT28" s="32"/>
      <c r="BU28" s="6">
        <v>1259.3699999999999</v>
      </c>
      <c r="BV28" s="7">
        <v>20</v>
      </c>
      <c r="BW28" s="8"/>
      <c r="BX28" s="6">
        <v>1999</v>
      </c>
      <c r="BY28" s="9" t="s">
        <v>113</v>
      </c>
      <c r="BZ28" s="2">
        <v>4064044214140</v>
      </c>
      <c r="CA28" s="9" t="s">
        <v>114</v>
      </c>
      <c r="CB28" s="3" t="s">
        <v>115</v>
      </c>
      <c r="CC28" s="10">
        <v>6505003000</v>
      </c>
      <c r="CD28" s="4" t="s">
        <v>44</v>
      </c>
      <c r="CE28" s="11">
        <v>1259.3699999999999</v>
      </c>
    </row>
    <row r="29" spans="2:83" s="1" customFormat="1" ht="29.45" customHeight="1" x14ac:dyDescent="0.2">
      <c r="B29" s="36">
        <v>22</v>
      </c>
      <c r="C29" s="36"/>
      <c r="D29" s="38" t="s">
        <v>116</v>
      </c>
      <c r="E29" s="38"/>
      <c r="F29" s="38"/>
      <c r="G29" s="38"/>
      <c r="H29" s="38"/>
      <c r="I29" s="38"/>
      <c r="J29" s="38"/>
      <c r="K29" s="38" t="s">
        <v>29</v>
      </c>
      <c r="L29" s="38"/>
      <c r="M29" s="38"/>
      <c r="N29" s="38"/>
      <c r="O29" s="38"/>
      <c r="P29" s="38"/>
      <c r="Q29" s="38"/>
      <c r="R29" s="38"/>
      <c r="S29" s="38" t="s">
        <v>93</v>
      </c>
      <c r="T29" s="38"/>
      <c r="U29" s="38"/>
      <c r="V29" s="38"/>
      <c r="W29" s="38"/>
      <c r="X29" s="38"/>
      <c r="Y29" s="38"/>
      <c r="Z29" s="38" t="s">
        <v>31</v>
      </c>
      <c r="AA29" s="38"/>
      <c r="AB29" s="38"/>
      <c r="AC29" s="38"/>
      <c r="AD29" s="38"/>
      <c r="AE29" s="39" t="s">
        <v>60</v>
      </c>
      <c r="AF29" s="39"/>
      <c r="AG29" s="39"/>
      <c r="AH29" s="40" t="s">
        <v>49</v>
      </c>
      <c r="AI29" s="40"/>
      <c r="AJ29" s="40"/>
      <c r="AK29" s="40"/>
      <c r="AL29" s="29" t="s">
        <v>117</v>
      </c>
      <c r="AM29" s="29"/>
      <c r="AN29" s="29"/>
      <c r="AO29" s="29"/>
      <c r="AP29" s="5" t="s">
        <v>35</v>
      </c>
      <c r="AQ29" s="4" t="s">
        <v>36</v>
      </c>
      <c r="AR29" s="40" t="s">
        <v>51</v>
      </c>
      <c r="AS29" s="40"/>
      <c r="AT29" s="40"/>
      <c r="AU29" s="29" t="s">
        <v>52</v>
      </c>
      <c r="AV29" s="29"/>
      <c r="AW29" s="29"/>
      <c r="AX29" s="29"/>
      <c r="AY29" s="29"/>
      <c r="AZ29" s="29"/>
      <c r="BA29" s="29"/>
      <c r="BB29" s="29"/>
      <c r="BC29" s="30" t="s">
        <v>39</v>
      </c>
      <c r="BD29" s="30"/>
      <c r="BE29" s="30"/>
      <c r="BF29" s="30"/>
      <c r="BG29" s="30"/>
      <c r="BH29" s="30"/>
      <c r="BI29" s="30"/>
      <c r="BJ29" s="31" t="s">
        <v>53</v>
      </c>
      <c r="BK29" s="31"/>
      <c r="BL29" s="31"/>
      <c r="BM29" s="31"/>
      <c r="BN29" s="31"/>
      <c r="BO29" s="32">
        <v>2</v>
      </c>
      <c r="BP29" s="32"/>
      <c r="BQ29" s="32"/>
      <c r="BR29" s="32"/>
      <c r="BS29" s="32"/>
      <c r="BT29" s="32"/>
      <c r="BU29" s="6">
        <v>1316.7</v>
      </c>
      <c r="BV29" s="7">
        <v>20</v>
      </c>
      <c r="BW29" s="8"/>
      <c r="BX29" s="6">
        <v>2090</v>
      </c>
      <c r="BY29" s="9" t="s">
        <v>118</v>
      </c>
      <c r="BZ29" s="2">
        <v>4064044723949</v>
      </c>
      <c r="CA29" s="9" t="s">
        <v>119</v>
      </c>
      <c r="CB29" s="3" t="s">
        <v>120</v>
      </c>
      <c r="CC29" s="10">
        <v>6505003000</v>
      </c>
      <c r="CD29" s="4" t="s">
        <v>44</v>
      </c>
      <c r="CE29" s="11">
        <v>2633.4</v>
      </c>
    </row>
    <row r="30" spans="2:83" s="1" customFormat="1" ht="29.45" customHeight="1" x14ac:dyDescent="0.2">
      <c r="B30" s="36">
        <v>23</v>
      </c>
      <c r="C30" s="36"/>
      <c r="D30" s="38" t="s">
        <v>116</v>
      </c>
      <c r="E30" s="38"/>
      <c r="F30" s="38"/>
      <c r="G30" s="38"/>
      <c r="H30" s="38"/>
      <c r="I30" s="38"/>
      <c r="J30" s="38"/>
      <c r="K30" s="38" t="s">
        <v>29</v>
      </c>
      <c r="L30" s="38"/>
      <c r="M30" s="38"/>
      <c r="N30" s="38"/>
      <c r="O30" s="38"/>
      <c r="P30" s="38"/>
      <c r="Q30" s="38"/>
      <c r="R30" s="38"/>
      <c r="S30" s="38" t="s">
        <v>93</v>
      </c>
      <c r="T30" s="38"/>
      <c r="U30" s="38"/>
      <c r="V30" s="38"/>
      <c r="W30" s="38"/>
      <c r="X30" s="38"/>
      <c r="Y30" s="38"/>
      <c r="Z30" s="38" t="s">
        <v>31</v>
      </c>
      <c r="AA30" s="38"/>
      <c r="AB30" s="38"/>
      <c r="AC30" s="38"/>
      <c r="AD30" s="38"/>
      <c r="AE30" s="39" t="s">
        <v>60</v>
      </c>
      <c r="AF30" s="39"/>
      <c r="AG30" s="39"/>
      <c r="AH30" s="40" t="s">
        <v>49</v>
      </c>
      <c r="AI30" s="40"/>
      <c r="AJ30" s="40"/>
      <c r="AK30" s="40"/>
      <c r="AL30" s="29" t="s">
        <v>117</v>
      </c>
      <c r="AM30" s="29"/>
      <c r="AN30" s="29"/>
      <c r="AO30" s="29"/>
      <c r="AP30" s="5" t="s">
        <v>35</v>
      </c>
      <c r="AQ30" s="4" t="s">
        <v>57</v>
      </c>
      <c r="AR30" s="40" t="s">
        <v>58</v>
      </c>
      <c r="AS30" s="40"/>
      <c r="AT30" s="40"/>
      <c r="AU30" s="29" t="s">
        <v>52</v>
      </c>
      <c r="AV30" s="29"/>
      <c r="AW30" s="29"/>
      <c r="AX30" s="29"/>
      <c r="AY30" s="29"/>
      <c r="AZ30" s="29"/>
      <c r="BA30" s="29"/>
      <c r="BB30" s="29"/>
      <c r="BC30" s="30" t="s">
        <v>39</v>
      </c>
      <c r="BD30" s="30"/>
      <c r="BE30" s="30"/>
      <c r="BF30" s="30"/>
      <c r="BG30" s="30"/>
      <c r="BH30" s="30"/>
      <c r="BI30" s="30"/>
      <c r="BJ30" s="31" t="s">
        <v>53</v>
      </c>
      <c r="BK30" s="31"/>
      <c r="BL30" s="31"/>
      <c r="BM30" s="31"/>
      <c r="BN30" s="31"/>
      <c r="BO30" s="32">
        <v>2</v>
      </c>
      <c r="BP30" s="32"/>
      <c r="BQ30" s="32"/>
      <c r="BR30" s="32"/>
      <c r="BS30" s="32"/>
      <c r="BT30" s="32"/>
      <c r="BU30" s="6">
        <v>1316.7</v>
      </c>
      <c r="BV30" s="7">
        <v>20</v>
      </c>
      <c r="BW30" s="8"/>
      <c r="BX30" s="6">
        <v>2090</v>
      </c>
      <c r="BY30" s="9" t="s">
        <v>118</v>
      </c>
      <c r="BZ30" s="2">
        <v>4064044723925</v>
      </c>
      <c r="CA30" s="9" t="s">
        <v>119</v>
      </c>
      <c r="CB30" s="3" t="s">
        <v>120</v>
      </c>
      <c r="CC30" s="10">
        <v>6505003000</v>
      </c>
      <c r="CD30" s="4" t="s">
        <v>44</v>
      </c>
      <c r="CE30" s="11">
        <v>2633.4</v>
      </c>
    </row>
    <row r="31" spans="2:83" s="1" customFormat="1" ht="29.45" customHeight="1" x14ac:dyDescent="0.2">
      <c r="B31" s="36">
        <v>24</v>
      </c>
      <c r="C31" s="36"/>
      <c r="D31" s="38" t="s">
        <v>121</v>
      </c>
      <c r="E31" s="38"/>
      <c r="F31" s="38"/>
      <c r="G31" s="38"/>
      <c r="H31" s="38"/>
      <c r="I31" s="38"/>
      <c r="J31" s="38"/>
      <c r="K31" s="38" t="s">
        <v>29</v>
      </c>
      <c r="L31" s="38"/>
      <c r="M31" s="38"/>
      <c r="N31" s="38"/>
      <c r="O31" s="38"/>
      <c r="P31" s="38"/>
      <c r="Q31" s="38"/>
      <c r="R31" s="38"/>
      <c r="S31" s="38" t="s">
        <v>30</v>
      </c>
      <c r="T31" s="38"/>
      <c r="U31" s="38"/>
      <c r="V31" s="38"/>
      <c r="W31" s="38"/>
      <c r="X31" s="38"/>
      <c r="Y31" s="38"/>
      <c r="Z31" s="38" t="s">
        <v>31</v>
      </c>
      <c r="AA31" s="38"/>
      <c r="AB31" s="38"/>
      <c r="AC31" s="38"/>
      <c r="AD31" s="38"/>
      <c r="AE31" s="39" t="s">
        <v>60</v>
      </c>
      <c r="AF31" s="39"/>
      <c r="AG31" s="39"/>
      <c r="AH31" s="40" t="s">
        <v>49</v>
      </c>
      <c r="AI31" s="40"/>
      <c r="AJ31" s="40"/>
      <c r="AK31" s="40"/>
      <c r="AL31" s="29" t="s">
        <v>122</v>
      </c>
      <c r="AM31" s="29"/>
      <c r="AN31" s="29"/>
      <c r="AO31" s="29"/>
      <c r="AP31" s="5" t="s">
        <v>35</v>
      </c>
      <c r="AQ31" s="4" t="s">
        <v>36</v>
      </c>
      <c r="AR31" s="40" t="s">
        <v>51</v>
      </c>
      <c r="AS31" s="40"/>
      <c r="AT31" s="40"/>
      <c r="AU31" s="29" t="s">
        <v>123</v>
      </c>
      <c r="AV31" s="29"/>
      <c r="AW31" s="29"/>
      <c r="AX31" s="29"/>
      <c r="AY31" s="29"/>
      <c r="AZ31" s="29"/>
      <c r="BA31" s="29"/>
      <c r="BB31" s="29"/>
      <c r="BC31" s="30" t="s">
        <v>39</v>
      </c>
      <c r="BD31" s="30"/>
      <c r="BE31" s="30"/>
      <c r="BF31" s="30"/>
      <c r="BG31" s="30"/>
      <c r="BH31" s="30"/>
      <c r="BI31" s="30"/>
      <c r="BJ31" s="31" t="s">
        <v>53</v>
      </c>
      <c r="BK31" s="31"/>
      <c r="BL31" s="31"/>
      <c r="BM31" s="31"/>
      <c r="BN31" s="31"/>
      <c r="BO31" s="32">
        <v>3</v>
      </c>
      <c r="BP31" s="32"/>
      <c r="BQ31" s="32"/>
      <c r="BR31" s="32"/>
      <c r="BS31" s="32"/>
      <c r="BT31" s="32"/>
      <c r="BU31" s="6">
        <v>1820.7</v>
      </c>
      <c r="BV31" s="7">
        <v>20</v>
      </c>
      <c r="BW31" s="8"/>
      <c r="BX31" s="6">
        <v>2890</v>
      </c>
      <c r="BY31" s="9" t="s">
        <v>124</v>
      </c>
      <c r="BZ31" s="2">
        <v>4062065497450</v>
      </c>
      <c r="CA31" s="9" t="s">
        <v>125</v>
      </c>
      <c r="CB31" s="3" t="s">
        <v>126</v>
      </c>
      <c r="CC31" s="10">
        <v>6505009000</v>
      </c>
      <c r="CD31" s="4" t="s">
        <v>44</v>
      </c>
      <c r="CE31" s="11">
        <v>5462.1</v>
      </c>
    </row>
    <row r="32" spans="2:83" s="1" customFormat="1" ht="29.45" customHeight="1" x14ac:dyDescent="0.2">
      <c r="B32" s="36">
        <v>25</v>
      </c>
      <c r="C32" s="36"/>
      <c r="D32" s="38" t="s">
        <v>121</v>
      </c>
      <c r="E32" s="38"/>
      <c r="F32" s="38"/>
      <c r="G32" s="38"/>
      <c r="H32" s="38"/>
      <c r="I32" s="38"/>
      <c r="J32" s="38"/>
      <c r="K32" s="38" t="s">
        <v>29</v>
      </c>
      <c r="L32" s="38"/>
      <c r="M32" s="38"/>
      <c r="N32" s="38"/>
      <c r="O32" s="38"/>
      <c r="P32" s="38"/>
      <c r="Q32" s="38"/>
      <c r="R32" s="38"/>
      <c r="S32" s="38" t="s">
        <v>30</v>
      </c>
      <c r="T32" s="38"/>
      <c r="U32" s="38"/>
      <c r="V32" s="38"/>
      <c r="W32" s="38"/>
      <c r="X32" s="38"/>
      <c r="Y32" s="38"/>
      <c r="Z32" s="38" t="s">
        <v>31</v>
      </c>
      <c r="AA32" s="38"/>
      <c r="AB32" s="38"/>
      <c r="AC32" s="38"/>
      <c r="AD32" s="38"/>
      <c r="AE32" s="39" t="s">
        <v>60</v>
      </c>
      <c r="AF32" s="39"/>
      <c r="AG32" s="39"/>
      <c r="AH32" s="40" t="s">
        <v>49</v>
      </c>
      <c r="AI32" s="40"/>
      <c r="AJ32" s="40"/>
      <c r="AK32" s="40"/>
      <c r="AL32" s="29" t="s">
        <v>122</v>
      </c>
      <c r="AM32" s="29"/>
      <c r="AN32" s="29"/>
      <c r="AO32" s="29"/>
      <c r="AP32" s="5" t="s">
        <v>35</v>
      </c>
      <c r="AQ32" s="4" t="s">
        <v>57</v>
      </c>
      <c r="AR32" s="40" t="s">
        <v>58</v>
      </c>
      <c r="AS32" s="40"/>
      <c r="AT32" s="40"/>
      <c r="AU32" s="29" t="s">
        <v>123</v>
      </c>
      <c r="AV32" s="29"/>
      <c r="AW32" s="29"/>
      <c r="AX32" s="29"/>
      <c r="AY32" s="29"/>
      <c r="AZ32" s="29"/>
      <c r="BA32" s="29"/>
      <c r="BB32" s="29"/>
      <c r="BC32" s="30" t="s">
        <v>39</v>
      </c>
      <c r="BD32" s="30"/>
      <c r="BE32" s="30"/>
      <c r="BF32" s="30"/>
      <c r="BG32" s="30"/>
      <c r="BH32" s="30"/>
      <c r="BI32" s="30"/>
      <c r="BJ32" s="31" t="s">
        <v>53</v>
      </c>
      <c r="BK32" s="31"/>
      <c r="BL32" s="31"/>
      <c r="BM32" s="31"/>
      <c r="BN32" s="31"/>
      <c r="BO32" s="32">
        <v>1</v>
      </c>
      <c r="BP32" s="32"/>
      <c r="BQ32" s="32"/>
      <c r="BR32" s="32"/>
      <c r="BS32" s="32"/>
      <c r="BT32" s="32"/>
      <c r="BU32" s="6">
        <v>1820.7</v>
      </c>
      <c r="BV32" s="7">
        <v>20</v>
      </c>
      <c r="BW32" s="8"/>
      <c r="BX32" s="6">
        <v>2890</v>
      </c>
      <c r="BY32" s="9" t="s">
        <v>124</v>
      </c>
      <c r="BZ32" s="2">
        <v>4062065497436</v>
      </c>
      <c r="CA32" s="9" t="s">
        <v>125</v>
      </c>
      <c r="CB32" s="3" t="s">
        <v>126</v>
      </c>
      <c r="CC32" s="10">
        <v>6505009000</v>
      </c>
      <c r="CD32" s="4" t="s">
        <v>44</v>
      </c>
      <c r="CE32" s="11">
        <v>1820.7</v>
      </c>
    </row>
    <row r="33" spans="2:83" s="1" customFormat="1" ht="29.45" customHeight="1" x14ac:dyDescent="0.2">
      <c r="B33" s="36">
        <v>26</v>
      </c>
      <c r="C33" s="36"/>
      <c r="D33" s="37">
        <v>2241674</v>
      </c>
      <c r="E33" s="37"/>
      <c r="F33" s="37"/>
      <c r="G33" s="37"/>
      <c r="H33" s="37"/>
      <c r="I33" s="37"/>
      <c r="J33" s="37"/>
      <c r="K33" s="38" t="s">
        <v>29</v>
      </c>
      <c r="L33" s="38"/>
      <c r="M33" s="38"/>
      <c r="N33" s="38"/>
      <c r="O33" s="38"/>
      <c r="P33" s="38"/>
      <c r="Q33" s="38"/>
      <c r="R33" s="38"/>
      <c r="S33" s="38" t="s">
        <v>30</v>
      </c>
      <c r="T33" s="38"/>
      <c r="U33" s="38"/>
      <c r="V33" s="38"/>
      <c r="W33" s="38"/>
      <c r="X33" s="38"/>
      <c r="Y33" s="38"/>
      <c r="Z33" s="38" t="s">
        <v>31</v>
      </c>
      <c r="AA33" s="38"/>
      <c r="AB33" s="38"/>
      <c r="AC33" s="38"/>
      <c r="AD33" s="38"/>
      <c r="AE33" s="39" t="s">
        <v>60</v>
      </c>
      <c r="AF33" s="39"/>
      <c r="AG33" s="39"/>
      <c r="AH33" s="40" t="s">
        <v>33</v>
      </c>
      <c r="AI33" s="40"/>
      <c r="AJ33" s="40"/>
      <c r="AK33" s="40"/>
      <c r="AL33" s="29" t="s">
        <v>127</v>
      </c>
      <c r="AM33" s="29"/>
      <c r="AN33" s="29"/>
      <c r="AO33" s="29"/>
      <c r="AP33" s="5" t="s">
        <v>35</v>
      </c>
      <c r="AQ33" s="4" t="s">
        <v>128</v>
      </c>
      <c r="AR33" s="40" t="s">
        <v>129</v>
      </c>
      <c r="AS33" s="40"/>
      <c r="AT33" s="40"/>
      <c r="AU33" s="29" t="s">
        <v>52</v>
      </c>
      <c r="AV33" s="29"/>
      <c r="AW33" s="29"/>
      <c r="AX33" s="29"/>
      <c r="AY33" s="29"/>
      <c r="AZ33" s="29"/>
      <c r="BA33" s="29"/>
      <c r="BB33" s="29"/>
      <c r="BC33" s="30" t="s">
        <v>39</v>
      </c>
      <c r="BD33" s="30"/>
      <c r="BE33" s="30"/>
      <c r="BF33" s="30"/>
      <c r="BG33" s="30"/>
      <c r="BH33" s="30"/>
      <c r="BI33" s="30"/>
      <c r="BJ33" s="31" t="s">
        <v>130</v>
      </c>
      <c r="BK33" s="31"/>
      <c r="BL33" s="31"/>
      <c r="BM33" s="31"/>
      <c r="BN33" s="31"/>
      <c r="BO33" s="32">
        <v>3</v>
      </c>
      <c r="BP33" s="32"/>
      <c r="BQ33" s="32"/>
      <c r="BR33" s="32"/>
      <c r="BS33" s="32"/>
      <c r="BT33" s="32"/>
      <c r="BU33" s="12">
        <v>894</v>
      </c>
      <c r="BV33" s="7">
        <v>20</v>
      </c>
      <c r="BW33" s="8"/>
      <c r="BX33" s="6">
        <v>1490</v>
      </c>
      <c r="BY33" s="9" t="s">
        <v>131</v>
      </c>
      <c r="BZ33" s="2">
        <v>4064533026780</v>
      </c>
      <c r="CA33" s="9" t="s">
        <v>132</v>
      </c>
      <c r="CB33" s="3" t="s">
        <v>133</v>
      </c>
      <c r="CC33" s="10">
        <v>6505003000</v>
      </c>
      <c r="CD33" s="4" t="s">
        <v>44</v>
      </c>
      <c r="CE33" s="11">
        <v>2682</v>
      </c>
    </row>
    <row r="34" spans="2:83" s="1" customFormat="1" ht="29.45" customHeight="1" x14ac:dyDescent="0.2">
      <c r="B34" s="36">
        <v>27</v>
      </c>
      <c r="C34" s="36"/>
      <c r="D34" s="37">
        <v>2344502</v>
      </c>
      <c r="E34" s="37"/>
      <c r="F34" s="37"/>
      <c r="G34" s="37"/>
      <c r="H34" s="37"/>
      <c r="I34" s="37"/>
      <c r="J34" s="37"/>
      <c r="K34" s="38" t="s">
        <v>29</v>
      </c>
      <c r="L34" s="38"/>
      <c r="M34" s="38"/>
      <c r="N34" s="38"/>
      <c r="O34" s="38"/>
      <c r="P34" s="38"/>
      <c r="Q34" s="38"/>
      <c r="R34" s="38"/>
      <c r="S34" s="38" t="s">
        <v>30</v>
      </c>
      <c r="T34" s="38"/>
      <c r="U34" s="38"/>
      <c r="V34" s="38"/>
      <c r="W34" s="38"/>
      <c r="X34" s="38"/>
      <c r="Y34" s="38"/>
      <c r="Z34" s="38" t="s">
        <v>31</v>
      </c>
      <c r="AA34" s="38"/>
      <c r="AB34" s="38"/>
      <c r="AC34" s="38"/>
      <c r="AD34" s="38"/>
      <c r="AE34" s="39" t="s">
        <v>60</v>
      </c>
      <c r="AF34" s="39"/>
      <c r="AG34" s="39"/>
      <c r="AH34" s="40" t="s">
        <v>33</v>
      </c>
      <c r="AI34" s="40"/>
      <c r="AJ34" s="40"/>
      <c r="AK34" s="40"/>
      <c r="AL34" s="29" t="s">
        <v>134</v>
      </c>
      <c r="AM34" s="29"/>
      <c r="AN34" s="29"/>
      <c r="AO34" s="29"/>
      <c r="AP34" s="5" t="s">
        <v>35</v>
      </c>
      <c r="AQ34" s="4" t="s">
        <v>128</v>
      </c>
      <c r="AR34" s="40" t="s">
        <v>129</v>
      </c>
      <c r="AS34" s="40"/>
      <c r="AT34" s="40"/>
      <c r="AU34" s="29" t="s">
        <v>38</v>
      </c>
      <c r="AV34" s="29"/>
      <c r="AW34" s="29"/>
      <c r="AX34" s="29"/>
      <c r="AY34" s="29"/>
      <c r="AZ34" s="29"/>
      <c r="BA34" s="29"/>
      <c r="BB34" s="29"/>
      <c r="BC34" s="30" t="s">
        <v>39</v>
      </c>
      <c r="BD34" s="30"/>
      <c r="BE34" s="30"/>
      <c r="BF34" s="30"/>
      <c r="BG34" s="30"/>
      <c r="BH34" s="30"/>
      <c r="BI34" s="30"/>
      <c r="BJ34" s="31" t="s">
        <v>53</v>
      </c>
      <c r="BK34" s="31"/>
      <c r="BL34" s="31"/>
      <c r="BM34" s="31"/>
      <c r="BN34" s="31"/>
      <c r="BO34" s="32">
        <v>6</v>
      </c>
      <c r="BP34" s="32"/>
      <c r="BQ34" s="32"/>
      <c r="BR34" s="32"/>
      <c r="BS34" s="32"/>
      <c r="BT34" s="32"/>
      <c r="BU34" s="6">
        <v>1674</v>
      </c>
      <c r="BV34" s="7">
        <v>20</v>
      </c>
      <c r="BW34" s="8"/>
      <c r="BX34" s="6">
        <v>2790</v>
      </c>
      <c r="BY34" s="9" t="s">
        <v>135</v>
      </c>
      <c r="BZ34" s="2">
        <v>4064533036727</v>
      </c>
      <c r="CA34" s="9" t="s">
        <v>136</v>
      </c>
      <c r="CB34" s="3" t="s">
        <v>137</v>
      </c>
      <c r="CC34" s="10">
        <v>6505003000</v>
      </c>
      <c r="CD34" s="4" t="s">
        <v>44</v>
      </c>
      <c r="CE34" s="11">
        <v>10044</v>
      </c>
    </row>
    <row r="35" spans="2:83" s="1" customFormat="1" ht="29.45" customHeight="1" x14ac:dyDescent="0.2">
      <c r="B35" s="36">
        <v>28</v>
      </c>
      <c r="C35" s="36"/>
      <c r="D35" s="37">
        <v>2353501</v>
      </c>
      <c r="E35" s="37"/>
      <c r="F35" s="37"/>
      <c r="G35" s="37"/>
      <c r="H35" s="37"/>
      <c r="I35" s="37"/>
      <c r="J35" s="37"/>
      <c r="K35" s="38" t="s">
        <v>29</v>
      </c>
      <c r="L35" s="38"/>
      <c r="M35" s="38"/>
      <c r="N35" s="38"/>
      <c r="O35" s="38"/>
      <c r="P35" s="38"/>
      <c r="Q35" s="38"/>
      <c r="R35" s="38"/>
      <c r="S35" s="38" t="s">
        <v>30</v>
      </c>
      <c r="T35" s="38"/>
      <c r="U35" s="38"/>
      <c r="V35" s="38"/>
      <c r="W35" s="38"/>
      <c r="X35" s="38"/>
      <c r="Y35" s="38"/>
      <c r="Z35" s="38" t="s">
        <v>31</v>
      </c>
      <c r="AA35" s="38"/>
      <c r="AB35" s="38"/>
      <c r="AC35" s="38"/>
      <c r="AD35" s="38"/>
      <c r="AE35" s="39" t="s">
        <v>60</v>
      </c>
      <c r="AF35" s="39"/>
      <c r="AG35" s="39"/>
      <c r="AH35" s="40" t="s">
        <v>33</v>
      </c>
      <c r="AI35" s="40"/>
      <c r="AJ35" s="40"/>
      <c r="AK35" s="40"/>
      <c r="AL35" s="29" t="s">
        <v>138</v>
      </c>
      <c r="AM35" s="29"/>
      <c r="AN35" s="29"/>
      <c r="AO35" s="29"/>
      <c r="AP35" s="5" t="s">
        <v>35</v>
      </c>
      <c r="AQ35" s="4" t="s">
        <v>128</v>
      </c>
      <c r="AR35" s="40" t="s">
        <v>129</v>
      </c>
      <c r="AS35" s="40"/>
      <c r="AT35" s="40"/>
      <c r="AU35" s="29" t="s">
        <v>52</v>
      </c>
      <c r="AV35" s="29"/>
      <c r="AW35" s="29"/>
      <c r="AX35" s="29"/>
      <c r="AY35" s="29"/>
      <c r="AZ35" s="29"/>
      <c r="BA35" s="29"/>
      <c r="BB35" s="29"/>
      <c r="BC35" s="30" t="s">
        <v>39</v>
      </c>
      <c r="BD35" s="30"/>
      <c r="BE35" s="30"/>
      <c r="BF35" s="30"/>
      <c r="BG35" s="30"/>
      <c r="BH35" s="30"/>
      <c r="BI35" s="30"/>
      <c r="BJ35" s="31" t="s">
        <v>53</v>
      </c>
      <c r="BK35" s="31"/>
      <c r="BL35" s="31"/>
      <c r="BM35" s="31"/>
      <c r="BN35" s="31"/>
      <c r="BO35" s="32">
        <v>5</v>
      </c>
      <c r="BP35" s="32"/>
      <c r="BQ35" s="32"/>
      <c r="BR35" s="32"/>
      <c r="BS35" s="32"/>
      <c r="BT35" s="32"/>
      <c r="BU35" s="6">
        <v>1434</v>
      </c>
      <c r="BV35" s="7">
        <v>20</v>
      </c>
      <c r="BW35" s="8"/>
      <c r="BX35" s="6">
        <v>2390</v>
      </c>
      <c r="BY35" s="9" t="s">
        <v>135</v>
      </c>
      <c r="BZ35" s="2">
        <v>4064533036796</v>
      </c>
      <c r="CA35" s="9" t="s">
        <v>139</v>
      </c>
      <c r="CB35" s="3" t="s">
        <v>140</v>
      </c>
      <c r="CC35" s="10">
        <v>6505003000</v>
      </c>
      <c r="CD35" s="4" t="s">
        <v>44</v>
      </c>
      <c r="CE35" s="11">
        <v>7170</v>
      </c>
    </row>
    <row r="36" spans="2:83" s="1" customFormat="1" ht="29.45" customHeight="1" x14ac:dyDescent="0.2">
      <c r="B36" s="36">
        <v>29</v>
      </c>
      <c r="C36" s="36"/>
      <c r="D36" s="37">
        <v>2359301</v>
      </c>
      <c r="E36" s="37"/>
      <c r="F36" s="37"/>
      <c r="G36" s="37"/>
      <c r="H36" s="37"/>
      <c r="I36" s="37"/>
      <c r="J36" s="37"/>
      <c r="K36" s="38" t="s">
        <v>29</v>
      </c>
      <c r="L36" s="38"/>
      <c r="M36" s="38"/>
      <c r="N36" s="38"/>
      <c r="O36" s="38"/>
      <c r="P36" s="38"/>
      <c r="Q36" s="38"/>
      <c r="R36" s="38"/>
      <c r="S36" s="38" t="s">
        <v>30</v>
      </c>
      <c r="T36" s="38"/>
      <c r="U36" s="38"/>
      <c r="V36" s="38"/>
      <c r="W36" s="38"/>
      <c r="X36" s="38"/>
      <c r="Y36" s="38"/>
      <c r="Z36" s="38" t="s">
        <v>31</v>
      </c>
      <c r="AA36" s="38"/>
      <c r="AB36" s="38"/>
      <c r="AC36" s="38"/>
      <c r="AD36" s="38"/>
      <c r="AE36" s="39" t="s">
        <v>60</v>
      </c>
      <c r="AF36" s="39"/>
      <c r="AG36" s="39"/>
      <c r="AH36" s="40" t="s">
        <v>33</v>
      </c>
      <c r="AI36" s="40"/>
      <c r="AJ36" s="40"/>
      <c r="AK36" s="40"/>
      <c r="AL36" s="29" t="s">
        <v>141</v>
      </c>
      <c r="AM36" s="29"/>
      <c r="AN36" s="29"/>
      <c r="AO36" s="29"/>
      <c r="AP36" s="5" t="s">
        <v>35</v>
      </c>
      <c r="AQ36" s="4" t="s">
        <v>128</v>
      </c>
      <c r="AR36" s="40" t="s">
        <v>37</v>
      </c>
      <c r="AS36" s="40"/>
      <c r="AT36" s="40"/>
      <c r="AU36" s="29" t="s">
        <v>142</v>
      </c>
      <c r="AV36" s="29"/>
      <c r="AW36" s="29"/>
      <c r="AX36" s="29"/>
      <c r="AY36" s="29"/>
      <c r="AZ36" s="29"/>
      <c r="BA36" s="29"/>
      <c r="BB36" s="29"/>
      <c r="BC36" s="30" t="s">
        <v>39</v>
      </c>
      <c r="BD36" s="30"/>
      <c r="BE36" s="30"/>
      <c r="BF36" s="30"/>
      <c r="BG36" s="30"/>
      <c r="BH36" s="30"/>
      <c r="BI36" s="30"/>
      <c r="BJ36" s="31" t="s">
        <v>40</v>
      </c>
      <c r="BK36" s="31"/>
      <c r="BL36" s="31"/>
      <c r="BM36" s="31"/>
      <c r="BN36" s="31"/>
      <c r="BO36" s="32">
        <v>3</v>
      </c>
      <c r="BP36" s="32"/>
      <c r="BQ36" s="32"/>
      <c r="BR36" s="32"/>
      <c r="BS36" s="32"/>
      <c r="BT36" s="32"/>
      <c r="BU36" s="6">
        <v>2094</v>
      </c>
      <c r="BV36" s="7">
        <v>20</v>
      </c>
      <c r="BW36" s="8"/>
      <c r="BX36" s="6">
        <v>3490</v>
      </c>
      <c r="BY36" s="9" t="s">
        <v>143</v>
      </c>
      <c r="BZ36" s="2">
        <v>4064533243736</v>
      </c>
      <c r="CA36" s="9" t="s">
        <v>144</v>
      </c>
      <c r="CB36" s="3" t="s">
        <v>145</v>
      </c>
      <c r="CC36" s="10">
        <v>6505003000</v>
      </c>
      <c r="CD36" s="4" t="s">
        <v>44</v>
      </c>
      <c r="CE36" s="11">
        <v>6282</v>
      </c>
    </row>
    <row r="37" spans="2:83" s="1" customFormat="1" ht="29.45" customHeight="1" x14ac:dyDescent="0.2">
      <c r="B37" s="36">
        <v>30</v>
      </c>
      <c r="C37" s="36"/>
      <c r="D37" s="38" t="s">
        <v>146</v>
      </c>
      <c r="E37" s="38"/>
      <c r="F37" s="38"/>
      <c r="G37" s="38"/>
      <c r="H37" s="38"/>
      <c r="I37" s="38"/>
      <c r="J37" s="38"/>
      <c r="K37" s="38" t="s">
        <v>29</v>
      </c>
      <c r="L37" s="38"/>
      <c r="M37" s="38"/>
      <c r="N37" s="38"/>
      <c r="O37" s="38"/>
      <c r="P37" s="38"/>
      <c r="Q37" s="38"/>
      <c r="R37" s="38"/>
      <c r="S37" s="38" t="s">
        <v>93</v>
      </c>
      <c r="T37" s="38"/>
      <c r="U37" s="38"/>
      <c r="V37" s="38"/>
      <c r="W37" s="38"/>
      <c r="X37" s="38"/>
      <c r="Y37" s="38"/>
      <c r="Z37" s="38" t="s">
        <v>31</v>
      </c>
      <c r="AA37" s="38"/>
      <c r="AB37" s="38"/>
      <c r="AC37" s="38"/>
      <c r="AD37" s="38"/>
      <c r="AE37" s="39" t="s">
        <v>32</v>
      </c>
      <c r="AF37" s="39"/>
      <c r="AG37" s="39"/>
      <c r="AH37" s="40" t="s">
        <v>106</v>
      </c>
      <c r="AI37" s="40"/>
      <c r="AJ37" s="40"/>
      <c r="AK37" s="40"/>
      <c r="AL37" s="29" t="s">
        <v>147</v>
      </c>
      <c r="AM37" s="29"/>
      <c r="AN37" s="29"/>
      <c r="AO37" s="29"/>
      <c r="AP37" s="5" t="s">
        <v>148</v>
      </c>
      <c r="AQ37" s="4" t="s">
        <v>36</v>
      </c>
      <c r="AR37" s="40" t="s">
        <v>51</v>
      </c>
      <c r="AS37" s="40"/>
      <c r="AT37" s="40"/>
      <c r="AU37" s="29" t="s">
        <v>52</v>
      </c>
      <c r="AV37" s="29"/>
      <c r="AW37" s="29"/>
      <c r="AX37" s="29"/>
      <c r="AY37" s="29"/>
      <c r="AZ37" s="29"/>
      <c r="BA37" s="29"/>
      <c r="BB37" s="29"/>
      <c r="BC37" s="30" t="s">
        <v>39</v>
      </c>
      <c r="BD37" s="30"/>
      <c r="BE37" s="30"/>
      <c r="BF37" s="30"/>
      <c r="BG37" s="30"/>
      <c r="BH37" s="30"/>
      <c r="BI37" s="30"/>
      <c r="BJ37" s="31" t="s">
        <v>53</v>
      </c>
      <c r="BK37" s="31"/>
      <c r="BL37" s="31"/>
      <c r="BM37" s="31"/>
      <c r="BN37" s="31"/>
      <c r="BO37" s="32">
        <v>2</v>
      </c>
      <c r="BP37" s="32"/>
      <c r="BQ37" s="32"/>
      <c r="BR37" s="32"/>
      <c r="BS37" s="32"/>
      <c r="BT37" s="32"/>
      <c r="BU37" s="6">
        <v>1259.3699999999999</v>
      </c>
      <c r="BV37" s="7">
        <v>20</v>
      </c>
      <c r="BW37" s="8"/>
      <c r="BX37" s="6">
        <v>1999</v>
      </c>
      <c r="BY37" s="9" t="s">
        <v>149</v>
      </c>
      <c r="BZ37" s="2">
        <v>4065418842488</v>
      </c>
      <c r="CA37" s="9" t="s">
        <v>150</v>
      </c>
      <c r="CB37" s="3" t="s">
        <v>151</v>
      </c>
      <c r="CC37" s="10">
        <v>6505003000</v>
      </c>
      <c r="CD37" s="4" t="s">
        <v>44</v>
      </c>
      <c r="CE37" s="11">
        <v>2518.7399999999998</v>
      </c>
    </row>
    <row r="38" spans="2:83" s="1" customFormat="1" ht="29.45" customHeight="1" x14ac:dyDescent="0.2">
      <c r="B38" s="36">
        <v>31</v>
      </c>
      <c r="C38" s="36"/>
      <c r="D38" s="38" t="s">
        <v>152</v>
      </c>
      <c r="E38" s="38"/>
      <c r="F38" s="38"/>
      <c r="G38" s="38"/>
      <c r="H38" s="38"/>
      <c r="I38" s="38"/>
      <c r="J38" s="38"/>
      <c r="K38" s="38" t="s">
        <v>29</v>
      </c>
      <c r="L38" s="38"/>
      <c r="M38" s="38"/>
      <c r="N38" s="38"/>
      <c r="O38" s="38"/>
      <c r="P38" s="38"/>
      <c r="Q38" s="38"/>
      <c r="R38" s="38"/>
      <c r="S38" s="38" t="s">
        <v>93</v>
      </c>
      <c r="T38" s="38"/>
      <c r="U38" s="38"/>
      <c r="V38" s="38"/>
      <c r="W38" s="38"/>
      <c r="X38" s="38"/>
      <c r="Y38" s="38"/>
      <c r="Z38" s="38" t="s">
        <v>31</v>
      </c>
      <c r="AA38" s="38"/>
      <c r="AB38" s="38"/>
      <c r="AC38" s="38"/>
      <c r="AD38" s="38"/>
      <c r="AE38" s="39" t="s">
        <v>32</v>
      </c>
      <c r="AF38" s="39"/>
      <c r="AG38" s="39"/>
      <c r="AH38" s="40" t="s">
        <v>106</v>
      </c>
      <c r="AI38" s="40"/>
      <c r="AJ38" s="40"/>
      <c r="AK38" s="40"/>
      <c r="AL38" s="29" t="s">
        <v>147</v>
      </c>
      <c r="AM38" s="29"/>
      <c r="AN38" s="29"/>
      <c r="AO38" s="29"/>
      <c r="AP38" s="5" t="s">
        <v>153</v>
      </c>
      <c r="AQ38" s="4" t="s">
        <v>36</v>
      </c>
      <c r="AR38" s="40" t="s">
        <v>51</v>
      </c>
      <c r="AS38" s="40"/>
      <c r="AT38" s="40"/>
      <c r="AU38" s="29" t="s">
        <v>52</v>
      </c>
      <c r="AV38" s="29"/>
      <c r="AW38" s="29"/>
      <c r="AX38" s="29"/>
      <c r="AY38" s="29"/>
      <c r="AZ38" s="29"/>
      <c r="BA38" s="29"/>
      <c r="BB38" s="29"/>
      <c r="BC38" s="30" t="s">
        <v>39</v>
      </c>
      <c r="BD38" s="30"/>
      <c r="BE38" s="30"/>
      <c r="BF38" s="30"/>
      <c r="BG38" s="30"/>
      <c r="BH38" s="30"/>
      <c r="BI38" s="30"/>
      <c r="BJ38" s="31" t="s">
        <v>53</v>
      </c>
      <c r="BK38" s="31"/>
      <c r="BL38" s="31"/>
      <c r="BM38" s="31"/>
      <c r="BN38" s="31"/>
      <c r="BO38" s="32">
        <v>2</v>
      </c>
      <c r="BP38" s="32"/>
      <c r="BQ38" s="32"/>
      <c r="BR38" s="32"/>
      <c r="BS38" s="32"/>
      <c r="BT38" s="32"/>
      <c r="BU38" s="6">
        <v>1259.3699999999999</v>
      </c>
      <c r="BV38" s="7">
        <v>20</v>
      </c>
      <c r="BW38" s="8"/>
      <c r="BX38" s="6">
        <v>1999</v>
      </c>
      <c r="BY38" s="9" t="s">
        <v>154</v>
      </c>
      <c r="BZ38" s="2">
        <v>4065418846172</v>
      </c>
      <c r="CA38" s="9" t="s">
        <v>150</v>
      </c>
      <c r="CB38" s="3" t="s">
        <v>155</v>
      </c>
      <c r="CC38" s="10">
        <v>6505003000</v>
      </c>
      <c r="CD38" s="4" t="s">
        <v>44</v>
      </c>
      <c r="CE38" s="11">
        <v>2518.7399999999998</v>
      </c>
    </row>
    <row r="39" spans="2:83" s="1" customFormat="1" ht="29.45" customHeight="1" x14ac:dyDescent="0.2">
      <c r="B39" s="36">
        <v>32</v>
      </c>
      <c r="C39" s="36"/>
      <c r="D39" s="38" t="s">
        <v>156</v>
      </c>
      <c r="E39" s="38"/>
      <c r="F39" s="38"/>
      <c r="G39" s="38"/>
      <c r="H39" s="38"/>
      <c r="I39" s="38"/>
      <c r="J39" s="38"/>
      <c r="K39" s="38" t="s">
        <v>29</v>
      </c>
      <c r="L39" s="38"/>
      <c r="M39" s="38"/>
      <c r="N39" s="38"/>
      <c r="O39" s="38"/>
      <c r="P39" s="38"/>
      <c r="Q39" s="38"/>
      <c r="R39" s="38"/>
      <c r="S39" s="38" t="s">
        <v>93</v>
      </c>
      <c r="T39" s="38"/>
      <c r="U39" s="38"/>
      <c r="V39" s="38"/>
      <c r="W39" s="38"/>
      <c r="X39" s="38"/>
      <c r="Y39" s="38"/>
      <c r="Z39" s="38" t="s">
        <v>31</v>
      </c>
      <c r="AA39" s="38"/>
      <c r="AB39" s="38"/>
      <c r="AC39" s="38"/>
      <c r="AD39" s="38"/>
      <c r="AE39" s="39" t="s">
        <v>32</v>
      </c>
      <c r="AF39" s="39"/>
      <c r="AG39" s="39"/>
      <c r="AH39" s="40" t="s">
        <v>106</v>
      </c>
      <c r="AI39" s="40"/>
      <c r="AJ39" s="40"/>
      <c r="AK39" s="40"/>
      <c r="AL39" s="29" t="s">
        <v>107</v>
      </c>
      <c r="AM39" s="29"/>
      <c r="AN39" s="29"/>
      <c r="AO39" s="29"/>
      <c r="AP39" s="5" t="s">
        <v>96</v>
      </c>
      <c r="AQ39" s="4" t="s">
        <v>36</v>
      </c>
      <c r="AR39" s="40" t="s">
        <v>51</v>
      </c>
      <c r="AS39" s="40"/>
      <c r="AT39" s="40"/>
      <c r="AU39" s="29" t="s">
        <v>52</v>
      </c>
      <c r="AV39" s="29"/>
      <c r="AW39" s="29"/>
      <c r="AX39" s="29"/>
      <c r="AY39" s="29"/>
      <c r="AZ39" s="29"/>
      <c r="BA39" s="29"/>
      <c r="BB39" s="29"/>
      <c r="BC39" s="30" t="s">
        <v>39</v>
      </c>
      <c r="BD39" s="30"/>
      <c r="BE39" s="30"/>
      <c r="BF39" s="30"/>
      <c r="BG39" s="30"/>
      <c r="BH39" s="30"/>
      <c r="BI39" s="30"/>
      <c r="BJ39" s="31" t="s">
        <v>53</v>
      </c>
      <c r="BK39" s="31"/>
      <c r="BL39" s="31"/>
      <c r="BM39" s="31"/>
      <c r="BN39" s="31"/>
      <c r="BO39" s="32">
        <v>2</v>
      </c>
      <c r="BP39" s="32"/>
      <c r="BQ39" s="32"/>
      <c r="BR39" s="32"/>
      <c r="BS39" s="32"/>
      <c r="BT39" s="32"/>
      <c r="BU39" s="6">
        <v>1259.3699999999999</v>
      </c>
      <c r="BV39" s="7">
        <v>20</v>
      </c>
      <c r="BW39" s="8"/>
      <c r="BX39" s="6">
        <v>1999</v>
      </c>
      <c r="BY39" s="9" t="s">
        <v>118</v>
      </c>
      <c r="BZ39" s="2">
        <v>4065418842501</v>
      </c>
      <c r="CA39" s="9" t="s">
        <v>157</v>
      </c>
      <c r="CB39" s="3" t="s">
        <v>158</v>
      </c>
      <c r="CC39" s="10">
        <v>6505003000</v>
      </c>
      <c r="CD39" s="4" t="s">
        <v>44</v>
      </c>
      <c r="CE39" s="11">
        <v>2518.7399999999998</v>
      </c>
    </row>
    <row r="40" spans="2:83" s="1" customFormat="1" ht="29.45" customHeight="1" x14ac:dyDescent="0.2">
      <c r="B40" s="36">
        <v>33</v>
      </c>
      <c r="C40" s="36"/>
      <c r="D40" s="38" t="s">
        <v>159</v>
      </c>
      <c r="E40" s="38"/>
      <c r="F40" s="38"/>
      <c r="G40" s="38"/>
      <c r="H40" s="38"/>
      <c r="I40" s="38"/>
      <c r="J40" s="38"/>
      <c r="K40" s="38" t="s">
        <v>29</v>
      </c>
      <c r="L40" s="38"/>
      <c r="M40" s="38"/>
      <c r="N40" s="38"/>
      <c r="O40" s="38"/>
      <c r="P40" s="38"/>
      <c r="Q40" s="38"/>
      <c r="R40" s="38"/>
      <c r="S40" s="38" t="s">
        <v>93</v>
      </c>
      <c r="T40" s="38"/>
      <c r="U40" s="38"/>
      <c r="V40" s="38"/>
      <c r="W40" s="38"/>
      <c r="X40" s="38"/>
      <c r="Y40" s="38"/>
      <c r="Z40" s="38" t="s">
        <v>31</v>
      </c>
      <c r="AA40" s="38"/>
      <c r="AB40" s="38"/>
      <c r="AC40" s="38"/>
      <c r="AD40" s="38"/>
      <c r="AE40" s="39" t="s">
        <v>32</v>
      </c>
      <c r="AF40" s="39"/>
      <c r="AG40" s="39"/>
      <c r="AH40" s="40" t="s">
        <v>106</v>
      </c>
      <c r="AI40" s="40"/>
      <c r="AJ40" s="40"/>
      <c r="AK40" s="40"/>
      <c r="AL40" s="29" t="s">
        <v>160</v>
      </c>
      <c r="AM40" s="29"/>
      <c r="AN40" s="29"/>
      <c r="AO40" s="29"/>
      <c r="AP40" s="5" t="s">
        <v>45</v>
      </c>
      <c r="AQ40" s="4" t="s">
        <v>36</v>
      </c>
      <c r="AR40" s="40" t="s">
        <v>51</v>
      </c>
      <c r="AS40" s="40"/>
      <c r="AT40" s="40"/>
      <c r="AU40" s="29" t="s">
        <v>161</v>
      </c>
      <c r="AV40" s="29"/>
      <c r="AW40" s="29"/>
      <c r="AX40" s="29"/>
      <c r="AY40" s="29"/>
      <c r="AZ40" s="29"/>
      <c r="BA40" s="29"/>
      <c r="BB40" s="29"/>
      <c r="BC40" s="30" t="s">
        <v>39</v>
      </c>
      <c r="BD40" s="30"/>
      <c r="BE40" s="30"/>
      <c r="BF40" s="30"/>
      <c r="BG40" s="30"/>
      <c r="BH40" s="30"/>
      <c r="BI40" s="30"/>
      <c r="BJ40" s="31" t="s">
        <v>53</v>
      </c>
      <c r="BK40" s="31"/>
      <c r="BL40" s="31"/>
      <c r="BM40" s="31"/>
      <c r="BN40" s="31"/>
      <c r="BO40" s="32">
        <v>2</v>
      </c>
      <c r="BP40" s="32"/>
      <c r="BQ40" s="32"/>
      <c r="BR40" s="32"/>
      <c r="BS40" s="32"/>
      <c r="BT40" s="32"/>
      <c r="BU40" s="6">
        <v>1889.37</v>
      </c>
      <c r="BV40" s="7">
        <v>20</v>
      </c>
      <c r="BW40" s="8"/>
      <c r="BX40" s="6">
        <v>2999</v>
      </c>
      <c r="BY40" s="9" t="s">
        <v>162</v>
      </c>
      <c r="BZ40" s="2">
        <v>4065418834636</v>
      </c>
      <c r="CA40" s="9" t="s">
        <v>163</v>
      </c>
      <c r="CB40" s="3" t="s">
        <v>164</v>
      </c>
      <c r="CC40" s="10">
        <v>6505003000</v>
      </c>
      <c r="CD40" s="4" t="s">
        <v>44</v>
      </c>
      <c r="CE40" s="11">
        <v>3778.74</v>
      </c>
    </row>
    <row r="41" spans="2:83" s="1" customFormat="1" ht="29.45" customHeight="1" x14ac:dyDescent="0.2">
      <c r="B41" s="36">
        <v>34</v>
      </c>
      <c r="C41" s="36"/>
      <c r="D41" s="38" t="s">
        <v>165</v>
      </c>
      <c r="E41" s="38"/>
      <c r="F41" s="38"/>
      <c r="G41" s="38"/>
      <c r="H41" s="38"/>
      <c r="I41" s="38"/>
      <c r="J41" s="38"/>
      <c r="K41" s="38" t="s">
        <v>29</v>
      </c>
      <c r="L41" s="38"/>
      <c r="M41" s="38"/>
      <c r="N41" s="38"/>
      <c r="O41" s="38"/>
      <c r="P41" s="38"/>
      <c r="Q41" s="38"/>
      <c r="R41" s="38"/>
      <c r="S41" s="38" t="s">
        <v>30</v>
      </c>
      <c r="T41" s="38"/>
      <c r="U41" s="38"/>
      <c r="V41" s="38"/>
      <c r="W41" s="38"/>
      <c r="X41" s="38"/>
      <c r="Y41" s="38"/>
      <c r="Z41" s="38" t="s">
        <v>31</v>
      </c>
      <c r="AA41" s="38"/>
      <c r="AB41" s="38"/>
      <c r="AC41" s="38"/>
      <c r="AD41" s="38"/>
      <c r="AE41" s="39" t="s">
        <v>60</v>
      </c>
      <c r="AF41" s="39"/>
      <c r="AG41" s="39"/>
      <c r="AH41" s="40" t="s">
        <v>49</v>
      </c>
      <c r="AI41" s="40"/>
      <c r="AJ41" s="40"/>
      <c r="AK41" s="40"/>
      <c r="AL41" s="29" t="s">
        <v>166</v>
      </c>
      <c r="AM41" s="29"/>
      <c r="AN41" s="29"/>
      <c r="AO41" s="29"/>
      <c r="AP41" s="5" t="s">
        <v>148</v>
      </c>
      <c r="AQ41" s="4" t="s">
        <v>36</v>
      </c>
      <c r="AR41" s="40" t="s">
        <v>51</v>
      </c>
      <c r="AS41" s="40"/>
      <c r="AT41" s="40"/>
      <c r="AU41" s="29" t="s">
        <v>167</v>
      </c>
      <c r="AV41" s="29"/>
      <c r="AW41" s="29"/>
      <c r="AX41" s="29"/>
      <c r="AY41" s="29"/>
      <c r="AZ41" s="29"/>
      <c r="BA41" s="29"/>
      <c r="BB41" s="29"/>
      <c r="BC41" s="30" t="s">
        <v>39</v>
      </c>
      <c r="BD41" s="30"/>
      <c r="BE41" s="30"/>
      <c r="BF41" s="30"/>
      <c r="BG41" s="30"/>
      <c r="BH41" s="30"/>
      <c r="BI41" s="30"/>
      <c r="BJ41" s="31" t="s">
        <v>53</v>
      </c>
      <c r="BK41" s="31"/>
      <c r="BL41" s="31"/>
      <c r="BM41" s="31"/>
      <c r="BN41" s="31"/>
      <c r="BO41" s="32">
        <v>3</v>
      </c>
      <c r="BP41" s="32"/>
      <c r="BQ41" s="32"/>
      <c r="BR41" s="32"/>
      <c r="BS41" s="32"/>
      <c r="BT41" s="32"/>
      <c r="BU41" s="6">
        <v>1511.37</v>
      </c>
      <c r="BV41" s="7">
        <v>20</v>
      </c>
      <c r="BW41" s="8"/>
      <c r="BX41" s="6">
        <v>2399</v>
      </c>
      <c r="BY41" s="9" t="s">
        <v>90</v>
      </c>
      <c r="BZ41" s="2">
        <v>4065423281135</v>
      </c>
      <c r="CA41" s="9" t="s">
        <v>55</v>
      </c>
      <c r="CB41" s="3" t="s">
        <v>168</v>
      </c>
      <c r="CC41" s="10">
        <v>6505003000</v>
      </c>
      <c r="CD41" s="4" t="s">
        <v>44</v>
      </c>
      <c r="CE41" s="11">
        <v>4534.1099999999997</v>
      </c>
    </row>
    <row r="42" spans="2:83" s="1" customFormat="1" ht="29.45" customHeight="1" x14ac:dyDescent="0.2">
      <c r="B42" s="36">
        <v>35</v>
      </c>
      <c r="C42" s="36"/>
      <c r="D42" s="38" t="s">
        <v>169</v>
      </c>
      <c r="E42" s="38"/>
      <c r="F42" s="38"/>
      <c r="G42" s="38"/>
      <c r="H42" s="38"/>
      <c r="I42" s="38"/>
      <c r="J42" s="38"/>
      <c r="K42" s="38" t="s">
        <v>29</v>
      </c>
      <c r="L42" s="38"/>
      <c r="M42" s="38"/>
      <c r="N42" s="38"/>
      <c r="O42" s="38"/>
      <c r="P42" s="38"/>
      <c r="Q42" s="38"/>
      <c r="R42" s="38"/>
      <c r="S42" s="38" t="s">
        <v>30</v>
      </c>
      <c r="T42" s="38"/>
      <c r="U42" s="38"/>
      <c r="V42" s="38"/>
      <c r="W42" s="38"/>
      <c r="X42" s="38"/>
      <c r="Y42" s="38"/>
      <c r="Z42" s="38" t="s">
        <v>31</v>
      </c>
      <c r="AA42" s="38"/>
      <c r="AB42" s="38"/>
      <c r="AC42" s="38"/>
      <c r="AD42" s="38"/>
      <c r="AE42" s="39" t="s">
        <v>32</v>
      </c>
      <c r="AF42" s="39"/>
      <c r="AG42" s="39"/>
      <c r="AH42" s="40" t="s">
        <v>49</v>
      </c>
      <c r="AI42" s="40"/>
      <c r="AJ42" s="40"/>
      <c r="AK42" s="40"/>
      <c r="AL42" s="29" t="s">
        <v>166</v>
      </c>
      <c r="AM42" s="29"/>
      <c r="AN42" s="29"/>
      <c r="AO42" s="29"/>
      <c r="AP42" s="5" t="s">
        <v>35</v>
      </c>
      <c r="AQ42" s="4" t="s">
        <v>36</v>
      </c>
      <c r="AR42" s="40" t="s">
        <v>51</v>
      </c>
      <c r="AS42" s="40"/>
      <c r="AT42" s="40"/>
      <c r="AU42" s="29" t="s">
        <v>52</v>
      </c>
      <c r="AV42" s="29"/>
      <c r="AW42" s="29"/>
      <c r="AX42" s="29"/>
      <c r="AY42" s="29"/>
      <c r="AZ42" s="29"/>
      <c r="BA42" s="29"/>
      <c r="BB42" s="29"/>
      <c r="BC42" s="30" t="s">
        <v>39</v>
      </c>
      <c r="BD42" s="30"/>
      <c r="BE42" s="30"/>
      <c r="BF42" s="30"/>
      <c r="BG42" s="30"/>
      <c r="BH42" s="30"/>
      <c r="BI42" s="30"/>
      <c r="BJ42" s="31" t="s">
        <v>53</v>
      </c>
      <c r="BK42" s="31"/>
      <c r="BL42" s="31"/>
      <c r="BM42" s="31"/>
      <c r="BN42" s="31"/>
      <c r="BO42" s="32">
        <v>3</v>
      </c>
      <c r="BP42" s="32"/>
      <c r="BQ42" s="32"/>
      <c r="BR42" s="32"/>
      <c r="BS42" s="32"/>
      <c r="BT42" s="32"/>
      <c r="BU42" s="6">
        <v>1511.37</v>
      </c>
      <c r="BV42" s="7">
        <v>20</v>
      </c>
      <c r="BW42" s="8"/>
      <c r="BX42" s="6">
        <v>2399</v>
      </c>
      <c r="BY42" s="9" t="s">
        <v>170</v>
      </c>
      <c r="BZ42" s="2">
        <v>4065423285065</v>
      </c>
      <c r="CA42" s="9" t="s">
        <v>55</v>
      </c>
      <c r="CB42" s="3" t="s">
        <v>171</v>
      </c>
      <c r="CC42" s="10">
        <v>6505003000</v>
      </c>
      <c r="CD42" s="4" t="s">
        <v>44</v>
      </c>
      <c r="CE42" s="11">
        <v>4534.1099999999997</v>
      </c>
    </row>
    <row r="43" spans="2:83" s="1" customFormat="1" ht="29.45" customHeight="1" x14ac:dyDescent="0.2">
      <c r="B43" s="36">
        <v>36</v>
      </c>
      <c r="C43" s="36"/>
      <c r="D43" s="38" t="s">
        <v>172</v>
      </c>
      <c r="E43" s="38"/>
      <c r="F43" s="38"/>
      <c r="G43" s="38"/>
      <c r="H43" s="38"/>
      <c r="I43" s="38"/>
      <c r="J43" s="38"/>
      <c r="K43" s="38" t="s">
        <v>29</v>
      </c>
      <c r="L43" s="38"/>
      <c r="M43" s="38"/>
      <c r="N43" s="38"/>
      <c r="O43" s="38"/>
      <c r="P43" s="38"/>
      <c r="Q43" s="38"/>
      <c r="R43" s="38"/>
      <c r="S43" s="38" t="s">
        <v>30</v>
      </c>
      <c r="T43" s="38"/>
      <c r="U43" s="38"/>
      <c r="V43" s="38"/>
      <c r="W43" s="38"/>
      <c r="X43" s="38"/>
      <c r="Y43" s="38"/>
      <c r="Z43" s="38" t="s">
        <v>31</v>
      </c>
      <c r="AA43" s="38"/>
      <c r="AB43" s="38"/>
      <c r="AC43" s="38"/>
      <c r="AD43" s="38"/>
      <c r="AE43" s="39" t="s">
        <v>32</v>
      </c>
      <c r="AF43" s="39"/>
      <c r="AG43" s="39"/>
      <c r="AH43" s="40" t="s">
        <v>49</v>
      </c>
      <c r="AI43" s="40"/>
      <c r="AJ43" s="40"/>
      <c r="AK43" s="40"/>
      <c r="AL43" s="29" t="s">
        <v>166</v>
      </c>
      <c r="AM43" s="29"/>
      <c r="AN43" s="29"/>
      <c r="AO43" s="29"/>
      <c r="AP43" s="5" t="s">
        <v>173</v>
      </c>
      <c r="AQ43" s="4" t="s">
        <v>174</v>
      </c>
      <c r="AR43" s="40" t="s">
        <v>175</v>
      </c>
      <c r="AS43" s="40"/>
      <c r="AT43" s="40"/>
      <c r="AU43" s="29" t="s">
        <v>52</v>
      </c>
      <c r="AV43" s="29"/>
      <c r="AW43" s="29"/>
      <c r="AX43" s="29"/>
      <c r="AY43" s="29"/>
      <c r="AZ43" s="29"/>
      <c r="BA43" s="29"/>
      <c r="BB43" s="29"/>
      <c r="BC43" s="30" t="s">
        <v>39</v>
      </c>
      <c r="BD43" s="30"/>
      <c r="BE43" s="30"/>
      <c r="BF43" s="30"/>
      <c r="BG43" s="30"/>
      <c r="BH43" s="30"/>
      <c r="BI43" s="30"/>
      <c r="BJ43" s="31" t="s">
        <v>53</v>
      </c>
      <c r="BK43" s="31"/>
      <c r="BL43" s="31"/>
      <c r="BM43" s="31"/>
      <c r="BN43" s="31"/>
      <c r="BO43" s="32">
        <v>1</v>
      </c>
      <c r="BP43" s="32"/>
      <c r="BQ43" s="32"/>
      <c r="BR43" s="32"/>
      <c r="BS43" s="32"/>
      <c r="BT43" s="32"/>
      <c r="BU43" s="6">
        <v>1511.37</v>
      </c>
      <c r="BV43" s="7">
        <v>20</v>
      </c>
      <c r="BW43" s="8"/>
      <c r="BX43" s="6">
        <v>2399</v>
      </c>
      <c r="BY43" s="9" t="s">
        <v>54</v>
      </c>
      <c r="BZ43" s="2">
        <v>4065423273253</v>
      </c>
      <c r="CA43" s="9" t="s">
        <v>176</v>
      </c>
      <c r="CB43" s="3" t="s">
        <v>177</v>
      </c>
      <c r="CC43" s="10">
        <v>6505003000</v>
      </c>
      <c r="CD43" s="4" t="s">
        <v>44</v>
      </c>
      <c r="CE43" s="11">
        <v>1511.37</v>
      </c>
    </row>
    <row r="44" spans="2:83" s="1" customFormat="1" ht="29.45" customHeight="1" x14ac:dyDescent="0.2">
      <c r="B44" s="36">
        <v>37</v>
      </c>
      <c r="C44" s="36"/>
      <c r="D44" s="38" t="s">
        <v>172</v>
      </c>
      <c r="E44" s="38"/>
      <c r="F44" s="38"/>
      <c r="G44" s="38"/>
      <c r="H44" s="38"/>
      <c r="I44" s="38"/>
      <c r="J44" s="38"/>
      <c r="K44" s="38" t="s">
        <v>29</v>
      </c>
      <c r="L44" s="38"/>
      <c r="M44" s="38"/>
      <c r="N44" s="38"/>
      <c r="O44" s="38"/>
      <c r="P44" s="38"/>
      <c r="Q44" s="38"/>
      <c r="R44" s="38"/>
      <c r="S44" s="38" t="s">
        <v>30</v>
      </c>
      <c r="T44" s="38"/>
      <c r="U44" s="38"/>
      <c r="V44" s="38"/>
      <c r="W44" s="38"/>
      <c r="X44" s="38"/>
      <c r="Y44" s="38"/>
      <c r="Z44" s="38" t="s">
        <v>31</v>
      </c>
      <c r="AA44" s="38"/>
      <c r="AB44" s="38"/>
      <c r="AC44" s="38"/>
      <c r="AD44" s="38"/>
      <c r="AE44" s="39" t="s">
        <v>32</v>
      </c>
      <c r="AF44" s="39"/>
      <c r="AG44" s="39"/>
      <c r="AH44" s="40" t="s">
        <v>49</v>
      </c>
      <c r="AI44" s="40"/>
      <c r="AJ44" s="40"/>
      <c r="AK44" s="40"/>
      <c r="AL44" s="29" t="s">
        <v>166</v>
      </c>
      <c r="AM44" s="29"/>
      <c r="AN44" s="29"/>
      <c r="AO44" s="29"/>
      <c r="AP44" s="5" t="s">
        <v>173</v>
      </c>
      <c r="AQ44" s="4" t="s">
        <v>36</v>
      </c>
      <c r="AR44" s="40" t="s">
        <v>51</v>
      </c>
      <c r="AS44" s="40"/>
      <c r="AT44" s="40"/>
      <c r="AU44" s="29" t="s">
        <v>52</v>
      </c>
      <c r="AV44" s="29"/>
      <c r="AW44" s="29"/>
      <c r="AX44" s="29"/>
      <c r="AY44" s="29"/>
      <c r="AZ44" s="29"/>
      <c r="BA44" s="29"/>
      <c r="BB44" s="29"/>
      <c r="BC44" s="30" t="s">
        <v>39</v>
      </c>
      <c r="BD44" s="30"/>
      <c r="BE44" s="30"/>
      <c r="BF44" s="30"/>
      <c r="BG44" s="30"/>
      <c r="BH44" s="30"/>
      <c r="BI44" s="30"/>
      <c r="BJ44" s="31" t="s">
        <v>53</v>
      </c>
      <c r="BK44" s="31"/>
      <c r="BL44" s="31"/>
      <c r="BM44" s="31"/>
      <c r="BN44" s="31"/>
      <c r="BO44" s="32">
        <v>3</v>
      </c>
      <c r="BP44" s="32"/>
      <c r="BQ44" s="32"/>
      <c r="BR44" s="32"/>
      <c r="BS44" s="32"/>
      <c r="BT44" s="32"/>
      <c r="BU44" s="6">
        <v>1511.37</v>
      </c>
      <c r="BV44" s="7">
        <v>20</v>
      </c>
      <c r="BW44" s="8"/>
      <c r="BX44" s="6">
        <v>2399</v>
      </c>
      <c r="BY44" s="9" t="s">
        <v>54</v>
      </c>
      <c r="BZ44" s="2">
        <v>4065423273277</v>
      </c>
      <c r="CA44" s="9" t="s">
        <v>176</v>
      </c>
      <c r="CB44" s="3" t="s">
        <v>177</v>
      </c>
      <c r="CC44" s="10">
        <v>6505003000</v>
      </c>
      <c r="CD44" s="4" t="s">
        <v>44</v>
      </c>
      <c r="CE44" s="11">
        <v>4534.1099999999997</v>
      </c>
    </row>
    <row r="45" spans="2:83" s="1" customFormat="1" ht="29.45" customHeight="1" x14ac:dyDescent="0.2">
      <c r="B45" s="36">
        <v>38</v>
      </c>
      <c r="C45" s="36"/>
      <c r="D45" s="38" t="s">
        <v>178</v>
      </c>
      <c r="E45" s="38"/>
      <c r="F45" s="38"/>
      <c r="G45" s="38"/>
      <c r="H45" s="38"/>
      <c r="I45" s="38"/>
      <c r="J45" s="38"/>
      <c r="K45" s="38" t="s">
        <v>29</v>
      </c>
      <c r="L45" s="38"/>
      <c r="M45" s="38"/>
      <c r="N45" s="38"/>
      <c r="O45" s="38"/>
      <c r="P45" s="38"/>
      <c r="Q45" s="38"/>
      <c r="R45" s="38"/>
      <c r="S45" s="38" t="s">
        <v>30</v>
      </c>
      <c r="T45" s="38"/>
      <c r="U45" s="38"/>
      <c r="V45" s="38"/>
      <c r="W45" s="38"/>
      <c r="X45" s="38"/>
      <c r="Y45" s="38"/>
      <c r="Z45" s="38" t="s">
        <v>31</v>
      </c>
      <c r="AA45" s="38"/>
      <c r="AB45" s="38"/>
      <c r="AC45" s="38"/>
      <c r="AD45" s="38"/>
      <c r="AE45" s="39" t="s">
        <v>60</v>
      </c>
      <c r="AF45" s="39"/>
      <c r="AG45" s="39"/>
      <c r="AH45" s="40" t="s">
        <v>49</v>
      </c>
      <c r="AI45" s="40"/>
      <c r="AJ45" s="40"/>
      <c r="AK45" s="40"/>
      <c r="AL45" s="29" t="s">
        <v>179</v>
      </c>
      <c r="AM45" s="29"/>
      <c r="AN45" s="29"/>
      <c r="AO45" s="29"/>
      <c r="AP45" s="5" t="s">
        <v>35</v>
      </c>
      <c r="AQ45" s="4" t="s">
        <v>36</v>
      </c>
      <c r="AR45" s="40" t="s">
        <v>51</v>
      </c>
      <c r="AS45" s="40"/>
      <c r="AT45" s="40"/>
      <c r="AU45" s="29" t="s">
        <v>161</v>
      </c>
      <c r="AV45" s="29"/>
      <c r="AW45" s="29"/>
      <c r="AX45" s="29"/>
      <c r="AY45" s="29"/>
      <c r="AZ45" s="29"/>
      <c r="BA45" s="29"/>
      <c r="BB45" s="29"/>
      <c r="BC45" s="30" t="s">
        <v>39</v>
      </c>
      <c r="BD45" s="30"/>
      <c r="BE45" s="30"/>
      <c r="BF45" s="30"/>
      <c r="BG45" s="30"/>
      <c r="BH45" s="30"/>
      <c r="BI45" s="30"/>
      <c r="BJ45" s="31" t="s">
        <v>53</v>
      </c>
      <c r="BK45" s="31"/>
      <c r="BL45" s="31"/>
      <c r="BM45" s="31"/>
      <c r="BN45" s="31"/>
      <c r="BO45" s="32">
        <v>3</v>
      </c>
      <c r="BP45" s="32"/>
      <c r="BQ45" s="32"/>
      <c r="BR45" s="32"/>
      <c r="BS45" s="32"/>
      <c r="BT45" s="32"/>
      <c r="BU45" s="6">
        <v>1889.37</v>
      </c>
      <c r="BV45" s="7">
        <v>20</v>
      </c>
      <c r="BW45" s="8"/>
      <c r="BX45" s="6">
        <v>2999</v>
      </c>
      <c r="BY45" s="9" t="s">
        <v>180</v>
      </c>
      <c r="BZ45" s="2">
        <v>4065423643247</v>
      </c>
      <c r="CA45" s="9" t="s">
        <v>181</v>
      </c>
      <c r="CB45" s="3" t="s">
        <v>182</v>
      </c>
      <c r="CC45" s="10">
        <v>6505003000</v>
      </c>
      <c r="CD45" s="4" t="s">
        <v>44</v>
      </c>
      <c r="CE45" s="11">
        <v>5668.11</v>
      </c>
    </row>
    <row r="46" spans="2:83" s="1" customFormat="1" ht="29.45" customHeight="1" x14ac:dyDescent="0.2">
      <c r="B46" s="36">
        <v>39</v>
      </c>
      <c r="C46" s="36"/>
      <c r="D46" s="38" t="s">
        <v>178</v>
      </c>
      <c r="E46" s="38"/>
      <c r="F46" s="38"/>
      <c r="G46" s="38"/>
      <c r="H46" s="38"/>
      <c r="I46" s="38"/>
      <c r="J46" s="38"/>
      <c r="K46" s="38" t="s">
        <v>29</v>
      </c>
      <c r="L46" s="38"/>
      <c r="M46" s="38"/>
      <c r="N46" s="38"/>
      <c r="O46" s="38"/>
      <c r="P46" s="38"/>
      <c r="Q46" s="38"/>
      <c r="R46" s="38"/>
      <c r="S46" s="38" t="s">
        <v>30</v>
      </c>
      <c r="T46" s="38"/>
      <c r="U46" s="38"/>
      <c r="V46" s="38"/>
      <c r="W46" s="38"/>
      <c r="X46" s="38"/>
      <c r="Y46" s="38"/>
      <c r="Z46" s="38" t="s">
        <v>31</v>
      </c>
      <c r="AA46" s="38"/>
      <c r="AB46" s="38"/>
      <c r="AC46" s="38"/>
      <c r="AD46" s="38"/>
      <c r="AE46" s="39" t="s">
        <v>60</v>
      </c>
      <c r="AF46" s="39"/>
      <c r="AG46" s="39"/>
      <c r="AH46" s="40" t="s">
        <v>49</v>
      </c>
      <c r="AI46" s="40"/>
      <c r="AJ46" s="40"/>
      <c r="AK46" s="40"/>
      <c r="AL46" s="29" t="s">
        <v>179</v>
      </c>
      <c r="AM46" s="29"/>
      <c r="AN46" s="29"/>
      <c r="AO46" s="29"/>
      <c r="AP46" s="5" t="s">
        <v>35</v>
      </c>
      <c r="AQ46" s="4" t="s">
        <v>57</v>
      </c>
      <c r="AR46" s="40" t="s">
        <v>58</v>
      </c>
      <c r="AS46" s="40"/>
      <c r="AT46" s="40"/>
      <c r="AU46" s="29" t="s">
        <v>161</v>
      </c>
      <c r="AV46" s="29"/>
      <c r="AW46" s="29"/>
      <c r="AX46" s="29"/>
      <c r="AY46" s="29"/>
      <c r="AZ46" s="29"/>
      <c r="BA46" s="29"/>
      <c r="BB46" s="29"/>
      <c r="BC46" s="30" t="s">
        <v>39</v>
      </c>
      <c r="BD46" s="30"/>
      <c r="BE46" s="30"/>
      <c r="BF46" s="30"/>
      <c r="BG46" s="30"/>
      <c r="BH46" s="30"/>
      <c r="BI46" s="30"/>
      <c r="BJ46" s="31" t="s">
        <v>53</v>
      </c>
      <c r="BK46" s="31"/>
      <c r="BL46" s="31"/>
      <c r="BM46" s="31"/>
      <c r="BN46" s="31"/>
      <c r="BO46" s="32">
        <v>1</v>
      </c>
      <c r="BP46" s="32"/>
      <c r="BQ46" s="32"/>
      <c r="BR46" s="32"/>
      <c r="BS46" s="32"/>
      <c r="BT46" s="32"/>
      <c r="BU46" s="6">
        <v>1889.37</v>
      </c>
      <c r="BV46" s="7">
        <v>20</v>
      </c>
      <c r="BW46" s="8"/>
      <c r="BX46" s="6">
        <v>2999</v>
      </c>
      <c r="BY46" s="9" t="s">
        <v>180</v>
      </c>
      <c r="BZ46" s="2">
        <v>4065423643230</v>
      </c>
      <c r="CA46" s="9" t="s">
        <v>181</v>
      </c>
      <c r="CB46" s="3" t="s">
        <v>182</v>
      </c>
      <c r="CC46" s="10">
        <v>6505003000</v>
      </c>
      <c r="CD46" s="4" t="s">
        <v>44</v>
      </c>
      <c r="CE46" s="11">
        <v>1889.37</v>
      </c>
    </row>
    <row r="47" spans="2:83" s="1" customFormat="1" ht="29.45" customHeight="1" x14ac:dyDescent="0.2">
      <c r="B47" s="36">
        <v>40</v>
      </c>
      <c r="C47" s="36"/>
      <c r="D47" s="38" t="s">
        <v>183</v>
      </c>
      <c r="E47" s="38"/>
      <c r="F47" s="38"/>
      <c r="G47" s="38"/>
      <c r="H47" s="38"/>
      <c r="I47" s="38"/>
      <c r="J47" s="38"/>
      <c r="K47" s="38" t="s">
        <v>29</v>
      </c>
      <c r="L47" s="38"/>
      <c r="M47" s="38"/>
      <c r="N47" s="38"/>
      <c r="O47" s="38"/>
      <c r="P47" s="38"/>
      <c r="Q47" s="38"/>
      <c r="R47" s="38"/>
      <c r="S47" s="38" t="s">
        <v>93</v>
      </c>
      <c r="T47" s="38"/>
      <c r="U47" s="38"/>
      <c r="V47" s="38"/>
      <c r="W47" s="38"/>
      <c r="X47" s="38"/>
      <c r="Y47" s="38"/>
      <c r="Z47" s="38" t="s">
        <v>31</v>
      </c>
      <c r="AA47" s="38"/>
      <c r="AB47" s="38"/>
      <c r="AC47" s="38"/>
      <c r="AD47" s="38"/>
      <c r="AE47" s="39" t="s">
        <v>32</v>
      </c>
      <c r="AF47" s="39"/>
      <c r="AG47" s="39"/>
      <c r="AH47" s="40" t="s">
        <v>49</v>
      </c>
      <c r="AI47" s="40"/>
      <c r="AJ47" s="40"/>
      <c r="AK47" s="40"/>
      <c r="AL47" s="29" t="s">
        <v>112</v>
      </c>
      <c r="AM47" s="29"/>
      <c r="AN47" s="29"/>
      <c r="AO47" s="29"/>
      <c r="AP47" s="5" t="s">
        <v>45</v>
      </c>
      <c r="AQ47" s="4" t="s">
        <v>36</v>
      </c>
      <c r="AR47" s="40" t="s">
        <v>51</v>
      </c>
      <c r="AS47" s="40"/>
      <c r="AT47" s="40"/>
      <c r="AU47" s="29" t="s">
        <v>84</v>
      </c>
      <c r="AV47" s="29"/>
      <c r="AW47" s="29"/>
      <c r="AX47" s="29"/>
      <c r="AY47" s="29"/>
      <c r="AZ47" s="29"/>
      <c r="BA47" s="29"/>
      <c r="BB47" s="29"/>
      <c r="BC47" s="30" t="s">
        <v>39</v>
      </c>
      <c r="BD47" s="30"/>
      <c r="BE47" s="30"/>
      <c r="BF47" s="30"/>
      <c r="BG47" s="30"/>
      <c r="BH47" s="30"/>
      <c r="BI47" s="30"/>
      <c r="BJ47" s="31" t="s">
        <v>53</v>
      </c>
      <c r="BK47" s="31"/>
      <c r="BL47" s="31"/>
      <c r="BM47" s="31"/>
      <c r="BN47" s="31"/>
      <c r="BO47" s="32">
        <v>3</v>
      </c>
      <c r="BP47" s="32"/>
      <c r="BQ47" s="32"/>
      <c r="BR47" s="32"/>
      <c r="BS47" s="32"/>
      <c r="BT47" s="32"/>
      <c r="BU47" s="6">
        <v>1259.3699999999999</v>
      </c>
      <c r="BV47" s="7">
        <v>20</v>
      </c>
      <c r="BW47" s="8"/>
      <c r="BX47" s="6">
        <v>1999</v>
      </c>
      <c r="BY47" s="9" t="s">
        <v>63</v>
      </c>
      <c r="BZ47" s="2">
        <v>4065424592872</v>
      </c>
      <c r="CA47" s="9" t="s">
        <v>184</v>
      </c>
      <c r="CB47" s="3" t="s">
        <v>185</v>
      </c>
      <c r="CC47" s="10">
        <v>6505003000</v>
      </c>
      <c r="CD47" s="4" t="s">
        <v>44</v>
      </c>
      <c r="CE47" s="11">
        <v>3778.11</v>
      </c>
    </row>
    <row r="48" spans="2:83" s="1" customFormat="1" ht="29.45" customHeight="1" x14ac:dyDescent="0.2">
      <c r="B48" s="36">
        <v>41</v>
      </c>
      <c r="C48" s="36"/>
      <c r="D48" s="38" t="s">
        <v>183</v>
      </c>
      <c r="E48" s="38"/>
      <c r="F48" s="38"/>
      <c r="G48" s="38"/>
      <c r="H48" s="38"/>
      <c r="I48" s="38"/>
      <c r="J48" s="38"/>
      <c r="K48" s="38" t="s">
        <v>29</v>
      </c>
      <c r="L48" s="38"/>
      <c r="M48" s="38"/>
      <c r="N48" s="38"/>
      <c r="O48" s="38"/>
      <c r="P48" s="38"/>
      <c r="Q48" s="38"/>
      <c r="R48" s="38"/>
      <c r="S48" s="38" t="s">
        <v>93</v>
      </c>
      <c r="T48" s="38"/>
      <c r="U48" s="38"/>
      <c r="V48" s="38"/>
      <c r="W48" s="38"/>
      <c r="X48" s="38"/>
      <c r="Y48" s="38"/>
      <c r="Z48" s="38" t="s">
        <v>31</v>
      </c>
      <c r="AA48" s="38"/>
      <c r="AB48" s="38"/>
      <c r="AC48" s="38"/>
      <c r="AD48" s="38"/>
      <c r="AE48" s="39" t="s">
        <v>32</v>
      </c>
      <c r="AF48" s="39"/>
      <c r="AG48" s="39"/>
      <c r="AH48" s="40" t="s">
        <v>49</v>
      </c>
      <c r="AI48" s="40"/>
      <c r="AJ48" s="40"/>
      <c r="AK48" s="40"/>
      <c r="AL48" s="29" t="s">
        <v>112</v>
      </c>
      <c r="AM48" s="29"/>
      <c r="AN48" s="29"/>
      <c r="AO48" s="29"/>
      <c r="AP48" s="5" t="s">
        <v>45</v>
      </c>
      <c r="AQ48" s="4" t="s">
        <v>57</v>
      </c>
      <c r="AR48" s="40" t="s">
        <v>58</v>
      </c>
      <c r="AS48" s="40"/>
      <c r="AT48" s="40"/>
      <c r="AU48" s="29" t="s">
        <v>84</v>
      </c>
      <c r="AV48" s="29"/>
      <c r="AW48" s="29"/>
      <c r="AX48" s="29"/>
      <c r="AY48" s="29"/>
      <c r="AZ48" s="29"/>
      <c r="BA48" s="29"/>
      <c r="BB48" s="29"/>
      <c r="BC48" s="30" t="s">
        <v>39</v>
      </c>
      <c r="BD48" s="30"/>
      <c r="BE48" s="30"/>
      <c r="BF48" s="30"/>
      <c r="BG48" s="30"/>
      <c r="BH48" s="30"/>
      <c r="BI48" s="30"/>
      <c r="BJ48" s="31" t="s">
        <v>53</v>
      </c>
      <c r="BK48" s="31"/>
      <c r="BL48" s="31"/>
      <c r="BM48" s="31"/>
      <c r="BN48" s="31"/>
      <c r="BO48" s="32">
        <v>1</v>
      </c>
      <c r="BP48" s="32"/>
      <c r="BQ48" s="32"/>
      <c r="BR48" s="32"/>
      <c r="BS48" s="32"/>
      <c r="BT48" s="32"/>
      <c r="BU48" s="6">
        <v>1259.3699999999999</v>
      </c>
      <c r="BV48" s="7">
        <v>20</v>
      </c>
      <c r="BW48" s="8"/>
      <c r="BX48" s="6">
        <v>1999</v>
      </c>
      <c r="BY48" s="9" t="s">
        <v>63</v>
      </c>
      <c r="BZ48" s="2">
        <v>4065424592865</v>
      </c>
      <c r="CA48" s="9" t="s">
        <v>184</v>
      </c>
      <c r="CB48" s="3" t="s">
        <v>185</v>
      </c>
      <c r="CC48" s="10">
        <v>6505003000</v>
      </c>
      <c r="CD48" s="4" t="s">
        <v>44</v>
      </c>
      <c r="CE48" s="11">
        <v>1259.3699999999999</v>
      </c>
    </row>
    <row r="49" spans="2:83" s="1" customFormat="1" ht="29.45" customHeight="1" x14ac:dyDescent="0.2">
      <c r="B49" s="36">
        <v>42</v>
      </c>
      <c r="C49" s="36"/>
      <c r="D49" s="38" t="s">
        <v>186</v>
      </c>
      <c r="E49" s="38"/>
      <c r="F49" s="38"/>
      <c r="G49" s="38"/>
      <c r="H49" s="38"/>
      <c r="I49" s="38"/>
      <c r="J49" s="38"/>
      <c r="K49" s="38" t="s">
        <v>29</v>
      </c>
      <c r="L49" s="38"/>
      <c r="M49" s="38"/>
      <c r="N49" s="38"/>
      <c r="O49" s="38"/>
      <c r="P49" s="38"/>
      <c r="Q49" s="38"/>
      <c r="R49" s="38"/>
      <c r="S49" s="38" t="s">
        <v>30</v>
      </c>
      <c r="T49" s="38"/>
      <c r="U49" s="38"/>
      <c r="V49" s="38"/>
      <c r="W49" s="38"/>
      <c r="X49" s="38"/>
      <c r="Y49" s="38"/>
      <c r="Z49" s="38" t="s">
        <v>31</v>
      </c>
      <c r="AA49" s="38"/>
      <c r="AB49" s="38"/>
      <c r="AC49" s="38"/>
      <c r="AD49" s="38"/>
      <c r="AE49" s="39" t="s">
        <v>32</v>
      </c>
      <c r="AF49" s="39"/>
      <c r="AG49" s="39"/>
      <c r="AH49" s="40" t="s">
        <v>49</v>
      </c>
      <c r="AI49" s="40"/>
      <c r="AJ49" s="40"/>
      <c r="AK49" s="40"/>
      <c r="AL49" s="29" t="s">
        <v>187</v>
      </c>
      <c r="AM49" s="29"/>
      <c r="AN49" s="29"/>
      <c r="AO49" s="29"/>
      <c r="AP49" s="5" t="s">
        <v>188</v>
      </c>
      <c r="AQ49" s="4" t="s">
        <v>36</v>
      </c>
      <c r="AR49" s="40" t="s">
        <v>51</v>
      </c>
      <c r="AS49" s="40"/>
      <c r="AT49" s="40"/>
      <c r="AU49" s="29" t="s">
        <v>84</v>
      </c>
      <c r="AV49" s="29"/>
      <c r="AW49" s="29"/>
      <c r="AX49" s="29"/>
      <c r="AY49" s="29"/>
      <c r="AZ49" s="29"/>
      <c r="BA49" s="29"/>
      <c r="BB49" s="29"/>
      <c r="BC49" s="30" t="s">
        <v>39</v>
      </c>
      <c r="BD49" s="30"/>
      <c r="BE49" s="30"/>
      <c r="BF49" s="30"/>
      <c r="BG49" s="30"/>
      <c r="BH49" s="30"/>
      <c r="BI49" s="30"/>
      <c r="BJ49" s="31" t="s">
        <v>53</v>
      </c>
      <c r="BK49" s="31"/>
      <c r="BL49" s="31"/>
      <c r="BM49" s="31"/>
      <c r="BN49" s="31"/>
      <c r="BO49" s="32">
        <v>2</v>
      </c>
      <c r="BP49" s="32"/>
      <c r="BQ49" s="32"/>
      <c r="BR49" s="32"/>
      <c r="BS49" s="32"/>
      <c r="BT49" s="32"/>
      <c r="BU49" s="6">
        <v>1259.3699999999999</v>
      </c>
      <c r="BV49" s="7">
        <v>20</v>
      </c>
      <c r="BW49" s="8"/>
      <c r="BX49" s="6">
        <v>1999</v>
      </c>
      <c r="BY49" s="9" t="s">
        <v>154</v>
      </c>
      <c r="BZ49" s="2">
        <v>4065424569867</v>
      </c>
      <c r="CA49" s="9" t="s">
        <v>189</v>
      </c>
      <c r="CB49" s="3" t="s">
        <v>190</v>
      </c>
      <c r="CC49" s="10">
        <v>6505003000</v>
      </c>
      <c r="CD49" s="4" t="s">
        <v>44</v>
      </c>
      <c r="CE49" s="11">
        <v>2518.7399999999998</v>
      </c>
    </row>
    <row r="50" spans="2:83" s="1" customFormat="1" ht="29.45" customHeight="1" x14ac:dyDescent="0.2">
      <c r="B50" s="36">
        <v>43</v>
      </c>
      <c r="C50" s="36"/>
      <c r="D50" s="38" t="s">
        <v>191</v>
      </c>
      <c r="E50" s="38"/>
      <c r="F50" s="38"/>
      <c r="G50" s="38"/>
      <c r="H50" s="38"/>
      <c r="I50" s="38"/>
      <c r="J50" s="38"/>
      <c r="K50" s="38" t="s">
        <v>29</v>
      </c>
      <c r="L50" s="38"/>
      <c r="M50" s="38"/>
      <c r="N50" s="38"/>
      <c r="O50" s="38"/>
      <c r="P50" s="38"/>
      <c r="Q50" s="38"/>
      <c r="R50" s="38"/>
      <c r="S50" s="38" t="s">
        <v>30</v>
      </c>
      <c r="T50" s="38"/>
      <c r="U50" s="38"/>
      <c r="V50" s="38"/>
      <c r="W50" s="38"/>
      <c r="X50" s="38"/>
      <c r="Y50" s="38"/>
      <c r="Z50" s="38" t="s">
        <v>31</v>
      </c>
      <c r="AA50" s="38"/>
      <c r="AB50" s="38"/>
      <c r="AC50" s="38"/>
      <c r="AD50" s="38"/>
      <c r="AE50" s="39" t="s">
        <v>32</v>
      </c>
      <c r="AF50" s="39"/>
      <c r="AG50" s="39"/>
      <c r="AH50" s="40" t="s">
        <v>49</v>
      </c>
      <c r="AI50" s="40"/>
      <c r="AJ50" s="40"/>
      <c r="AK50" s="40"/>
      <c r="AL50" s="29" t="s">
        <v>192</v>
      </c>
      <c r="AM50" s="29"/>
      <c r="AN50" s="29"/>
      <c r="AO50" s="29"/>
      <c r="AP50" s="5" t="s">
        <v>193</v>
      </c>
      <c r="AQ50" s="4" t="s">
        <v>36</v>
      </c>
      <c r="AR50" s="40" t="s">
        <v>51</v>
      </c>
      <c r="AS50" s="40"/>
      <c r="AT50" s="40"/>
      <c r="AU50" s="29" t="s">
        <v>38</v>
      </c>
      <c r="AV50" s="29"/>
      <c r="AW50" s="29"/>
      <c r="AX50" s="29"/>
      <c r="AY50" s="29"/>
      <c r="AZ50" s="29"/>
      <c r="BA50" s="29"/>
      <c r="BB50" s="29"/>
      <c r="BC50" s="30" t="s">
        <v>39</v>
      </c>
      <c r="BD50" s="30"/>
      <c r="BE50" s="30"/>
      <c r="BF50" s="30"/>
      <c r="BG50" s="30"/>
      <c r="BH50" s="30"/>
      <c r="BI50" s="30"/>
      <c r="BJ50" s="31" t="s">
        <v>53</v>
      </c>
      <c r="BK50" s="31"/>
      <c r="BL50" s="31"/>
      <c r="BM50" s="31"/>
      <c r="BN50" s="31"/>
      <c r="BO50" s="32">
        <v>3</v>
      </c>
      <c r="BP50" s="32"/>
      <c r="BQ50" s="32"/>
      <c r="BR50" s="32"/>
      <c r="BS50" s="32"/>
      <c r="BT50" s="32"/>
      <c r="BU50" s="6">
        <v>1889.37</v>
      </c>
      <c r="BV50" s="7">
        <v>20</v>
      </c>
      <c r="BW50" s="8"/>
      <c r="BX50" s="6">
        <v>2999</v>
      </c>
      <c r="BY50" s="9" t="s">
        <v>170</v>
      </c>
      <c r="BZ50" s="2">
        <v>4065423292650</v>
      </c>
      <c r="CA50" s="9" t="s">
        <v>194</v>
      </c>
      <c r="CB50" s="3" t="s">
        <v>195</v>
      </c>
      <c r="CC50" s="10">
        <v>6505003000</v>
      </c>
      <c r="CD50" s="4" t="s">
        <v>44</v>
      </c>
      <c r="CE50" s="11">
        <v>5668.11</v>
      </c>
    </row>
    <row r="51" spans="2:83" s="1" customFormat="1" ht="29.45" customHeight="1" x14ac:dyDescent="0.2">
      <c r="B51" s="36">
        <v>44</v>
      </c>
      <c r="C51" s="36"/>
      <c r="D51" s="38" t="s">
        <v>196</v>
      </c>
      <c r="E51" s="38"/>
      <c r="F51" s="38"/>
      <c r="G51" s="38"/>
      <c r="H51" s="38"/>
      <c r="I51" s="38"/>
      <c r="J51" s="38"/>
      <c r="K51" s="38" t="s">
        <v>29</v>
      </c>
      <c r="L51" s="38"/>
      <c r="M51" s="38"/>
      <c r="N51" s="38"/>
      <c r="O51" s="38"/>
      <c r="P51" s="38"/>
      <c r="Q51" s="38"/>
      <c r="R51" s="38"/>
      <c r="S51" s="38" t="s">
        <v>30</v>
      </c>
      <c r="T51" s="38"/>
      <c r="U51" s="38"/>
      <c r="V51" s="38"/>
      <c r="W51" s="38"/>
      <c r="X51" s="38"/>
      <c r="Y51" s="38"/>
      <c r="Z51" s="38" t="s">
        <v>31</v>
      </c>
      <c r="AA51" s="38"/>
      <c r="AB51" s="38"/>
      <c r="AC51" s="38"/>
      <c r="AD51" s="38"/>
      <c r="AE51" s="39" t="s">
        <v>32</v>
      </c>
      <c r="AF51" s="39"/>
      <c r="AG51" s="39"/>
      <c r="AH51" s="40" t="s">
        <v>49</v>
      </c>
      <c r="AI51" s="40"/>
      <c r="AJ51" s="40"/>
      <c r="AK51" s="40"/>
      <c r="AL51" s="29" t="s">
        <v>197</v>
      </c>
      <c r="AM51" s="29"/>
      <c r="AN51" s="29"/>
      <c r="AO51" s="29"/>
      <c r="AP51" s="5" t="s">
        <v>35</v>
      </c>
      <c r="AQ51" s="4" t="s">
        <v>36</v>
      </c>
      <c r="AR51" s="40" t="s">
        <v>51</v>
      </c>
      <c r="AS51" s="40"/>
      <c r="AT51" s="40"/>
      <c r="AU51" s="29" t="s">
        <v>198</v>
      </c>
      <c r="AV51" s="29"/>
      <c r="AW51" s="29"/>
      <c r="AX51" s="29"/>
      <c r="AY51" s="29"/>
      <c r="AZ51" s="29"/>
      <c r="BA51" s="29"/>
      <c r="BB51" s="29"/>
      <c r="BC51" s="30" t="s">
        <v>39</v>
      </c>
      <c r="BD51" s="30"/>
      <c r="BE51" s="30"/>
      <c r="BF51" s="30"/>
      <c r="BG51" s="30"/>
      <c r="BH51" s="30"/>
      <c r="BI51" s="30"/>
      <c r="BJ51" s="31" t="s">
        <v>53</v>
      </c>
      <c r="BK51" s="31"/>
      <c r="BL51" s="31"/>
      <c r="BM51" s="31"/>
      <c r="BN51" s="31"/>
      <c r="BO51" s="32">
        <v>3</v>
      </c>
      <c r="BP51" s="32"/>
      <c r="BQ51" s="32"/>
      <c r="BR51" s="32"/>
      <c r="BS51" s="32"/>
      <c r="BT51" s="32"/>
      <c r="BU51" s="6">
        <v>1511.37</v>
      </c>
      <c r="BV51" s="7">
        <v>20</v>
      </c>
      <c r="BW51" s="8"/>
      <c r="BX51" s="6">
        <v>2399</v>
      </c>
      <c r="BY51" s="9" t="s">
        <v>170</v>
      </c>
      <c r="BZ51" s="2">
        <v>4065423133120</v>
      </c>
      <c r="CA51" s="9" t="s">
        <v>199</v>
      </c>
      <c r="CB51" s="3" t="s">
        <v>200</v>
      </c>
      <c r="CC51" s="10">
        <v>6505003000</v>
      </c>
      <c r="CD51" s="4" t="s">
        <v>44</v>
      </c>
      <c r="CE51" s="11">
        <v>4534.1099999999997</v>
      </c>
    </row>
    <row r="52" spans="2:83" s="1" customFormat="1" ht="29.45" customHeight="1" x14ac:dyDescent="0.2">
      <c r="B52" s="36">
        <v>45</v>
      </c>
      <c r="C52" s="36"/>
      <c r="D52" s="38" t="s">
        <v>201</v>
      </c>
      <c r="E52" s="38"/>
      <c r="F52" s="38"/>
      <c r="G52" s="38"/>
      <c r="H52" s="38"/>
      <c r="I52" s="38"/>
      <c r="J52" s="38"/>
      <c r="K52" s="38" t="s">
        <v>29</v>
      </c>
      <c r="L52" s="38"/>
      <c r="M52" s="38"/>
      <c r="N52" s="38"/>
      <c r="O52" s="38"/>
      <c r="P52" s="38"/>
      <c r="Q52" s="38"/>
      <c r="R52" s="38"/>
      <c r="S52" s="38" t="s">
        <v>93</v>
      </c>
      <c r="T52" s="38"/>
      <c r="U52" s="38"/>
      <c r="V52" s="38"/>
      <c r="W52" s="38"/>
      <c r="X52" s="38"/>
      <c r="Y52" s="38"/>
      <c r="Z52" s="38" t="s">
        <v>31</v>
      </c>
      <c r="AA52" s="38"/>
      <c r="AB52" s="38"/>
      <c r="AC52" s="38"/>
      <c r="AD52" s="38"/>
      <c r="AE52" s="39" t="s">
        <v>32</v>
      </c>
      <c r="AF52" s="39"/>
      <c r="AG52" s="39"/>
      <c r="AH52" s="40" t="s">
        <v>106</v>
      </c>
      <c r="AI52" s="40"/>
      <c r="AJ52" s="40"/>
      <c r="AK52" s="40"/>
      <c r="AL52" s="29" t="s">
        <v>202</v>
      </c>
      <c r="AM52" s="29"/>
      <c r="AN52" s="29"/>
      <c r="AO52" s="29"/>
      <c r="AP52" s="5" t="s">
        <v>35</v>
      </c>
      <c r="AQ52" s="4" t="s">
        <v>174</v>
      </c>
      <c r="AR52" s="40" t="s">
        <v>203</v>
      </c>
      <c r="AS52" s="40"/>
      <c r="AT52" s="40"/>
      <c r="AU52" s="29" t="s">
        <v>204</v>
      </c>
      <c r="AV52" s="29"/>
      <c r="AW52" s="29"/>
      <c r="AX52" s="29"/>
      <c r="AY52" s="29"/>
      <c r="AZ52" s="29"/>
      <c r="BA52" s="29"/>
      <c r="BB52" s="29"/>
      <c r="BC52" s="30" t="s">
        <v>39</v>
      </c>
      <c r="BD52" s="30"/>
      <c r="BE52" s="30"/>
      <c r="BF52" s="30"/>
      <c r="BG52" s="30"/>
      <c r="BH52" s="30"/>
      <c r="BI52" s="30"/>
      <c r="BJ52" s="31" t="s">
        <v>53</v>
      </c>
      <c r="BK52" s="31"/>
      <c r="BL52" s="31"/>
      <c r="BM52" s="31"/>
      <c r="BN52" s="31"/>
      <c r="BO52" s="32">
        <v>1</v>
      </c>
      <c r="BP52" s="32"/>
      <c r="BQ52" s="32"/>
      <c r="BR52" s="32"/>
      <c r="BS52" s="32"/>
      <c r="BT52" s="32"/>
      <c r="BU52" s="6">
        <v>1889.37</v>
      </c>
      <c r="BV52" s="7">
        <v>20</v>
      </c>
      <c r="BW52" s="8"/>
      <c r="BX52" s="6">
        <v>2999</v>
      </c>
      <c r="BY52" s="9" t="s">
        <v>205</v>
      </c>
      <c r="BZ52" s="2">
        <v>4065418830881</v>
      </c>
      <c r="CA52" s="9" t="s">
        <v>206</v>
      </c>
      <c r="CB52" s="3" t="s">
        <v>207</v>
      </c>
      <c r="CC52" s="10">
        <v>6505003000</v>
      </c>
      <c r="CD52" s="4" t="s">
        <v>44</v>
      </c>
      <c r="CE52" s="11">
        <v>1889.37</v>
      </c>
    </row>
    <row r="53" spans="2:83" s="1" customFormat="1" ht="29.45" customHeight="1" x14ac:dyDescent="0.2">
      <c r="B53" s="36">
        <v>46</v>
      </c>
      <c r="C53" s="36"/>
      <c r="D53" s="38" t="s">
        <v>201</v>
      </c>
      <c r="E53" s="38"/>
      <c r="F53" s="38"/>
      <c r="G53" s="38"/>
      <c r="H53" s="38"/>
      <c r="I53" s="38"/>
      <c r="J53" s="38"/>
      <c r="K53" s="38" t="s">
        <v>29</v>
      </c>
      <c r="L53" s="38"/>
      <c r="M53" s="38"/>
      <c r="N53" s="38"/>
      <c r="O53" s="38"/>
      <c r="P53" s="38"/>
      <c r="Q53" s="38"/>
      <c r="R53" s="38"/>
      <c r="S53" s="38" t="s">
        <v>93</v>
      </c>
      <c r="T53" s="38"/>
      <c r="U53" s="38"/>
      <c r="V53" s="38"/>
      <c r="W53" s="38"/>
      <c r="X53" s="38"/>
      <c r="Y53" s="38"/>
      <c r="Z53" s="38" t="s">
        <v>31</v>
      </c>
      <c r="AA53" s="38"/>
      <c r="AB53" s="38"/>
      <c r="AC53" s="38"/>
      <c r="AD53" s="38"/>
      <c r="AE53" s="39" t="s">
        <v>32</v>
      </c>
      <c r="AF53" s="39"/>
      <c r="AG53" s="39"/>
      <c r="AH53" s="40" t="s">
        <v>106</v>
      </c>
      <c r="AI53" s="40"/>
      <c r="AJ53" s="40"/>
      <c r="AK53" s="40"/>
      <c r="AL53" s="29" t="s">
        <v>202</v>
      </c>
      <c r="AM53" s="29"/>
      <c r="AN53" s="29"/>
      <c r="AO53" s="29"/>
      <c r="AP53" s="5" t="s">
        <v>35</v>
      </c>
      <c r="AQ53" s="4" t="s">
        <v>36</v>
      </c>
      <c r="AR53" s="40" t="s">
        <v>208</v>
      </c>
      <c r="AS53" s="40"/>
      <c r="AT53" s="40"/>
      <c r="AU53" s="29" t="s">
        <v>204</v>
      </c>
      <c r="AV53" s="29"/>
      <c r="AW53" s="29"/>
      <c r="AX53" s="29"/>
      <c r="AY53" s="29"/>
      <c r="AZ53" s="29"/>
      <c r="BA53" s="29"/>
      <c r="BB53" s="29"/>
      <c r="BC53" s="30" t="s">
        <v>39</v>
      </c>
      <c r="BD53" s="30"/>
      <c r="BE53" s="30"/>
      <c r="BF53" s="30"/>
      <c r="BG53" s="30"/>
      <c r="BH53" s="30"/>
      <c r="BI53" s="30"/>
      <c r="BJ53" s="31" t="s">
        <v>53</v>
      </c>
      <c r="BK53" s="31"/>
      <c r="BL53" s="31"/>
      <c r="BM53" s="31"/>
      <c r="BN53" s="31"/>
      <c r="BO53" s="32">
        <v>2</v>
      </c>
      <c r="BP53" s="32"/>
      <c r="BQ53" s="32"/>
      <c r="BR53" s="32"/>
      <c r="BS53" s="32"/>
      <c r="BT53" s="32"/>
      <c r="BU53" s="6">
        <v>1889.37</v>
      </c>
      <c r="BV53" s="7">
        <v>20</v>
      </c>
      <c r="BW53" s="8"/>
      <c r="BX53" s="6">
        <v>2999</v>
      </c>
      <c r="BY53" s="9" t="s">
        <v>205</v>
      </c>
      <c r="BZ53" s="2">
        <v>4065418830898</v>
      </c>
      <c r="CA53" s="9" t="s">
        <v>206</v>
      </c>
      <c r="CB53" s="3" t="s">
        <v>207</v>
      </c>
      <c r="CC53" s="10">
        <v>6505003000</v>
      </c>
      <c r="CD53" s="4" t="s">
        <v>44</v>
      </c>
      <c r="CE53" s="11">
        <v>3778.74</v>
      </c>
    </row>
    <row r="54" spans="2:83" s="1" customFormat="1" ht="29.45" customHeight="1" x14ac:dyDescent="0.2">
      <c r="B54" s="36">
        <v>47</v>
      </c>
      <c r="C54" s="36"/>
      <c r="D54" s="38" t="s">
        <v>209</v>
      </c>
      <c r="E54" s="38"/>
      <c r="F54" s="38"/>
      <c r="G54" s="38"/>
      <c r="H54" s="38"/>
      <c r="I54" s="38"/>
      <c r="J54" s="38"/>
      <c r="K54" s="38" t="s">
        <v>29</v>
      </c>
      <c r="L54" s="38"/>
      <c r="M54" s="38"/>
      <c r="N54" s="38"/>
      <c r="O54" s="38"/>
      <c r="P54" s="38"/>
      <c r="Q54" s="38"/>
      <c r="R54" s="38"/>
      <c r="S54" s="38" t="s">
        <v>93</v>
      </c>
      <c r="T54" s="38"/>
      <c r="U54" s="38"/>
      <c r="V54" s="38"/>
      <c r="W54" s="38"/>
      <c r="X54" s="38"/>
      <c r="Y54" s="38"/>
      <c r="Z54" s="38" t="s">
        <v>31</v>
      </c>
      <c r="AA54" s="38"/>
      <c r="AB54" s="38"/>
      <c r="AC54" s="38"/>
      <c r="AD54" s="38"/>
      <c r="AE54" s="39" t="s">
        <v>32</v>
      </c>
      <c r="AF54" s="39"/>
      <c r="AG54" s="39"/>
      <c r="AH54" s="40" t="s">
        <v>94</v>
      </c>
      <c r="AI54" s="40"/>
      <c r="AJ54" s="40"/>
      <c r="AK54" s="40"/>
      <c r="AL54" s="29" t="s">
        <v>210</v>
      </c>
      <c r="AM54" s="29"/>
      <c r="AN54" s="29"/>
      <c r="AO54" s="29"/>
      <c r="AP54" s="5" t="s">
        <v>71</v>
      </c>
      <c r="AQ54" s="4" t="s">
        <v>97</v>
      </c>
      <c r="AR54" s="40" t="s">
        <v>51</v>
      </c>
      <c r="AS54" s="40"/>
      <c r="AT54" s="40"/>
      <c r="AU54" s="29" t="s">
        <v>38</v>
      </c>
      <c r="AV54" s="29"/>
      <c r="AW54" s="29"/>
      <c r="AX54" s="29"/>
      <c r="AY54" s="29"/>
      <c r="AZ54" s="29"/>
      <c r="BA54" s="29"/>
      <c r="BB54" s="29"/>
      <c r="BC54" s="30" t="s">
        <v>39</v>
      </c>
      <c r="BD54" s="30"/>
      <c r="BE54" s="30"/>
      <c r="BF54" s="30"/>
      <c r="BG54" s="30"/>
      <c r="BH54" s="30"/>
      <c r="BI54" s="30"/>
      <c r="BJ54" s="31" t="s">
        <v>211</v>
      </c>
      <c r="BK54" s="31"/>
      <c r="BL54" s="31"/>
      <c r="BM54" s="31"/>
      <c r="BN54" s="31"/>
      <c r="BO54" s="32">
        <v>2</v>
      </c>
      <c r="BP54" s="32"/>
      <c r="BQ54" s="32"/>
      <c r="BR54" s="32"/>
      <c r="BS54" s="32"/>
      <c r="BT54" s="32"/>
      <c r="BU54" s="6">
        <v>1979.4</v>
      </c>
      <c r="BV54" s="7">
        <v>20</v>
      </c>
      <c r="BW54" s="8"/>
      <c r="BX54" s="6">
        <v>3299</v>
      </c>
      <c r="BY54" s="9" t="s">
        <v>212</v>
      </c>
      <c r="BZ54" s="13">
        <v>194513881529</v>
      </c>
      <c r="CA54" s="9" t="s">
        <v>99</v>
      </c>
      <c r="CB54" s="3" t="s">
        <v>213</v>
      </c>
      <c r="CC54" s="10">
        <v>6505003000</v>
      </c>
      <c r="CD54" s="4" t="s">
        <v>44</v>
      </c>
      <c r="CE54" s="11">
        <v>3958.8</v>
      </c>
    </row>
    <row r="55" spans="2:83" s="1" customFormat="1" ht="29.45" customHeight="1" x14ac:dyDescent="0.2">
      <c r="B55" s="36">
        <v>48</v>
      </c>
      <c r="C55" s="36"/>
      <c r="D55" s="38" t="s">
        <v>214</v>
      </c>
      <c r="E55" s="38"/>
      <c r="F55" s="38"/>
      <c r="G55" s="38"/>
      <c r="H55" s="38"/>
      <c r="I55" s="38"/>
      <c r="J55" s="38"/>
      <c r="K55" s="38" t="s">
        <v>29</v>
      </c>
      <c r="L55" s="38"/>
      <c r="M55" s="38"/>
      <c r="N55" s="38"/>
      <c r="O55" s="38"/>
      <c r="P55" s="38"/>
      <c r="Q55" s="38"/>
      <c r="R55" s="38"/>
      <c r="S55" s="38" t="s">
        <v>93</v>
      </c>
      <c r="T55" s="38"/>
      <c r="U55" s="38"/>
      <c r="V55" s="38"/>
      <c r="W55" s="38"/>
      <c r="X55" s="38"/>
      <c r="Y55" s="38"/>
      <c r="Z55" s="38" t="s">
        <v>31</v>
      </c>
      <c r="AA55" s="38"/>
      <c r="AB55" s="38"/>
      <c r="AC55" s="38"/>
      <c r="AD55" s="38"/>
      <c r="AE55" s="39" t="s">
        <v>32</v>
      </c>
      <c r="AF55" s="39"/>
      <c r="AG55" s="39"/>
      <c r="AH55" s="40" t="s">
        <v>94</v>
      </c>
      <c r="AI55" s="40"/>
      <c r="AJ55" s="40"/>
      <c r="AK55" s="40"/>
      <c r="AL55" s="29" t="s">
        <v>215</v>
      </c>
      <c r="AM55" s="29"/>
      <c r="AN55" s="29"/>
      <c r="AO55" s="29"/>
      <c r="AP55" s="5" t="s">
        <v>71</v>
      </c>
      <c r="AQ55" s="4" t="s">
        <v>97</v>
      </c>
      <c r="AR55" s="40" t="s">
        <v>51</v>
      </c>
      <c r="AS55" s="40"/>
      <c r="AT55" s="40"/>
      <c r="AU55" s="29" t="s">
        <v>216</v>
      </c>
      <c r="AV55" s="29"/>
      <c r="AW55" s="29"/>
      <c r="AX55" s="29"/>
      <c r="AY55" s="29"/>
      <c r="AZ55" s="29"/>
      <c r="BA55" s="29"/>
      <c r="BB55" s="29"/>
      <c r="BC55" s="30" t="s">
        <v>39</v>
      </c>
      <c r="BD55" s="30"/>
      <c r="BE55" s="30"/>
      <c r="BF55" s="30"/>
      <c r="BG55" s="30"/>
      <c r="BH55" s="30"/>
      <c r="BI55" s="30"/>
      <c r="BJ55" s="31" t="s">
        <v>53</v>
      </c>
      <c r="BK55" s="31"/>
      <c r="BL55" s="31"/>
      <c r="BM55" s="31"/>
      <c r="BN55" s="31"/>
      <c r="BO55" s="32">
        <v>2</v>
      </c>
      <c r="BP55" s="32"/>
      <c r="BQ55" s="32"/>
      <c r="BR55" s="32"/>
      <c r="BS55" s="32"/>
      <c r="BT55" s="32"/>
      <c r="BU55" s="6">
        <v>1379.4</v>
      </c>
      <c r="BV55" s="7">
        <v>20</v>
      </c>
      <c r="BW55" s="8"/>
      <c r="BX55" s="6">
        <v>2299</v>
      </c>
      <c r="BY55" s="9" t="s">
        <v>103</v>
      </c>
      <c r="BZ55" s="13">
        <v>195252623562</v>
      </c>
      <c r="CA55" s="9" t="s">
        <v>217</v>
      </c>
      <c r="CB55" s="3" t="s">
        <v>218</v>
      </c>
      <c r="CC55" s="10">
        <v>6505003000</v>
      </c>
      <c r="CD55" s="4" t="s">
        <v>44</v>
      </c>
      <c r="CE55" s="11">
        <v>2758.8</v>
      </c>
    </row>
    <row r="56" spans="2:83" s="1" customFormat="1" ht="29.45" customHeight="1" x14ac:dyDescent="0.2">
      <c r="B56" s="36">
        <v>49</v>
      </c>
      <c r="C56" s="36"/>
      <c r="D56" s="38" t="s">
        <v>219</v>
      </c>
      <c r="E56" s="38"/>
      <c r="F56" s="38"/>
      <c r="G56" s="38"/>
      <c r="H56" s="38"/>
      <c r="I56" s="38"/>
      <c r="J56" s="38"/>
      <c r="K56" s="38" t="s">
        <v>29</v>
      </c>
      <c r="L56" s="38"/>
      <c r="M56" s="38"/>
      <c r="N56" s="38"/>
      <c r="O56" s="38"/>
      <c r="P56" s="38"/>
      <c r="Q56" s="38"/>
      <c r="R56" s="38"/>
      <c r="S56" s="38" t="s">
        <v>220</v>
      </c>
      <c r="T56" s="38"/>
      <c r="U56" s="38"/>
      <c r="V56" s="38"/>
      <c r="W56" s="38"/>
      <c r="X56" s="38"/>
      <c r="Y56" s="38"/>
      <c r="Z56" s="38" t="s">
        <v>31</v>
      </c>
      <c r="AA56" s="38"/>
      <c r="AB56" s="38"/>
      <c r="AC56" s="38"/>
      <c r="AD56" s="38"/>
      <c r="AE56" s="39" t="s">
        <v>32</v>
      </c>
      <c r="AF56" s="39"/>
      <c r="AG56" s="39"/>
      <c r="AH56" s="40" t="s">
        <v>94</v>
      </c>
      <c r="AI56" s="40"/>
      <c r="AJ56" s="40"/>
      <c r="AK56" s="40"/>
      <c r="AL56" s="29" t="s">
        <v>221</v>
      </c>
      <c r="AM56" s="29"/>
      <c r="AN56" s="29"/>
      <c r="AO56" s="29"/>
      <c r="AP56" s="5" t="s">
        <v>96</v>
      </c>
      <c r="AQ56" s="4" t="s">
        <v>222</v>
      </c>
      <c r="AR56" s="40" t="s">
        <v>223</v>
      </c>
      <c r="AS56" s="40"/>
      <c r="AT56" s="40"/>
      <c r="AU56" s="29" t="s">
        <v>198</v>
      </c>
      <c r="AV56" s="29"/>
      <c r="AW56" s="29"/>
      <c r="AX56" s="29"/>
      <c r="AY56" s="29"/>
      <c r="AZ56" s="29"/>
      <c r="BA56" s="29"/>
      <c r="BB56" s="29"/>
      <c r="BC56" s="30" t="s">
        <v>39</v>
      </c>
      <c r="BD56" s="30"/>
      <c r="BE56" s="30"/>
      <c r="BF56" s="30"/>
      <c r="BG56" s="30"/>
      <c r="BH56" s="30"/>
      <c r="BI56" s="30"/>
      <c r="BJ56" s="31" t="s">
        <v>53</v>
      </c>
      <c r="BK56" s="31"/>
      <c r="BL56" s="31"/>
      <c r="BM56" s="31"/>
      <c r="BN56" s="31"/>
      <c r="BO56" s="32">
        <v>3</v>
      </c>
      <c r="BP56" s="32"/>
      <c r="BQ56" s="32"/>
      <c r="BR56" s="32"/>
      <c r="BS56" s="32"/>
      <c r="BT56" s="32"/>
      <c r="BU56" s="6">
        <v>1979.4</v>
      </c>
      <c r="BV56" s="7">
        <v>20</v>
      </c>
      <c r="BW56" s="8"/>
      <c r="BX56" s="6">
        <v>3299</v>
      </c>
      <c r="BY56" s="9" t="s">
        <v>103</v>
      </c>
      <c r="BZ56" s="13">
        <v>195252628642</v>
      </c>
      <c r="CA56" s="9" t="s">
        <v>99</v>
      </c>
      <c r="CB56" s="3" t="s">
        <v>224</v>
      </c>
      <c r="CC56" s="10">
        <v>6505003000</v>
      </c>
      <c r="CD56" s="4" t="s">
        <v>44</v>
      </c>
      <c r="CE56" s="11">
        <v>5938.2</v>
      </c>
    </row>
    <row r="57" spans="2:83" s="1" customFormat="1" ht="29.45" customHeight="1" x14ac:dyDescent="0.2">
      <c r="B57" s="36">
        <v>50</v>
      </c>
      <c r="C57" s="36"/>
      <c r="D57" s="37">
        <v>2241675</v>
      </c>
      <c r="E57" s="37"/>
      <c r="F57" s="37"/>
      <c r="G57" s="37"/>
      <c r="H57" s="37"/>
      <c r="I57" s="37"/>
      <c r="J57" s="37"/>
      <c r="K57" s="38" t="s">
        <v>29</v>
      </c>
      <c r="L57" s="38"/>
      <c r="M57" s="38"/>
      <c r="N57" s="38"/>
      <c r="O57" s="38"/>
      <c r="P57" s="38"/>
      <c r="Q57" s="38"/>
      <c r="R57" s="38"/>
      <c r="S57" s="38" t="s">
        <v>30</v>
      </c>
      <c r="T57" s="38"/>
      <c r="U57" s="38"/>
      <c r="V57" s="38"/>
      <c r="W57" s="38"/>
      <c r="X57" s="38"/>
      <c r="Y57" s="38"/>
      <c r="Z57" s="38" t="s">
        <v>31</v>
      </c>
      <c r="AA57" s="38"/>
      <c r="AB57" s="38"/>
      <c r="AC57" s="38"/>
      <c r="AD57" s="38"/>
      <c r="AE57" s="39" t="s">
        <v>60</v>
      </c>
      <c r="AF57" s="39"/>
      <c r="AG57" s="39"/>
      <c r="AH57" s="40" t="s">
        <v>33</v>
      </c>
      <c r="AI57" s="40"/>
      <c r="AJ57" s="40"/>
      <c r="AK57" s="40"/>
      <c r="AL57" s="29" t="s">
        <v>127</v>
      </c>
      <c r="AM57" s="29"/>
      <c r="AN57" s="29"/>
      <c r="AO57" s="29"/>
      <c r="AP57" s="5" t="s">
        <v>71</v>
      </c>
      <c r="AQ57" s="4" t="s">
        <v>128</v>
      </c>
      <c r="AR57" s="40" t="s">
        <v>129</v>
      </c>
      <c r="AS57" s="40"/>
      <c r="AT57" s="40"/>
      <c r="AU57" s="29" t="s">
        <v>52</v>
      </c>
      <c r="AV57" s="29"/>
      <c r="AW57" s="29"/>
      <c r="AX57" s="29"/>
      <c r="AY57" s="29"/>
      <c r="AZ57" s="29"/>
      <c r="BA57" s="29"/>
      <c r="BB57" s="29"/>
      <c r="BC57" s="30" t="s">
        <v>39</v>
      </c>
      <c r="BD57" s="30"/>
      <c r="BE57" s="30"/>
      <c r="BF57" s="30"/>
      <c r="BG57" s="30"/>
      <c r="BH57" s="30"/>
      <c r="BI57" s="30"/>
      <c r="BJ57" s="31" t="s">
        <v>130</v>
      </c>
      <c r="BK57" s="31"/>
      <c r="BL57" s="31"/>
      <c r="BM57" s="31"/>
      <c r="BN57" s="31"/>
      <c r="BO57" s="32">
        <v>3</v>
      </c>
      <c r="BP57" s="32"/>
      <c r="BQ57" s="32"/>
      <c r="BR57" s="32"/>
      <c r="BS57" s="32"/>
      <c r="BT57" s="32"/>
      <c r="BU57" s="12">
        <v>894</v>
      </c>
      <c r="BV57" s="7">
        <v>20</v>
      </c>
      <c r="BW57" s="8"/>
      <c r="BX57" s="6">
        <v>1490</v>
      </c>
      <c r="BY57" s="9" t="s">
        <v>131</v>
      </c>
      <c r="BZ57" s="2">
        <v>4064536411552</v>
      </c>
      <c r="CA57" s="9" t="s">
        <v>225</v>
      </c>
      <c r="CB57" s="3" t="s">
        <v>226</v>
      </c>
      <c r="CC57" s="10">
        <v>6505003000</v>
      </c>
      <c r="CD57" s="4" t="s">
        <v>44</v>
      </c>
      <c r="CE57" s="11">
        <v>2682</v>
      </c>
    </row>
    <row r="58" spans="2:83" s="1" customFormat="1" ht="29.45" customHeight="1" x14ac:dyDescent="0.2">
      <c r="B58" s="36">
        <v>51</v>
      </c>
      <c r="C58" s="36"/>
      <c r="D58" s="37">
        <v>2241678</v>
      </c>
      <c r="E58" s="37"/>
      <c r="F58" s="37"/>
      <c r="G58" s="37"/>
      <c r="H58" s="37"/>
      <c r="I58" s="37"/>
      <c r="J58" s="37"/>
      <c r="K58" s="38" t="s">
        <v>29</v>
      </c>
      <c r="L58" s="38"/>
      <c r="M58" s="38"/>
      <c r="N58" s="38"/>
      <c r="O58" s="38"/>
      <c r="P58" s="38"/>
      <c r="Q58" s="38"/>
      <c r="R58" s="38"/>
      <c r="S58" s="38" t="s">
        <v>30</v>
      </c>
      <c r="T58" s="38"/>
      <c r="U58" s="38"/>
      <c r="V58" s="38"/>
      <c r="W58" s="38"/>
      <c r="X58" s="38"/>
      <c r="Y58" s="38"/>
      <c r="Z58" s="38" t="s">
        <v>31</v>
      </c>
      <c r="AA58" s="38"/>
      <c r="AB58" s="38"/>
      <c r="AC58" s="38"/>
      <c r="AD58" s="38"/>
      <c r="AE58" s="39" t="s">
        <v>60</v>
      </c>
      <c r="AF58" s="39"/>
      <c r="AG58" s="39"/>
      <c r="AH58" s="40" t="s">
        <v>33</v>
      </c>
      <c r="AI58" s="40"/>
      <c r="AJ58" s="40"/>
      <c r="AK58" s="40"/>
      <c r="AL58" s="29" t="s">
        <v>127</v>
      </c>
      <c r="AM58" s="29"/>
      <c r="AN58" s="29"/>
      <c r="AO58" s="29"/>
      <c r="AP58" s="5" t="s">
        <v>148</v>
      </c>
      <c r="AQ58" s="4" t="s">
        <v>128</v>
      </c>
      <c r="AR58" s="40" t="s">
        <v>129</v>
      </c>
      <c r="AS58" s="40"/>
      <c r="AT58" s="40"/>
      <c r="AU58" s="29" t="s">
        <v>52</v>
      </c>
      <c r="AV58" s="29"/>
      <c r="AW58" s="29"/>
      <c r="AX58" s="29"/>
      <c r="AY58" s="29"/>
      <c r="AZ58" s="29"/>
      <c r="BA58" s="29"/>
      <c r="BB58" s="29"/>
      <c r="BC58" s="30" t="s">
        <v>39</v>
      </c>
      <c r="BD58" s="30"/>
      <c r="BE58" s="30"/>
      <c r="BF58" s="30"/>
      <c r="BG58" s="30"/>
      <c r="BH58" s="30"/>
      <c r="BI58" s="30"/>
      <c r="BJ58" s="31" t="s">
        <v>130</v>
      </c>
      <c r="BK58" s="31"/>
      <c r="BL58" s="31"/>
      <c r="BM58" s="31"/>
      <c r="BN58" s="31"/>
      <c r="BO58" s="32">
        <v>3</v>
      </c>
      <c r="BP58" s="32"/>
      <c r="BQ58" s="32"/>
      <c r="BR58" s="32"/>
      <c r="BS58" s="32"/>
      <c r="BT58" s="32"/>
      <c r="BU58" s="12">
        <v>894</v>
      </c>
      <c r="BV58" s="7">
        <v>20</v>
      </c>
      <c r="BW58" s="8"/>
      <c r="BX58" s="6">
        <v>1490</v>
      </c>
      <c r="BY58" s="9" t="s">
        <v>131</v>
      </c>
      <c r="BZ58" s="2">
        <v>4064536406602</v>
      </c>
      <c r="CA58" s="9" t="s">
        <v>225</v>
      </c>
      <c r="CB58" s="3" t="s">
        <v>227</v>
      </c>
      <c r="CC58" s="10">
        <v>6505003000</v>
      </c>
      <c r="CD58" s="4" t="s">
        <v>44</v>
      </c>
      <c r="CE58" s="11">
        <v>2682</v>
      </c>
    </row>
    <row r="59" spans="2:83" s="1" customFormat="1" ht="29.45" customHeight="1" x14ac:dyDescent="0.2">
      <c r="B59" s="36">
        <v>52</v>
      </c>
      <c r="C59" s="36"/>
      <c r="D59" s="37">
        <v>2241679</v>
      </c>
      <c r="E59" s="37"/>
      <c r="F59" s="37"/>
      <c r="G59" s="37"/>
      <c r="H59" s="37"/>
      <c r="I59" s="37"/>
      <c r="J59" s="37"/>
      <c r="K59" s="38" t="s">
        <v>29</v>
      </c>
      <c r="L59" s="38"/>
      <c r="M59" s="38"/>
      <c r="N59" s="38"/>
      <c r="O59" s="38"/>
      <c r="P59" s="38"/>
      <c r="Q59" s="38"/>
      <c r="R59" s="38"/>
      <c r="S59" s="38" t="s">
        <v>30</v>
      </c>
      <c r="T59" s="38"/>
      <c r="U59" s="38"/>
      <c r="V59" s="38"/>
      <c r="W59" s="38"/>
      <c r="X59" s="38"/>
      <c r="Y59" s="38"/>
      <c r="Z59" s="38" t="s">
        <v>31</v>
      </c>
      <c r="AA59" s="38"/>
      <c r="AB59" s="38"/>
      <c r="AC59" s="38"/>
      <c r="AD59" s="38"/>
      <c r="AE59" s="39" t="s">
        <v>60</v>
      </c>
      <c r="AF59" s="39"/>
      <c r="AG59" s="39"/>
      <c r="AH59" s="40" t="s">
        <v>33</v>
      </c>
      <c r="AI59" s="40"/>
      <c r="AJ59" s="40"/>
      <c r="AK59" s="40"/>
      <c r="AL59" s="29" t="s">
        <v>127</v>
      </c>
      <c r="AM59" s="29"/>
      <c r="AN59" s="29"/>
      <c r="AO59" s="29"/>
      <c r="AP59" s="5" t="s">
        <v>173</v>
      </c>
      <c r="AQ59" s="4" t="s">
        <v>128</v>
      </c>
      <c r="AR59" s="40" t="s">
        <v>129</v>
      </c>
      <c r="AS59" s="40"/>
      <c r="AT59" s="40"/>
      <c r="AU59" s="29" t="s">
        <v>52</v>
      </c>
      <c r="AV59" s="29"/>
      <c r="AW59" s="29"/>
      <c r="AX59" s="29"/>
      <c r="AY59" s="29"/>
      <c r="AZ59" s="29"/>
      <c r="BA59" s="29"/>
      <c r="BB59" s="29"/>
      <c r="BC59" s="30" t="s">
        <v>39</v>
      </c>
      <c r="BD59" s="30"/>
      <c r="BE59" s="30"/>
      <c r="BF59" s="30"/>
      <c r="BG59" s="30"/>
      <c r="BH59" s="30"/>
      <c r="BI59" s="30"/>
      <c r="BJ59" s="31" t="s">
        <v>130</v>
      </c>
      <c r="BK59" s="31"/>
      <c r="BL59" s="31"/>
      <c r="BM59" s="31"/>
      <c r="BN59" s="31"/>
      <c r="BO59" s="32">
        <v>3</v>
      </c>
      <c r="BP59" s="32"/>
      <c r="BQ59" s="32"/>
      <c r="BR59" s="32"/>
      <c r="BS59" s="32"/>
      <c r="BT59" s="32"/>
      <c r="BU59" s="12">
        <v>894</v>
      </c>
      <c r="BV59" s="7">
        <v>20</v>
      </c>
      <c r="BW59" s="8"/>
      <c r="BX59" s="6">
        <v>1490</v>
      </c>
      <c r="BY59" s="9" t="s">
        <v>131</v>
      </c>
      <c r="BZ59" s="2">
        <v>4064536417097</v>
      </c>
      <c r="CA59" s="9" t="s">
        <v>225</v>
      </c>
      <c r="CB59" s="3" t="s">
        <v>228</v>
      </c>
      <c r="CC59" s="10">
        <v>6505003000</v>
      </c>
      <c r="CD59" s="4" t="s">
        <v>44</v>
      </c>
      <c r="CE59" s="11">
        <v>2682</v>
      </c>
    </row>
    <row r="60" spans="2:83" s="1" customFormat="1" ht="29.45" customHeight="1" x14ac:dyDescent="0.2">
      <c r="B60" s="36">
        <v>53</v>
      </c>
      <c r="C60" s="36"/>
      <c r="D60" s="37">
        <v>2255417</v>
      </c>
      <c r="E60" s="37"/>
      <c r="F60" s="37"/>
      <c r="G60" s="37"/>
      <c r="H60" s="37"/>
      <c r="I60" s="37"/>
      <c r="J60" s="37"/>
      <c r="K60" s="38" t="s">
        <v>29</v>
      </c>
      <c r="L60" s="38"/>
      <c r="M60" s="38"/>
      <c r="N60" s="38"/>
      <c r="O60" s="38"/>
      <c r="P60" s="38"/>
      <c r="Q60" s="38"/>
      <c r="R60" s="38"/>
      <c r="S60" s="38" t="s">
        <v>30</v>
      </c>
      <c r="T60" s="38"/>
      <c r="U60" s="38"/>
      <c r="V60" s="38"/>
      <c r="W60" s="38"/>
      <c r="X60" s="38"/>
      <c r="Y60" s="38"/>
      <c r="Z60" s="38" t="s">
        <v>31</v>
      </c>
      <c r="AA60" s="38"/>
      <c r="AB60" s="38"/>
      <c r="AC60" s="38"/>
      <c r="AD60" s="38"/>
      <c r="AE60" s="39" t="s">
        <v>60</v>
      </c>
      <c r="AF60" s="39"/>
      <c r="AG60" s="39"/>
      <c r="AH60" s="40" t="s">
        <v>33</v>
      </c>
      <c r="AI60" s="40"/>
      <c r="AJ60" s="40"/>
      <c r="AK60" s="40"/>
      <c r="AL60" s="29" t="s">
        <v>229</v>
      </c>
      <c r="AM60" s="29"/>
      <c r="AN60" s="29"/>
      <c r="AO60" s="29"/>
      <c r="AP60" s="5" t="s">
        <v>45</v>
      </c>
      <c r="AQ60" s="4" t="s">
        <v>128</v>
      </c>
      <c r="AR60" s="40" t="s">
        <v>129</v>
      </c>
      <c r="AS60" s="40"/>
      <c r="AT60" s="40"/>
      <c r="AU60" s="29" t="s">
        <v>52</v>
      </c>
      <c r="AV60" s="29"/>
      <c r="AW60" s="29"/>
      <c r="AX60" s="29"/>
      <c r="AY60" s="29"/>
      <c r="AZ60" s="29"/>
      <c r="BA60" s="29"/>
      <c r="BB60" s="29"/>
      <c r="BC60" s="30" t="s">
        <v>39</v>
      </c>
      <c r="BD60" s="30"/>
      <c r="BE60" s="30"/>
      <c r="BF60" s="30"/>
      <c r="BG60" s="30"/>
      <c r="BH60" s="30"/>
      <c r="BI60" s="30"/>
      <c r="BJ60" s="31" t="s">
        <v>130</v>
      </c>
      <c r="BK60" s="31"/>
      <c r="BL60" s="31"/>
      <c r="BM60" s="31"/>
      <c r="BN60" s="31"/>
      <c r="BO60" s="32">
        <v>3</v>
      </c>
      <c r="BP60" s="32"/>
      <c r="BQ60" s="32"/>
      <c r="BR60" s="32"/>
      <c r="BS60" s="32"/>
      <c r="BT60" s="32"/>
      <c r="BU60" s="6">
        <v>1494</v>
      </c>
      <c r="BV60" s="7">
        <v>20</v>
      </c>
      <c r="BW60" s="8"/>
      <c r="BX60" s="6">
        <v>2490</v>
      </c>
      <c r="BY60" s="9" t="s">
        <v>131</v>
      </c>
      <c r="BZ60" s="2">
        <v>4064536406701</v>
      </c>
      <c r="CA60" s="9" t="s">
        <v>230</v>
      </c>
      <c r="CB60" s="3" t="s">
        <v>231</v>
      </c>
      <c r="CC60" s="10">
        <v>6505003000</v>
      </c>
      <c r="CD60" s="4" t="s">
        <v>44</v>
      </c>
      <c r="CE60" s="11">
        <v>4482</v>
      </c>
    </row>
    <row r="61" spans="2:83" s="1" customFormat="1" ht="29.45" customHeight="1" x14ac:dyDescent="0.2">
      <c r="B61" s="36">
        <v>54</v>
      </c>
      <c r="C61" s="36"/>
      <c r="D61" s="37">
        <v>2342801</v>
      </c>
      <c r="E61" s="37"/>
      <c r="F61" s="37"/>
      <c r="G61" s="37"/>
      <c r="H61" s="37"/>
      <c r="I61" s="37"/>
      <c r="J61" s="37"/>
      <c r="K61" s="38" t="s">
        <v>29</v>
      </c>
      <c r="L61" s="38"/>
      <c r="M61" s="38"/>
      <c r="N61" s="38"/>
      <c r="O61" s="38"/>
      <c r="P61" s="38"/>
      <c r="Q61" s="38"/>
      <c r="R61" s="38"/>
      <c r="S61" s="38" t="s">
        <v>30</v>
      </c>
      <c r="T61" s="38"/>
      <c r="U61" s="38"/>
      <c r="V61" s="38"/>
      <c r="W61" s="38"/>
      <c r="X61" s="38"/>
      <c r="Y61" s="38"/>
      <c r="Z61" s="38" t="s">
        <v>31</v>
      </c>
      <c r="AA61" s="38"/>
      <c r="AB61" s="38"/>
      <c r="AC61" s="38"/>
      <c r="AD61" s="38"/>
      <c r="AE61" s="39" t="s">
        <v>60</v>
      </c>
      <c r="AF61" s="39"/>
      <c r="AG61" s="39"/>
      <c r="AH61" s="40" t="s">
        <v>33</v>
      </c>
      <c r="AI61" s="40"/>
      <c r="AJ61" s="40"/>
      <c r="AK61" s="40"/>
      <c r="AL61" s="29" t="s">
        <v>232</v>
      </c>
      <c r="AM61" s="29"/>
      <c r="AN61" s="29"/>
      <c r="AO61" s="29"/>
      <c r="AP61" s="5" t="s">
        <v>35</v>
      </c>
      <c r="AQ61" s="4" t="s">
        <v>128</v>
      </c>
      <c r="AR61" s="40" t="s">
        <v>37</v>
      </c>
      <c r="AS61" s="40"/>
      <c r="AT61" s="40"/>
      <c r="AU61" s="29" t="s">
        <v>38</v>
      </c>
      <c r="AV61" s="29"/>
      <c r="AW61" s="29"/>
      <c r="AX61" s="29"/>
      <c r="AY61" s="29"/>
      <c r="AZ61" s="29"/>
      <c r="BA61" s="29"/>
      <c r="BB61" s="29"/>
      <c r="BC61" s="30" t="s">
        <v>39</v>
      </c>
      <c r="BD61" s="30"/>
      <c r="BE61" s="30"/>
      <c r="BF61" s="30"/>
      <c r="BG61" s="30"/>
      <c r="BH61" s="30"/>
      <c r="BI61" s="30"/>
      <c r="BJ61" s="31" t="s">
        <v>53</v>
      </c>
      <c r="BK61" s="31"/>
      <c r="BL61" s="31"/>
      <c r="BM61" s="31"/>
      <c r="BN61" s="31"/>
      <c r="BO61" s="32">
        <v>1</v>
      </c>
      <c r="BP61" s="32"/>
      <c r="BQ61" s="32"/>
      <c r="BR61" s="32"/>
      <c r="BS61" s="32"/>
      <c r="BT61" s="32"/>
      <c r="BU61" s="6">
        <v>1314</v>
      </c>
      <c r="BV61" s="7">
        <v>20</v>
      </c>
      <c r="BW61" s="8"/>
      <c r="BX61" s="6">
        <v>2190</v>
      </c>
      <c r="BY61" s="9" t="s">
        <v>135</v>
      </c>
      <c r="BZ61" s="2">
        <v>4064533036277</v>
      </c>
      <c r="CA61" s="9" t="s">
        <v>233</v>
      </c>
      <c r="CB61" s="3" t="s">
        <v>234</v>
      </c>
      <c r="CC61" s="10">
        <v>6505003000</v>
      </c>
      <c r="CD61" s="4" t="s">
        <v>44</v>
      </c>
      <c r="CE61" s="11">
        <v>1314</v>
      </c>
    </row>
    <row r="62" spans="2:83" s="1" customFormat="1" ht="29.45" customHeight="1" x14ac:dyDescent="0.2">
      <c r="B62" s="36">
        <v>55</v>
      </c>
      <c r="C62" s="36"/>
      <c r="D62" s="37">
        <v>2343801</v>
      </c>
      <c r="E62" s="37"/>
      <c r="F62" s="37"/>
      <c r="G62" s="37"/>
      <c r="H62" s="37"/>
      <c r="I62" s="37"/>
      <c r="J62" s="37"/>
      <c r="K62" s="38" t="s">
        <v>29</v>
      </c>
      <c r="L62" s="38"/>
      <c r="M62" s="38"/>
      <c r="N62" s="38"/>
      <c r="O62" s="38"/>
      <c r="P62" s="38"/>
      <c r="Q62" s="38"/>
      <c r="R62" s="38"/>
      <c r="S62" s="38" t="s">
        <v>30</v>
      </c>
      <c r="T62" s="38"/>
      <c r="U62" s="38"/>
      <c r="V62" s="38"/>
      <c r="W62" s="38"/>
      <c r="X62" s="38"/>
      <c r="Y62" s="38"/>
      <c r="Z62" s="38" t="s">
        <v>31</v>
      </c>
      <c r="AA62" s="38"/>
      <c r="AB62" s="38"/>
      <c r="AC62" s="38"/>
      <c r="AD62" s="38"/>
      <c r="AE62" s="39" t="s">
        <v>60</v>
      </c>
      <c r="AF62" s="39"/>
      <c r="AG62" s="39"/>
      <c r="AH62" s="40" t="s">
        <v>33</v>
      </c>
      <c r="AI62" s="40"/>
      <c r="AJ62" s="40"/>
      <c r="AK62" s="40"/>
      <c r="AL62" s="29" t="s">
        <v>235</v>
      </c>
      <c r="AM62" s="29"/>
      <c r="AN62" s="29"/>
      <c r="AO62" s="29"/>
      <c r="AP62" s="5" t="s">
        <v>35</v>
      </c>
      <c r="AQ62" s="4" t="s">
        <v>128</v>
      </c>
      <c r="AR62" s="40" t="s">
        <v>129</v>
      </c>
      <c r="AS62" s="40"/>
      <c r="AT62" s="40"/>
      <c r="AU62" s="29" t="s">
        <v>236</v>
      </c>
      <c r="AV62" s="29"/>
      <c r="AW62" s="29"/>
      <c r="AX62" s="29"/>
      <c r="AY62" s="29"/>
      <c r="AZ62" s="29"/>
      <c r="BA62" s="29"/>
      <c r="BB62" s="29"/>
      <c r="BC62" s="30" t="s">
        <v>39</v>
      </c>
      <c r="BD62" s="30"/>
      <c r="BE62" s="30"/>
      <c r="BF62" s="30"/>
      <c r="BG62" s="30"/>
      <c r="BH62" s="30"/>
      <c r="BI62" s="30"/>
      <c r="BJ62" s="31" t="s">
        <v>53</v>
      </c>
      <c r="BK62" s="31"/>
      <c r="BL62" s="31"/>
      <c r="BM62" s="31"/>
      <c r="BN62" s="31"/>
      <c r="BO62" s="32">
        <v>5</v>
      </c>
      <c r="BP62" s="32"/>
      <c r="BQ62" s="32"/>
      <c r="BR62" s="32"/>
      <c r="BS62" s="32"/>
      <c r="BT62" s="32"/>
      <c r="BU62" s="6">
        <v>1794</v>
      </c>
      <c r="BV62" s="7">
        <v>20</v>
      </c>
      <c r="BW62" s="8"/>
      <c r="BX62" s="6">
        <v>2990</v>
      </c>
      <c r="BY62" s="9" t="s">
        <v>135</v>
      </c>
      <c r="BZ62" s="2">
        <v>4064533036642</v>
      </c>
      <c r="CA62" s="9" t="s">
        <v>237</v>
      </c>
      <c r="CB62" s="3" t="s">
        <v>238</v>
      </c>
      <c r="CC62" s="10">
        <v>6505003000</v>
      </c>
      <c r="CD62" s="4" t="s">
        <v>44</v>
      </c>
      <c r="CE62" s="11">
        <v>8970</v>
      </c>
    </row>
    <row r="63" spans="2:83" s="1" customFormat="1" ht="29.45" customHeight="1" x14ac:dyDescent="0.2">
      <c r="B63" s="36">
        <v>56</v>
      </c>
      <c r="C63" s="36"/>
      <c r="D63" s="37">
        <v>2343805</v>
      </c>
      <c r="E63" s="37"/>
      <c r="F63" s="37"/>
      <c r="G63" s="37"/>
      <c r="H63" s="37"/>
      <c r="I63" s="37"/>
      <c r="J63" s="37"/>
      <c r="K63" s="38" t="s">
        <v>29</v>
      </c>
      <c r="L63" s="38"/>
      <c r="M63" s="38"/>
      <c r="N63" s="38"/>
      <c r="O63" s="38"/>
      <c r="P63" s="38"/>
      <c r="Q63" s="38"/>
      <c r="R63" s="38"/>
      <c r="S63" s="38" t="s">
        <v>30</v>
      </c>
      <c r="T63" s="38"/>
      <c r="U63" s="38"/>
      <c r="V63" s="38"/>
      <c r="W63" s="38"/>
      <c r="X63" s="38"/>
      <c r="Y63" s="38"/>
      <c r="Z63" s="38" t="s">
        <v>31</v>
      </c>
      <c r="AA63" s="38"/>
      <c r="AB63" s="38"/>
      <c r="AC63" s="38"/>
      <c r="AD63" s="38"/>
      <c r="AE63" s="39" t="s">
        <v>60</v>
      </c>
      <c r="AF63" s="39"/>
      <c r="AG63" s="39"/>
      <c r="AH63" s="40" t="s">
        <v>33</v>
      </c>
      <c r="AI63" s="40"/>
      <c r="AJ63" s="40"/>
      <c r="AK63" s="40"/>
      <c r="AL63" s="29" t="s">
        <v>235</v>
      </c>
      <c r="AM63" s="29"/>
      <c r="AN63" s="29"/>
      <c r="AO63" s="29"/>
      <c r="AP63" s="5" t="s">
        <v>148</v>
      </c>
      <c r="AQ63" s="4" t="s">
        <v>128</v>
      </c>
      <c r="AR63" s="40" t="s">
        <v>129</v>
      </c>
      <c r="AS63" s="40"/>
      <c r="AT63" s="40"/>
      <c r="AU63" s="29" t="s">
        <v>239</v>
      </c>
      <c r="AV63" s="29"/>
      <c r="AW63" s="29"/>
      <c r="AX63" s="29"/>
      <c r="AY63" s="29"/>
      <c r="AZ63" s="29"/>
      <c r="BA63" s="29"/>
      <c r="BB63" s="29"/>
      <c r="BC63" s="30" t="s">
        <v>39</v>
      </c>
      <c r="BD63" s="30"/>
      <c r="BE63" s="30"/>
      <c r="BF63" s="30"/>
      <c r="BG63" s="30"/>
      <c r="BH63" s="30"/>
      <c r="BI63" s="30"/>
      <c r="BJ63" s="31" t="s">
        <v>53</v>
      </c>
      <c r="BK63" s="31"/>
      <c r="BL63" s="31"/>
      <c r="BM63" s="31"/>
      <c r="BN63" s="31"/>
      <c r="BO63" s="32">
        <v>3</v>
      </c>
      <c r="BP63" s="32"/>
      <c r="BQ63" s="32"/>
      <c r="BR63" s="32"/>
      <c r="BS63" s="32"/>
      <c r="BT63" s="32"/>
      <c r="BU63" s="6">
        <v>1794</v>
      </c>
      <c r="BV63" s="7">
        <v>20</v>
      </c>
      <c r="BW63" s="8"/>
      <c r="BX63" s="6">
        <v>2990</v>
      </c>
      <c r="BY63" s="9" t="s">
        <v>135</v>
      </c>
      <c r="BZ63" s="2">
        <v>4064536411781</v>
      </c>
      <c r="CA63" s="9" t="s">
        <v>237</v>
      </c>
      <c r="CB63" s="3" t="s">
        <v>240</v>
      </c>
      <c r="CC63" s="10">
        <v>6505003000</v>
      </c>
      <c r="CD63" s="4" t="s">
        <v>44</v>
      </c>
      <c r="CE63" s="11">
        <v>5382</v>
      </c>
    </row>
    <row r="64" spans="2:83" s="1" customFormat="1" ht="29.45" customHeight="1" x14ac:dyDescent="0.2">
      <c r="B64" s="36">
        <v>57</v>
      </c>
      <c r="C64" s="36"/>
      <c r="D64" s="37">
        <v>2366901</v>
      </c>
      <c r="E64" s="37"/>
      <c r="F64" s="37"/>
      <c r="G64" s="37"/>
      <c r="H64" s="37"/>
      <c r="I64" s="37"/>
      <c r="J64" s="37"/>
      <c r="K64" s="38" t="s">
        <v>29</v>
      </c>
      <c r="L64" s="38"/>
      <c r="M64" s="38"/>
      <c r="N64" s="38"/>
      <c r="O64" s="38"/>
      <c r="P64" s="38"/>
      <c r="Q64" s="38"/>
      <c r="R64" s="38"/>
      <c r="S64" s="38" t="s">
        <v>30</v>
      </c>
      <c r="T64" s="38"/>
      <c r="U64" s="38"/>
      <c r="V64" s="38"/>
      <c r="W64" s="38"/>
      <c r="X64" s="38"/>
      <c r="Y64" s="38"/>
      <c r="Z64" s="38" t="s">
        <v>31</v>
      </c>
      <c r="AA64" s="38"/>
      <c r="AB64" s="38"/>
      <c r="AC64" s="38"/>
      <c r="AD64" s="38"/>
      <c r="AE64" s="39" t="s">
        <v>60</v>
      </c>
      <c r="AF64" s="39"/>
      <c r="AG64" s="39"/>
      <c r="AH64" s="40" t="s">
        <v>33</v>
      </c>
      <c r="AI64" s="40"/>
      <c r="AJ64" s="40"/>
      <c r="AK64" s="40"/>
      <c r="AL64" s="29" t="s">
        <v>241</v>
      </c>
      <c r="AM64" s="29"/>
      <c r="AN64" s="29"/>
      <c r="AO64" s="29"/>
      <c r="AP64" s="5" t="s">
        <v>35</v>
      </c>
      <c r="AQ64" s="4" t="s">
        <v>128</v>
      </c>
      <c r="AR64" s="40" t="s">
        <v>37</v>
      </c>
      <c r="AS64" s="40"/>
      <c r="AT64" s="40"/>
      <c r="AU64" s="29" t="s">
        <v>52</v>
      </c>
      <c r="AV64" s="29"/>
      <c r="AW64" s="29"/>
      <c r="AX64" s="29"/>
      <c r="AY64" s="29"/>
      <c r="AZ64" s="29"/>
      <c r="BA64" s="29"/>
      <c r="BB64" s="29"/>
      <c r="BC64" s="30" t="s">
        <v>39</v>
      </c>
      <c r="BD64" s="30"/>
      <c r="BE64" s="30"/>
      <c r="BF64" s="30"/>
      <c r="BG64" s="30"/>
      <c r="BH64" s="30"/>
      <c r="BI64" s="30"/>
      <c r="BJ64" s="31" t="s">
        <v>130</v>
      </c>
      <c r="BK64" s="31"/>
      <c r="BL64" s="31"/>
      <c r="BM64" s="31"/>
      <c r="BN64" s="31"/>
      <c r="BO64" s="32">
        <v>3</v>
      </c>
      <c r="BP64" s="32"/>
      <c r="BQ64" s="32"/>
      <c r="BR64" s="32"/>
      <c r="BS64" s="32"/>
      <c r="BT64" s="32"/>
      <c r="BU64" s="12">
        <v>894</v>
      </c>
      <c r="BV64" s="7">
        <v>20</v>
      </c>
      <c r="BW64" s="8"/>
      <c r="BX64" s="6">
        <v>1490</v>
      </c>
      <c r="BY64" s="9" t="s">
        <v>131</v>
      </c>
      <c r="BZ64" s="2">
        <v>4064536412269</v>
      </c>
      <c r="CA64" s="9" t="s">
        <v>242</v>
      </c>
      <c r="CB64" s="3" t="s">
        <v>243</v>
      </c>
      <c r="CC64" s="10">
        <v>6505003000</v>
      </c>
      <c r="CD64" s="4" t="s">
        <v>44</v>
      </c>
      <c r="CE64" s="11">
        <v>2682</v>
      </c>
    </row>
    <row r="65" spans="2:83" s="1" customFormat="1" ht="29.45" customHeight="1" x14ac:dyDescent="0.2">
      <c r="B65" s="36">
        <v>58</v>
      </c>
      <c r="C65" s="36"/>
      <c r="D65" s="37">
        <v>2367503</v>
      </c>
      <c r="E65" s="37"/>
      <c r="F65" s="37"/>
      <c r="G65" s="37"/>
      <c r="H65" s="37"/>
      <c r="I65" s="37"/>
      <c r="J65" s="37"/>
      <c r="K65" s="38" t="s">
        <v>29</v>
      </c>
      <c r="L65" s="38"/>
      <c r="M65" s="38"/>
      <c r="N65" s="38"/>
      <c r="O65" s="38"/>
      <c r="P65" s="38"/>
      <c r="Q65" s="38"/>
      <c r="R65" s="38"/>
      <c r="S65" s="38" t="s">
        <v>30</v>
      </c>
      <c r="T65" s="38"/>
      <c r="U65" s="38"/>
      <c r="V65" s="38"/>
      <c r="W65" s="38"/>
      <c r="X65" s="38"/>
      <c r="Y65" s="38"/>
      <c r="Z65" s="38" t="s">
        <v>31</v>
      </c>
      <c r="AA65" s="38"/>
      <c r="AB65" s="38"/>
      <c r="AC65" s="38"/>
      <c r="AD65" s="38"/>
      <c r="AE65" s="39" t="s">
        <v>60</v>
      </c>
      <c r="AF65" s="39"/>
      <c r="AG65" s="39"/>
      <c r="AH65" s="40" t="s">
        <v>33</v>
      </c>
      <c r="AI65" s="40"/>
      <c r="AJ65" s="40"/>
      <c r="AK65" s="40"/>
      <c r="AL65" s="29" t="s">
        <v>244</v>
      </c>
      <c r="AM65" s="29"/>
      <c r="AN65" s="29"/>
      <c r="AO65" s="29"/>
      <c r="AP65" s="5" t="s">
        <v>96</v>
      </c>
      <c r="AQ65" s="4" t="s">
        <v>128</v>
      </c>
      <c r="AR65" s="40" t="s">
        <v>129</v>
      </c>
      <c r="AS65" s="40"/>
      <c r="AT65" s="40"/>
      <c r="AU65" s="29" t="s">
        <v>38</v>
      </c>
      <c r="AV65" s="29"/>
      <c r="AW65" s="29"/>
      <c r="AX65" s="29"/>
      <c r="AY65" s="29"/>
      <c r="AZ65" s="29"/>
      <c r="BA65" s="29"/>
      <c r="BB65" s="29"/>
      <c r="BC65" s="30" t="s">
        <v>39</v>
      </c>
      <c r="BD65" s="30"/>
      <c r="BE65" s="30"/>
      <c r="BF65" s="30"/>
      <c r="BG65" s="30"/>
      <c r="BH65" s="30"/>
      <c r="BI65" s="30"/>
      <c r="BJ65" s="31" t="s">
        <v>53</v>
      </c>
      <c r="BK65" s="31"/>
      <c r="BL65" s="31"/>
      <c r="BM65" s="31"/>
      <c r="BN65" s="31"/>
      <c r="BO65" s="32">
        <v>3</v>
      </c>
      <c r="BP65" s="32"/>
      <c r="BQ65" s="32"/>
      <c r="BR65" s="32"/>
      <c r="BS65" s="32"/>
      <c r="BT65" s="32"/>
      <c r="BU65" s="6">
        <v>1434</v>
      </c>
      <c r="BV65" s="7">
        <v>20</v>
      </c>
      <c r="BW65" s="8"/>
      <c r="BX65" s="6">
        <v>2390</v>
      </c>
      <c r="BY65" s="9" t="s">
        <v>135</v>
      </c>
      <c r="BZ65" s="2">
        <v>4064536406589</v>
      </c>
      <c r="CA65" s="9" t="s">
        <v>245</v>
      </c>
      <c r="CB65" s="3" t="s">
        <v>246</v>
      </c>
      <c r="CC65" s="10">
        <v>6505003000</v>
      </c>
      <c r="CD65" s="4" t="s">
        <v>44</v>
      </c>
      <c r="CE65" s="11">
        <v>4302</v>
      </c>
    </row>
    <row r="66" spans="2:83" s="1" customFormat="1" ht="29.45" customHeight="1" x14ac:dyDescent="0.2">
      <c r="B66" s="36">
        <v>59</v>
      </c>
      <c r="C66" s="36"/>
      <c r="D66" s="37">
        <v>2371104</v>
      </c>
      <c r="E66" s="37"/>
      <c r="F66" s="37"/>
      <c r="G66" s="37"/>
      <c r="H66" s="37"/>
      <c r="I66" s="37"/>
      <c r="J66" s="37"/>
      <c r="K66" s="38" t="s">
        <v>29</v>
      </c>
      <c r="L66" s="38"/>
      <c r="M66" s="38"/>
      <c r="N66" s="38"/>
      <c r="O66" s="38"/>
      <c r="P66" s="38"/>
      <c r="Q66" s="38"/>
      <c r="R66" s="38"/>
      <c r="S66" s="38" t="s">
        <v>93</v>
      </c>
      <c r="T66" s="38"/>
      <c r="U66" s="38"/>
      <c r="V66" s="38"/>
      <c r="W66" s="38"/>
      <c r="X66" s="38"/>
      <c r="Y66" s="38"/>
      <c r="Z66" s="38" t="s">
        <v>31</v>
      </c>
      <c r="AA66" s="38"/>
      <c r="AB66" s="38"/>
      <c r="AC66" s="38"/>
      <c r="AD66" s="38"/>
      <c r="AE66" s="39" t="s">
        <v>60</v>
      </c>
      <c r="AF66" s="39"/>
      <c r="AG66" s="39"/>
      <c r="AH66" s="40" t="s">
        <v>33</v>
      </c>
      <c r="AI66" s="40"/>
      <c r="AJ66" s="40"/>
      <c r="AK66" s="40"/>
      <c r="AL66" s="29" t="s">
        <v>247</v>
      </c>
      <c r="AM66" s="29"/>
      <c r="AN66" s="29"/>
      <c r="AO66" s="29"/>
      <c r="AP66" s="5" t="s">
        <v>96</v>
      </c>
      <c r="AQ66" s="4" t="s">
        <v>128</v>
      </c>
      <c r="AR66" s="40" t="s">
        <v>129</v>
      </c>
      <c r="AS66" s="40"/>
      <c r="AT66" s="40"/>
      <c r="AU66" s="29" t="s">
        <v>38</v>
      </c>
      <c r="AV66" s="29"/>
      <c r="AW66" s="29"/>
      <c r="AX66" s="29"/>
      <c r="AY66" s="29"/>
      <c r="AZ66" s="29"/>
      <c r="BA66" s="29"/>
      <c r="BB66" s="29"/>
      <c r="BC66" s="30" t="s">
        <v>39</v>
      </c>
      <c r="BD66" s="30"/>
      <c r="BE66" s="30"/>
      <c r="BF66" s="30"/>
      <c r="BG66" s="30"/>
      <c r="BH66" s="30"/>
      <c r="BI66" s="30"/>
      <c r="BJ66" s="31" t="s">
        <v>53</v>
      </c>
      <c r="BK66" s="31"/>
      <c r="BL66" s="31"/>
      <c r="BM66" s="31"/>
      <c r="BN66" s="31"/>
      <c r="BO66" s="32">
        <v>3</v>
      </c>
      <c r="BP66" s="32"/>
      <c r="BQ66" s="32"/>
      <c r="BR66" s="32"/>
      <c r="BS66" s="32"/>
      <c r="BT66" s="32"/>
      <c r="BU66" s="6">
        <v>1194</v>
      </c>
      <c r="BV66" s="7">
        <v>20</v>
      </c>
      <c r="BW66" s="8"/>
      <c r="BX66" s="6">
        <v>1990</v>
      </c>
      <c r="BY66" s="9" t="s">
        <v>135</v>
      </c>
      <c r="BZ66" s="2">
        <v>4064536408897</v>
      </c>
      <c r="CA66" s="9" t="s">
        <v>248</v>
      </c>
      <c r="CB66" s="3" t="s">
        <v>249</v>
      </c>
      <c r="CC66" s="10">
        <v>6505003000</v>
      </c>
      <c r="CD66" s="4" t="s">
        <v>44</v>
      </c>
      <c r="CE66" s="11">
        <v>3582</v>
      </c>
    </row>
    <row r="67" spans="2:83" s="1" customFormat="1" ht="29.45" customHeight="1" x14ac:dyDescent="0.2">
      <c r="B67" s="36">
        <v>60</v>
      </c>
      <c r="C67" s="36"/>
      <c r="D67" s="37">
        <v>2241685</v>
      </c>
      <c r="E67" s="37"/>
      <c r="F67" s="37"/>
      <c r="G67" s="37"/>
      <c r="H67" s="37"/>
      <c r="I67" s="37"/>
      <c r="J67" s="37"/>
      <c r="K67" s="38" t="s">
        <v>29</v>
      </c>
      <c r="L67" s="38"/>
      <c r="M67" s="38"/>
      <c r="N67" s="38"/>
      <c r="O67" s="38"/>
      <c r="P67" s="38"/>
      <c r="Q67" s="38"/>
      <c r="R67" s="38"/>
      <c r="S67" s="38" t="s">
        <v>30</v>
      </c>
      <c r="T67" s="38"/>
      <c r="U67" s="38"/>
      <c r="V67" s="38"/>
      <c r="W67" s="38"/>
      <c r="X67" s="38"/>
      <c r="Y67" s="38"/>
      <c r="Z67" s="38" t="s">
        <v>31</v>
      </c>
      <c r="AA67" s="38"/>
      <c r="AB67" s="38"/>
      <c r="AC67" s="38"/>
      <c r="AD67" s="38"/>
      <c r="AE67" s="39" t="s">
        <v>60</v>
      </c>
      <c r="AF67" s="39"/>
      <c r="AG67" s="39"/>
      <c r="AH67" s="40" t="s">
        <v>33</v>
      </c>
      <c r="AI67" s="40"/>
      <c r="AJ67" s="40"/>
      <c r="AK67" s="40"/>
      <c r="AL67" s="29" t="s">
        <v>127</v>
      </c>
      <c r="AM67" s="29"/>
      <c r="AN67" s="29"/>
      <c r="AO67" s="29"/>
      <c r="AP67" s="5" t="s">
        <v>71</v>
      </c>
      <c r="AQ67" s="4" t="s">
        <v>128</v>
      </c>
      <c r="AR67" s="40" t="s">
        <v>129</v>
      </c>
      <c r="AS67" s="40"/>
      <c r="AT67" s="40"/>
      <c r="AU67" s="29" t="s">
        <v>250</v>
      </c>
      <c r="AV67" s="29"/>
      <c r="AW67" s="29"/>
      <c r="AX67" s="29"/>
      <c r="AY67" s="29"/>
      <c r="AZ67" s="29"/>
      <c r="BA67" s="29"/>
      <c r="BB67" s="29"/>
      <c r="BC67" s="30" t="s">
        <v>39</v>
      </c>
      <c r="BD67" s="30"/>
      <c r="BE67" s="30"/>
      <c r="BF67" s="30"/>
      <c r="BG67" s="30"/>
      <c r="BH67" s="30"/>
      <c r="BI67" s="30"/>
      <c r="BJ67" s="31" t="s">
        <v>130</v>
      </c>
      <c r="BK67" s="31"/>
      <c r="BL67" s="31"/>
      <c r="BM67" s="31"/>
      <c r="BN67" s="31"/>
      <c r="BO67" s="32">
        <v>2</v>
      </c>
      <c r="BP67" s="32"/>
      <c r="BQ67" s="32"/>
      <c r="BR67" s="32"/>
      <c r="BS67" s="32"/>
      <c r="BT67" s="32"/>
      <c r="BU67" s="12">
        <v>894</v>
      </c>
      <c r="BV67" s="7">
        <v>20</v>
      </c>
      <c r="BW67" s="8"/>
      <c r="BX67" s="6">
        <v>1490</v>
      </c>
      <c r="BY67" s="9" t="s">
        <v>131</v>
      </c>
      <c r="BZ67" s="2">
        <v>4064536406718</v>
      </c>
      <c r="CA67" s="9" t="s">
        <v>251</v>
      </c>
      <c r="CB67" s="3" t="s">
        <v>252</v>
      </c>
      <c r="CC67" s="10">
        <v>6505003000</v>
      </c>
      <c r="CD67" s="4" t="s">
        <v>44</v>
      </c>
      <c r="CE67" s="11">
        <v>1788</v>
      </c>
    </row>
    <row r="68" spans="2:83" s="1" customFormat="1" ht="29.45" customHeight="1" x14ac:dyDescent="0.2">
      <c r="B68" s="36">
        <v>61</v>
      </c>
      <c r="C68" s="36"/>
      <c r="D68" s="37">
        <v>2375801</v>
      </c>
      <c r="E68" s="37"/>
      <c r="F68" s="37"/>
      <c r="G68" s="37"/>
      <c r="H68" s="37"/>
      <c r="I68" s="37"/>
      <c r="J68" s="37"/>
      <c r="K68" s="38" t="s">
        <v>29</v>
      </c>
      <c r="L68" s="38"/>
      <c r="M68" s="38"/>
      <c r="N68" s="38"/>
      <c r="O68" s="38"/>
      <c r="P68" s="38"/>
      <c r="Q68" s="38"/>
      <c r="R68" s="38"/>
      <c r="S68" s="38" t="s">
        <v>93</v>
      </c>
      <c r="T68" s="38"/>
      <c r="U68" s="38"/>
      <c r="V68" s="38"/>
      <c r="W68" s="38"/>
      <c r="X68" s="38"/>
      <c r="Y68" s="38"/>
      <c r="Z68" s="38" t="s">
        <v>31</v>
      </c>
      <c r="AA68" s="38"/>
      <c r="AB68" s="38"/>
      <c r="AC68" s="38"/>
      <c r="AD68" s="38"/>
      <c r="AE68" s="39" t="s">
        <v>253</v>
      </c>
      <c r="AF68" s="39"/>
      <c r="AG68" s="39"/>
      <c r="AH68" s="40" t="s">
        <v>33</v>
      </c>
      <c r="AI68" s="40"/>
      <c r="AJ68" s="40"/>
      <c r="AK68" s="40"/>
      <c r="AL68" s="29" t="s">
        <v>254</v>
      </c>
      <c r="AM68" s="29"/>
      <c r="AN68" s="29"/>
      <c r="AO68" s="29"/>
      <c r="AP68" s="5" t="s">
        <v>35</v>
      </c>
      <c r="AQ68" s="4" t="s">
        <v>36</v>
      </c>
      <c r="AR68" s="40" t="s">
        <v>129</v>
      </c>
      <c r="AS68" s="40"/>
      <c r="AT68" s="40"/>
      <c r="AU68" s="29" t="s">
        <v>52</v>
      </c>
      <c r="AV68" s="29"/>
      <c r="AW68" s="29"/>
      <c r="AX68" s="29"/>
      <c r="AY68" s="29"/>
      <c r="AZ68" s="29"/>
      <c r="BA68" s="29"/>
      <c r="BB68" s="29"/>
      <c r="BC68" s="30" t="s">
        <v>39</v>
      </c>
      <c r="BD68" s="30"/>
      <c r="BE68" s="30"/>
      <c r="BF68" s="30"/>
      <c r="BG68" s="30"/>
      <c r="BH68" s="30"/>
      <c r="BI68" s="30"/>
      <c r="BJ68" s="31" t="s">
        <v>40</v>
      </c>
      <c r="BK68" s="31"/>
      <c r="BL68" s="31"/>
      <c r="BM68" s="31"/>
      <c r="BN68" s="31"/>
      <c r="BO68" s="32">
        <v>3</v>
      </c>
      <c r="BP68" s="32"/>
      <c r="BQ68" s="32"/>
      <c r="BR68" s="32"/>
      <c r="BS68" s="32"/>
      <c r="BT68" s="32"/>
      <c r="BU68" s="6">
        <v>1314</v>
      </c>
      <c r="BV68" s="7">
        <v>20</v>
      </c>
      <c r="BW68" s="8"/>
      <c r="BX68" s="6">
        <v>2190</v>
      </c>
      <c r="BY68" s="9" t="s">
        <v>143</v>
      </c>
      <c r="BZ68" s="2">
        <v>4064536406954</v>
      </c>
      <c r="CA68" s="9" t="s">
        <v>255</v>
      </c>
      <c r="CB68" s="3" t="s">
        <v>256</v>
      </c>
      <c r="CC68" s="10">
        <v>6505003000</v>
      </c>
      <c r="CD68" s="4" t="s">
        <v>44</v>
      </c>
      <c r="CE68" s="11">
        <v>3942</v>
      </c>
    </row>
    <row r="69" spans="2:83" s="1" customFormat="1" ht="29.45" customHeight="1" x14ac:dyDescent="0.2">
      <c r="B69" s="36">
        <v>62</v>
      </c>
      <c r="C69" s="36"/>
      <c r="D69" s="38" t="s">
        <v>257</v>
      </c>
      <c r="E69" s="38"/>
      <c r="F69" s="38"/>
      <c r="G69" s="38"/>
      <c r="H69" s="38"/>
      <c r="I69" s="38"/>
      <c r="J69" s="38"/>
      <c r="K69" s="38" t="s">
        <v>29</v>
      </c>
      <c r="L69" s="38"/>
      <c r="M69" s="38"/>
      <c r="N69" s="38"/>
      <c r="O69" s="38"/>
      <c r="P69" s="38"/>
      <c r="Q69" s="38"/>
      <c r="R69" s="38"/>
      <c r="S69" s="38" t="s">
        <v>30</v>
      </c>
      <c r="T69" s="38"/>
      <c r="U69" s="38"/>
      <c r="V69" s="38"/>
      <c r="W69" s="38"/>
      <c r="X69" s="38"/>
      <c r="Y69" s="38"/>
      <c r="Z69" s="38" t="s">
        <v>31</v>
      </c>
      <c r="AA69" s="38"/>
      <c r="AB69" s="38"/>
      <c r="AC69" s="38"/>
      <c r="AD69" s="38"/>
      <c r="AE69" s="39" t="s">
        <v>32</v>
      </c>
      <c r="AF69" s="39"/>
      <c r="AG69" s="39"/>
      <c r="AH69" s="40" t="s">
        <v>258</v>
      </c>
      <c r="AI69" s="40"/>
      <c r="AJ69" s="40"/>
      <c r="AK69" s="40"/>
      <c r="AL69" s="29" t="s">
        <v>259</v>
      </c>
      <c r="AM69" s="29"/>
      <c r="AN69" s="29"/>
      <c r="AO69" s="29"/>
      <c r="AP69" s="5"/>
      <c r="AQ69" s="4" t="s">
        <v>260</v>
      </c>
      <c r="AR69" s="40" t="s">
        <v>261</v>
      </c>
      <c r="AS69" s="40"/>
      <c r="AT69" s="40"/>
      <c r="AU69" s="29" t="s">
        <v>52</v>
      </c>
      <c r="AV69" s="29"/>
      <c r="AW69" s="29"/>
      <c r="AX69" s="29"/>
      <c r="AY69" s="29"/>
      <c r="AZ69" s="29"/>
      <c r="BA69" s="29"/>
      <c r="BB69" s="29"/>
      <c r="BC69" s="30" t="s">
        <v>39</v>
      </c>
      <c r="BD69" s="30"/>
      <c r="BE69" s="30"/>
      <c r="BF69" s="30"/>
      <c r="BG69" s="30"/>
      <c r="BH69" s="30"/>
      <c r="BI69" s="30"/>
      <c r="BJ69" s="31" t="s">
        <v>53</v>
      </c>
      <c r="BK69" s="31"/>
      <c r="BL69" s="31"/>
      <c r="BM69" s="31"/>
      <c r="BN69" s="31"/>
      <c r="BO69" s="32">
        <v>1</v>
      </c>
      <c r="BP69" s="32"/>
      <c r="BQ69" s="32"/>
      <c r="BR69" s="32"/>
      <c r="BS69" s="32"/>
      <c r="BT69" s="32"/>
      <c r="BU69" s="6">
        <v>5489</v>
      </c>
      <c r="BV69" s="7">
        <v>20</v>
      </c>
      <c r="BW69" s="8"/>
      <c r="BX69" s="6">
        <v>9980</v>
      </c>
      <c r="BY69" s="9" t="s">
        <v>262</v>
      </c>
      <c r="BZ69" s="2">
        <v>3665926065730</v>
      </c>
      <c r="CA69" s="9"/>
      <c r="CB69" s="3" t="s">
        <v>263</v>
      </c>
      <c r="CC69" s="10">
        <v>6505003000</v>
      </c>
      <c r="CD69" s="4" t="s">
        <v>44</v>
      </c>
      <c r="CE69" s="11">
        <v>5489</v>
      </c>
    </row>
    <row r="70" spans="2:83" s="1" customFormat="1" ht="29.45" customHeight="1" x14ac:dyDescent="0.2">
      <c r="B70" s="36">
        <v>63</v>
      </c>
      <c r="C70" s="36"/>
      <c r="D70" s="37">
        <v>2390901</v>
      </c>
      <c r="E70" s="37"/>
      <c r="F70" s="37"/>
      <c r="G70" s="37"/>
      <c r="H70" s="37"/>
      <c r="I70" s="37"/>
      <c r="J70" s="37"/>
      <c r="K70" s="38" t="s">
        <v>29</v>
      </c>
      <c r="L70" s="38"/>
      <c r="M70" s="38"/>
      <c r="N70" s="38"/>
      <c r="O70" s="38"/>
      <c r="P70" s="38"/>
      <c r="Q70" s="38"/>
      <c r="R70" s="38"/>
      <c r="S70" s="38" t="s">
        <v>30</v>
      </c>
      <c r="T70" s="38"/>
      <c r="U70" s="38"/>
      <c r="V70" s="38"/>
      <c r="W70" s="38"/>
      <c r="X70" s="38"/>
      <c r="Y70" s="38"/>
      <c r="Z70" s="38" t="s">
        <v>31</v>
      </c>
      <c r="AA70" s="38"/>
      <c r="AB70" s="38"/>
      <c r="AC70" s="38"/>
      <c r="AD70" s="38"/>
      <c r="AE70" s="39" t="s">
        <v>60</v>
      </c>
      <c r="AF70" s="39"/>
      <c r="AG70" s="39"/>
      <c r="AH70" s="40" t="s">
        <v>33</v>
      </c>
      <c r="AI70" s="40"/>
      <c r="AJ70" s="40"/>
      <c r="AK70" s="40"/>
      <c r="AL70" s="29" t="s">
        <v>264</v>
      </c>
      <c r="AM70" s="29"/>
      <c r="AN70" s="29"/>
      <c r="AO70" s="29"/>
      <c r="AP70" s="5" t="s">
        <v>35</v>
      </c>
      <c r="AQ70" s="4" t="s">
        <v>128</v>
      </c>
      <c r="AR70" s="40" t="s">
        <v>37</v>
      </c>
      <c r="AS70" s="40"/>
      <c r="AT70" s="40"/>
      <c r="AU70" s="29" t="s">
        <v>142</v>
      </c>
      <c r="AV70" s="29"/>
      <c r="AW70" s="29"/>
      <c r="AX70" s="29"/>
      <c r="AY70" s="29"/>
      <c r="AZ70" s="29"/>
      <c r="BA70" s="29"/>
      <c r="BB70" s="29"/>
      <c r="BC70" s="30" t="s">
        <v>39</v>
      </c>
      <c r="BD70" s="30"/>
      <c r="BE70" s="30"/>
      <c r="BF70" s="30"/>
      <c r="BG70" s="30"/>
      <c r="BH70" s="30"/>
      <c r="BI70" s="30"/>
      <c r="BJ70" s="31" t="s">
        <v>53</v>
      </c>
      <c r="BK70" s="31"/>
      <c r="BL70" s="31"/>
      <c r="BM70" s="31"/>
      <c r="BN70" s="31"/>
      <c r="BO70" s="32">
        <v>3</v>
      </c>
      <c r="BP70" s="32"/>
      <c r="BQ70" s="32"/>
      <c r="BR70" s="32"/>
      <c r="BS70" s="32"/>
      <c r="BT70" s="32"/>
      <c r="BU70" s="6">
        <v>1794</v>
      </c>
      <c r="BV70" s="7">
        <v>20</v>
      </c>
      <c r="BW70" s="8"/>
      <c r="BX70" s="6">
        <v>2990</v>
      </c>
      <c r="BY70" s="9" t="s">
        <v>265</v>
      </c>
      <c r="BZ70" s="13">
        <v>195099255780</v>
      </c>
      <c r="CA70" s="9" t="s">
        <v>266</v>
      </c>
      <c r="CB70" s="3" t="s">
        <v>267</v>
      </c>
      <c r="CC70" s="10">
        <v>6505003000</v>
      </c>
      <c r="CD70" s="4" t="s">
        <v>44</v>
      </c>
      <c r="CE70" s="11">
        <v>5382</v>
      </c>
    </row>
    <row r="71" spans="2:83" s="1" customFormat="1" ht="29.45" customHeight="1" x14ac:dyDescent="0.2">
      <c r="B71" s="36">
        <v>64</v>
      </c>
      <c r="C71" s="36"/>
      <c r="D71" s="38" t="s">
        <v>268</v>
      </c>
      <c r="E71" s="38"/>
      <c r="F71" s="38"/>
      <c r="G71" s="38"/>
      <c r="H71" s="38"/>
      <c r="I71" s="38"/>
      <c r="J71" s="38"/>
      <c r="K71" s="38" t="s">
        <v>29</v>
      </c>
      <c r="L71" s="38"/>
      <c r="M71" s="38"/>
      <c r="N71" s="38"/>
      <c r="O71" s="38"/>
      <c r="P71" s="38"/>
      <c r="Q71" s="38"/>
      <c r="R71" s="38"/>
      <c r="S71" s="38" t="s">
        <v>30</v>
      </c>
      <c r="T71" s="38"/>
      <c r="U71" s="38"/>
      <c r="V71" s="38"/>
      <c r="W71" s="38"/>
      <c r="X71" s="38"/>
      <c r="Y71" s="38"/>
      <c r="Z71" s="38" t="s">
        <v>31</v>
      </c>
      <c r="AA71" s="38"/>
      <c r="AB71" s="38"/>
      <c r="AC71" s="38"/>
      <c r="AD71" s="38"/>
      <c r="AE71" s="39" t="s">
        <v>60</v>
      </c>
      <c r="AF71" s="39"/>
      <c r="AG71" s="39"/>
      <c r="AH71" s="40" t="s">
        <v>258</v>
      </c>
      <c r="AI71" s="40"/>
      <c r="AJ71" s="40"/>
      <c r="AK71" s="40"/>
      <c r="AL71" s="29" t="s">
        <v>269</v>
      </c>
      <c r="AM71" s="29"/>
      <c r="AN71" s="29"/>
      <c r="AO71" s="29"/>
      <c r="AP71" s="5"/>
      <c r="AQ71" s="4" t="s">
        <v>270</v>
      </c>
      <c r="AR71" s="40" t="s">
        <v>261</v>
      </c>
      <c r="AS71" s="40"/>
      <c r="AT71" s="40"/>
      <c r="AU71" s="29" t="s">
        <v>52</v>
      </c>
      <c r="AV71" s="29"/>
      <c r="AW71" s="29"/>
      <c r="AX71" s="29"/>
      <c r="AY71" s="29"/>
      <c r="AZ71" s="29"/>
      <c r="BA71" s="29"/>
      <c r="BB71" s="29"/>
      <c r="BC71" s="30" t="s">
        <v>39</v>
      </c>
      <c r="BD71" s="30"/>
      <c r="BE71" s="30"/>
      <c r="BF71" s="30"/>
      <c r="BG71" s="30"/>
      <c r="BH71" s="30"/>
      <c r="BI71" s="30"/>
      <c r="BJ71" s="31" t="s">
        <v>211</v>
      </c>
      <c r="BK71" s="31"/>
      <c r="BL71" s="31"/>
      <c r="BM71" s="31"/>
      <c r="BN71" s="31"/>
      <c r="BO71" s="32">
        <v>1</v>
      </c>
      <c r="BP71" s="32"/>
      <c r="BQ71" s="32"/>
      <c r="BR71" s="32"/>
      <c r="BS71" s="32"/>
      <c r="BT71" s="32"/>
      <c r="BU71" s="6">
        <v>4614.5</v>
      </c>
      <c r="BV71" s="7">
        <v>20</v>
      </c>
      <c r="BW71" s="8"/>
      <c r="BX71" s="6">
        <v>8390</v>
      </c>
      <c r="BY71" s="9" t="s">
        <v>262</v>
      </c>
      <c r="BZ71" s="2">
        <v>3666165687639</v>
      </c>
      <c r="CA71" s="9"/>
      <c r="CB71" s="3" t="s">
        <v>271</v>
      </c>
      <c r="CC71" s="10">
        <v>6505003000</v>
      </c>
      <c r="CD71" s="4" t="s">
        <v>44</v>
      </c>
      <c r="CE71" s="11">
        <v>4614.5</v>
      </c>
    </row>
    <row r="72" spans="2:83" s="1" customFormat="1" ht="29.45" customHeight="1" x14ac:dyDescent="0.2">
      <c r="B72" s="36">
        <v>65</v>
      </c>
      <c r="C72" s="36"/>
      <c r="D72" s="38" t="s">
        <v>272</v>
      </c>
      <c r="E72" s="38"/>
      <c r="F72" s="38"/>
      <c r="G72" s="38"/>
      <c r="H72" s="38"/>
      <c r="I72" s="38"/>
      <c r="J72" s="38"/>
      <c r="K72" s="38" t="s">
        <v>29</v>
      </c>
      <c r="L72" s="38"/>
      <c r="M72" s="38"/>
      <c r="N72" s="38"/>
      <c r="O72" s="38"/>
      <c r="P72" s="38"/>
      <c r="Q72" s="38"/>
      <c r="R72" s="38"/>
      <c r="S72" s="38" t="s">
        <v>30</v>
      </c>
      <c r="T72" s="38"/>
      <c r="U72" s="38"/>
      <c r="V72" s="38"/>
      <c r="W72" s="38"/>
      <c r="X72" s="38"/>
      <c r="Y72" s="38"/>
      <c r="Z72" s="38" t="s">
        <v>31</v>
      </c>
      <c r="AA72" s="38"/>
      <c r="AB72" s="38"/>
      <c r="AC72" s="38"/>
      <c r="AD72" s="38"/>
      <c r="AE72" s="39" t="s">
        <v>60</v>
      </c>
      <c r="AF72" s="39"/>
      <c r="AG72" s="39"/>
      <c r="AH72" s="40" t="s">
        <v>258</v>
      </c>
      <c r="AI72" s="40"/>
      <c r="AJ72" s="40"/>
      <c r="AK72" s="40"/>
      <c r="AL72" s="29" t="s">
        <v>269</v>
      </c>
      <c r="AM72" s="29"/>
      <c r="AN72" s="29"/>
      <c r="AO72" s="29"/>
      <c r="AP72" s="5"/>
      <c r="AQ72" s="4" t="s">
        <v>270</v>
      </c>
      <c r="AR72" s="40" t="s">
        <v>261</v>
      </c>
      <c r="AS72" s="40"/>
      <c r="AT72" s="40"/>
      <c r="AU72" s="29" t="s">
        <v>52</v>
      </c>
      <c r="AV72" s="29"/>
      <c r="AW72" s="29"/>
      <c r="AX72" s="29"/>
      <c r="AY72" s="29"/>
      <c r="AZ72" s="29"/>
      <c r="BA72" s="29"/>
      <c r="BB72" s="29"/>
      <c r="BC72" s="30" t="s">
        <v>39</v>
      </c>
      <c r="BD72" s="30"/>
      <c r="BE72" s="30"/>
      <c r="BF72" s="30"/>
      <c r="BG72" s="30"/>
      <c r="BH72" s="30"/>
      <c r="BI72" s="30"/>
      <c r="BJ72" s="31" t="s">
        <v>53</v>
      </c>
      <c r="BK72" s="31"/>
      <c r="BL72" s="31"/>
      <c r="BM72" s="31"/>
      <c r="BN72" s="31"/>
      <c r="BO72" s="32">
        <v>1</v>
      </c>
      <c r="BP72" s="32"/>
      <c r="BQ72" s="32"/>
      <c r="BR72" s="32"/>
      <c r="BS72" s="32"/>
      <c r="BT72" s="32"/>
      <c r="BU72" s="6">
        <v>4944.5</v>
      </c>
      <c r="BV72" s="7">
        <v>20</v>
      </c>
      <c r="BW72" s="8"/>
      <c r="BX72" s="6">
        <v>8990</v>
      </c>
      <c r="BY72" s="9" t="s">
        <v>273</v>
      </c>
      <c r="BZ72" s="2">
        <v>3666165687707</v>
      </c>
      <c r="CA72" s="9"/>
      <c r="CB72" s="3" t="s">
        <v>274</v>
      </c>
      <c r="CC72" s="10">
        <v>6505003000</v>
      </c>
      <c r="CD72" s="4" t="s">
        <v>44</v>
      </c>
      <c r="CE72" s="11">
        <v>4944.5</v>
      </c>
    </row>
    <row r="73" spans="2:83" s="1" customFormat="1" ht="29.45" customHeight="1" x14ac:dyDescent="0.2">
      <c r="B73" s="36">
        <v>66</v>
      </c>
      <c r="C73" s="36"/>
      <c r="D73" s="38" t="s">
        <v>275</v>
      </c>
      <c r="E73" s="38"/>
      <c r="F73" s="38"/>
      <c r="G73" s="38"/>
      <c r="H73" s="38"/>
      <c r="I73" s="38"/>
      <c r="J73" s="38"/>
      <c r="K73" s="38" t="s">
        <v>29</v>
      </c>
      <c r="L73" s="38"/>
      <c r="M73" s="38"/>
      <c r="N73" s="38"/>
      <c r="O73" s="38"/>
      <c r="P73" s="38"/>
      <c r="Q73" s="38"/>
      <c r="R73" s="38"/>
      <c r="S73" s="38" t="s">
        <v>30</v>
      </c>
      <c r="T73" s="38"/>
      <c r="U73" s="38"/>
      <c r="V73" s="38"/>
      <c r="W73" s="38"/>
      <c r="X73" s="38"/>
      <c r="Y73" s="38"/>
      <c r="Z73" s="38" t="s">
        <v>31</v>
      </c>
      <c r="AA73" s="38"/>
      <c r="AB73" s="38"/>
      <c r="AC73" s="38"/>
      <c r="AD73" s="38"/>
      <c r="AE73" s="39" t="s">
        <v>60</v>
      </c>
      <c r="AF73" s="39"/>
      <c r="AG73" s="39"/>
      <c r="AH73" s="40" t="s">
        <v>258</v>
      </c>
      <c r="AI73" s="40"/>
      <c r="AJ73" s="40"/>
      <c r="AK73" s="40"/>
      <c r="AL73" s="29" t="s">
        <v>269</v>
      </c>
      <c r="AM73" s="29"/>
      <c r="AN73" s="29"/>
      <c r="AO73" s="29"/>
      <c r="AP73" s="5"/>
      <c r="AQ73" s="4" t="s">
        <v>270</v>
      </c>
      <c r="AR73" s="40" t="s">
        <v>261</v>
      </c>
      <c r="AS73" s="40"/>
      <c r="AT73" s="40"/>
      <c r="AU73" s="29" t="s">
        <v>52</v>
      </c>
      <c r="AV73" s="29"/>
      <c r="AW73" s="29"/>
      <c r="AX73" s="29"/>
      <c r="AY73" s="29"/>
      <c r="AZ73" s="29"/>
      <c r="BA73" s="29"/>
      <c r="BB73" s="29"/>
      <c r="BC73" s="30" t="s">
        <v>39</v>
      </c>
      <c r="BD73" s="30"/>
      <c r="BE73" s="30"/>
      <c r="BF73" s="30"/>
      <c r="BG73" s="30"/>
      <c r="BH73" s="30"/>
      <c r="BI73" s="30"/>
      <c r="BJ73" s="31" t="s">
        <v>211</v>
      </c>
      <c r="BK73" s="31"/>
      <c r="BL73" s="31"/>
      <c r="BM73" s="31"/>
      <c r="BN73" s="31"/>
      <c r="BO73" s="32">
        <v>2</v>
      </c>
      <c r="BP73" s="32"/>
      <c r="BQ73" s="32"/>
      <c r="BR73" s="32"/>
      <c r="BS73" s="32"/>
      <c r="BT73" s="32"/>
      <c r="BU73" s="6">
        <v>4944.5</v>
      </c>
      <c r="BV73" s="7">
        <v>20</v>
      </c>
      <c r="BW73" s="8"/>
      <c r="BX73" s="6">
        <v>8990</v>
      </c>
      <c r="BY73" s="9" t="s">
        <v>273</v>
      </c>
      <c r="BZ73" s="2">
        <v>3666165727243</v>
      </c>
      <c r="CA73" s="9"/>
      <c r="CB73" s="3" t="s">
        <v>276</v>
      </c>
      <c r="CC73" s="10">
        <v>6505003000</v>
      </c>
      <c r="CD73" s="4" t="s">
        <v>44</v>
      </c>
      <c r="CE73" s="11">
        <v>9889</v>
      </c>
    </row>
    <row r="74" spans="2:83" s="1" customFormat="1" ht="29.45" customHeight="1" x14ac:dyDescent="0.2">
      <c r="B74" s="36">
        <v>67</v>
      </c>
      <c r="C74" s="36"/>
      <c r="D74" s="37">
        <v>5291901</v>
      </c>
      <c r="E74" s="37"/>
      <c r="F74" s="37"/>
      <c r="G74" s="37"/>
      <c r="H74" s="37"/>
      <c r="I74" s="37"/>
      <c r="J74" s="37"/>
      <c r="K74" s="38" t="s">
        <v>29</v>
      </c>
      <c r="L74" s="38"/>
      <c r="M74" s="38"/>
      <c r="N74" s="38"/>
      <c r="O74" s="38"/>
      <c r="P74" s="38"/>
      <c r="Q74" s="38"/>
      <c r="R74" s="38"/>
      <c r="S74" s="38" t="s">
        <v>30</v>
      </c>
      <c r="T74" s="38"/>
      <c r="U74" s="38"/>
      <c r="V74" s="38"/>
      <c r="W74" s="38"/>
      <c r="X74" s="38"/>
      <c r="Y74" s="38"/>
      <c r="Z74" s="38" t="s">
        <v>31</v>
      </c>
      <c r="AA74" s="38"/>
      <c r="AB74" s="38"/>
      <c r="AC74" s="38"/>
      <c r="AD74" s="38"/>
      <c r="AE74" s="39" t="s">
        <v>32</v>
      </c>
      <c r="AF74" s="39"/>
      <c r="AG74" s="39"/>
      <c r="AH74" s="40" t="s">
        <v>33</v>
      </c>
      <c r="AI74" s="40"/>
      <c r="AJ74" s="40"/>
      <c r="AK74" s="40"/>
      <c r="AL74" s="29" t="s">
        <v>127</v>
      </c>
      <c r="AM74" s="29"/>
      <c r="AN74" s="29"/>
      <c r="AO74" s="29"/>
      <c r="AP74" s="5" t="s">
        <v>35</v>
      </c>
      <c r="AQ74" s="4" t="s">
        <v>36</v>
      </c>
      <c r="AR74" s="40" t="s">
        <v>37</v>
      </c>
      <c r="AS74" s="40"/>
      <c r="AT74" s="40"/>
      <c r="AU74" s="29" t="s">
        <v>52</v>
      </c>
      <c r="AV74" s="29"/>
      <c r="AW74" s="29"/>
      <c r="AX74" s="29"/>
      <c r="AY74" s="29"/>
      <c r="AZ74" s="29"/>
      <c r="BA74" s="29"/>
      <c r="BB74" s="29"/>
      <c r="BC74" s="30" t="s">
        <v>39</v>
      </c>
      <c r="BD74" s="30"/>
      <c r="BE74" s="30"/>
      <c r="BF74" s="30"/>
      <c r="BG74" s="30"/>
      <c r="BH74" s="30"/>
      <c r="BI74" s="30"/>
      <c r="BJ74" s="31" t="s">
        <v>130</v>
      </c>
      <c r="BK74" s="31"/>
      <c r="BL74" s="31"/>
      <c r="BM74" s="31"/>
      <c r="BN74" s="31"/>
      <c r="BO74" s="32">
        <v>6</v>
      </c>
      <c r="BP74" s="32"/>
      <c r="BQ74" s="32"/>
      <c r="BR74" s="32"/>
      <c r="BS74" s="32"/>
      <c r="BT74" s="32"/>
      <c r="BU74" s="12">
        <v>894</v>
      </c>
      <c r="BV74" s="7">
        <v>20</v>
      </c>
      <c r="BW74" s="8"/>
      <c r="BX74" s="6">
        <v>1490</v>
      </c>
      <c r="BY74" s="9" t="s">
        <v>277</v>
      </c>
      <c r="BZ74" s="2">
        <v>4056204300862</v>
      </c>
      <c r="CA74" s="9" t="s">
        <v>278</v>
      </c>
      <c r="CB74" s="3" t="s">
        <v>279</v>
      </c>
      <c r="CC74" s="10">
        <v>6505003000</v>
      </c>
      <c r="CD74" s="4" t="s">
        <v>44</v>
      </c>
      <c r="CE74" s="11">
        <v>5364</v>
      </c>
    </row>
    <row r="75" spans="2:83" s="1" customFormat="1" ht="29.45" customHeight="1" x14ac:dyDescent="0.2">
      <c r="B75" s="36">
        <v>68</v>
      </c>
      <c r="C75" s="36"/>
      <c r="D75" s="37">
        <v>5291902</v>
      </c>
      <c r="E75" s="37"/>
      <c r="F75" s="37"/>
      <c r="G75" s="37"/>
      <c r="H75" s="37"/>
      <c r="I75" s="37"/>
      <c r="J75" s="37"/>
      <c r="K75" s="38" t="s">
        <v>29</v>
      </c>
      <c r="L75" s="38"/>
      <c r="M75" s="38"/>
      <c r="N75" s="38"/>
      <c r="O75" s="38"/>
      <c r="P75" s="38"/>
      <c r="Q75" s="38"/>
      <c r="R75" s="38"/>
      <c r="S75" s="38" t="s">
        <v>30</v>
      </c>
      <c r="T75" s="38"/>
      <c r="U75" s="38"/>
      <c r="V75" s="38"/>
      <c r="W75" s="38"/>
      <c r="X75" s="38"/>
      <c r="Y75" s="38"/>
      <c r="Z75" s="38" t="s">
        <v>31</v>
      </c>
      <c r="AA75" s="38"/>
      <c r="AB75" s="38"/>
      <c r="AC75" s="38"/>
      <c r="AD75" s="38"/>
      <c r="AE75" s="39" t="s">
        <v>32</v>
      </c>
      <c r="AF75" s="39"/>
      <c r="AG75" s="39"/>
      <c r="AH75" s="40" t="s">
        <v>33</v>
      </c>
      <c r="AI75" s="40"/>
      <c r="AJ75" s="40"/>
      <c r="AK75" s="40"/>
      <c r="AL75" s="29" t="s">
        <v>127</v>
      </c>
      <c r="AM75" s="29"/>
      <c r="AN75" s="29"/>
      <c r="AO75" s="29"/>
      <c r="AP75" s="5" t="s">
        <v>71</v>
      </c>
      <c r="AQ75" s="4" t="s">
        <v>36</v>
      </c>
      <c r="AR75" s="40" t="s">
        <v>37</v>
      </c>
      <c r="AS75" s="40"/>
      <c r="AT75" s="40"/>
      <c r="AU75" s="29" t="s">
        <v>52</v>
      </c>
      <c r="AV75" s="29"/>
      <c r="AW75" s="29"/>
      <c r="AX75" s="29"/>
      <c r="AY75" s="29"/>
      <c r="AZ75" s="29"/>
      <c r="BA75" s="29"/>
      <c r="BB75" s="29"/>
      <c r="BC75" s="30" t="s">
        <v>39</v>
      </c>
      <c r="BD75" s="30"/>
      <c r="BE75" s="30"/>
      <c r="BF75" s="30"/>
      <c r="BG75" s="30"/>
      <c r="BH75" s="30"/>
      <c r="BI75" s="30"/>
      <c r="BJ75" s="31" t="s">
        <v>130</v>
      </c>
      <c r="BK75" s="31"/>
      <c r="BL75" s="31"/>
      <c r="BM75" s="31"/>
      <c r="BN75" s="31"/>
      <c r="BO75" s="32">
        <v>3</v>
      </c>
      <c r="BP75" s="32"/>
      <c r="BQ75" s="32"/>
      <c r="BR75" s="32"/>
      <c r="BS75" s="32"/>
      <c r="BT75" s="32"/>
      <c r="BU75" s="12">
        <v>894</v>
      </c>
      <c r="BV75" s="7">
        <v>20</v>
      </c>
      <c r="BW75" s="8"/>
      <c r="BX75" s="6">
        <v>1490</v>
      </c>
      <c r="BY75" s="9" t="s">
        <v>277</v>
      </c>
      <c r="BZ75" s="2">
        <v>4056204300848</v>
      </c>
      <c r="CA75" s="9" t="s">
        <v>278</v>
      </c>
      <c r="CB75" s="3" t="s">
        <v>280</v>
      </c>
      <c r="CC75" s="10">
        <v>6505003000</v>
      </c>
      <c r="CD75" s="4" t="s">
        <v>44</v>
      </c>
      <c r="CE75" s="11">
        <v>2682</v>
      </c>
    </row>
    <row r="76" spans="2:83" s="1" customFormat="1" ht="7.15" customHeight="1" x14ac:dyDescent="0.2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</row>
    <row r="77" spans="2:83" s="1" customFormat="1" ht="13.15" customHeight="1" x14ac:dyDescent="0.2">
      <c r="CC77" s="15" t="s">
        <v>281</v>
      </c>
      <c r="CD77" s="16">
        <v>280908.03999999998</v>
      </c>
    </row>
    <row r="78" spans="2:83" s="1" customFormat="1" ht="13.15" customHeight="1" x14ac:dyDescent="0.2">
      <c r="CC78" s="15" t="s">
        <v>282</v>
      </c>
      <c r="CD78" s="16">
        <v>46818.07</v>
      </c>
    </row>
    <row r="79" spans="2:83" s="1" customFormat="1" ht="7.15" customHeight="1" x14ac:dyDescent="0.2"/>
    <row r="80" spans="2:83" s="1" customFormat="1" ht="10.9" customHeight="1" x14ac:dyDescent="0.2">
      <c r="B80" s="33" t="s">
        <v>283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</row>
    <row r="81" spans="2:71" s="1" customFormat="1" ht="13.15" customHeight="1" x14ac:dyDescent="0.2">
      <c r="B81" s="34" t="s">
        <v>284</v>
      </c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</row>
    <row r="82" spans="2:71" s="1" customFormat="1" ht="7.15" customHeight="1" x14ac:dyDescent="0.2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</row>
    <row r="83" spans="2:71" s="1" customFormat="1" ht="10.9" customHeight="1" x14ac:dyDescent="0.2"/>
    <row r="84" spans="2:71" s="1" customFormat="1" ht="13.15" customHeight="1" x14ac:dyDescent="0.2">
      <c r="B84" s="18" t="s">
        <v>285</v>
      </c>
      <c r="F84" s="19"/>
      <c r="G84" s="19"/>
      <c r="H84" s="19"/>
      <c r="I84" s="19"/>
      <c r="J84" s="19"/>
      <c r="K84" s="19"/>
      <c r="L84" s="35"/>
      <c r="M84" s="35"/>
      <c r="N84" s="35"/>
      <c r="O84" s="35"/>
      <c r="P84" s="35"/>
      <c r="Q84" s="35"/>
      <c r="R84" s="35"/>
      <c r="S84" s="35"/>
      <c r="T84" s="20"/>
      <c r="Y84" s="19"/>
      <c r="Z84" s="19"/>
      <c r="AA84" s="19"/>
      <c r="AB84" s="19"/>
      <c r="AC84" s="19"/>
      <c r="AD84" s="19"/>
      <c r="AE84" s="19"/>
      <c r="AF84" s="35"/>
      <c r="AG84" s="35"/>
      <c r="AH84" s="35"/>
      <c r="AI84" s="35"/>
      <c r="AJ84" s="35"/>
      <c r="AK84" s="35"/>
      <c r="AL84" s="35"/>
      <c r="AM84" s="35"/>
      <c r="AN84" s="35"/>
    </row>
  </sheetData>
  <mergeCells count="916">
    <mergeCell ref="CB6:CB7"/>
    <mergeCell ref="CC6:CC7"/>
    <mergeCell ref="B2:BS2"/>
    <mergeCell ref="B4:AS4"/>
    <mergeCell ref="B6:C7"/>
    <mergeCell ref="D6:J7"/>
    <mergeCell ref="K6:R7"/>
    <mergeCell ref="S6:Y7"/>
    <mergeCell ref="Z6:AD7"/>
    <mergeCell ref="AE6:AG7"/>
    <mergeCell ref="AH6:AK7"/>
    <mergeCell ref="AL6:AO7"/>
    <mergeCell ref="AP6:AP7"/>
    <mergeCell ref="AQ6:AQ7"/>
    <mergeCell ref="AR6:AT7"/>
    <mergeCell ref="AU6:BB7"/>
    <mergeCell ref="BC6:BI7"/>
    <mergeCell ref="BJ6:BN7"/>
    <mergeCell ref="BO6:BT7"/>
    <mergeCell ref="AL9:AO9"/>
    <mergeCell ref="AR9:AT9"/>
    <mergeCell ref="CD6:CD7"/>
    <mergeCell ref="CE6:CE7"/>
    <mergeCell ref="B8:C8"/>
    <mergeCell ref="D8:J8"/>
    <mergeCell ref="K8:R8"/>
    <mergeCell ref="S8:Y8"/>
    <mergeCell ref="Z8:AD8"/>
    <mergeCell ref="AE8:AG8"/>
    <mergeCell ref="AH8:AK8"/>
    <mergeCell ref="AL8:AO8"/>
    <mergeCell ref="AR8:AT8"/>
    <mergeCell ref="AU8:BB8"/>
    <mergeCell ref="BC8:BI8"/>
    <mergeCell ref="BJ8:BN8"/>
    <mergeCell ref="BO8:BT8"/>
    <mergeCell ref="BU6:BU7"/>
    <mergeCell ref="BV6:BV7"/>
    <mergeCell ref="BW6:BW7"/>
    <mergeCell ref="BX6:BX7"/>
    <mergeCell ref="BY6:BY7"/>
    <mergeCell ref="BZ6:BZ7"/>
    <mergeCell ref="CA6:CA7"/>
    <mergeCell ref="AU9:BB9"/>
    <mergeCell ref="BC9:BI9"/>
    <mergeCell ref="BJ9:BN9"/>
    <mergeCell ref="BO9:BT9"/>
    <mergeCell ref="B10:C10"/>
    <mergeCell ref="D10:J10"/>
    <mergeCell ref="K10:R10"/>
    <mergeCell ref="S10:Y10"/>
    <mergeCell ref="Z10:AD10"/>
    <mergeCell ref="AE10:AG10"/>
    <mergeCell ref="AH10:AK10"/>
    <mergeCell ref="AL10:AO10"/>
    <mergeCell ref="AR10:AT10"/>
    <mergeCell ref="AU10:BB10"/>
    <mergeCell ref="BC10:BI10"/>
    <mergeCell ref="BJ10:BN10"/>
    <mergeCell ref="BO10:BT10"/>
    <mergeCell ref="B9:C9"/>
    <mergeCell ref="D9:J9"/>
    <mergeCell ref="K9:R9"/>
    <mergeCell ref="S9:Y9"/>
    <mergeCell ref="Z9:AD9"/>
    <mergeCell ref="AE9:AG9"/>
    <mergeCell ref="AH9:AK9"/>
    <mergeCell ref="BO11:BT11"/>
    <mergeCell ref="B12:C12"/>
    <mergeCell ref="D12:J12"/>
    <mergeCell ref="K12:R12"/>
    <mergeCell ref="S12:Y12"/>
    <mergeCell ref="Z12:AD12"/>
    <mergeCell ref="AE12:AG12"/>
    <mergeCell ref="AH12:AK12"/>
    <mergeCell ref="AL12:AO12"/>
    <mergeCell ref="AR12:AT12"/>
    <mergeCell ref="AU12:BB12"/>
    <mergeCell ref="BC12:BI12"/>
    <mergeCell ref="BJ12:BN12"/>
    <mergeCell ref="BO12:BT12"/>
    <mergeCell ref="B11:C11"/>
    <mergeCell ref="D11:J11"/>
    <mergeCell ref="K11:R11"/>
    <mergeCell ref="S11:Y11"/>
    <mergeCell ref="Z11:AD11"/>
    <mergeCell ref="AE11:AG11"/>
    <mergeCell ref="AH11:AK11"/>
    <mergeCell ref="AL11:AO11"/>
    <mergeCell ref="AR11:AT11"/>
    <mergeCell ref="S13:Y13"/>
    <mergeCell ref="Z13:AD13"/>
    <mergeCell ref="AE13:AG13"/>
    <mergeCell ref="AH13:AK13"/>
    <mergeCell ref="AL13:AO13"/>
    <mergeCell ref="AR13:AT13"/>
    <mergeCell ref="AU11:BB11"/>
    <mergeCell ref="BC11:BI11"/>
    <mergeCell ref="BJ11:BN11"/>
    <mergeCell ref="AE15:AG15"/>
    <mergeCell ref="AH15:AK15"/>
    <mergeCell ref="AL15:AO15"/>
    <mergeCell ref="AR15:AT15"/>
    <mergeCell ref="AU13:BB13"/>
    <mergeCell ref="BC13:BI13"/>
    <mergeCell ref="BJ13:BN13"/>
    <mergeCell ref="BO13:BT13"/>
    <mergeCell ref="B14:C14"/>
    <mergeCell ref="D14:J14"/>
    <mergeCell ref="K14:R14"/>
    <mergeCell ref="S14:Y14"/>
    <mergeCell ref="Z14:AD14"/>
    <mergeCell ref="AE14:AG14"/>
    <mergeCell ref="AH14:AK14"/>
    <mergeCell ref="AL14:AO14"/>
    <mergeCell ref="AR14:AT14"/>
    <mergeCell ref="AU14:BB14"/>
    <mergeCell ref="BC14:BI14"/>
    <mergeCell ref="BJ14:BN14"/>
    <mergeCell ref="BO14:BT14"/>
    <mergeCell ref="B13:C13"/>
    <mergeCell ref="D13:J13"/>
    <mergeCell ref="K13:R13"/>
    <mergeCell ref="AL17:AO17"/>
    <mergeCell ref="AR17:AT17"/>
    <mergeCell ref="AU15:BB15"/>
    <mergeCell ref="BC15:BI15"/>
    <mergeCell ref="BJ15:BN15"/>
    <mergeCell ref="BO15:BT15"/>
    <mergeCell ref="B16:C16"/>
    <mergeCell ref="D16:J16"/>
    <mergeCell ref="K16:R16"/>
    <mergeCell ref="S16:Y16"/>
    <mergeCell ref="Z16:AD16"/>
    <mergeCell ref="AE16:AG16"/>
    <mergeCell ref="AH16:AK16"/>
    <mergeCell ref="AL16:AO16"/>
    <mergeCell ref="AR16:AT16"/>
    <mergeCell ref="AU16:BB16"/>
    <mergeCell ref="BC16:BI16"/>
    <mergeCell ref="BJ16:BN16"/>
    <mergeCell ref="BO16:BT16"/>
    <mergeCell ref="B15:C15"/>
    <mergeCell ref="D15:J15"/>
    <mergeCell ref="K15:R15"/>
    <mergeCell ref="S15:Y15"/>
    <mergeCell ref="Z15:AD15"/>
    <mergeCell ref="AU17:BB17"/>
    <mergeCell ref="BC17:BI17"/>
    <mergeCell ref="BJ17:BN17"/>
    <mergeCell ref="BO17:BT17"/>
    <mergeCell ref="B18:C18"/>
    <mergeCell ref="D18:J18"/>
    <mergeCell ref="K18:R18"/>
    <mergeCell ref="S18:Y18"/>
    <mergeCell ref="Z18:AD18"/>
    <mergeCell ref="AE18:AG18"/>
    <mergeCell ref="AH18:AK18"/>
    <mergeCell ref="AL18:AO18"/>
    <mergeCell ref="AR18:AT18"/>
    <mergeCell ref="AU18:BB18"/>
    <mergeCell ref="BC18:BI18"/>
    <mergeCell ref="BJ18:BN18"/>
    <mergeCell ref="BO18:BT18"/>
    <mergeCell ref="B17:C17"/>
    <mergeCell ref="D17:J17"/>
    <mergeCell ref="K17:R17"/>
    <mergeCell ref="S17:Y17"/>
    <mergeCell ref="Z17:AD17"/>
    <mergeCell ref="AE17:AG17"/>
    <mergeCell ref="AH17:AK17"/>
    <mergeCell ref="BO19:BT19"/>
    <mergeCell ref="B20:C20"/>
    <mergeCell ref="D20:J20"/>
    <mergeCell ref="K20:R20"/>
    <mergeCell ref="S20:Y20"/>
    <mergeCell ref="Z20:AD20"/>
    <mergeCell ref="AE20:AG20"/>
    <mergeCell ref="AH20:AK20"/>
    <mergeCell ref="AL20:AO20"/>
    <mergeCell ref="AR20:AT20"/>
    <mergeCell ref="AU20:BB20"/>
    <mergeCell ref="BC20:BI20"/>
    <mergeCell ref="BJ20:BN20"/>
    <mergeCell ref="BO20:BT20"/>
    <mergeCell ref="B19:C19"/>
    <mergeCell ref="D19:J19"/>
    <mergeCell ref="K19:R19"/>
    <mergeCell ref="S19:Y19"/>
    <mergeCell ref="Z19:AD19"/>
    <mergeCell ref="AE19:AG19"/>
    <mergeCell ref="AH19:AK19"/>
    <mergeCell ref="AL19:AO19"/>
    <mergeCell ref="AR19:AT19"/>
    <mergeCell ref="S21:Y21"/>
    <mergeCell ref="Z21:AD21"/>
    <mergeCell ref="AE21:AG21"/>
    <mergeCell ref="AH21:AK21"/>
    <mergeCell ref="AL21:AO21"/>
    <mergeCell ref="AR21:AT21"/>
    <mergeCell ref="AU19:BB19"/>
    <mergeCell ref="BC19:BI19"/>
    <mergeCell ref="BJ19:BN19"/>
    <mergeCell ref="AE23:AG23"/>
    <mergeCell ref="AH23:AK23"/>
    <mergeCell ref="AL23:AO23"/>
    <mergeCell ref="AR23:AT23"/>
    <mergeCell ref="AU21:BB21"/>
    <mergeCell ref="BC21:BI21"/>
    <mergeCell ref="BJ21:BN21"/>
    <mergeCell ref="BO21:BT21"/>
    <mergeCell ref="B22:C22"/>
    <mergeCell ref="D22:J22"/>
    <mergeCell ref="K22:R22"/>
    <mergeCell ref="S22:Y22"/>
    <mergeCell ref="Z22:AD22"/>
    <mergeCell ref="AE22:AG22"/>
    <mergeCell ref="AH22:AK22"/>
    <mergeCell ref="AL22:AO22"/>
    <mergeCell ref="AR22:AT22"/>
    <mergeCell ref="AU22:BB22"/>
    <mergeCell ref="BC22:BI22"/>
    <mergeCell ref="BJ22:BN22"/>
    <mergeCell ref="BO22:BT22"/>
    <mergeCell ref="B21:C21"/>
    <mergeCell ref="D21:J21"/>
    <mergeCell ref="K21:R21"/>
    <mergeCell ref="AL25:AO25"/>
    <mergeCell ref="AR25:AT25"/>
    <mergeCell ref="AU23:BB23"/>
    <mergeCell ref="BC23:BI23"/>
    <mergeCell ref="BJ23:BN23"/>
    <mergeCell ref="BO23:BT23"/>
    <mergeCell ref="B24:C24"/>
    <mergeCell ref="D24:J24"/>
    <mergeCell ref="K24:R24"/>
    <mergeCell ref="S24:Y24"/>
    <mergeCell ref="Z24:AD24"/>
    <mergeCell ref="AE24:AG24"/>
    <mergeCell ref="AH24:AK24"/>
    <mergeCell ref="AL24:AO24"/>
    <mergeCell ref="AR24:AT24"/>
    <mergeCell ref="AU24:BB24"/>
    <mergeCell ref="BC24:BI24"/>
    <mergeCell ref="BJ24:BN24"/>
    <mergeCell ref="BO24:BT24"/>
    <mergeCell ref="B23:C23"/>
    <mergeCell ref="D23:J23"/>
    <mergeCell ref="K23:R23"/>
    <mergeCell ref="S23:Y23"/>
    <mergeCell ref="Z23:AD23"/>
    <mergeCell ref="AU25:BB25"/>
    <mergeCell ref="BC25:BI25"/>
    <mergeCell ref="BJ25:BN25"/>
    <mergeCell ref="BO25:BT25"/>
    <mergeCell ref="B26:C26"/>
    <mergeCell ref="D26:J26"/>
    <mergeCell ref="K26:R26"/>
    <mergeCell ref="S26:Y26"/>
    <mergeCell ref="Z26:AD26"/>
    <mergeCell ref="AE26:AG26"/>
    <mergeCell ref="AH26:AK26"/>
    <mergeCell ref="AL26:AO26"/>
    <mergeCell ref="AR26:AT26"/>
    <mergeCell ref="AU26:BB26"/>
    <mergeCell ref="BC26:BI26"/>
    <mergeCell ref="BJ26:BN26"/>
    <mergeCell ref="BO26:BT26"/>
    <mergeCell ref="B25:C25"/>
    <mergeCell ref="D25:J25"/>
    <mergeCell ref="K25:R25"/>
    <mergeCell ref="S25:Y25"/>
    <mergeCell ref="Z25:AD25"/>
    <mergeCell ref="AE25:AG25"/>
    <mergeCell ref="AH25:AK25"/>
    <mergeCell ref="BO27:BT27"/>
    <mergeCell ref="B28:C28"/>
    <mergeCell ref="D28:J28"/>
    <mergeCell ref="K28:R28"/>
    <mergeCell ref="S28:Y28"/>
    <mergeCell ref="Z28:AD28"/>
    <mergeCell ref="AE28:AG28"/>
    <mergeCell ref="AH28:AK28"/>
    <mergeCell ref="AL28:AO28"/>
    <mergeCell ref="AR28:AT28"/>
    <mergeCell ref="AU28:BB28"/>
    <mergeCell ref="BC28:BI28"/>
    <mergeCell ref="BJ28:BN28"/>
    <mergeCell ref="BO28:BT28"/>
    <mergeCell ref="B27:C27"/>
    <mergeCell ref="D27:J27"/>
    <mergeCell ref="K27:R27"/>
    <mergeCell ref="S27:Y27"/>
    <mergeCell ref="Z27:AD27"/>
    <mergeCell ref="AE27:AG27"/>
    <mergeCell ref="AH27:AK27"/>
    <mergeCell ref="AL27:AO27"/>
    <mergeCell ref="AR27:AT27"/>
    <mergeCell ref="S29:Y29"/>
    <mergeCell ref="Z29:AD29"/>
    <mergeCell ref="AE29:AG29"/>
    <mergeCell ref="AH29:AK29"/>
    <mergeCell ref="AL29:AO29"/>
    <mergeCell ref="AR29:AT29"/>
    <mergeCell ref="AU27:BB27"/>
    <mergeCell ref="BC27:BI27"/>
    <mergeCell ref="BJ27:BN27"/>
    <mergeCell ref="AE31:AG31"/>
    <mergeCell ref="AH31:AK31"/>
    <mergeCell ref="AL31:AO31"/>
    <mergeCell ref="AR31:AT31"/>
    <mergeCell ref="AU29:BB29"/>
    <mergeCell ref="BC29:BI29"/>
    <mergeCell ref="BJ29:BN29"/>
    <mergeCell ref="BO29:BT29"/>
    <mergeCell ref="B30:C30"/>
    <mergeCell ref="D30:J30"/>
    <mergeCell ref="K30:R30"/>
    <mergeCell ref="S30:Y30"/>
    <mergeCell ref="Z30:AD30"/>
    <mergeCell ref="AE30:AG30"/>
    <mergeCell ref="AH30:AK30"/>
    <mergeCell ref="AL30:AO30"/>
    <mergeCell ref="AR30:AT30"/>
    <mergeCell ref="AU30:BB30"/>
    <mergeCell ref="BC30:BI30"/>
    <mergeCell ref="BJ30:BN30"/>
    <mergeCell ref="BO30:BT30"/>
    <mergeCell ref="B29:C29"/>
    <mergeCell ref="D29:J29"/>
    <mergeCell ref="K29:R29"/>
    <mergeCell ref="AL33:AO33"/>
    <mergeCell ref="AR33:AT33"/>
    <mergeCell ref="AU31:BB31"/>
    <mergeCell ref="BC31:BI31"/>
    <mergeCell ref="BJ31:BN31"/>
    <mergeCell ref="BO31:BT31"/>
    <mergeCell ref="B32:C32"/>
    <mergeCell ref="D32:J32"/>
    <mergeCell ref="K32:R32"/>
    <mergeCell ref="S32:Y32"/>
    <mergeCell ref="Z32:AD32"/>
    <mergeCell ref="AE32:AG32"/>
    <mergeCell ref="AH32:AK32"/>
    <mergeCell ref="AL32:AO32"/>
    <mergeCell ref="AR32:AT32"/>
    <mergeCell ref="AU32:BB32"/>
    <mergeCell ref="BC32:BI32"/>
    <mergeCell ref="BJ32:BN32"/>
    <mergeCell ref="BO32:BT32"/>
    <mergeCell ref="B31:C31"/>
    <mergeCell ref="D31:J31"/>
    <mergeCell ref="K31:R31"/>
    <mergeCell ref="S31:Y31"/>
    <mergeCell ref="Z31:AD31"/>
    <mergeCell ref="AU33:BB33"/>
    <mergeCell ref="BC33:BI33"/>
    <mergeCell ref="BJ33:BN33"/>
    <mergeCell ref="BO33:BT33"/>
    <mergeCell ref="B34:C34"/>
    <mergeCell ref="D34:J34"/>
    <mergeCell ref="K34:R34"/>
    <mergeCell ref="S34:Y34"/>
    <mergeCell ref="Z34:AD34"/>
    <mergeCell ref="AE34:AG34"/>
    <mergeCell ref="AH34:AK34"/>
    <mergeCell ref="AL34:AO34"/>
    <mergeCell ref="AR34:AT34"/>
    <mergeCell ref="AU34:BB34"/>
    <mergeCell ref="BC34:BI34"/>
    <mergeCell ref="BJ34:BN34"/>
    <mergeCell ref="BO34:BT34"/>
    <mergeCell ref="B33:C33"/>
    <mergeCell ref="D33:J33"/>
    <mergeCell ref="K33:R33"/>
    <mergeCell ref="S33:Y33"/>
    <mergeCell ref="Z33:AD33"/>
    <mergeCell ref="AE33:AG33"/>
    <mergeCell ref="AH33:AK33"/>
    <mergeCell ref="BO35:BT35"/>
    <mergeCell ref="B36:C36"/>
    <mergeCell ref="D36:J36"/>
    <mergeCell ref="K36:R36"/>
    <mergeCell ref="S36:Y36"/>
    <mergeCell ref="Z36:AD36"/>
    <mergeCell ref="AE36:AG36"/>
    <mergeCell ref="AH36:AK36"/>
    <mergeCell ref="AL36:AO36"/>
    <mergeCell ref="AR36:AT36"/>
    <mergeCell ref="AU36:BB36"/>
    <mergeCell ref="BC36:BI36"/>
    <mergeCell ref="BJ36:BN36"/>
    <mergeCell ref="BO36:BT36"/>
    <mergeCell ref="B35:C35"/>
    <mergeCell ref="D35:J35"/>
    <mergeCell ref="K35:R35"/>
    <mergeCell ref="S35:Y35"/>
    <mergeCell ref="Z35:AD35"/>
    <mergeCell ref="AE35:AG35"/>
    <mergeCell ref="AH35:AK35"/>
    <mergeCell ref="AL35:AO35"/>
    <mergeCell ref="AR35:AT35"/>
    <mergeCell ref="S37:Y37"/>
    <mergeCell ref="Z37:AD37"/>
    <mergeCell ref="AE37:AG37"/>
    <mergeCell ref="AH37:AK37"/>
    <mergeCell ref="AL37:AO37"/>
    <mergeCell ref="AR37:AT37"/>
    <mergeCell ref="AU35:BB35"/>
    <mergeCell ref="BC35:BI35"/>
    <mergeCell ref="BJ35:BN35"/>
    <mergeCell ref="AE39:AG39"/>
    <mergeCell ref="AH39:AK39"/>
    <mergeCell ref="AL39:AO39"/>
    <mergeCell ref="AR39:AT39"/>
    <mergeCell ref="AU37:BB37"/>
    <mergeCell ref="BC37:BI37"/>
    <mergeCell ref="BJ37:BN37"/>
    <mergeCell ref="BO37:BT37"/>
    <mergeCell ref="B38:C38"/>
    <mergeCell ref="D38:J38"/>
    <mergeCell ref="K38:R38"/>
    <mergeCell ref="S38:Y38"/>
    <mergeCell ref="Z38:AD38"/>
    <mergeCell ref="AE38:AG38"/>
    <mergeCell ref="AH38:AK38"/>
    <mergeCell ref="AL38:AO38"/>
    <mergeCell ref="AR38:AT38"/>
    <mergeCell ref="AU38:BB38"/>
    <mergeCell ref="BC38:BI38"/>
    <mergeCell ref="BJ38:BN38"/>
    <mergeCell ref="BO38:BT38"/>
    <mergeCell ref="B37:C37"/>
    <mergeCell ref="D37:J37"/>
    <mergeCell ref="K37:R37"/>
    <mergeCell ref="AL41:AO41"/>
    <mergeCell ref="AR41:AT41"/>
    <mergeCell ref="AU39:BB39"/>
    <mergeCell ref="BC39:BI39"/>
    <mergeCell ref="BJ39:BN39"/>
    <mergeCell ref="BO39:BT39"/>
    <mergeCell ref="B40:C40"/>
    <mergeCell ref="D40:J40"/>
    <mergeCell ref="K40:R40"/>
    <mergeCell ref="S40:Y40"/>
    <mergeCell ref="Z40:AD40"/>
    <mergeCell ref="AE40:AG40"/>
    <mergeCell ref="AH40:AK40"/>
    <mergeCell ref="AL40:AO40"/>
    <mergeCell ref="AR40:AT40"/>
    <mergeCell ref="AU40:BB40"/>
    <mergeCell ref="BC40:BI40"/>
    <mergeCell ref="BJ40:BN40"/>
    <mergeCell ref="BO40:BT40"/>
    <mergeCell ref="B39:C39"/>
    <mergeCell ref="D39:J39"/>
    <mergeCell ref="K39:R39"/>
    <mergeCell ref="S39:Y39"/>
    <mergeCell ref="Z39:AD39"/>
    <mergeCell ref="AU41:BB41"/>
    <mergeCell ref="BC41:BI41"/>
    <mergeCell ref="BJ41:BN41"/>
    <mergeCell ref="BO41:BT41"/>
    <mergeCell ref="B42:C42"/>
    <mergeCell ref="D42:J42"/>
    <mergeCell ref="K42:R42"/>
    <mergeCell ref="S42:Y42"/>
    <mergeCell ref="Z42:AD42"/>
    <mergeCell ref="AE42:AG42"/>
    <mergeCell ref="AH42:AK42"/>
    <mergeCell ref="AL42:AO42"/>
    <mergeCell ref="AR42:AT42"/>
    <mergeCell ref="AU42:BB42"/>
    <mergeCell ref="BC42:BI42"/>
    <mergeCell ref="BJ42:BN42"/>
    <mergeCell ref="BO42:BT42"/>
    <mergeCell ref="B41:C41"/>
    <mergeCell ref="D41:J41"/>
    <mergeCell ref="K41:R41"/>
    <mergeCell ref="S41:Y41"/>
    <mergeCell ref="Z41:AD41"/>
    <mergeCell ref="AE41:AG41"/>
    <mergeCell ref="AH41:AK41"/>
    <mergeCell ref="BO43:BT43"/>
    <mergeCell ref="B44:C44"/>
    <mergeCell ref="D44:J44"/>
    <mergeCell ref="K44:R44"/>
    <mergeCell ref="S44:Y44"/>
    <mergeCell ref="Z44:AD44"/>
    <mergeCell ref="AE44:AG44"/>
    <mergeCell ref="AH44:AK44"/>
    <mergeCell ref="AL44:AO44"/>
    <mergeCell ref="AR44:AT44"/>
    <mergeCell ref="AU44:BB44"/>
    <mergeCell ref="BC44:BI44"/>
    <mergeCell ref="BJ44:BN44"/>
    <mergeCell ref="BO44:BT44"/>
    <mergeCell ref="B43:C43"/>
    <mergeCell ref="D43:J43"/>
    <mergeCell ref="K43:R43"/>
    <mergeCell ref="S43:Y43"/>
    <mergeCell ref="Z43:AD43"/>
    <mergeCell ref="AE43:AG43"/>
    <mergeCell ref="AH43:AK43"/>
    <mergeCell ref="AL43:AO43"/>
    <mergeCell ref="AR43:AT43"/>
    <mergeCell ref="S45:Y45"/>
    <mergeCell ref="Z45:AD45"/>
    <mergeCell ref="AE45:AG45"/>
    <mergeCell ref="AH45:AK45"/>
    <mergeCell ref="AL45:AO45"/>
    <mergeCell ref="AR45:AT45"/>
    <mergeCell ref="AU43:BB43"/>
    <mergeCell ref="BC43:BI43"/>
    <mergeCell ref="BJ43:BN43"/>
    <mergeCell ref="AE47:AG47"/>
    <mergeCell ref="AH47:AK47"/>
    <mergeCell ref="AL47:AO47"/>
    <mergeCell ref="AR47:AT47"/>
    <mergeCell ref="AU45:BB45"/>
    <mergeCell ref="BC45:BI45"/>
    <mergeCell ref="BJ45:BN45"/>
    <mergeCell ref="BO45:BT45"/>
    <mergeCell ref="B46:C46"/>
    <mergeCell ref="D46:J46"/>
    <mergeCell ref="K46:R46"/>
    <mergeCell ref="S46:Y46"/>
    <mergeCell ref="Z46:AD46"/>
    <mergeCell ref="AE46:AG46"/>
    <mergeCell ref="AH46:AK46"/>
    <mergeCell ref="AL46:AO46"/>
    <mergeCell ref="AR46:AT46"/>
    <mergeCell ref="AU46:BB46"/>
    <mergeCell ref="BC46:BI46"/>
    <mergeCell ref="BJ46:BN46"/>
    <mergeCell ref="BO46:BT46"/>
    <mergeCell ref="B45:C45"/>
    <mergeCell ref="D45:J45"/>
    <mergeCell ref="K45:R45"/>
    <mergeCell ref="AL49:AO49"/>
    <mergeCell ref="AR49:AT49"/>
    <mergeCell ref="AU47:BB47"/>
    <mergeCell ref="BC47:BI47"/>
    <mergeCell ref="BJ47:BN47"/>
    <mergeCell ref="BO47:BT47"/>
    <mergeCell ref="B48:C48"/>
    <mergeCell ref="D48:J48"/>
    <mergeCell ref="K48:R48"/>
    <mergeCell ref="S48:Y48"/>
    <mergeCell ref="Z48:AD48"/>
    <mergeCell ref="AE48:AG48"/>
    <mergeCell ref="AH48:AK48"/>
    <mergeCell ref="AL48:AO48"/>
    <mergeCell ref="AR48:AT48"/>
    <mergeCell ref="AU48:BB48"/>
    <mergeCell ref="BC48:BI48"/>
    <mergeCell ref="BJ48:BN48"/>
    <mergeCell ref="BO48:BT48"/>
    <mergeCell ref="B47:C47"/>
    <mergeCell ref="D47:J47"/>
    <mergeCell ref="K47:R47"/>
    <mergeCell ref="S47:Y47"/>
    <mergeCell ref="Z47:AD47"/>
    <mergeCell ref="AU49:BB49"/>
    <mergeCell ref="BC49:BI49"/>
    <mergeCell ref="BJ49:BN49"/>
    <mergeCell ref="BO49:BT49"/>
    <mergeCell ref="B50:C50"/>
    <mergeCell ref="D50:J50"/>
    <mergeCell ref="K50:R50"/>
    <mergeCell ref="S50:Y50"/>
    <mergeCell ref="Z50:AD50"/>
    <mergeCell ref="AE50:AG50"/>
    <mergeCell ref="AH50:AK50"/>
    <mergeCell ref="AL50:AO50"/>
    <mergeCell ref="AR50:AT50"/>
    <mergeCell ref="AU50:BB50"/>
    <mergeCell ref="BC50:BI50"/>
    <mergeCell ref="BJ50:BN50"/>
    <mergeCell ref="BO50:BT50"/>
    <mergeCell ref="B49:C49"/>
    <mergeCell ref="D49:J49"/>
    <mergeCell ref="K49:R49"/>
    <mergeCell ref="S49:Y49"/>
    <mergeCell ref="Z49:AD49"/>
    <mergeCell ref="AE49:AG49"/>
    <mergeCell ref="AH49:AK49"/>
    <mergeCell ref="BO51:BT51"/>
    <mergeCell ref="B52:C52"/>
    <mergeCell ref="D52:J52"/>
    <mergeCell ref="K52:R52"/>
    <mergeCell ref="S52:Y52"/>
    <mergeCell ref="Z52:AD52"/>
    <mergeCell ref="AE52:AG52"/>
    <mergeCell ref="AH52:AK52"/>
    <mergeCell ref="AL52:AO52"/>
    <mergeCell ref="AR52:AT52"/>
    <mergeCell ref="AU52:BB52"/>
    <mergeCell ref="BC52:BI52"/>
    <mergeCell ref="BJ52:BN52"/>
    <mergeCell ref="BO52:BT52"/>
    <mergeCell ref="B51:C51"/>
    <mergeCell ref="D51:J51"/>
    <mergeCell ref="K51:R51"/>
    <mergeCell ref="S51:Y51"/>
    <mergeCell ref="Z51:AD51"/>
    <mergeCell ref="AE51:AG51"/>
    <mergeCell ref="AH51:AK51"/>
    <mergeCell ref="AL51:AO51"/>
    <mergeCell ref="AR51:AT51"/>
    <mergeCell ref="S53:Y53"/>
    <mergeCell ref="Z53:AD53"/>
    <mergeCell ref="AE53:AG53"/>
    <mergeCell ref="AH53:AK53"/>
    <mergeCell ref="AL53:AO53"/>
    <mergeCell ref="AR53:AT53"/>
    <mergeCell ref="AU51:BB51"/>
    <mergeCell ref="BC51:BI51"/>
    <mergeCell ref="BJ51:BN51"/>
    <mergeCell ref="AE55:AG55"/>
    <mergeCell ref="AH55:AK55"/>
    <mergeCell ref="AL55:AO55"/>
    <mergeCell ref="AR55:AT55"/>
    <mergeCell ref="AU53:BB53"/>
    <mergeCell ref="BC53:BI53"/>
    <mergeCell ref="BJ53:BN53"/>
    <mergeCell ref="BO53:BT53"/>
    <mergeCell ref="B54:C54"/>
    <mergeCell ref="D54:J54"/>
    <mergeCell ref="K54:R54"/>
    <mergeCell ref="S54:Y54"/>
    <mergeCell ref="Z54:AD54"/>
    <mergeCell ref="AE54:AG54"/>
    <mergeCell ref="AH54:AK54"/>
    <mergeCell ref="AL54:AO54"/>
    <mergeCell ref="AR54:AT54"/>
    <mergeCell ref="AU54:BB54"/>
    <mergeCell ref="BC54:BI54"/>
    <mergeCell ref="BJ54:BN54"/>
    <mergeCell ref="BO54:BT54"/>
    <mergeCell ref="B53:C53"/>
    <mergeCell ref="D53:J53"/>
    <mergeCell ref="K53:R53"/>
    <mergeCell ref="AL57:AO57"/>
    <mergeCell ref="AR57:AT57"/>
    <mergeCell ref="AU55:BB55"/>
    <mergeCell ref="BC55:BI55"/>
    <mergeCell ref="BJ55:BN55"/>
    <mergeCell ref="BO55:BT55"/>
    <mergeCell ref="B56:C56"/>
    <mergeCell ref="D56:J56"/>
    <mergeCell ref="K56:R56"/>
    <mergeCell ref="S56:Y56"/>
    <mergeCell ref="Z56:AD56"/>
    <mergeCell ref="AE56:AG56"/>
    <mergeCell ref="AH56:AK56"/>
    <mergeCell ref="AL56:AO56"/>
    <mergeCell ref="AR56:AT56"/>
    <mergeCell ref="AU56:BB56"/>
    <mergeCell ref="BC56:BI56"/>
    <mergeCell ref="BJ56:BN56"/>
    <mergeCell ref="BO56:BT56"/>
    <mergeCell ref="B55:C55"/>
    <mergeCell ref="D55:J55"/>
    <mergeCell ref="K55:R55"/>
    <mergeCell ref="S55:Y55"/>
    <mergeCell ref="Z55:AD55"/>
    <mergeCell ref="AU57:BB57"/>
    <mergeCell ref="BC57:BI57"/>
    <mergeCell ref="BJ57:BN57"/>
    <mergeCell ref="BO57:BT57"/>
    <mergeCell ref="B58:C58"/>
    <mergeCell ref="D58:J58"/>
    <mergeCell ref="K58:R58"/>
    <mergeCell ref="S58:Y58"/>
    <mergeCell ref="Z58:AD58"/>
    <mergeCell ref="AE58:AG58"/>
    <mergeCell ref="AH58:AK58"/>
    <mergeCell ref="AL58:AO58"/>
    <mergeCell ref="AR58:AT58"/>
    <mergeCell ref="AU58:BB58"/>
    <mergeCell ref="BC58:BI58"/>
    <mergeCell ref="BJ58:BN58"/>
    <mergeCell ref="BO58:BT58"/>
    <mergeCell ref="B57:C57"/>
    <mergeCell ref="D57:J57"/>
    <mergeCell ref="K57:R57"/>
    <mergeCell ref="S57:Y57"/>
    <mergeCell ref="Z57:AD57"/>
    <mergeCell ref="AE57:AG57"/>
    <mergeCell ref="AH57:AK57"/>
    <mergeCell ref="BO59:BT59"/>
    <mergeCell ref="B60:C60"/>
    <mergeCell ref="D60:J60"/>
    <mergeCell ref="K60:R60"/>
    <mergeCell ref="S60:Y60"/>
    <mergeCell ref="Z60:AD60"/>
    <mergeCell ref="AE60:AG60"/>
    <mergeCell ref="AH60:AK60"/>
    <mergeCell ref="AL60:AO60"/>
    <mergeCell ref="AR60:AT60"/>
    <mergeCell ref="AU60:BB60"/>
    <mergeCell ref="BC60:BI60"/>
    <mergeCell ref="BJ60:BN60"/>
    <mergeCell ref="BO60:BT60"/>
    <mergeCell ref="B59:C59"/>
    <mergeCell ref="D59:J59"/>
    <mergeCell ref="K59:R59"/>
    <mergeCell ref="S59:Y59"/>
    <mergeCell ref="Z59:AD59"/>
    <mergeCell ref="AE59:AG59"/>
    <mergeCell ref="AH59:AK59"/>
    <mergeCell ref="AL59:AO59"/>
    <mergeCell ref="AR59:AT59"/>
    <mergeCell ref="S61:Y61"/>
    <mergeCell ref="Z61:AD61"/>
    <mergeCell ref="AE61:AG61"/>
    <mergeCell ref="AH61:AK61"/>
    <mergeCell ref="AL61:AO61"/>
    <mergeCell ref="AR61:AT61"/>
    <mergeCell ref="AU59:BB59"/>
    <mergeCell ref="BC59:BI59"/>
    <mergeCell ref="BJ59:BN59"/>
    <mergeCell ref="AE63:AG63"/>
    <mergeCell ref="AH63:AK63"/>
    <mergeCell ref="AL63:AO63"/>
    <mergeCell ref="AR63:AT63"/>
    <mergeCell ref="AU61:BB61"/>
    <mergeCell ref="BC61:BI61"/>
    <mergeCell ref="BJ61:BN61"/>
    <mergeCell ref="BO61:BT61"/>
    <mergeCell ref="B62:C62"/>
    <mergeCell ref="D62:J62"/>
    <mergeCell ref="K62:R62"/>
    <mergeCell ref="S62:Y62"/>
    <mergeCell ref="Z62:AD62"/>
    <mergeCell ref="AE62:AG62"/>
    <mergeCell ref="AH62:AK62"/>
    <mergeCell ref="AL62:AO62"/>
    <mergeCell ref="AR62:AT62"/>
    <mergeCell ref="AU62:BB62"/>
    <mergeCell ref="BC62:BI62"/>
    <mergeCell ref="BJ62:BN62"/>
    <mergeCell ref="BO62:BT62"/>
    <mergeCell ref="B61:C61"/>
    <mergeCell ref="D61:J61"/>
    <mergeCell ref="K61:R61"/>
    <mergeCell ref="AL65:AO65"/>
    <mergeCell ref="AR65:AT65"/>
    <mergeCell ref="AU63:BB63"/>
    <mergeCell ref="BC63:BI63"/>
    <mergeCell ref="BJ63:BN63"/>
    <mergeCell ref="BO63:BT63"/>
    <mergeCell ref="B64:C64"/>
    <mergeCell ref="D64:J64"/>
    <mergeCell ref="K64:R64"/>
    <mergeCell ref="S64:Y64"/>
    <mergeCell ref="Z64:AD64"/>
    <mergeCell ref="AE64:AG64"/>
    <mergeCell ref="AH64:AK64"/>
    <mergeCell ref="AL64:AO64"/>
    <mergeCell ref="AR64:AT64"/>
    <mergeCell ref="AU64:BB64"/>
    <mergeCell ref="BC64:BI64"/>
    <mergeCell ref="BJ64:BN64"/>
    <mergeCell ref="BO64:BT64"/>
    <mergeCell ref="B63:C63"/>
    <mergeCell ref="D63:J63"/>
    <mergeCell ref="K63:R63"/>
    <mergeCell ref="S63:Y63"/>
    <mergeCell ref="Z63:AD63"/>
    <mergeCell ref="AU65:BB65"/>
    <mergeCell ref="BC65:BI65"/>
    <mergeCell ref="BJ65:BN65"/>
    <mergeCell ref="BO65:BT65"/>
    <mergeCell ref="B66:C66"/>
    <mergeCell ref="D66:J66"/>
    <mergeCell ref="K66:R66"/>
    <mergeCell ref="S66:Y66"/>
    <mergeCell ref="Z66:AD66"/>
    <mergeCell ref="AE66:AG66"/>
    <mergeCell ref="AH66:AK66"/>
    <mergeCell ref="AL66:AO66"/>
    <mergeCell ref="AR66:AT66"/>
    <mergeCell ref="AU66:BB66"/>
    <mergeCell ref="BC66:BI66"/>
    <mergeCell ref="BJ66:BN66"/>
    <mergeCell ref="BO66:BT66"/>
    <mergeCell ref="B65:C65"/>
    <mergeCell ref="D65:J65"/>
    <mergeCell ref="K65:R65"/>
    <mergeCell ref="S65:Y65"/>
    <mergeCell ref="Z65:AD65"/>
    <mergeCell ref="AE65:AG65"/>
    <mergeCell ref="AH65:AK65"/>
    <mergeCell ref="BO67:BT67"/>
    <mergeCell ref="B68:C68"/>
    <mergeCell ref="D68:J68"/>
    <mergeCell ref="K68:R68"/>
    <mergeCell ref="S68:Y68"/>
    <mergeCell ref="Z68:AD68"/>
    <mergeCell ref="AE68:AG68"/>
    <mergeCell ref="AH68:AK68"/>
    <mergeCell ref="AL68:AO68"/>
    <mergeCell ref="AR68:AT68"/>
    <mergeCell ref="AU68:BB68"/>
    <mergeCell ref="BC68:BI68"/>
    <mergeCell ref="BJ68:BN68"/>
    <mergeCell ref="BO68:BT68"/>
    <mergeCell ref="B67:C67"/>
    <mergeCell ref="D67:J67"/>
    <mergeCell ref="K67:R67"/>
    <mergeCell ref="S67:Y67"/>
    <mergeCell ref="Z67:AD67"/>
    <mergeCell ref="AE67:AG67"/>
    <mergeCell ref="AH67:AK67"/>
    <mergeCell ref="AL67:AO67"/>
    <mergeCell ref="AR67:AT67"/>
    <mergeCell ref="S69:Y69"/>
    <mergeCell ref="Z69:AD69"/>
    <mergeCell ref="AE69:AG69"/>
    <mergeCell ref="AH69:AK69"/>
    <mergeCell ref="AL69:AO69"/>
    <mergeCell ref="AR69:AT69"/>
    <mergeCell ref="AU67:BB67"/>
    <mergeCell ref="BC67:BI67"/>
    <mergeCell ref="BJ67:BN67"/>
    <mergeCell ref="AE71:AG71"/>
    <mergeCell ref="AH71:AK71"/>
    <mergeCell ref="AL71:AO71"/>
    <mergeCell ref="AR71:AT71"/>
    <mergeCell ref="AU69:BB69"/>
    <mergeCell ref="BC69:BI69"/>
    <mergeCell ref="BJ69:BN69"/>
    <mergeCell ref="BO69:BT69"/>
    <mergeCell ref="B70:C70"/>
    <mergeCell ref="D70:J70"/>
    <mergeCell ref="K70:R70"/>
    <mergeCell ref="S70:Y70"/>
    <mergeCell ref="Z70:AD70"/>
    <mergeCell ref="AE70:AG70"/>
    <mergeCell ref="AH70:AK70"/>
    <mergeCell ref="AL70:AO70"/>
    <mergeCell ref="AR70:AT70"/>
    <mergeCell ref="AU70:BB70"/>
    <mergeCell ref="BC70:BI70"/>
    <mergeCell ref="BJ70:BN70"/>
    <mergeCell ref="BO70:BT70"/>
    <mergeCell ref="B69:C69"/>
    <mergeCell ref="D69:J69"/>
    <mergeCell ref="K69:R69"/>
    <mergeCell ref="AL73:AO73"/>
    <mergeCell ref="AR73:AT73"/>
    <mergeCell ref="AU71:BB71"/>
    <mergeCell ref="BC71:BI71"/>
    <mergeCell ref="BJ71:BN71"/>
    <mergeCell ref="BO71:BT71"/>
    <mergeCell ref="B72:C72"/>
    <mergeCell ref="D72:J72"/>
    <mergeCell ref="K72:R72"/>
    <mergeCell ref="S72:Y72"/>
    <mergeCell ref="Z72:AD72"/>
    <mergeCell ref="AE72:AG72"/>
    <mergeCell ref="AH72:AK72"/>
    <mergeCell ref="AL72:AO72"/>
    <mergeCell ref="AR72:AT72"/>
    <mergeCell ref="AU72:BB72"/>
    <mergeCell ref="BC72:BI72"/>
    <mergeCell ref="BJ72:BN72"/>
    <mergeCell ref="BO72:BT72"/>
    <mergeCell ref="B71:C71"/>
    <mergeCell ref="D71:J71"/>
    <mergeCell ref="K71:R71"/>
    <mergeCell ref="S71:Y71"/>
    <mergeCell ref="Z71:AD71"/>
    <mergeCell ref="AU73:BB73"/>
    <mergeCell ref="BC73:BI73"/>
    <mergeCell ref="BJ73:BN73"/>
    <mergeCell ref="BO73:BT73"/>
    <mergeCell ref="B74:C74"/>
    <mergeCell ref="D74:J74"/>
    <mergeCell ref="K74:R74"/>
    <mergeCell ref="S74:Y74"/>
    <mergeCell ref="Z74:AD74"/>
    <mergeCell ref="AE74:AG74"/>
    <mergeCell ref="AH74:AK74"/>
    <mergeCell ref="AL74:AO74"/>
    <mergeCell ref="AR74:AT74"/>
    <mergeCell ref="AU74:BB74"/>
    <mergeCell ref="BC74:BI74"/>
    <mergeCell ref="BJ74:BN74"/>
    <mergeCell ref="BO74:BT74"/>
    <mergeCell ref="B73:C73"/>
    <mergeCell ref="D73:J73"/>
    <mergeCell ref="K73:R73"/>
    <mergeCell ref="S73:Y73"/>
    <mergeCell ref="Z73:AD73"/>
    <mergeCell ref="AE73:AG73"/>
    <mergeCell ref="AH73:AK73"/>
    <mergeCell ref="AU75:BB75"/>
    <mergeCell ref="BC75:BI75"/>
    <mergeCell ref="BJ75:BN75"/>
    <mergeCell ref="BO75:BT75"/>
    <mergeCell ref="B80:AN80"/>
    <mergeCell ref="B81:AM81"/>
    <mergeCell ref="L84:S84"/>
    <mergeCell ref="AF84:AN84"/>
    <mergeCell ref="B75:C75"/>
    <mergeCell ref="D75:J75"/>
    <mergeCell ref="K75:R75"/>
    <mergeCell ref="S75:Y75"/>
    <mergeCell ref="Z75:AD75"/>
    <mergeCell ref="AE75:AG75"/>
    <mergeCell ref="AH75:AK75"/>
    <mergeCell ref="AL75:AO75"/>
    <mergeCell ref="AR75:AT75"/>
  </mergeCells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D7EC-45B6-4F93-B150-C2495BB0F877}">
  <sheetPr codeName="Лист2"/>
  <dimension ref="A1:B11"/>
  <sheetViews>
    <sheetView tabSelected="1" zoomScale="190" zoomScaleNormal="190" workbookViewId="0">
      <selection activeCell="G11" sqref="G11"/>
    </sheetView>
  </sheetViews>
  <sheetFormatPr defaultRowHeight="11.25" x14ac:dyDescent="0.2"/>
  <cols>
    <col min="1" max="1" width="15.1640625" bestFit="1" customWidth="1"/>
    <col min="2" max="2" width="14.1640625" bestFit="1" customWidth="1"/>
  </cols>
  <sheetData>
    <row r="1" spans="1:2" ht="12.75" x14ac:dyDescent="0.2">
      <c r="A1" s="25" t="s">
        <v>35</v>
      </c>
      <c r="B1" s="25" t="s">
        <v>295</v>
      </c>
    </row>
    <row r="2" spans="1:2" ht="12.75" x14ac:dyDescent="0.2">
      <c r="A2" s="25" t="s">
        <v>45</v>
      </c>
      <c r="B2" s="25" t="s">
        <v>296</v>
      </c>
    </row>
    <row r="3" spans="1:2" ht="12.75" x14ac:dyDescent="0.2">
      <c r="A3" s="25" t="s">
        <v>71</v>
      </c>
      <c r="B3" s="25" t="s">
        <v>297</v>
      </c>
    </row>
    <row r="4" spans="1:2" ht="12.75" x14ac:dyDescent="0.2">
      <c r="A4" s="25" t="s">
        <v>96</v>
      </c>
      <c r="B4" s="25" t="s">
        <v>298</v>
      </c>
    </row>
    <row r="5" spans="1:2" ht="12.75" x14ac:dyDescent="0.2">
      <c r="A5" s="25" t="s">
        <v>102</v>
      </c>
      <c r="B5" s="25" t="s">
        <v>299</v>
      </c>
    </row>
    <row r="6" spans="1:2" ht="12.75" x14ac:dyDescent="0.2">
      <c r="A6" s="25" t="s">
        <v>148</v>
      </c>
      <c r="B6" s="25" t="s">
        <v>300</v>
      </c>
    </row>
    <row r="7" spans="1:2" ht="12.75" x14ac:dyDescent="0.2">
      <c r="A7" s="25" t="s">
        <v>153</v>
      </c>
      <c r="B7" s="25" t="s">
        <v>301</v>
      </c>
    </row>
    <row r="8" spans="1:2" ht="12.75" x14ac:dyDescent="0.2">
      <c r="A8" s="25" t="s">
        <v>173</v>
      </c>
      <c r="B8" s="25" t="s">
        <v>302</v>
      </c>
    </row>
    <row r="9" spans="1:2" ht="12.75" x14ac:dyDescent="0.2">
      <c r="A9" s="25" t="s">
        <v>188</v>
      </c>
      <c r="B9" s="25" t="s">
        <v>303</v>
      </c>
    </row>
    <row r="10" spans="1:2" ht="12.75" x14ac:dyDescent="0.2">
      <c r="A10" s="25" t="s">
        <v>193</v>
      </c>
      <c r="B10" s="25" t="s">
        <v>305</v>
      </c>
    </row>
    <row r="11" spans="1:2" ht="12.75" x14ac:dyDescent="0.2">
      <c r="A11" s="25" t="s">
        <v>294</v>
      </c>
      <c r="B11" s="25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D4F6F-0EFF-43E9-B59E-A243E7434F64}">
  <sheetPr codeName="Лист3"/>
  <dimension ref="A1:S69"/>
  <sheetViews>
    <sheetView topLeftCell="A34" workbookViewId="0">
      <selection activeCell="C37" sqref="C37"/>
    </sheetView>
  </sheetViews>
  <sheetFormatPr defaultRowHeight="11.25" x14ac:dyDescent="0.2"/>
  <cols>
    <col min="1" max="1" width="13.6640625" style="21" bestFit="1" customWidth="1"/>
    <col min="2" max="2" width="14.1640625" style="21" bestFit="1" customWidth="1"/>
    <col min="3" max="3" width="41.6640625" style="21" bestFit="1" customWidth="1"/>
    <col min="4" max="6" width="41.6640625" style="21" customWidth="1"/>
    <col min="7" max="7" width="31.5" style="21" bestFit="1" customWidth="1"/>
    <col min="8" max="8" width="15" style="21" bestFit="1" customWidth="1"/>
    <col min="9" max="9" width="9.33203125" style="21" bestFit="1" customWidth="1"/>
    <col min="10" max="10" width="8.5" style="21" bestFit="1" customWidth="1"/>
    <col min="11" max="11" width="9.33203125" style="21"/>
    <col min="12" max="13" width="20.5" bestFit="1" customWidth="1"/>
    <col min="14" max="17" width="3.5" bestFit="1" customWidth="1"/>
    <col min="18" max="18" width="10.83203125" bestFit="1" customWidth="1"/>
    <col min="19" max="19" width="13" bestFit="1" customWidth="1"/>
  </cols>
  <sheetData>
    <row r="1" spans="1:19" s="24" customFormat="1" ht="12.75" x14ac:dyDescent="0.2">
      <c r="A1" s="23" t="s">
        <v>286</v>
      </c>
      <c r="B1" s="23" t="s">
        <v>287</v>
      </c>
      <c r="C1" s="23" t="s">
        <v>288</v>
      </c>
      <c r="D1" s="23" t="s">
        <v>318</v>
      </c>
      <c r="E1" s="23" t="s">
        <v>13</v>
      </c>
      <c r="F1" s="23" t="s">
        <v>308</v>
      </c>
      <c r="G1" s="23" t="s">
        <v>21</v>
      </c>
      <c r="H1" s="23" t="s">
        <v>10</v>
      </c>
      <c r="I1" s="23" t="s">
        <v>289</v>
      </c>
      <c r="J1" s="23" t="s">
        <v>290</v>
      </c>
      <c r="K1" s="23" t="s">
        <v>291</v>
      </c>
      <c r="L1" s="23" t="s">
        <v>293</v>
      </c>
      <c r="M1" s="23" t="s">
        <v>306</v>
      </c>
      <c r="N1" s="27">
        <v>57</v>
      </c>
      <c r="O1" s="27">
        <v>61</v>
      </c>
      <c r="P1" s="27">
        <v>59</v>
      </c>
      <c r="Q1" s="27">
        <v>56</v>
      </c>
      <c r="R1" s="27" t="s">
        <v>292</v>
      </c>
      <c r="S1" s="27" t="s">
        <v>309</v>
      </c>
    </row>
    <row r="2" spans="1:19" ht="12" x14ac:dyDescent="0.2">
      <c r="A2" s="22">
        <v>2126901</v>
      </c>
      <c r="B2" s="22" t="s">
        <v>33</v>
      </c>
      <c r="C2" s="22" t="s">
        <v>34</v>
      </c>
      <c r="D2" s="22" t="s">
        <v>319</v>
      </c>
      <c r="E2" s="22" t="s">
        <v>38</v>
      </c>
      <c r="F2" s="22" t="s">
        <v>40</v>
      </c>
      <c r="G2" s="22" t="s">
        <v>41</v>
      </c>
      <c r="H2" s="22" t="s">
        <v>35</v>
      </c>
      <c r="I2" s="22" t="s">
        <v>36</v>
      </c>
      <c r="J2" s="22">
        <v>6</v>
      </c>
      <c r="K2" s="22">
        <v>1194</v>
      </c>
      <c r="L2" s="26" t="s">
        <v>295</v>
      </c>
      <c r="M2" s="26">
        <v>57</v>
      </c>
      <c r="N2" s="28">
        <f t="shared" ref="N2:N33" si="0">IF($M2=$N$1,$J2,"")</f>
        <v>6</v>
      </c>
      <c r="O2" s="28" t="str">
        <f t="shared" ref="O2:O33" si="1">IF($M2=$O$1,$J2,"")</f>
        <v/>
      </c>
      <c r="P2" s="28" t="str">
        <f t="shared" ref="P2:P33" si="2">IF($M2=$P$1,$J2,"")</f>
        <v/>
      </c>
      <c r="Q2" s="28" t="str">
        <f t="shared" ref="Q2:Q33" si="3">IF($M2=$Q$1,$J2,"")</f>
        <v/>
      </c>
      <c r="R2" s="28" t="str">
        <f t="shared" ref="R2:R33" si="4">IF($M2=$R$1,$J2,"")</f>
        <v/>
      </c>
      <c r="S2" s="28">
        <f t="shared" ref="S2:S33" si="5">COUNTIF(A:A,A2)</f>
        <v>1</v>
      </c>
    </row>
    <row r="3" spans="1:19" ht="12" x14ac:dyDescent="0.2">
      <c r="A3" s="22">
        <v>2126907</v>
      </c>
      <c r="B3" s="22" t="s">
        <v>33</v>
      </c>
      <c r="C3" s="22" t="s">
        <v>34</v>
      </c>
      <c r="D3" s="22" t="s">
        <v>319</v>
      </c>
      <c r="E3" s="22" t="s">
        <v>38</v>
      </c>
      <c r="F3" s="22" t="s">
        <v>40</v>
      </c>
      <c r="G3" s="22" t="s">
        <v>46</v>
      </c>
      <c r="H3" s="22" t="s">
        <v>45</v>
      </c>
      <c r="I3" s="22" t="s">
        <v>36</v>
      </c>
      <c r="J3" s="22">
        <v>3</v>
      </c>
      <c r="K3" s="22">
        <v>1194</v>
      </c>
      <c r="L3" s="26" t="s">
        <v>296</v>
      </c>
      <c r="M3" s="26">
        <v>57</v>
      </c>
      <c r="N3" s="28">
        <f t="shared" si="0"/>
        <v>3</v>
      </c>
      <c r="O3" s="28" t="str">
        <f t="shared" si="1"/>
        <v/>
      </c>
      <c r="P3" s="28" t="str">
        <f t="shared" si="2"/>
        <v/>
      </c>
      <c r="Q3" s="28" t="str">
        <f t="shared" si="3"/>
        <v/>
      </c>
      <c r="R3" s="28" t="str">
        <f t="shared" si="4"/>
        <v/>
      </c>
      <c r="S3" s="28">
        <f t="shared" si="5"/>
        <v>1</v>
      </c>
    </row>
    <row r="4" spans="1:19" ht="12" x14ac:dyDescent="0.2">
      <c r="A4" s="22" t="s">
        <v>48</v>
      </c>
      <c r="B4" s="22" t="s">
        <v>49</v>
      </c>
      <c r="C4" s="22" t="s">
        <v>50</v>
      </c>
      <c r="D4" s="22" t="s">
        <v>319</v>
      </c>
      <c r="E4" s="22" t="s">
        <v>52</v>
      </c>
      <c r="F4" s="22" t="s">
        <v>53</v>
      </c>
      <c r="G4" s="22" t="s">
        <v>54</v>
      </c>
      <c r="H4" s="22" t="s">
        <v>35</v>
      </c>
      <c r="I4" s="22" t="s">
        <v>36</v>
      </c>
      <c r="J4" s="22">
        <v>4</v>
      </c>
      <c r="K4" s="22">
        <v>1511.37</v>
      </c>
      <c r="L4" s="26" t="s">
        <v>295</v>
      </c>
      <c r="M4" s="26">
        <v>57</v>
      </c>
      <c r="N4" s="28">
        <f t="shared" si="0"/>
        <v>4</v>
      </c>
      <c r="O4" s="28" t="str">
        <f t="shared" si="1"/>
        <v/>
      </c>
      <c r="P4" s="28" t="str">
        <f t="shared" si="2"/>
        <v/>
      </c>
      <c r="Q4" s="28" t="str">
        <f t="shared" si="3"/>
        <v/>
      </c>
      <c r="R4" s="28" t="str">
        <f t="shared" si="4"/>
        <v/>
      </c>
      <c r="S4" s="28">
        <f t="shared" si="5"/>
        <v>2</v>
      </c>
    </row>
    <row r="5" spans="1:19" ht="12" x14ac:dyDescent="0.2">
      <c r="A5" s="22" t="s">
        <v>48</v>
      </c>
      <c r="B5" s="22" t="s">
        <v>49</v>
      </c>
      <c r="C5" s="22" t="s">
        <v>50</v>
      </c>
      <c r="D5" s="22" t="s">
        <v>319</v>
      </c>
      <c r="E5" s="22" t="s">
        <v>52</v>
      </c>
      <c r="F5" s="22" t="s">
        <v>53</v>
      </c>
      <c r="G5" s="22" t="s">
        <v>54</v>
      </c>
      <c r="H5" s="22" t="s">
        <v>35</v>
      </c>
      <c r="I5" s="22" t="s">
        <v>57</v>
      </c>
      <c r="J5" s="22">
        <v>1</v>
      </c>
      <c r="K5" s="22">
        <v>1511.37</v>
      </c>
      <c r="L5" s="26" t="s">
        <v>295</v>
      </c>
      <c r="M5" s="26">
        <v>61</v>
      </c>
      <c r="N5" s="28" t="str">
        <f t="shared" si="0"/>
        <v/>
      </c>
      <c r="O5" s="28">
        <f t="shared" si="1"/>
        <v>1</v>
      </c>
      <c r="P5" s="28" t="str">
        <f t="shared" si="2"/>
        <v/>
      </c>
      <c r="Q5" s="28" t="str">
        <f t="shared" si="3"/>
        <v/>
      </c>
      <c r="R5" s="28" t="str">
        <f t="shared" si="4"/>
        <v/>
      </c>
      <c r="S5" s="28">
        <f t="shared" si="5"/>
        <v>2</v>
      </c>
    </row>
    <row r="6" spans="1:19" ht="12" x14ac:dyDescent="0.2">
      <c r="A6" s="22" t="s">
        <v>59</v>
      </c>
      <c r="B6" s="22" t="s">
        <v>49</v>
      </c>
      <c r="C6" s="22" t="s">
        <v>61</v>
      </c>
      <c r="D6" s="22" t="s">
        <v>319</v>
      </c>
      <c r="E6" s="22" t="s">
        <v>62</v>
      </c>
      <c r="F6" s="22" t="s">
        <v>53</v>
      </c>
      <c r="G6" s="22" t="s">
        <v>63</v>
      </c>
      <c r="H6" s="22" t="s">
        <v>35</v>
      </c>
      <c r="I6" s="22" t="s">
        <v>36</v>
      </c>
      <c r="J6" s="22">
        <v>6</v>
      </c>
      <c r="K6" s="22">
        <v>1259.3699999999999</v>
      </c>
      <c r="L6" s="26" t="s">
        <v>295</v>
      </c>
      <c r="M6" s="26">
        <v>57</v>
      </c>
      <c r="N6" s="28">
        <f t="shared" si="0"/>
        <v>6</v>
      </c>
      <c r="O6" s="28" t="str">
        <f t="shared" si="1"/>
        <v/>
      </c>
      <c r="P6" s="28" t="str">
        <f t="shared" si="2"/>
        <v/>
      </c>
      <c r="Q6" s="28" t="str">
        <f t="shared" si="3"/>
        <v/>
      </c>
      <c r="R6" s="28" t="str">
        <f t="shared" si="4"/>
        <v/>
      </c>
      <c r="S6" s="28">
        <f t="shared" si="5"/>
        <v>2</v>
      </c>
    </row>
    <row r="7" spans="1:19" ht="12" x14ac:dyDescent="0.2">
      <c r="A7" s="22" t="s">
        <v>59</v>
      </c>
      <c r="B7" s="22" t="s">
        <v>49</v>
      </c>
      <c r="C7" s="22" t="s">
        <v>61</v>
      </c>
      <c r="D7" s="22" t="s">
        <v>319</v>
      </c>
      <c r="E7" s="22" t="s">
        <v>62</v>
      </c>
      <c r="F7" s="22" t="s">
        <v>53</v>
      </c>
      <c r="G7" s="22" t="s">
        <v>63</v>
      </c>
      <c r="H7" s="22" t="s">
        <v>35</v>
      </c>
      <c r="I7" s="22" t="s">
        <v>57</v>
      </c>
      <c r="J7" s="22">
        <v>3</v>
      </c>
      <c r="K7" s="22">
        <v>1259.3699999999999</v>
      </c>
      <c r="L7" s="26" t="s">
        <v>295</v>
      </c>
      <c r="M7" s="26">
        <v>61</v>
      </c>
      <c r="N7" s="28" t="str">
        <f t="shared" si="0"/>
        <v/>
      </c>
      <c r="O7" s="28">
        <f t="shared" si="1"/>
        <v>3</v>
      </c>
      <c r="P7" s="28" t="str">
        <f t="shared" si="2"/>
        <v/>
      </c>
      <c r="Q7" s="28" t="str">
        <f t="shared" si="3"/>
        <v/>
      </c>
      <c r="R7" s="28" t="str">
        <f t="shared" si="4"/>
        <v/>
      </c>
      <c r="S7" s="28">
        <f t="shared" si="5"/>
        <v>2</v>
      </c>
    </row>
    <row r="8" spans="1:19" ht="12" x14ac:dyDescent="0.2">
      <c r="A8" s="22" t="s">
        <v>66</v>
      </c>
      <c r="B8" s="22" t="s">
        <v>49</v>
      </c>
      <c r="C8" s="22" t="s">
        <v>67</v>
      </c>
      <c r="D8" s="22" t="s">
        <v>319</v>
      </c>
      <c r="E8" s="22" t="s">
        <v>52</v>
      </c>
      <c r="F8" s="22" t="s">
        <v>53</v>
      </c>
      <c r="G8" s="22" t="s">
        <v>54</v>
      </c>
      <c r="H8" s="22" t="s">
        <v>35</v>
      </c>
      <c r="I8" s="22" t="s">
        <v>36</v>
      </c>
      <c r="J8" s="22">
        <v>6</v>
      </c>
      <c r="K8" s="22">
        <v>1316.7</v>
      </c>
      <c r="L8" s="26" t="s">
        <v>295</v>
      </c>
      <c r="M8" s="26">
        <v>57</v>
      </c>
      <c r="N8" s="28">
        <f t="shared" si="0"/>
        <v>6</v>
      </c>
      <c r="O8" s="28" t="str">
        <f t="shared" si="1"/>
        <v/>
      </c>
      <c r="P8" s="28" t="str">
        <f t="shared" si="2"/>
        <v/>
      </c>
      <c r="Q8" s="28" t="str">
        <f t="shared" si="3"/>
        <v/>
      </c>
      <c r="R8" s="28" t="str">
        <f t="shared" si="4"/>
        <v/>
      </c>
      <c r="S8" s="28">
        <f t="shared" si="5"/>
        <v>1</v>
      </c>
    </row>
    <row r="9" spans="1:19" ht="12" x14ac:dyDescent="0.2">
      <c r="A9" s="22" t="s">
        <v>70</v>
      </c>
      <c r="B9" s="22" t="s">
        <v>49</v>
      </c>
      <c r="C9" s="22" t="s">
        <v>67</v>
      </c>
      <c r="D9" s="22" t="s">
        <v>319</v>
      </c>
      <c r="E9" s="22" t="s">
        <v>52</v>
      </c>
      <c r="F9" s="22" t="s">
        <v>53</v>
      </c>
      <c r="G9" s="22" t="s">
        <v>72</v>
      </c>
      <c r="H9" s="22" t="s">
        <v>71</v>
      </c>
      <c r="I9" s="22" t="s">
        <v>36</v>
      </c>
      <c r="J9" s="22">
        <v>3</v>
      </c>
      <c r="K9" s="22">
        <v>1316.7</v>
      </c>
      <c r="L9" s="26" t="s">
        <v>297</v>
      </c>
      <c r="M9" s="26">
        <v>57</v>
      </c>
      <c r="N9" s="28">
        <f t="shared" si="0"/>
        <v>3</v>
      </c>
      <c r="O9" s="28" t="str">
        <f t="shared" si="1"/>
        <v/>
      </c>
      <c r="P9" s="28" t="str">
        <f t="shared" si="2"/>
        <v/>
      </c>
      <c r="Q9" s="28" t="str">
        <f t="shared" si="3"/>
        <v/>
      </c>
      <c r="R9" s="28" t="str">
        <f t="shared" si="4"/>
        <v/>
      </c>
      <c r="S9" s="28">
        <f t="shared" si="5"/>
        <v>2</v>
      </c>
    </row>
    <row r="10" spans="1:19" ht="12" x14ac:dyDescent="0.2">
      <c r="A10" s="22" t="s">
        <v>70</v>
      </c>
      <c r="B10" s="22" t="s">
        <v>49</v>
      </c>
      <c r="C10" s="22" t="s">
        <v>67</v>
      </c>
      <c r="D10" s="22" t="s">
        <v>319</v>
      </c>
      <c r="E10" s="22" t="s">
        <v>52</v>
      </c>
      <c r="F10" s="22" t="s">
        <v>53</v>
      </c>
      <c r="G10" s="22" t="s">
        <v>72</v>
      </c>
      <c r="H10" s="22" t="s">
        <v>71</v>
      </c>
      <c r="I10" s="22" t="s">
        <v>57</v>
      </c>
      <c r="J10" s="22">
        <v>1</v>
      </c>
      <c r="K10" s="22">
        <v>1316.7</v>
      </c>
      <c r="L10" s="26" t="s">
        <v>297</v>
      </c>
      <c r="M10" s="26">
        <v>61</v>
      </c>
      <c r="N10" s="28" t="str">
        <f t="shared" si="0"/>
        <v/>
      </c>
      <c r="O10" s="28">
        <f t="shared" si="1"/>
        <v>1</v>
      </c>
      <c r="P10" s="28" t="str">
        <f t="shared" si="2"/>
        <v/>
      </c>
      <c r="Q10" s="28" t="str">
        <f t="shared" si="3"/>
        <v/>
      </c>
      <c r="R10" s="28" t="str">
        <f t="shared" si="4"/>
        <v/>
      </c>
      <c r="S10" s="28">
        <f t="shared" si="5"/>
        <v>2</v>
      </c>
    </row>
    <row r="11" spans="1:19" ht="12" x14ac:dyDescent="0.2">
      <c r="A11" s="22" t="s">
        <v>75</v>
      </c>
      <c r="B11" s="22" t="s">
        <v>49</v>
      </c>
      <c r="C11" s="22" t="s">
        <v>76</v>
      </c>
      <c r="D11" s="22" t="s">
        <v>319</v>
      </c>
      <c r="E11" s="22" t="s">
        <v>38</v>
      </c>
      <c r="F11" s="22" t="s">
        <v>53</v>
      </c>
      <c r="G11" s="22" t="s">
        <v>63</v>
      </c>
      <c r="H11" s="22" t="s">
        <v>71</v>
      </c>
      <c r="I11" s="22" t="s">
        <v>36</v>
      </c>
      <c r="J11" s="22">
        <v>3</v>
      </c>
      <c r="K11" s="22">
        <v>1316.7</v>
      </c>
      <c r="L11" s="26" t="s">
        <v>297</v>
      </c>
      <c r="M11" s="26">
        <v>57</v>
      </c>
      <c r="N11" s="28">
        <f t="shared" si="0"/>
        <v>3</v>
      </c>
      <c r="O11" s="28" t="str">
        <f t="shared" si="1"/>
        <v/>
      </c>
      <c r="P11" s="28" t="str">
        <f t="shared" si="2"/>
        <v/>
      </c>
      <c r="Q11" s="28" t="str">
        <f t="shared" si="3"/>
        <v/>
      </c>
      <c r="R11" s="28" t="str">
        <f t="shared" si="4"/>
        <v/>
      </c>
      <c r="S11" s="28">
        <f t="shared" si="5"/>
        <v>1</v>
      </c>
    </row>
    <row r="12" spans="1:19" ht="12" x14ac:dyDescent="0.2">
      <c r="A12" s="22" t="s">
        <v>79</v>
      </c>
      <c r="B12" s="22" t="s">
        <v>49</v>
      </c>
      <c r="C12" s="22" t="s">
        <v>76</v>
      </c>
      <c r="D12" s="22" t="s">
        <v>319</v>
      </c>
      <c r="E12" s="22" t="s">
        <v>52</v>
      </c>
      <c r="F12" s="22" t="s">
        <v>53</v>
      </c>
      <c r="G12" s="22" t="s">
        <v>80</v>
      </c>
      <c r="H12" s="22" t="s">
        <v>35</v>
      </c>
      <c r="I12" s="22" t="s">
        <v>36</v>
      </c>
      <c r="J12" s="22">
        <v>4</v>
      </c>
      <c r="K12" s="22">
        <v>1316.7</v>
      </c>
      <c r="L12" s="26" t="s">
        <v>295</v>
      </c>
      <c r="M12" s="26">
        <v>57</v>
      </c>
      <c r="N12" s="28">
        <f t="shared" si="0"/>
        <v>4</v>
      </c>
      <c r="O12" s="28" t="str">
        <f t="shared" si="1"/>
        <v/>
      </c>
      <c r="P12" s="28" t="str">
        <f t="shared" si="2"/>
        <v/>
      </c>
      <c r="Q12" s="28" t="str">
        <f t="shared" si="3"/>
        <v/>
      </c>
      <c r="R12" s="28" t="str">
        <f t="shared" si="4"/>
        <v/>
      </c>
      <c r="S12" s="28">
        <f t="shared" si="5"/>
        <v>2</v>
      </c>
    </row>
    <row r="13" spans="1:19" ht="12" x14ac:dyDescent="0.2">
      <c r="A13" s="22" t="s">
        <v>79</v>
      </c>
      <c r="B13" s="22" t="s">
        <v>49</v>
      </c>
      <c r="C13" s="22" t="s">
        <v>76</v>
      </c>
      <c r="D13" s="22" t="s">
        <v>319</v>
      </c>
      <c r="E13" s="22" t="s">
        <v>52</v>
      </c>
      <c r="F13" s="22" t="s">
        <v>53</v>
      </c>
      <c r="G13" s="22" t="s">
        <v>80</v>
      </c>
      <c r="H13" s="22" t="s">
        <v>35</v>
      </c>
      <c r="I13" s="22" t="s">
        <v>57</v>
      </c>
      <c r="J13" s="22">
        <v>2</v>
      </c>
      <c r="K13" s="22">
        <v>1316.7</v>
      </c>
      <c r="L13" s="26" t="s">
        <v>295</v>
      </c>
      <c r="M13" s="26">
        <v>61</v>
      </c>
      <c r="N13" s="28" t="str">
        <f t="shared" si="0"/>
        <v/>
      </c>
      <c r="O13" s="28">
        <f t="shared" si="1"/>
        <v>2</v>
      </c>
      <c r="P13" s="28" t="str">
        <f t="shared" si="2"/>
        <v/>
      </c>
      <c r="Q13" s="28" t="str">
        <f t="shared" si="3"/>
        <v/>
      </c>
      <c r="R13" s="28" t="str">
        <f t="shared" si="4"/>
        <v/>
      </c>
      <c r="S13" s="28">
        <f t="shared" si="5"/>
        <v>2</v>
      </c>
    </row>
    <row r="14" spans="1:19" ht="12" x14ac:dyDescent="0.2">
      <c r="A14" s="22" t="s">
        <v>82</v>
      </c>
      <c r="B14" s="22" t="s">
        <v>49</v>
      </c>
      <c r="C14" s="22" t="s">
        <v>83</v>
      </c>
      <c r="D14" s="22" t="s">
        <v>319</v>
      </c>
      <c r="E14" s="22" t="s">
        <v>84</v>
      </c>
      <c r="F14" s="22" t="s">
        <v>53</v>
      </c>
      <c r="G14" s="22" t="s">
        <v>85</v>
      </c>
      <c r="H14" s="22" t="s">
        <v>35</v>
      </c>
      <c r="I14" s="22" t="s">
        <v>36</v>
      </c>
      <c r="J14" s="22">
        <v>4</v>
      </c>
      <c r="K14" s="22">
        <v>938.7</v>
      </c>
      <c r="L14" s="26" t="s">
        <v>295</v>
      </c>
      <c r="M14" s="26">
        <v>57</v>
      </c>
      <c r="N14" s="28">
        <f t="shared" si="0"/>
        <v>4</v>
      </c>
      <c r="O14" s="28" t="str">
        <f t="shared" si="1"/>
        <v/>
      </c>
      <c r="P14" s="28" t="str">
        <f t="shared" si="2"/>
        <v/>
      </c>
      <c r="Q14" s="28" t="str">
        <f t="shared" si="3"/>
        <v/>
      </c>
      <c r="R14" s="28" t="str">
        <f t="shared" si="4"/>
        <v/>
      </c>
      <c r="S14" s="28">
        <f t="shared" si="5"/>
        <v>2</v>
      </c>
    </row>
    <row r="15" spans="1:19" ht="12" x14ac:dyDescent="0.2">
      <c r="A15" s="22" t="s">
        <v>82</v>
      </c>
      <c r="B15" s="22" t="s">
        <v>49</v>
      </c>
      <c r="C15" s="22" t="s">
        <v>83</v>
      </c>
      <c r="D15" s="22" t="s">
        <v>319</v>
      </c>
      <c r="E15" s="22" t="s">
        <v>84</v>
      </c>
      <c r="F15" s="22" t="s">
        <v>53</v>
      </c>
      <c r="G15" s="22" t="s">
        <v>85</v>
      </c>
      <c r="H15" s="22" t="s">
        <v>35</v>
      </c>
      <c r="I15" s="22" t="s">
        <v>57</v>
      </c>
      <c r="J15" s="22">
        <v>2</v>
      </c>
      <c r="K15" s="22">
        <v>938.7</v>
      </c>
      <c r="L15" s="26" t="s">
        <v>295</v>
      </c>
      <c r="M15" s="26">
        <v>61</v>
      </c>
      <c r="N15" s="28" t="str">
        <f t="shared" si="0"/>
        <v/>
      </c>
      <c r="O15" s="28">
        <f t="shared" si="1"/>
        <v>2</v>
      </c>
      <c r="P15" s="28" t="str">
        <f t="shared" si="2"/>
        <v/>
      </c>
      <c r="Q15" s="28" t="str">
        <f t="shared" si="3"/>
        <v/>
      </c>
      <c r="R15" s="28" t="str">
        <f t="shared" si="4"/>
        <v/>
      </c>
      <c r="S15" s="28">
        <f t="shared" si="5"/>
        <v>2</v>
      </c>
    </row>
    <row r="16" spans="1:19" ht="12" x14ac:dyDescent="0.2">
      <c r="A16" s="22" t="s">
        <v>88</v>
      </c>
      <c r="B16" s="22" t="s">
        <v>49</v>
      </c>
      <c r="C16" s="22" t="s">
        <v>89</v>
      </c>
      <c r="D16" s="22" t="s">
        <v>319</v>
      </c>
      <c r="E16" s="22" t="s">
        <v>52</v>
      </c>
      <c r="F16" s="22" t="s">
        <v>53</v>
      </c>
      <c r="G16" s="22" t="s">
        <v>90</v>
      </c>
      <c r="H16" s="22" t="s">
        <v>35</v>
      </c>
      <c r="I16" s="22" t="s">
        <v>36</v>
      </c>
      <c r="J16" s="22">
        <v>4</v>
      </c>
      <c r="K16" s="22">
        <v>1316.7</v>
      </c>
      <c r="L16" s="26" t="s">
        <v>295</v>
      </c>
      <c r="M16" s="26">
        <v>57</v>
      </c>
      <c r="N16" s="28">
        <f t="shared" si="0"/>
        <v>4</v>
      </c>
      <c r="O16" s="28" t="str">
        <f t="shared" si="1"/>
        <v/>
      </c>
      <c r="P16" s="28" t="str">
        <f t="shared" si="2"/>
        <v/>
      </c>
      <c r="Q16" s="28" t="str">
        <f t="shared" si="3"/>
        <v/>
      </c>
      <c r="R16" s="28" t="str">
        <f t="shared" si="4"/>
        <v/>
      </c>
      <c r="S16" s="28">
        <f t="shared" si="5"/>
        <v>2</v>
      </c>
    </row>
    <row r="17" spans="1:19" ht="12" x14ac:dyDescent="0.2">
      <c r="A17" s="22" t="s">
        <v>88</v>
      </c>
      <c r="B17" s="22" t="s">
        <v>49</v>
      </c>
      <c r="C17" s="22" t="s">
        <v>89</v>
      </c>
      <c r="D17" s="22" t="s">
        <v>319</v>
      </c>
      <c r="E17" s="22" t="s">
        <v>52</v>
      </c>
      <c r="F17" s="22" t="s">
        <v>53</v>
      </c>
      <c r="G17" s="22" t="s">
        <v>90</v>
      </c>
      <c r="H17" s="22" t="s">
        <v>35</v>
      </c>
      <c r="I17" s="22" t="s">
        <v>57</v>
      </c>
      <c r="J17" s="22">
        <v>2</v>
      </c>
      <c r="K17" s="22">
        <v>1316.7</v>
      </c>
      <c r="L17" s="26" t="s">
        <v>295</v>
      </c>
      <c r="M17" s="26">
        <v>61</v>
      </c>
      <c r="N17" s="28" t="str">
        <f t="shared" si="0"/>
        <v/>
      </c>
      <c r="O17" s="28">
        <f t="shared" si="1"/>
        <v>2</v>
      </c>
      <c r="P17" s="28" t="str">
        <f t="shared" si="2"/>
        <v/>
      </c>
      <c r="Q17" s="28" t="str">
        <f t="shared" si="3"/>
        <v/>
      </c>
      <c r="R17" s="28" t="str">
        <f t="shared" si="4"/>
        <v/>
      </c>
      <c r="S17" s="28">
        <f t="shared" si="5"/>
        <v>2</v>
      </c>
    </row>
    <row r="18" spans="1:19" ht="12" x14ac:dyDescent="0.2">
      <c r="A18" s="22" t="s">
        <v>92</v>
      </c>
      <c r="B18" s="22" t="s">
        <v>94</v>
      </c>
      <c r="C18" s="22" t="s">
        <v>95</v>
      </c>
      <c r="D18" s="22" t="s">
        <v>319</v>
      </c>
      <c r="E18" s="22" t="s">
        <v>38</v>
      </c>
      <c r="F18" s="22" t="s">
        <v>53</v>
      </c>
      <c r="G18" s="22" t="s">
        <v>98</v>
      </c>
      <c r="H18" s="22" t="s">
        <v>96</v>
      </c>
      <c r="I18" s="22" t="s">
        <v>97</v>
      </c>
      <c r="J18" s="22">
        <v>3</v>
      </c>
      <c r="K18" s="22">
        <v>1439.4</v>
      </c>
      <c r="L18" s="26" t="s">
        <v>298</v>
      </c>
      <c r="M18" s="26">
        <v>59</v>
      </c>
      <c r="N18" s="28" t="str">
        <f t="shared" si="0"/>
        <v/>
      </c>
      <c r="O18" s="28" t="str">
        <f t="shared" si="1"/>
        <v/>
      </c>
      <c r="P18" s="28">
        <f t="shared" si="2"/>
        <v>3</v>
      </c>
      <c r="Q18" s="28" t="str">
        <f t="shared" si="3"/>
        <v/>
      </c>
      <c r="R18" s="28" t="str">
        <f t="shared" si="4"/>
        <v/>
      </c>
      <c r="S18" s="28">
        <f t="shared" si="5"/>
        <v>1</v>
      </c>
    </row>
    <row r="19" spans="1:19" ht="12" x14ac:dyDescent="0.2">
      <c r="A19" s="22" t="s">
        <v>101</v>
      </c>
      <c r="B19" s="22" t="s">
        <v>94</v>
      </c>
      <c r="C19" s="22" t="s">
        <v>95</v>
      </c>
      <c r="D19" s="22" t="s">
        <v>319</v>
      </c>
      <c r="E19" s="22" t="s">
        <v>38</v>
      </c>
      <c r="F19" s="22" t="s">
        <v>53</v>
      </c>
      <c r="G19" s="22" t="s">
        <v>103</v>
      </c>
      <c r="H19" s="22" t="s">
        <v>102</v>
      </c>
      <c r="I19" s="22" t="s">
        <v>97</v>
      </c>
      <c r="J19" s="22">
        <v>2</v>
      </c>
      <c r="K19" s="22">
        <v>1439.4</v>
      </c>
      <c r="L19" s="26" t="s">
        <v>299</v>
      </c>
      <c r="M19" s="26">
        <v>59</v>
      </c>
      <c r="N19" s="28" t="str">
        <f t="shared" si="0"/>
        <v/>
      </c>
      <c r="O19" s="28" t="str">
        <f t="shared" si="1"/>
        <v/>
      </c>
      <c r="P19" s="28">
        <f t="shared" si="2"/>
        <v>2</v>
      </c>
      <c r="Q19" s="28" t="str">
        <f t="shared" si="3"/>
        <v/>
      </c>
      <c r="R19" s="28" t="str">
        <f t="shared" si="4"/>
        <v/>
      </c>
      <c r="S19" s="28">
        <f t="shared" si="5"/>
        <v>1</v>
      </c>
    </row>
    <row r="20" spans="1:19" ht="12" x14ac:dyDescent="0.2">
      <c r="A20" s="22" t="s">
        <v>105</v>
      </c>
      <c r="B20" s="22" t="s">
        <v>106</v>
      </c>
      <c r="C20" s="22" t="s">
        <v>107</v>
      </c>
      <c r="D20" s="22" t="s">
        <v>319</v>
      </c>
      <c r="E20" s="22" t="s">
        <v>38</v>
      </c>
      <c r="F20" s="22" t="s">
        <v>53</v>
      </c>
      <c r="G20" s="22" t="s">
        <v>108</v>
      </c>
      <c r="H20" s="22" t="s">
        <v>35</v>
      </c>
      <c r="I20" s="22" t="s">
        <v>36</v>
      </c>
      <c r="J20" s="22">
        <v>4</v>
      </c>
      <c r="K20" s="22">
        <v>1259.3699999999999</v>
      </c>
      <c r="L20" s="26" t="s">
        <v>295</v>
      </c>
      <c r="M20" s="26">
        <v>57</v>
      </c>
      <c r="N20" s="28">
        <f t="shared" si="0"/>
        <v>4</v>
      </c>
      <c r="O20" s="28" t="str">
        <f t="shared" si="1"/>
        <v/>
      </c>
      <c r="P20" s="28" t="str">
        <f t="shared" si="2"/>
        <v/>
      </c>
      <c r="Q20" s="28" t="str">
        <f t="shared" si="3"/>
        <v/>
      </c>
      <c r="R20" s="28" t="str">
        <f t="shared" si="4"/>
        <v/>
      </c>
      <c r="S20" s="28">
        <f t="shared" si="5"/>
        <v>1</v>
      </c>
    </row>
    <row r="21" spans="1:19" ht="12" x14ac:dyDescent="0.2">
      <c r="A21" s="22" t="s">
        <v>111</v>
      </c>
      <c r="B21" s="22" t="s">
        <v>49</v>
      </c>
      <c r="C21" s="22" t="s">
        <v>112</v>
      </c>
      <c r="D21" s="22" t="s">
        <v>319</v>
      </c>
      <c r="E21" s="22" t="s">
        <v>38</v>
      </c>
      <c r="F21" s="22" t="s">
        <v>53</v>
      </c>
      <c r="G21" s="22" t="s">
        <v>113</v>
      </c>
      <c r="H21" s="22" t="s">
        <v>35</v>
      </c>
      <c r="I21" s="22" t="s">
        <v>36</v>
      </c>
      <c r="J21" s="22">
        <v>6</v>
      </c>
      <c r="K21" s="22">
        <v>1259.3699999999999</v>
      </c>
      <c r="L21" s="26" t="s">
        <v>295</v>
      </c>
      <c r="M21" s="26">
        <v>57</v>
      </c>
      <c r="N21" s="28">
        <f t="shared" si="0"/>
        <v>6</v>
      </c>
      <c r="O21" s="28" t="str">
        <f t="shared" si="1"/>
        <v/>
      </c>
      <c r="P21" s="28" t="str">
        <f t="shared" si="2"/>
        <v/>
      </c>
      <c r="Q21" s="28" t="str">
        <f t="shared" si="3"/>
        <v/>
      </c>
      <c r="R21" s="28" t="str">
        <f t="shared" si="4"/>
        <v/>
      </c>
      <c r="S21" s="28">
        <f t="shared" si="5"/>
        <v>2</v>
      </c>
    </row>
    <row r="22" spans="1:19" ht="12" x14ac:dyDescent="0.2">
      <c r="A22" s="22" t="s">
        <v>111</v>
      </c>
      <c r="B22" s="22" t="s">
        <v>49</v>
      </c>
      <c r="C22" s="22" t="s">
        <v>112</v>
      </c>
      <c r="D22" s="22" t="s">
        <v>319</v>
      </c>
      <c r="E22" s="22" t="s">
        <v>38</v>
      </c>
      <c r="F22" s="22" t="s">
        <v>53</v>
      </c>
      <c r="G22" s="22" t="s">
        <v>113</v>
      </c>
      <c r="H22" s="22" t="s">
        <v>35</v>
      </c>
      <c r="I22" s="22" t="s">
        <v>57</v>
      </c>
      <c r="J22" s="22">
        <v>1</v>
      </c>
      <c r="K22" s="22">
        <v>1259.3699999999999</v>
      </c>
      <c r="L22" s="26" t="s">
        <v>295</v>
      </c>
      <c r="M22" s="26">
        <v>61</v>
      </c>
      <c r="N22" s="28" t="str">
        <f t="shared" si="0"/>
        <v/>
      </c>
      <c r="O22" s="28">
        <f t="shared" si="1"/>
        <v>1</v>
      </c>
      <c r="P22" s="28" t="str">
        <f t="shared" si="2"/>
        <v/>
      </c>
      <c r="Q22" s="28" t="str">
        <f t="shared" si="3"/>
        <v/>
      </c>
      <c r="R22" s="28" t="str">
        <f t="shared" si="4"/>
        <v/>
      </c>
      <c r="S22" s="28">
        <f t="shared" si="5"/>
        <v>2</v>
      </c>
    </row>
    <row r="23" spans="1:19" ht="12" x14ac:dyDescent="0.2">
      <c r="A23" s="22" t="s">
        <v>116</v>
      </c>
      <c r="B23" s="22" t="s">
        <v>49</v>
      </c>
      <c r="C23" s="22" t="s">
        <v>117</v>
      </c>
      <c r="D23" s="22" t="s">
        <v>319</v>
      </c>
      <c r="E23" s="22" t="s">
        <v>52</v>
      </c>
      <c r="F23" s="22" t="s">
        <v>53</v>
      </c>
      <c r="G23" s="22" t="s">
        <v>118</v>
      </c>
      <c r="H23" s="22" t="s">
        <v>35</v>
      </c>
      <c r="I23" s="22" t="s">
        <v>36</v>
      </c>
      <c r="J23" s="22">
        <v>2</v>
      </c>
      <c r="K23" s="22">
        <v>1316.7</v>
      </c>
      <c r="L23" s="26" t="s">
        <v>295</v>
      </c>
      <c r="M23" s="26">
        <v>57</v>
      </c>
      <c r="N23" s="28">
        <f t="shared" si="0"/>
        <v>2</v>
      </c>
      <c r="O23" s="28" t="str">
        <f t="shared" si="1"/>
        <v/>
      </c>
      <c r="P23" s="28" t="str">
        <f t="shared" si="2"/>
        <v/>
      </c>
      <c r="Q23" s="28" t="str">
        <f t="shared" si="3"/>
        <v/>
      </c>
      <c r="R23" s="28" t="str">
        <f t="shared" si="4"/>
        <v/>
      </c>
      <c r="S23" s="28">
        <f t="shared" si="5"/>
        <v>2</v>
      </c>
    </row>
    <row r="24" spans="1:19" ht="12" x14ac:dyDescent="0.2">
      <c r="A24" s="22" t="s">
        <v>116</v>
      </c>
      <c r="B24" s="22" t="s">
        <v>49</v>
      </c>
      <c r="C24" s="22" t="s">
        <v>117</v>
      </c>
      <c r="D24" s="22" t="s">
        <v>319</v>
      </c>
      <c r="E24" s="22" t="s">
        <v>52</v>
      </c>
      <c r="F24" s="22" t="s">
        <v>53</v>
      </c>
      <c r="G24" s="22" t="s">
        <v>118</v>
      </c>
      <c r="H24" s="22" t="s">
        <v>35</v>
      </c>
      <c r="I24" s="22" t="s">
        <v>57</v>
      </c>
      <c r="J24" s="22">
        <v>2</v>
      </c>
      <c r="K24" s="22">
        <v>1316.7</v>
      </c>
      <c r="L24" s="26" t="s">
        <v>295</v>
      </c>
      <c r="M24" s="26">
        <v>61</v>
      </c>
      <c r="N24" s="28" t="str">
        <f t="shared" si="0"/>
        <v/>
      </c>
      <c r="O24" s="28">
        <f t="shared" si="1"/>
        <v>2</v>
      </c>
      <c r="P24" s="28" t="str">
        <f t="shared" si="2"/>
        <v/>
      </c>
      <c r="Q24" s="28" t="str">
        <f t="shared" si="3"/>
        <v/>
      </c>
      <c r="R24" s="28" t="str">
        <f t="shared" si="4"/>
        <v/>
      </c>
      <c r="S24" s="28">
        <f t="shared" si="5"/>
        <v>2</v>
      </c>
    </row>
    <row r="25" spans="1:19" ht="12" x14ac:dyDescent="0.2">
      <c r="A25" s="22" t="s">
        <v>121</v>
      </c>
      <c r="B25" s="22" t="s">
        <v>49</v>
      </c>
      <c r="C25" s="22" t="s">
        <v>122</v>
      </c>
      <c r="D25" s="22" t="s">
        <v>319</v>
      </c>
      <c r="E25" s="22" t="s">
        <v>123</v>
      </c>
      <c r="F25" s="22" t="s">
        <v>53</v>
      </c>
      <c r="G25" s="22" t="s">
        <v>124</v>
      </c>
      <c r="H25" s="22" t="s">
        <v>35</v>
      </c>
      <c r="I25" s="22" t="s">
        <v>36</v>
      </c>
      <c r="J25" s="22">
        <v>3</v>
      </c>
      <c r="K25" s="22">
        <v>1820.7</v>
      </c>
      <c r="L25" s="26" t="s">
        <v>295</v>
      </c>
      <c r="M25" s="26">
        <v>57</v>
      </c>
      <c r="N25" s="28">
        <f t="shared" si="0"/>
        <v>3</v>
      </c>
      <c r="O25" s="28" t="str">
        <f t="shared" si="1"/>
        <v/>
      </c>
      <c r="P25" s="28" t="str">
        <f t="shared" si="2"/>
        <v/>
      </c>
      <c r="Q25" s="28" t="str">
        <f t="shared" si="3"/>
        <v/>
      </c>
      <c r="R25" s="28" t="str">
        <f t="shared" si="4"/>
        <v/>
      </c>
      <c r="S25" s="28">
        <f t="shared" si="5"/>
        <v>2</v>
      </c>
    </row>
    <row r="26" spans="1:19" ht="12" x14ac:dyDescent="0.2">
      <c r="A26" s="22" t="s">
        <v>121</v>
      </c>
      <c r="B26" s="22" t="s">
        <v>49</v>
      </c>
      <c r="C26" s="22" t="s">
        <v>122</v>
      </c>
      <c r="D26" s="22" t="s">
        <v>319</v>
      </c>
      <c r="E26" s="22" t="s">
        <v>123</v>
      </c>
      <c r="F26" s="22" t="s">
        <v>53</v>
      </c>
      <c r="G26" s="22" t="s">
        <v>124</v>
      </c>
      <c r="H26" s="22" t="s">
        <v>35</v>
      </c>
      <c r="I26" s="22" t="s">
        <v>57</v>
      </c>
      <c r="J26" s="22">
        <v>1</v>
      </c>
      <c r="K26" s="22">
        <v>1820.7</v>
      </c>
      <c r="L26" s="26" t="s">
        <v>295</v>
      </c>
      <c r="M26" s="26">
        <v>61</v>
      </c>
      <c r="N26" s="28" t="str">
        <f t="shared" si="0"/>
        <v/>
      </c>
      <c r="O26" s="28">
        <f t="shared" si="1"/>
        <v>1</v>
      </c>
      <c r="P26" s="28" t="str">
        <f t="shared" si="2"/>
        <v/>
      </c>
      <c r="Q26" s="28" t="str">
        <f t="shared" si="3"/>
        <v/>
      </c>
      <c r="R26" s="28" t="str">
        <f t="shared" si="4"/>
        <v/>
      </c>
      <c r="S26" s="28">
        <f t="shared" si="5"/>
        <v>2</v>
      </c>
    </row>
    <row r="27" spans="1:19" ht="12" x14ac:dyDescent="0.2">
      <c r="A27" s="22">
        <v>2241674</v>
      </c>
      <c r="B27" s="22" t="s">
        <v>33</v>
      </c>
      <c r="C27" s="22" t="s">
        <v>127</v>
      </c>
      <c r="D27" s="22" t="s">
        <v>319</v>
      </c>
      <c r="E27" s="22" t="s">
        <v>52</v>
      </c>
      <c r="F27" s="22" t="s">
        <v>130</v>
      </c>
      <c r="G27" s="22" t="s">
        <v>131</v>
      </c>
      <c r="H27" s="22" t="s">
        <v>35</v>
      </c>
      <c r="I27" s="22" t="s">
        <v>128</v>
      </c>
      <c r="J27" s="22">
        <v>3</v>
      </c>
      <c r="K27" s="22">
        <v>894</v>
      </c>
      <c r="L27" s="26" t="s">
        <v>295</v>
      </c>
      <c r="M27" s="26" t="s">
        <v>292</v>
      </c>
      <c r="N27" s="28" t="str">
        <f t="shared" si="0"/>
        <v/>
      </c>
      <c r="O27" s="28" t="str">
        <f t="shared" si="1"/>
        <v/>
      </c>
      <c r="P27" s="28" t="str">
        <f t="shared" si="2"/>
        <v/>
      </c>
      <c r="Q27" s="28" t="str">
        <f t="shared" si="3"/>
        <v/>
      </c>
      <c r="R27" s="28">
        <f t="shared" si="4"/>
        <v>3</v>
      </c>
      <c r="S27" s="28">
        <f t="shared" si="5"/>
        <v>1</v>
      </c>
    </row>
    <row r="28" spans="1:19" ht="12" x14ac:dyDescent="0.2">
      <c r="A28" s="22">
        <v>2344502</v>
      </c>
      <c r="B28" s="22" t="s">
        <v>33</v>
      </c>
      <c r="C28" s="22" t="s">
        <v>134</v>
      </c>
      <c r="D28" s="22" t="s">
        <v>319</v>
      </c>
      <c r="E28" s="22" t="s">
        <v>38</v>
      </c>
      <c r="F28" s="22" t="s">
        <v>53</v>
      </c>
      <c r="G28" s="22" t="s">
        <v>135</v>
      </c>
      <c r="H28" s="22" t="s">
        <v>35</v>
      </c>
      <c r="I28" s="22" t="s">
        <v>128</v>
      </c>
      <c r="J28" s="22">
        <v>6</v>
      </c>
      <c r="K28" s="22">
        <v>1674</v>
      </c>
      <c r="L28" s="26" t="s">
        <v>295</v>
      </c>
      <c r="M28" s="26" t="s">
        <v>292</v>
      </c>
      <c r="N28" s="28" t="str">
        <f t="shared" si="0"/>
        <v/>
      </c>
      <c r="O28" s="28" t="str">
        <f t="shared" si="1"/>
        <v/>
      </c>
      <c r="P28" s="28" t="str">
        <f t="shared" si="2"/>
        <v/>
      </c>
      <c r="Q28" s="28" t="str">
        <f t="shared" si="3"/>
        <v/>
      </c>
      <c r="R28" s="28">
        <f t="shared" si="4"/>
        <v>6</v>
      </c>
      <c r="S28" s="28">
        <f t="shared" si="5"/>
        <v>1</v>
      </c>
    </row>
    <row r="29" spans="1:19" ht="12" x14ac:dyDescent="0.2">
      <c r="A29" s="22">
        <v>2353501</v>
      </c>
      <c r="B29" s="22" t="s">
        <v>33</v>
      </c>
      <c r="C29" s="22" t="s">
        <v>138</v>
      </c>
      <c r="D29" s="22" t="s">
        <v>319</v>
      </c>
      <c r="E29" s="22" t="s">
        <v>52</v>
      </c>
      <c r="F29" s="22" t="s">
        <v>53</v>
      </c>
      <c r="G29" s="22" t="s">
        <v>135</v>
      </c>
      <c r="H29" s="22" t="s">
        <v>35</v>
      </c>
      <c r="I29" s="22" t="s">
        <v>128</v>
      </c>
      <c r="J29" s="22">
        <v>5</v>
      </c>
      <c r="K29" s="22">
        <v>1434</v>
      </c>
      <c r="L29" s="26" t="s">
        <v>295</v>
      </c>
      <c r="M29" s="26" t="s">
        <v>292</v>
      </c>
      <c r="N29" s="28" t="str">
        <f t="shared" si="0"/>
        <v/>
      </c>
      <c r="O29" s="28" t="str">
        <f t="shared" si="1"/>
        <v/>
      </c>
      <c r="P29" s="28" t="str">
        <f t="shared" si="2"/>
        <v/>
      </c>
      <c r="Q29" s="28" t="str">
        <f t="shared" si="3"/>
        <v/>
      </c>
      <c r="R29" s="28">
        <f t="shared" si="4"/>
        <v>5</v>
      </c>
      <c r="S29" s="28">
        <f t="shared" si="5"/>
        <v>1</v>
      </c>
    </row>
    <row r="30" spans="1:19" ht="12" x14ac:dyDescent="0.2">
      <c r="A30" s="22">
        <v>2359301</v>
      </c>
      <c r="B30" s="22" t="s">
        <v>33</v>
      </c>
      <c r="C30" s="22" t="s">
        <v>141</v>
      </c>
      <c r="D30" s="22" t="s">
        <v>319</v>
      </c>
      <c r="E30" s="22" t="s">
        <v>142</v>
      </c>
      <c r="F30" s="22" t="s">
        <v>40</v>
      </c>
      <c r="G30" s="22" t="s">
        <v>143</v>
      </c>
      <c r="H30" s="22" t="s">
        <v>35</v>
      </c>
      <c r="I30" s="22" t="s">
        <v>128</v>
      </c>
      <c r="J30" s="22">
        <v>3</v>
      </c>
      <c r="K30" s="22">
        <v>2094</v>
      </c>
      <c r="L30" s="26" t="s">
        <v>295</v>
      </c>
      <c r="M30" s="26" t="s">
        <v>292</v>
      </c>
      <c r="N30" s="28" t="str">
        <f t="shared" si="0"/>
        <v/>
      </c>
      <c r="O30" s="28" t="str">
        <f t="shared" si="1"/>
        <v/>
      </c>
      <c r="P30" s="28" t="str">
        <f t="shared" si="2"/>
        <v/>
      </c>
      <c r="Q30" s="28" t="str">
        <f t="shared" si="3"/>
        <v/>
      </c>
      <c r="R30" s="28">
        <f t="shared" si="4"/>
        <v>3</v>
      </c>
      <c r="S30" s="28">
        <f t="shared" si="5"/>
        <v>1</v>
      </c>
    </row>
    <row r="31" spans="1:19" ht="12" x14ac:dyDescent="0.2">
      <c r="A31" s="22" t="s">
        <v>146</v>
      </c>
      <c r="B31" s="22" t="s">
        <v>106</v>
      </c>
      <c r="C31" s="22" t="s">
        <v>147</v>
      </c>
      <c r="D31" s="22" t="s">
        <v>319</v>
      </c>
      <c r="E31" s="22" t="s">
        <v>52</v>
      </c>
      <c r="F31" s="22" t="s">
        <v>53</v>
      </c>
      <c r="G31" s="22" t="s">
        <v>149</v>
      </c>
      <c r="H31" s="22" t="s">
        <v>148</v>
      </c>
      <c r="I31" s="22" t="s">
        <v>36</v>
      </c>
      <c r="J31" s="22">
        <v>2</v>
      </c>
      <c r="K31" s="22">
        <v>1259.3699999999999</v>
      </c>
      <c r="L31" s="26" t="s">
        <v>300</v>
      </c>
      <c r="M31" s="26">
        <v>57</v>
      </c>
      <c r="N31" s="28">
        <f t="shared" si="0"/>
        <v>2</v>
      </c>
      <c r="O31" s="28" t="str">
        <f t="shared" si="1"/>
        <v/>
      </c>
      <c r="P31" s="28" t="str">
        <f t="shared" si="2"/>
        <v/>
      </c>
      <c r="Q31" s="28" t="str">
        <f t="shared" si="3"/>
        <v/>
      </c>
      <c r="R31" s="28" t="str">
        <f t="shared" si="4"/>
        <v/>
      </c>
      <c r="S31" s="28">
        <f t="shared" si="5"/>
        <v>1</v>
      </c>
    </row>
    <row r="32" spans="1:19" ht="12" x14ac:dyDescent="0.2">
      <c r="A32" s="22" t="s">
        <v>152</v>
      </c>
      <c r="B32" s="22" t="s">
        <v>106</v>
      </c>
      <c r="C32" s="22" t="s">
        <v>147</v>
      </c>
      <c r="D32" s="22" t="s">
        <v>319</v>
      </c>
      <c r="E32" s="22" t="s">
        <v>52</v>
      </c>
      <c r="F32" s="22" t="s">
        <v>53</v>
      </c>
      <c r="G32" s="22" t="s">
        <v>154</v>
      </c>
      <c r="H32" s="22" t="s">
        <v>153</v>
      </c>
      <c r="I32" s="22" t="s">
        <v>36</v>
      </c>
      <c r="J32" s="22">
        <v>2</v>
      </c>
      <c r="K32" s="22">
        <v>1259.3699999999999</v>
      </c>
      <c r="L32" s="26" t="s">
        <v>301</v>
      </c>
      <c r="M32" s="26">
        <v>57</v>
      </c>
      <c r="N32" s="28">
        <f t="shared" si="0"/>
        <v>2</v>
      </c>
      <c r="O32" s="28" t="str">
        <f t="shared" si="1"/>
        <v/>
      </c>
      <c r="P32" s="28" t="str">
        <f t="shared" si="2"/>
        <v/>
      </c>
      <c r="Q32" s="28" t="str">
        <f t="shared" si="3"/>
        <v/>
      </c>
      <c r="R32" s="28" t="str">
        <f t="shared" si="4"/>
        <v/>
      </c>
      <c r="S32" s="28">
        <f t="shared" si="5"/>
        <v>1</v>
      </c>
    </row>
    <row r="33" spans="1:19" ht="12" x14ac:dyDescent="0.2">
      <c r="A33" s="22" t="s">
        <v>156</v>
      </c>
      <c r="B33" s="22" t="s">
        <v>106</v>
      </c>
      <c r="C33" s="22" t="s">
        <v>107</v>
      </c>
      <c r="D33" s="22" t="s">
        <v>319</v>
      </c>
      <c r="E33" s="22" t="s">
        <v>52</v>
      </c>
      <c r="F33" s="22" t="s">
        <v>53</v>
      </c>
      <c r="G33" s="22" t="s">
        <v>118</v>
      </c>
      <c r="H33" s="22" t="s">
        <v>96</v>
      </c>
      <c r="I33" s="22" t="s">
        <v>36</v>
      </c>
      <c r="J33" s="22">
        <v>2</v>
      </c>
      <c r="K33" s="22">
        <v>1259.3699999999999</v>
      </c>
      <c r="L33" s="26" t="s">
        <v>298</v>
      </c>
      <c r="M33" s="26">
        <v>57</v>
      </c>
      <c r="N33" s="28">
        <f t="shared" si="0"/>
        <v>2</v>
      </c>
      <c r="O33" s="28" t="str">
        <f t="shared" si="1"/>
        <v/>
      </c>
      <c r="P33" s="28" t="str">
        <f t="shared" si="2"/>
        <v/>
      </c>
      <c r="Q33" s="28" t="str">
        <f t="shared" si="3"/>
        <v/>
      </c>
      <c r="R33" s="28" t="str">
        <f t="shared" si="4"/>
        <v/>
      </c>
      <c r="S33" s="28">
        <f t="shared" si="5"/>
        <v>1</v>
      </c>
    </row>
    <row r="34" spans="1:19" ht="12" x14ac:dyDescent="0.2">
      <c r="A34" s="22" t="s">
        <v>159</v>
      </c>
      <c r="B34" s="22" t="s">
        <v>106</v>
      </c>
      <c r="C34" s="22" t="s">
        <v>160</v>
      </c>
      <c r="D34" s="22" t="s">
        <v>319</v>
      </c>
      <c r="E34" s="22" t="s">
        <v>161</v>
      </c>
      <c r="F34" s="22" t="s">
        <v>53</v>
      </c>
      <c r="G34" s="22" t="s">
        <v>162</v>
      </c>
      <c r="H34" s="22" t="s">
        <v>45</v>
      </c>
      <c r="I34" s="22" t="s">
        <v>36</v>
      </c>
      <c r="J34" s="22">
        <v>2</v>
      </c>
      <c r="K34" s="22">
        <v>1889.37</v>
      </c>
      <c r="L34" s="26" t="s">
        <v>296</v>
      </c>
      <c r="M34" s="26">
        <v>57</v>
      </c>
      <c r="N34" s="28">
        <f t="shared" ref="N34:N69" si="6">IF($M34=$N$1,$J34,"")</f>
        <v>2</v>
      </c>
      <c r="O34" s="28" t="str">
        <f t="shared" ref="O34:O69" si="7">IF($M34=$O$1,$J34,"")</f>
        <v/>
      </c>
      <c r="P34" s="28" t="str">
        <f t="shared" ref="P34:P69" si="8">IF($M34=$P$1,$J34,"")</f>
        <v/>
      </c>
      <c r="Q34" s="28" t="str">
        <f t="shared" ref="Q34:Q69" si="9">IF($M34=$Q$1,$J34,"")</f>
        <v/>
      </c>
      <c r="R34" s="28" t="str">
        <f t="shared" ref="R34:R69" si="10">IF($M34=$R$1,$J34,"")</f>
        <v/>
      </c>
      <c r="S34" s="28">
        <f t="shared" ref="S34:S69" si="11">COUNTIF(A:A,A34)</f>
        <v>1</v>
      </c>
    </row>
    <row r="35" spans="1:19" ht="12" x14ac:dyDescent="0.2">
      <c r="A35" s="22" t="s">
        <v>165</v>
      </c>
      <c r="B35" s="22" t="s">
        <v>49</v>
      </c>
      <c r="C35" s="22" t="s">
        <v>166</v>
      </c>
      <c r="D35" s="22" t="s">
        <v>319</v>
      </c>
      <c r="E35" s="22" t="s">
        <v>167</v>
      </c>
      <c r="F35" s="22" t="s">
        <v>53</v>
      </c>
      <c r="G35" s="22" t="s">
        <v>90</v>
      </c>
      <c r="H35" s="22" t="s">
        <v>148</v>
      </c>
      <c r="I35" s="22" t="s">
        <v>36</v>
      </c>
      <c r="J35" s="22">
        <v>3</v>
      </c>
      <c r="K35" s="22">
        <v>1511.37</v>
      </c>
      <c r="L35" s="26" t="s">
        <v>300</v>
      </c>
      <c r="M35" s="26">
        <v>57</v>
      </c>
      <c r="N35" s="28">
        <f t="shared" si="6"/>
        <v>3</v>
      </c>
      <c r="O35" s="28" t="str">
        <f t="shared" si="7"/>
        <v/>
      </c>
      <c r="P35" s="28" t="str">
        <f t="shared" si="8"/>
        <v/>
      </c>
      <c r="Q35" s="28" t="str">
        <f t="shared" si="9"/>
        <v/>
      </c>
      <c r="R35" s="28" t="str">
        <f t="shared" si="10"/>
        <v/>
      </c>
      <c r="S35" s="28">
        <f t="shared" si="11"/>
        <v>1</v>
      </c>
    </row>
    <row r="36" spans="1:19" ht="12" x14ac:dyDescent="0.2">
      <c r="A36" s="22" t="s">
        <v>169</v>
      </c>
      <c r="B36" s="22" t="s">
        <v>49</v>
      </c>
      <c r="C36" s="22" t="s">
        <v>166</v>
      </c>
      <c r="D36" s="22" t="s">
        <v>319</v>
      </c>
      <c r="E36" s="22" t="s">
        <v>52</v>
      </c>
      <c r="F36" s="22" t="s">
        <v>53</v>
      </c>
      <c r="G36" s="22" t="s">
        <v>170</v>
      </c>
      <c r="H36" s="22" t="s">
        <v>35</v>
      </c>
      <c r="I36" s="22" t="s">
        <v>36</v>
      </c>
      <c r="J36" s="22">
        <v>3</v>
      </c>
      <c r="K36" s="22">
        <v>1511.37</v>
      </c>
      <c r="L36" s="26" t="s">
        <v>295</v>
      </c>
      <c r="M36" s="26">
        <v>57</v>
      </c>
      <c r="N36" s="28">
        <f t="shared" si="6"/>
        <v>3</v>
      </c>
      <c r="O36" s="28" t="str">
        <f t="shared" si="7"/>
        <v/>
      </c>
      <c r="P36" s="28" t="str">
        <f t="shared" si="8"/>
        <v/>
      </c>
      <c r="Q36" s="28" t="str">
        <f t="shared" si="9"/>
        <v/>
      </c>
      <c r="R36" s="28" t="str">
        <f t="shared" si="10"/>
        <v/>
      </c>
      <c r="S36" s="28">
        <f t="shared" si="11"/>
        <v>1</v>
      </c>
    </row>
    <row r="37" spans="1:19" ht="12" x14ac:dyDescent="0.2">
      <c r="A37" s="22" t="s">
        <v>172</v>
      </c>
      <c r="B37" s="22" t="s">
        <v>49</v>
      </c>
      <c r="C37" s="22" t="s">
        <v>166</v>
      </c>
      <c r="D37" s="22" t="s">
        <v>319</v>
      </c>
      <c r="E37" s="22" t="s">
        <v>52</v>
      </c>
      <c r="F37" s="22" t="s">
        <v>53</v>
      </c>
      <c r="G37" s="22" t="s">
        <v>54</v>
      </c>
      <c r="H37" s="22" t="s">
        <v>173</v>
      </c>
      <c r="I37" s="22" t="s">
        <v>174</v>
      </c>
      <c r="J37" s="22">
        <v>1</v>
      </c>
      <c r="K37" s="22">
        <v>1511.37</v>
      </c>
      <c r="L37" s="26" t="s">
        <v>302</v>
      </c>
      <c r="M37" s="26">
        <v>56</v>
      </c>
      <c r="N37" s="28" t="str">
        <f t="shared" si="6"/>
        <v/>
      </c>
      <c r="O37" s="28" t="str">
        <f t="shared" si="7"/>
        <v/>
      </c>
      <c r="P37" s="28" t="str">
        <f t="shared" si="8"/>
        <v/>
      </c>
      <c r="Q37" s="28">
        <f t="shared" si="9"/>
        <v>1</v>
      </c>
      <c r="R37" s="28" t="str">
        <f t="shared" si="10"/>
        <v/>
      </c>
      <c r="S37" s="28">
        <f t="shared" si="11"/>
        <v>2</v>
      </c>
    </row>
    <row r="38" spans="1:19" ht="12" x14ac:dyDescent="0.2">
      <c r="A38" s="22" t="s">
        <v>172</v>
      </c>
      <c r="B38" s="22" t="s">
        <v>49</v>
      </c>
      <c r="C38" s="22" t="s">
        <v>166</v>
      </c>
      <c r="D38" s="22" t="s">
        <v>319</v>
      </c>
      <c r="E38" s="22" t="s">
        <v>52</v>
      </c>
      <c r="F38" s="22" t="s">
        <v>53</v>
      </c>
      <c r="G38" s="22" t="s">
        <v>54</v>
      </c>
      <c r="H38" s="22" t="s">
        <v>173</v>
      </c>
      <c r="I38" s="22" t="s">
        <v>36</v>
      </c>
      <c r="J38" s="22">
        <v>3</v>
      </c>
      <c r="K38" s="22">
        <v>1511.37</v>
      </c>
      <c r="L38" s="26" t="s">
        <v>302</v>
      </c>
      <c r="M38" s="26">
        <v>57</v>
      </c>
      <c r="N38" s="28">
        <f t="shared" si="6"/>
        <v>3</v>
      </c>
      <c r="O38" s="28" t="str">
        <f t="shared" si="7"/>
        <v/>
      </c>
      <c r="P38" s="28" t="str">
        <f t="shared" si="8"/>
        <v/>
      </c>
      <c r="Q38" s="28" t="str">
        <f t="shared" si="9"/>
        <v/>
      </c>
      <c r="R38" s="28" t="str">
        <f t="shared" si="10"/>
        <v/>
      </c>
      <c r="S38" s="28">
        <f t="shared" si="11"/>
        <v>2</v>
      </c>
    </row>
    <row r="39" spans="1:19" ht="12" x14ac:dyDescent="0.2">
      <c r="A39" s="22" t="s">
        <v>178</v>
      </c>
      <c r="B39" s="22" t="s">
        <v>49</v>
      </c>
      <c r="C39" s="22" t="s">
        <v>179</v>
      </c>
      <c r="D39" s="22" t="s">
        <v>319</v>
      </c>
      <c r="E39" s="22" t="s">
        <v>161</v>
      </c>
      <c r="F39" s="22" t="s">
        <v>53</v>
      </c>
      <c r="G39" s="22" t="s">
        <v>180</v>
      </c>
      <c r="H39" s="22" t="s">
        <v>35</v>
      </c>
      <c r="I39" s="22" t="s">
        <v>36</v>
      </c>
      <c r="J39" s="22">
        <v>3</v>
      </c>
      <c r="K39" s="22">
        <v>1889.37</v>
      </c>
      <c r="L39" s="26" t="s">
        <v>295</v>
      </c>
      <c r="M39" s="26">
        <v>57</v>
      </c>
      <c r="N39" s="28">
        <f t="shared" si="6"/>
        <v>3</v>
      </c>
      <c r="O39" s="28" t="str">
        <f t="shared" si="7"/>
        <v/>
      </c>
      <c r="P39" s="28" t="str">
        <f t="shared" si="8"/>
        <v/>
      </c>
      <c r="Q39" s="28" t="str">
        <f t="shared" si="9"/>
        <v/>
      </c>
      <c r="R39" s="28" t="str">
        <f t="shared" si="10"/>
        <v/>
      </c>
      <c r="S39" s="28">
        <f t="shared" si="11"/>
        <v>2</v>
      </c>
    </row>
    <row r="40" spans="1:19" ht="12" x14ac:dyDescent="0.2">
      <c r="A40" s="22" t="s">
        <v>178</v>
      </c>
      <c r="B40" s="22" t="s">
        <v>49</v>
      </c>
      <c r="C40" s="22" t="s">
        <v>179</v>
      </c>
      <c r="D40" s="22" t="s">
        <v>319</v>
      </c>
      <c r="E40" s="22" t="s">
        <v>161</v>
      </c>
      <c r="F40" s="22" t="s">
        <v>53</v>
      </c>
      <c r="G40" s="22" t="s">
        <v>180</v>
      </c>
      <c r="H40" s="22" t="s">
        <v>35</v>
      </c>
      <c r="I40" s="22" t="s">
        <v>57</v>
      </c>
      <c r="J40" s="22">
        <v>1</v>
      </c>
      <c r="K40" s="22">
        <v>1889.37</v>
      </c>
      <c r="L40" s="26" t="s">
        <v>295</v>
      </c>
      <c r="M40" s="26">
        <v>61</v>
      </c>
      <c r="N40" s="28" t="str">
        <f t="shared" si="6"/>
        <v/>
      </c>
      <c r="O40" s="28">
        <f t="shared" si="7"/>
        <v>1</v>
      </c>
      <c r="P40" s="28" t="str">
        <f t="shared" si="8"/>
        <v/>
      </c>
      <c r="Q40" s="28" t="str">
        <f t="shared" si="9"/>
        <v/>
      </c>
      <c r="R40" s="28" t="str">
        <f t="shared" si="10"/>
        <v/>
      </c>
      <c r="S40" s="28">
        <f t="shared" si="11"/>
        <v>2</v>
      </c>
    </row>
    <row r="41" spans="1:19" ht="12" x14ac:dyDescent="0.2">
      <c r="A41" s="22" t="s">
        <v>183</v>
      </c>
      <c r="B41" s="22" t="s">
        <v>49</v>
      </c>
      <c r="C41" s="22" t="s">
        <v>112</v>
      </c>
      <c r="D41" s="22" t="s">
        <v>319</v>
      </c>
      <c r="E41" s="22" t="s">
        <v>84</v>
      </c>
      <c r="F41" s="22" t="s">
        <v>53</v>
      </c>
      <c r="G41" s="22" t="s">
        <v>63</v>
      </c>
      <c r="H41" s="22" t="s">
        <v>45</v>
      </c>
      <c r="I41" s="22" t="s">
        <v>36</v>
      </c>
      <c r="J41" s="22">
        <v>3</v>
      </c>
      <c r="K41" s="22">
        <v>1259.3699999999999</v>
      </c>
      <c r="L41" s="26" t="s">
        <v>296</v>
      </c>
      <c r="M41" s="26">
        <v>57</v>
      </c>
      <c r="N41" s="28">
        <f t="shared" si="6"/>
        <v>3</v>
      </c>
      <c r="O41" s="28" t="str">
        <f t="shared" si="7"/>
        <v/>
      </c>
      <c r="P41" s="28" t="str">
        <f t="shared" si="8"/>
        <v/>
      </c>
      <c r="Q41" s="28" t="str">
        <f t="shared" si="9"/>
        <v/>
      </c>
      <c r="R41" s="28" t="str">
        <f t="shared" si="10"/>
        <v/>
      </c>
      <c r="S41" s="28">
        <f t="shared" si="11"/>
        <v>2</v>
      </c>
    </row>
    <row r="42" spans="1:19" ht="12" x14ac:dyDescent="0.2">
      <c r="A42" s="22" t="s">
        <v>183</v>
      </c>
      <c r="B42" s="22" t="s">
        <v>49</v>
      </c>
      <c r="C42" s="22" t="s">
        <v>112</v>
      </c>
      <c r="D42" s="22" t="s">
        <v>319</v>
      </c>
      <c r="E42" s="22" t="s">
        <v>84</v>
      </c>
      <c r="F42" s="22" t="s">
        <v>53</v>
      </c>
      <c r="G42" s="22" t="s">
        <v>63</v>
      </c>
      <c r="H42" s="22" t="s">
        <v>45</v>
      </c>
      <c r="I42" s="22" t="s">
        <v>57</v>
      </c>
      <c r="J42" s="22">
        <v>1</v>
      </c>
      <c r="K42" s="22">
        <v>1259.3699999999999</v>
      </c>
      <c r="L42" s="26" t="s">
        <v>296</v>
      </c>
      <c r="M42" s="26">
        <v>61</v>
      </c>
      <c r="N42" s="28" t="str">
        <f t="shared" si="6"/>
        <v/>
      </c>
      <c r="O42" s="28">
        <f t="shared" si="7"/>
        <v>1</v>
      </c>
      <c r="P42" s="28" t="str">
        <f t="shared" si="8"/>
        <v/>
      </c>
      <c r="Q42" s="28" t="str">
        <f t="shared" si="9"/>
        <v/>
      </c>
      <c r="R42" s="28" t="str">
        <f t="shared" si="10"/>
        <v/>
      </c>
      <c r="S42" s="28">
        <f t="shared" si="11"/>
        <v>2</v>
      </c>
    </row>
    <row r="43" spans="1:19" ht="12" x14ac:dyDescent="0.2">
      <c r="A43" s="22" t="s">
        <v>186</v>
      </c>
      <c r="B43" s="22" t="s">
        <v>49</v>
      </c>
      <c r="C43" s="22" t="s">
        <v>187</v>
      </c>
      <c r="D43" s="22" t="s">
        <v>319</v>
      </c>
      <c r="E43" s="22" t="s">
        <v>84</v>
      </c>
      <c r="F43" s="22" t="s">
        <v>53</v>
      </c>
      <c r="G43" s="22" t="s">
        <v>154</v>
      </c>
      <c r="H43" s="22" t="s">
        <v>188</v>
      </c>
      <c r="I43" s="22" t="s">
        <v>36</v>
      </c>
      <c r="J43" s="22">
        <v>2</v>
      </c>
      <c r="K43" s="22">
        <v>1259.3699999999999</v>
      </c>
      <c r="L43" s="26" t="s">
        <v>303</v>
      </c>
      <c r="M43" s="26">
        <v>57</v>
      </c>
      <c r="N43" s="28">
        <f t="shared" si="6"/>
        <v>2</v>
      </c>
      <c r="O43" s="28" t="str">
        <f t="shared" si="7"/>
        <v/>
      </c>
      <c r="P43" s="28" t="str">
        <f t="shared" si="8"/>
        <v/>
      </c>
      <c r="Q43" s="28" t="str">
        <f t="shared" si="9"/>
        <v/>
      </c>
      <c r="R43" s="28" t="str">
        <f t="shared" si="10"/>
        <v/>
      </c>
      <c r="S43" s="28">
        <f t="shared" si="11"/>
        <v>1</v>
      </c>
    </row>
    <row r="44" spans="1:19" ht="12" x14ac:dyDescent="0.2">
      <c r="A44" s="22" t="s">
        <v>191</v>
      </c>
      <c r="B44" s="22" t="s">
        <v>49</v>
      </c>
      <c r="C44" s="22" t="s">
        <v>192</v>
      </c>
      <c r="D44" s="22" t="s">
        <v>319</v>
      </c>
      <c r="E44" s="22" t="s">
        <v>38</v>
      </c>
      <c r="F44" s="22" t="s">
        <v>53</v>
      </c>
      <c r="G44" s="22" t="s">
        <v>170</v>
      </c>
      <c r="H44" s="22" t="s">
        <v>193</v>
      </c>
      <c r="I44" s="22" t="s">
        <v>36</v>
      </c>
      <c r="J44" s="22">
        <v>3</v>
      </c>
      <c r="K44" s="22">
        <v>1889.37</v>
      </c>
      <c r="L44" s="26" t="s">
        <v>305</v>
      </c>
      <c r="M44" s="26">
        <v>57</v>
      </c>
      <c r="N44" s="28">
        <f t="shared" si="6"/>
        <v>3</v>
      </c>
      <c r="O44" s="28" t="str">
        <f t="shared" si="7"/>
        <v/>
      </c>
      <c r="P44" s="28" t="str">
        <f t="shared" si="8"/>
        <v/>
      </c>
      <c r="Q44" s="28" t="str">
        <f t="shared" si="9"/>
        <v/>
      </c>
      <c r="R44" s="28" t="str">
        <f t="shared" si="10"/>
        <v/>
      </c>
      <c r="S44" s="28">
        <f t="shared" si="11"/>
        <v>1</v>
      </c>
    </row>
    <row r="45" spans="1:19" ht="12" x14ac:dyDescent="0.2">
      <c r="A45" s="22" t="s">
        <v>196</v>
      </c>
      <c r="B45" s="22" t="s">
        <v>49</v>
      </c>
      <c r="C45" s="22" t="s">
        <v>197</v>
      </c>
      <c r="D45" s="22" t="s">
        <v>320</v>
      </c>
      <c r="E45" s="22" t="s">
        <v>198</v>
      </c>
      <c r="F45" s="22" t="s">
        <v>53</v>
      </c>
      <c r="G45" s="22" t="s">
        <v>170</v>
      </c>
      <c r="H45" s="22" t="s">
        <v>35</v>
      </c>
      <c r="I45" s="22" t="s">
        <v>36</v>
      </c>
      <c r="J45" s="22">
        <v>3</v>
      </c>
      <c r="K45" s="22">
        <v>1511.37</v>
      </c>
      <c r="L45" s="26" t="s">
        <v>295</v>
      </c>
      <c r="M45" s="26">
        <v>57</v>
      </c>
      <c r="N45" s="28">
        <f t="shared" si="6"/>
        <v>3</v>
      </c>
      <c r="O45" s="28" t="str">
        <f t="shared" si="7"/>
        <v/>
      </c>
      <c r="P45" s="28" t="str">
        <f t="shared" si="8"/>
        <v/>
      </c>
      <c r="Q45" s="28" t="str">
        <f t="shared" si="9"/>
        <v/>
      </c>
      <c r="R45" s="28" t="str">
        <f t="shared" si="10"/>
        <v/>
      </c>
      <c r="S45" s="28">
        <f t="shared" si="11"/>
        <v>1</v>
      </c>
    </row>
    <row r="46" spans="1:19" ht="12" x14ac:dyDescent="0.2">
      <c r="A46" s="22" t="s">
        <v>201</v>
      </c>
      <c r="B46" s="22" t="s">
        <v>106</v>
      </c>
      <c r="C46" s="22" t="s">
        <v>202</v>
      </c>
      <c r="D46" s="22" t="s">
        <v>319</v>
      </c>
      <c r="E46" s="22" t="s">
        <v>204</v>
      </c>
      <c r="F46" s="22" t="s">
        <v>53</v>
      </c>
      <c r="G46" s="22" t="s">
        <v>205</v>
      </c>
      <c r="H46" s="22" t="s">
        <v>35</v>
      </c>
      <c r="I46" s="22" t="s">
        <v>174</v>
      </c>
      <c r="J46" s="22">
        <v>1</v>
      </c>
      <c r="K46" s="22">
        <v>1889.37</v>
      </c>
      <c r="L46" s="26" t="s">
        <v>295</v>
      </c>
      <c r="M46" s="26">
        <v>56</v>
      </c>
      <c r="N46" s="28" t="str">
        <f t="shared" si="6"/>
        <v/>
      </c>
      <c r="O46" s="28" t="str">
        <f t="shared" si="7"/>
        <v/>
      </c>
      <c r="P46" s="28" t="str">
        <f t="shared" si="8"/>
        <v/>
      </c>
      <c r="Q46" s="28">
        <f t="shared" si="9"/>
        <v>1</v>
      </c>
      <c r="R46" s="28" t="str">
        <f t="shared" si="10"/>
        <v/>
      </c>
      <c r="S46" s="28">
        <f t="shared" si="11"/>
        <v>2</v>
      </c>
    </row>
    <row r="47" spans="1:19" ht="12" x14ac:dyDescent="0.2">
      <c r="A47" s="22" t="s">
        <v>201</v>
      </c>
      <c r="B47" s="22" t="s">
        <v>106</v>
      </c>
      <c r="C47" s="22" t="s">
        <v>202</v>
      </c>
      <c r="D47" s="22" t="s">
        <v>319</v>
      </c>
      <c r="E47" s="22" t="s">
        <v>204</v>
      </c>
      <c r="F47" s="22" t="s">
        <v>53</v>
      </c>
      <c r="G47" s="22" t="s">
        <v>205</v>
      </c>
      <c r="H47" s="22" t="s">
        <v>35</v>
      </c>
      <c r="I47" s="22" t="s">
        <v>36</v>
      </c>
      <c r="J47" s="22">
        <v>2</v>
      </c>
      <c r="K47" s="22">
        <v>1889.37</v>
      </c>
      <c r="L47" s="26" t="s">
        <v>295</v>
      </c>
      <c r="M47" s="26">
        <v>57</v>
      </c>
      <c r="N47" s="28">
        <f t="shared" si="6"/>
        <v>2</v>
      </c>
      <c r="O47" s="28" t="str">
        <f t="shared" si="7"/>
        <v/>
      </c>
      <c r="P47" s="28" t="str">
        <f t="shared" si="8"/>
        <v/>
      </c>
      <c r="Q47" s="28" t="str">
        <f t="shared" si="9"/>
        <v/>
      </c>
      <c r="R47" s="28" t="str">
        <f t="shared" si="10"/>
        <v/>
      </c>
      <c r="S47" s="28">
        <f t="shared" si="11"/>
        <v>2</v>
      </c>
    </row>
    <row r="48" spans="1:19" ht="12" x14ac:dyDescent="0.2">
      <c r="A48" s="22" t="s">
        <v>209</v>
      </c>
      <c r="B48" s="22" t="s">
        <v>94</v>
      </c>
      <c r="C48" s="22" t="s">
        <v>210</v>
      </c>
      <c r="D48" s="22" t="s">
        <v>319</v>
      </c>
      <c r="E48" s="22" t="s">
        <v>38</v>
      </c>
      <c r="F48" s="22" t="s">
        <v>211</v>
      </c>
      <c r="G48" s="22" t="s">
        <v>212</v>
      </c>
      <c r="H48" s="22" t="s">
        <v>71</v>
      </c>
      <c r="I48" s="22" t="s">
        <v>97</v>
      </c>
      <c r="J48" s="22">
        <v>2</v>
      </c>
      <c r="K48" s="22">
        <v>1979.4</v>
      </c>
      <c r="L48" s="26" t="s">
        <v>297</v>
      </c>
      <c r="M48" s="26">
        <v>59</v>
      </c>
      <c r="N48" s="28" t="str">
        <f t="shared" si="6"/>
        <v/>
      </c>
      <c r="O48" s="28" t="str">
        <f t="shared" si="7"/>
        <v/>
      </c>
      <c r="P48" s="28">
        <f t="shared" si="8"/>
        <v>2</v>
      </c>
      <c r="Q48" s="28" t="str">
        <f t="shared" si="9"/>
        <v/>
      </c>
      <c r="R48" s="28" t="str">
        <f t="shared" si="10"/>
        <v/>
      </c>
      <c r="S48" s="28">
        <f t="shared" si="11"/>
        <v>1</v>
      </c>
    </row>
    <row r="49" spans="1:19" ht="12" x14ac:dyDescent="0.2">
      <c r="A49" s="22" t="s">
        <v>214</v>
      </c>
      <c r="B49" s="22" t="s">
        <v>94</v>
      </c>
      <c r="C49" s="22" t="s">
        <v>215</v>
      </c>
      <c r="D49" s="22" t="s">
        <v>319</v>
      </c>
      <c r="E49" s="22" t="s">
        <v>216</v>
      </c>
      <c r="F49" s="22" t="s">
        <v>53</v>
      </c>
      <c r="G49" s="22" t="s">
        <v>103</v>
      </c>
      <c r="H49" s="22" t="s">
        <v>71</v>
      </c>
      <c r="I49" s="22" t="s">
        <v>97</v>
      </c>
      <c r="J49" s="22">
        <v>2</v>
      </c>
      <c r="K49" s="22">
        <v>1379.4</v>
      </c>
      <c r="L49" s="26" t="s">
        <v>297</v>
      </c>
      <c r="M49" s="26">
        <v>59</v>
      </c>
      <c r="N49" s="28" t="str">
        <f t="shared" si="6"/>
        <v/>
      </c>
      <c r="O49" s="28" t="str">
        <f t="shared" si="7"/>
        <v/>
      </c>
      <c r="P49" s="28">
        <f t="shared" si="8"/>
        <v>2</v>
      </c>
      <c r="Q49" s="28" t="str">
        <f t="shared" si="9"/>
        <v/>
      </c>
      <c r="R49" s="28" t="str">
        <f t="shared" si="10"/>
        <v/>
      </c>
      <c r="S49" s="28">
        <f t="shared" si="11"/>
        <v>1</v>
      </c>
    </row>
    <row r="50" spans="1:19" ht="12" x14ac:dyDescent="0.2">
      <c r="A50" s="22" t="s">
        <v>219</v>
      </c>
      <c r="B50" s="22" t="s">
        <v>94</v>
      </c>
      <c r="C50" s="22" t="s">
        <v>221</v>
      </c>
      <c r="D50" s="22" t="s">
        <v>320</v>
      </c>
      <c r="E50" s="22" t="s">
        <v>198</v>
      </c>
      <c r="F50" s="22" t="s">
        <v>53</v>
      </c>
      <c r="G50" s="22" t="s">
        <v>103</v>
      </c>
      <c r="H50" s="22" t="s">
        <v>96</v>
      </c>
      <c r="I50" s="22" t="s">
        <v>222</v>
      </c>
      <c r="J50" s="22">
        <v>3</v>
      </c>
      <c r="K50" s="22">
        <v>1979.4</v>
      </c>
      <c r="L50" s="26" t="s">
        <v>298</v>
      </c>
      <c r="M50" s="26" t="s">
        <v>292</v>
      </c>
      <c r="N50" s="28" t="str">
        <f t="shared" si="6"/>
        <v/>
      </c>
      <c r="O50" s="28" t="str">
        <f t="shared" si="7"/>
        <v/>
      </c>
      <c r="P50" s="28" t="str">
        <f t="shared" si="8"/>
        <v/>
      </c>
      <c r="Q50" s="28" t="str">
        <f t="shared" si="9"/>
        <v/>
      </c>
      <c r="R50" s="28">
        <f t="shared" si="10"/>
        <v>3</v>
      </c>
      <c r="S50" s="28">
        <f t="shared" si="11"/>
        <v>1</v>
      </c>
    </row>
    <row r="51" spans="1:19" ht="12" x14ac:dyDescent="0.2">
      <c r="A51" s="22">
        <v>2241675</v>
      </c>
      <c r="B51" s="22" t="s">
        <v>33</v>
      </c>
      <c r="C51" s="22" t="s">
        <v>127</v>
      </c>
      <c r="D51" s="22" t="s">
        <v>319</v>
      </c>
      <c r="E51" s="22" t="s">
        <v>52</v>
      </c>
      <c r="F51" s="22" t="s">
        <v>130</v>
      </c>
      <c r="G51" s="22" t="s">
        <v>131</v>
      </c>
      <c r="H51" s="22" t="s">
        <v>71</v>
      </c>
      <c r="I51" s="22" t="s">
        <v>128</v>
      </c>
      <c r="J51" s="22">
        <v>3</v>
      </c>
      <c r="K51" s="22">
        <v>894</v>
      </c>
      <c r="L51" s="26" t="s">
        <v>297</v>
      </c>
      <c r="M51" s="26" t="s">
        <v>292</v>
      </c>
      <c r="N51" s="28" t="str">
        <f t="shared" si="6"/>
        <v/>
      </c>
      <c r="O51" s="28" t="str">
        <f t="shared" si="7"/>
        <v/>
      </c>
      <c r="P51" s="28" t="str">
        <f t="shared" si="8"/>
        <v/>
      </c>
      <c r="Q51" s="28" t="str">
        <f t="shared" si="9"/>
        <v/>
      </c>
      <c r="R51" s="28">
        <f t="shared" si="10"/>
        <v>3</v>
      </c>
      <c r="S51" s="28">
        <f t="shared" si="11"/>
        <v>1</v>
      </c>
    </row>
    <row r="52" spans="1:19" ht="12" x14ac:dyDescent="0.2">
      <c r="A52" s="22">
        <v>2241678</v>
      </c>
      <c r="B52" s="22" t="s">
        <v>33</v>
      </c>
      <c r="C52" s="22" t="s">
        <v>127</v>
      </c>
      <c r="D52" s="22" t="s">
        <v>319</v>
      </c>
      <c r="E52" s="22" t="s">
        <v>52</v>
      </c>
      <c r="F52" s="22" t="s">
        <v>130</v>
      </c>
      <c r="G52" s="22" t="s">
        <v>131</v>
      </c>
      <c r="H52" s="22" t="s">
        <v>148</v>
      </c>
      <c r="I52" s="22" t="s">
        <v>128</v>
      </c>
      <c r="J52" s="22">
        <v>3</v>
      </c>
      <c r="K52" s="22">
        <v>894</v>
      </c>
      <c r="L52" s="26" t="s">
        <v>300</v>
      </c>
      <c r="M52" s="26" t="s">
        <v>292</v>
      </c>
      <c r="N52" s="28" t="str">
        <f t="shared" si="6"/>
        <v/>
      </c>
      <c r="O52" s="28" t="str">
        <f t="shared" si="7"/>
        <v/>
      </c>
      <c r="P52" s="28" t="str">
        <f t="shared" si="8"/>
        <v/>
      </c>
      <c r="Q52" s="28" t="str">
        <f t="shared" si="9"/>
        <v/>
      </c>
      <c r="R52" s="28">
        <f t="shared" si="10"/>
        <v>3</v>
      </c>
      <c r="S52" s="28">
        <f t="shared" si="11"/>
        <v>1</v>
      </c>
    </row>
    <row r="53" spans="1:19" ht="12" x14ac:dyDescent="0.2">
      <c r="A53" s="22">
        <v>2241679</v>
      </c>
      <c r="B53" s="22" t="s">
        <v>33</v>
      </c>
      <c r="C53" s="22" t="s">
        <v>127</v>
      </c>
      <c r="D53" s="22" t="s">
        <v>319</v>
      </c>
      <c r="E53" s="22" t="s">
        <v>52</v>
      </c>
      <c r="F53" s="22" t="s">
        <v>130</v>
      </c>
      <c r="G53" s="22" t="s">
        <v>131</v>
      </c>
      <c r="H53" s="22" t="s">
        <v>173</v>
      </c>
      <c r="I53" s="22" t="s">
        <v>128</v>
      </c>
      <c r="J53" s="22">
        <v>3</v>
      </c>
      <c r="K53" s="22">
        <v>894</v>
      </c>
      <c r="L53" s="26" t="s">
        <v>302</v>
      </c>
      <c r="M53" s="26" t="s">
        <v>292</v>
      </c>
      <c r="N53" s="28" t="str">
        <f t="shared" si="6"/>
        <v/>
      </c>
      <c r="O53" s="28" t="str">
        <f t="shared" si="7"/>
        <v/>
      </c>
      <c r="P53" s="28" t="str">
        <f t="shared" si="8"/>
        <v/>
      </c>
      <c r="Q53" s="28" t="str">
        <f t="shared" si="9"/>
        <v/>
      </c>
      <c r="R53" s="28">
        <f t="shared" si="10"/>
        <v>3</v>
      </c>
      <c r="S53" s="28">
        <f t="shared" si="11"/>
        <v>1</v>
      </c>
    </row>
    <row r="54" spans="1:19" ht="12" x14ac:dyDescent="0.2">
      <c r="A54" s="22">
        <v>2255417</v>
      </c>
      <c r="B54" s="22" t="s">
        <v>33</v>
      </c>
      <c r="C54" s="22" t="s">
        <v>229</v>
      </c>
      <c r="D54" s="22" t="s">
        <v>319</v>
      </c>
      <c r="E54" s="22" t="s">
        <v>52</v>
      </c>
      <c r="F54" s="22" t="s">
        <v>130</v>
      </c>
      <c r="G54" s="22" t="s">
        <v>131</v>
      </c>
      <c r="H54" s="22" t="s">
        <v>45</v>
      </c>
      <c r="I54" s="22" t="s">
        <v>128</v>
      </c>
      <c r="J54" s="22">
        <v>3</v>
      </c>
      <c r="K54" s="22">
        <v>1494</v>
      </c>
      <c r="L54" s="26" t="s">
        <v>296</v>
      </c>
      <c r="M54" s="26" t="s">
        <v>292</v>
      </c>
      <c r="N54" s="28" t="str">
        <f t="shared" si="6"/>
        <v/>
      </c>
      <c r="O54" s="28" t="str">
        <f t="shared" si="7"/>
        <v/>
      </c>
      <c r="P54" s="28" t="str">
        <f t="shared" si="8"/>
        <v/>
      </c>
      <c r="Q54" s="28" t="str">
        <f t="shared" si="9"/>
        <v/>
      </c>
      <c r="R54" s="28">
        <f t="shared" si="10"/>
        <v>3</v>
      </c>
      <c r="S54" s="28">
        <f t="shared" si="11"/>
        <v>1</v>
      </c>
    </row>
    <row r="55" spans="1:19" ht="12" x14ac:dyDescent="0.2">
      <c r="A55" s="22">
        <v>2342801</v>
      </c>
      <c r="B55" s="22" t="s">
        <v>33</v>
      </c>
      <c r="C55" s="22" t="s">
        <v>232</v>
      </c>
      <c r="D55" s="22" t="s">
        <v>320</v>
      </c>
      <c r="E55" s="22" t="s">
        <v>38</v>
      </c>
      <c r="F55" s="22" t="s">
        <v>53</v>
      </c>
      <c r="G55" s="22" t="s">
        <v>135</v>
      </c>
      <c r="H55" s="22" t="s">
        <v>35</v>
      </c>
      <c r="I55" s="22" t="s">
        <v>128</v>
      </c>
      <c r="J55" s="22">
        <v>1</v>
      </c>
      <c r="K55" s="22">
        <v>1314</v>
      </c>
      <c r="L55" s="26" t="s">
        <v>295</v>
      </c>
      <c r="M55" s="26" t="s">
        <v>292</v>
      </c>
      <c r="N55" s="28" t="str">
        <f t="shared" si="6"/>
        <v/>
      </c>
      <c r="O55" s="28" t="str">
        <f t="shared" si="7"/>
        <v/>
      </c>
      <c r="P55" s="28" t="str">
        <f t="shared" si="8"/>
        <v/>
      </c>
      <c r="Q55" s="28" t="str">
        <f t="shared" si="9"/>
        <v/>
      </c>
      <c r="R55" s="28">
        <f t="shared" si="10"/>
        <v>1</v>
      </c>
      <c r="S55" s="28">
        <f t="shared" si="11"/>
        <v>1</v>
      </c>
    </row>
    <row r="56" spans="1:19" ht="12" x14ac:dyDescent="0.2">
      <c r="A56" s="22">
        <v>2343801</v>
      </c>
      <c r="B56" s="22" t="s">
        <v>33</v>
      </c>
      <c r="C56" s="22" t="s">
        <v>235</v>
      </c>
      <c r="D56" s="22" t="s">
        <v>320</v>
      </c>
      <c r="E56" s="22" t="s">
        <v>236</v>
      </c>
      <c r="F56" s="22" t="s">
        <v>53</v>
      </c>
      <c r="G56" s="22" t="s">
        <v>135</v>
      </c>
      <c r="H56" s="22" t="s">
        <v>35</v>
      </c>
      <c r="I56" s="22" t="s">
        <v>128</v>
      </c>
      <c r="J56" s="22">
        <v>5</v>
      </c>
      <c r="K56" s="22">
        <v>1794</v>
      </c>
      <c r="L56" s="26" t="s">
        <v>295</v>
      </c>
      <c r="M56" s="26" t="s">
        <v>292</v>
      </c>
      <c r="N56" s="28" t="str">
        <f t="shared" si="6"/>
        <v/>
      </c>
      <c r="O56" s="28" t="str">
        <f t="shared" si="7"/>
        <v/>
      </c>
      <c r="P56" s="28" t="str">
        <f t="shared" si="8"/>
        <v/>
      </c>
      <c r="Q56" s="28" t="str">
        <f t="shared" si="9"/>
        <v/>
      </c>
      <c r="R56" s="28">
        <f t="shared" si="10"/>
        <v>5</v>
      </c>
      <c r="S56" s="28">
        <f t="shared" si="11"/>
        <v>1</v>
      </c>
    </row>
    <row r="57" spans="1:19" ht="12" x14ac:dyDescent="0.2">
      <c r="A57" s="22">
        <v>2343805</v>
      </c>
      <c r="B57" s="22" t="s">
        <v>33</v>
      </c>
      <c r="C57" s="22" t="s">
        <v>235</v>
      </c>
      <c r="D57" s="22" t="s">
        <v>320</v>
      </c>
      <c r="E57" s="22" t="s">
        <v>239</v>
      </c>
      <c r="F57" s="22" t="s">
        <v>53</v>
      </c>
      <c r="G57" s="22" t="s">
        <v>135</v>
      </c>
      <c r="H57" s="22" t="s">
        <v>148</v>
      </c>
      <c r="I57" s="22" t="s">
        <v>128</v>
      </c>
      <c r="J57" s="22">
        <v>3</v>
      </c>
      <c r="K57" s="22">
        <v>1794</v>
      </c>
      <c r="L57" s="26" t="s">
        <v>300</v>
      </c>
      <c r="M57" s="26" t="s">
        <v>292</v>
      </c>
      <c r="N57" s="28" t="str">
        <f t="shared" si="6"/>
        <v/>
      </c>
      <c r="O57" s="28" t="str">
        <f t="shared" si="7"/>
        <v/>
      </c>
      <c r="P57" s="28" t="str">
        <f t="shared" si="8"/>
        <v/>
      </c>
      <c r="Q57" s="28" t="str">
        <f t="shared" si="9"/>
        <v/>
      </c>
      <c r="R57" s="28">
        <f t="shared" si="10"/>
        <v>3</v>
      </c>
      <c r="S57" s="28">
        <f t="shared" si="11"/>
        <v>1</v>
      </c>
    </row>
    <row r="58" spans="1:19" ht="12" x14ac:dyDescent="0.2">
      <c r="A58" s="22">
        <v>2366901</v>
      </c>
      <c r="B58" s="22" t="s">
        <v>33</v>
      </c>
      <c r="C58" s="22" t="s">
        <v>241</v>
      </c>
      <c r="D58" s="22" t="s">
        <v>319</v>
      </c>
      <c r="E58" s="22" t="s">
        <v>52</v>
      </c>
      <c r="F58" s="22" t="s">
        <v>130</v>
      </c>
      <c r="G58" s="22" t="s">
        <v>131</v>
      </c>
      <c r="H58" s="22" t="s">
        <v>35</v>
      </c>
      <c r="I58" s="22" t="s">
        <v>128</v>
      </c>
      <c r="J58" s="22">
        <v>3</v>
      </c>
      <c r="K58" s="22">
        <v>894</v>
      </c>
      <c r="L58" s="26" t="s">
        <v>295</v>
      </c>
      <c r="M58" s="26" t="s">
        <v>292</v>
      </c>
      <c r="N58" s="28" t="str">
        <f t="shared" si="6"/>
        <v/>
      </c>
      <c r="O58" s="28" t="str">
        <f t="shared" si="7"/>
        <v/>
      </c>
      <c r="P58" s="28" t="str">
        <f t="shared" si="8"/>
        <v/>
      </c>
      <c r="Q58" s="28" t="str">
        <f t="shared" si="9"/>
        <v/>
      </c>
      <c r="R58" s="28">
        <f t="shared" si="10"/>
        <v>3</v>
      </c>
      <c r="S58" s="28">
        <f t="shared" si="11"/>
        <v>1</v>
      </c>
    </row>
    <row r="59" spans="1:19" ht="12" x14ac:dyDescent="0.2">
      <c r="A59" s="22">
        <v>2367503</v>
      </c>
      <c r="B59" s="22" t="s">
        <v>33</v>
      </c>
      <c r="C59" s="22" t="s">
        <v>244</v>
      </c>
      <c r="D59" s="22" t="s">
        <v>319</v>
      </c>
      <c r="E59" s="22" t="s">
        <v>38</v>
      </c>
      <c r="F59" s="22" t="s">
        <v>53</v>
      </c>
      <c r="G59" s="22" t="s">
        <v>135</v>
      </c>
      <c r="H59" s="22" t="s">
        <v>96</v>
      </c>
      <c r="I59" s="22" t="s">
        <v>128</v>
      </c>
      <c r="J59" s="22">
        <v>3</v>
      </c>
      <c r="K59" s="22">
        <v>1434</v>
      </c>
      <c r="L59" s="26" t="s">
        <v>298</v>
      </c>
      <c r="M59" s="26" t="s">
        <v>292</v>
      </c>
      <c r="N59" s="28" t="str">
        <f t="shared" si="6"/>
        <v/>
      </c>
      <c r="O59" s="28" t="str">
        <f t="shared" si="7"/>
        <v/>
      </c>
      <c r="P59" s="28" t="str">
        <f t="shared" si="8"/>
        <v/>
      </c>
      <c r="Q59" s="28" t="str">
        <f t="shared" si="9"/>
        <v/>
      </c>
      <c r="R59" s="28">
        <f t="shared" si="10"/>
        <v>3</v>
      </c>
      <c r="S59" s="28">
        <f t="shared" si="11"/>
        <v>1</v>
      </c>
    </row>
    <row r="60" spans="1:19" ht="12" x14ac:dyDescent="0.2">
      <c r="A60" s="22">
        <v>2371104</v>
      </c>
      <c r="B60" s="22" t="s">
        <v>33</v>
      </c>
      <c r="C60" s="22" t="s">
        <v>247</v>
      </c>
      <c r="D60" s="22" t="s">
        <v>319</v>
      </c>
      <c r="E60" s="22" t="s">
        <v>38</v>
      </c>
      <c r="F60" s="22" t="s">
        <v>53</v>
      </c>
      <c r="G60" s="22" t="s">
        <v>135</v>
      </c>
      <c r="H60" s="22" t="s">
        <v>96</v>
      </c>
      <c r="I60" s="22" t="s">
        <v>128</v>
      </c>
      <c r="J60" s="22">
        <v>3</v>
      </c>
      <c r="K60" s="22">
        <v>1194</v>
      </c>
      <c r="L60" s="26" t="s">
        <v>298</v>
      </c>
      <c r="M60" s="26" t="s">
        <v>292</v>
      </c>
      <c r="N60" s="28" t="str">
        <f t="shared" si="6"/>
        <v/>
      </c>
      <c r="O60" s="28" t="str">
        <f t="shared" si="7"/>
        <v/>
      </c>
      <c r="P60" s="28" t="str">
        <f t="shared" si="8"/>
        <v/>
      </c>
      <c r="Q60" s="28" t="str">
        <f t="shared" si="9"/>
        <v/>
      </c>
      <c r="R60" s="28">
        <f t="shared" si="10"/>
        <v>3</v>
      </c>
      <c r="S60" s="28">
        <f t="shared" si="11"/>
        <v>1</v>
      </c>
    </row>
    <row r="61" spans="1:19" ht="12" x14ac:dyDescent="0.2">
      <c r="A61" s="22">
        <v>2241685</v>
      </c>
      <c r="B61" s="22" t="s">
        <v>33</v>
      </c>
      <c r="C61" s="22" t="s">
        <v>127</v>
      </c>
      <c r="D61" s="22" t="s">
        <v>319</v>
      </c>
      <c r="E61" s="22" t="s">
        <v>250</v>
      </c>
      <c r="F61" s="22" t="s">
        <v>130</v>
      </c>
      <c r="G61" s="22" t="s">
        <v>131</v>
      </c>
      <c r="H61" s="22" t="s">
        <v>71</v>
      </c>
      <c r="I61" s="22" t="s">
        <v>128</v>
      </c>
      <c r="J61" s="22">
        <v>2</v>
      </c>
      <c r="K61" s="22">
        <v>894</v>
      </c>
      <c r="L61" s="26" t="s">
        <v>297</v>
      </c>
      <c r="M61" s="26" t="s">
        <v>292</v>
      </c>
      <c r="N61" s="28" t="str">
        <f t="shared" si="6"/>
        <v/>
      </c>
      <c r="O61" s="28" t="str">
        <f t="shared" si="7"/>
        <v/>
      </c>
      <c r="P61" s="28" t="str">
        <f t="shared" si="8"/>
        <v/>
      </c>
      <c r="Q61" s="28" t="str">
        <f t="shared" si="9"/>
        <v/>
      </c>
      <c r="R61" s="28">
        <f t="shared" si="10"/>
        <v>2</v>
      </c>
      <c r="S61" s="28">
        <f t="shared" si="11"/>
        <v>1</v>
      </c>
    </row>
    <row r="62" spans="1:19" ht="12" x14ac:dyDescent="0.2">
      <c r="A62" s="22">
        <v>2375801</v>
      </c>
      <c r="B62" s="22" t="s">
        <v>33</v>
      </c>
      <c r="C62" s="22" t="s">
        <v>254</v>
      </c>
      <c r="D62" s="22" t="s">
        <v>319</v>
      </c>
      <c r="E62" s="22" t="s">
        <v>52</v>
      </c>
      <c r="F62" s="22" t="s">
        <v>40</v>
      </c>
      <c r="G62" s="22" t="s">
        <v>143</v>
      </c>
      <c r="H62" s="22" t="s">
        <v>35</v>
      </c>
      <c r="I62" s="22" t="s">
        <v>36</v>
      </c>
      <c r="J62" s="22">
        <v>3</v>
      </c>
      <c r="K62" s="22">
        <v>1314</v>
      </c>
      <c r="L62" s="26" t="s">
        <v>295</v>
      </c>
      <c r="M62" s="26">
        <v>57</v>
      </c>
      <c r="N62" s="28">
        <f t="shared" si="6"/>
        <v>3</v>
      </c>
      <c r="O62" s="28" t="str">
        <f t="shared" si="7"/>
        <v/>
      </c>
      <c r="P62" s="28" t="str">
        <f t="shared" si="8"/>
        <v/>
      </c>
      <c r="Q62" s="28" t="str">
        <f t="shared" si="9"/>
        <v/>
      </c>
      <c r="R62" s="28" t="str">
        <f t="shared" si="10"/>
        <v/>
      </c>
      <c r="S62" s="28">
        <f t="shared" si="11"/>
        <v>1</v>
      </c>
    </row>
    <row r="63" spans="1:19" ht="12" x14ac:dyDescent="0.2">
      <c r="A63" s="22" t="s">
        <v>257</v>
      </c>
      <c r="B63" s="22" t="s">
        <v>258</v>
      </c>
      <c r="C63" s="22" t="s">
        <v>259</v>
      </c>
      <c r="D63" s="22" t="s">
        <v>319</v>
      </c>
      <c r="E63" s="22" t="s">
        <v>52</v>
      </c>
      <c r="F63" s="22" t="s">
        <v>53</v>
      </c>
      <c r="G63" s="22" t="s">
        <v>262</v>
      </c>
      <c r="H63" s="22" t="s">
        <v>71</v>
      </c>
      <c r="I63" s="22" t="s">
        <v>260</v>
      </c>
      <c r="J63" s="22">
        <v>1</v>
      </c>
      <c r="K63" s="22">
        <v>5489</v>
      </c>
      <c r="L63" s="26" t="s">
        <v>297</v>
      </c>
      <c r="M63" s="26" t="s">
        <v>292</v>
      </c>
      <c r="N63" s="28" t="str">
        <f t="shared" si="6"/>
        <v/>
      </c>
      <c r="O63" s="28" t="str">
        <f t="shared" si="7"/>
        <v/>
      </c>
      <c r="P63" s="28" t="str">
        <f t="shared" si="8"/>
        <v/>
      </c>
      <c r="Q63" s="28" t="str">
        <f t="shared" si="9"/>
        <v/>
      </c>
      <c r="R63" s="28">
        <f t="shared" si="10"/>
        <v>1</v>
      </c>
      <c r="S63" s="28">
        <f t="shared" si="11"/>
        <v>1</v>
      </c>
    </row>
    <row r="64" spans="1:19" ht="12" x14ac:dyDescent="0.2">
      <c r="A64" s="22">
        <v>2390901</v>
      </c>
      <c r="B64" s="22" t="s">
        <v>33</v>
      </c>
      <c r="C64" s="22" t="s">
        <v>264</v>
      </c>
      <c r="D64" s="22" t="s">
        <v>319</v>
      </c>
      <c r="E64" s="22" t="s">
        <v>142</v>
      </c>
      <c r="F64" s="22" t="s">
        <v>53</v>
      </c>
      <c r="G64" s="22" t="s">
        <v>265</v>
      </c>
      <c r="H64" s="22" t="s">
        <v>35</v>
      </c>
      <c r="I64" s="22" t="s">
        <v>128</v>
      </c>
      <c r="J64" s="22">
        <v>3</v>
      </c>
      <c r="K64" s="22">
        <v>1794</v>
      </c>
      <c r="L64" s="26" t="s">
        <v>295</v>
      </c>
      <c r="M64" s="26" t="s">
        <v>292</v>
      </c>
      <c r="N64" s="28" t="str">
        <f t="shared" si="6"/>
        <v/>
      </c>
      <c r="O64" s="28" t="str">
        <f t="shared" si="7"/>
        <v/>
      </c>
      <c r="P64" s="28" t="str">
        <f t="shared" si="8"/>
        <v/>
      </c>
      <c r="Q64" s="28" t="str">
        <f t="shared" si="9"/>
        <v/>
      </c>
      <c r="R64" s="28">
        <f t="shared" si="10"/>
        <v>3</v>
      </c>
      <c r="S64" s="28">
        <f t="shared" si="11"/>
        <v>1</v>
      </c>
    </row>
    <row r="65" spans="1:19" ht="12" x14ac:dyDescent="0.2">
      <c r="A65" s="22" t="s">
        <v>268</v>
      </c>
      <c r="B65" s="22" t="s">
        <v>258</v>
      </c>
      <c r="C65" s="22" t="s">
        <v>269</v>
      </c>
      <c r="D65" s="22" t="s">
        <v>319</v>
      </c>
      <c r="E65" s="22" t="s">
        <v>52</v>
      </c>
      <c r="F65" s="22" t="s">
        <v>211</v>
      </c>
      <c r="G65" s="22" t="s">
        <v>262</v>
      </c>
      <c r="H65" s="22" t="s">
        <v>102</v>
      </c>
      <c r="I65" s="22" t="s">
        <v>260</v>
      </c>
      <c r="J65" s="22">
        <v>1</v>
      </c>
      <c r="K65" s="22">
        <v>4614.5</v>
      </c>
      <c r="L65" s="26" t="s">
        <v>299</v>
      </c>
      <c r="M65" s="26" t="s">
        <v>292</v>
      </c>
      <c r="N65" s="28" t="str">
        <f t="shared" si="6"/>
        <v/>
      </c>
      <c r="O65" s="28" t="str">
        <f t="shared" si="7"/>
        <v/>
      </c>
      <c r="P65" s="28" t="str">
        <f t="shared" si="8"/>
        <v/>
      </c>
      <c r="Q65" s="28" t="str">
        <f t="shared" si="9"/>
        <v/>
      </c>
      <c r="R65" s="28">
        <f t="shared" si="10"/>
        <v>1</v>
      </c>
      <c r="S65" s="28">
        <f t="shared" si="11"/>
        <v>1</v>
      </c>
    </row>
    <row r="66" spans="1:19" ht="12" x14ac:dyDescent="0.2">
      <c r="A66" s="22" t="s">
        <v>272</v>
      </c>
      <c r="B66" s="22" t="s">
        <v>258</v>
      </c>
      <c r="C66" s="22" t="s">
        <v>269</v>
      </c>
      <c r="D66" s="22" t="s">
        <v>319</v>
      </c>
      <c r="E66" s="22" t="s">
        <v>52</v>
      </c>
      <c r="F66" s="22" t="s">
        <v>53</v>
      </c>
      <c r="G66" s="22" t="s">
        <v>273</v>
      </c>
      <c r="H66" s="22" t="s">
        <v>188</v>
      </c>
      <c r="I66" s="22" t="s">
        <v>260</v>
      </c>
      <c r="J66" s="22">
        <v>1</v>
      </c>
      <c r="K66" s="22">
        <v>4944.5</v>
      </c>
      <c r="L66" s="26" t="s">
        <v>303</v>
      </c>
      <c r="M66" s="26" t="s">
        <v>292</v>
      </c>
      <c r="N66" s="28" t="str">
        <f t="shared" si="6"/>
        <v/>
      </c>
      <c r="O66" s="28" t="str">
        <f t="shared" si="7"/>
        <v/>
      </c>
      <c r="P66" s="28" t="str">
        <f t="shared" si="8"/>
        <v/>
      </c>
      <c r="Q66" s="28" t="str">
        <f t="shared" si="9"/>
        <v/>
      </c>
      <c r="R66" s="28">
        <f t="shared" si="10"/>
        <v>1</v>
      </c>
      <c r="S66" s="28">
        <f t="shared" si="11"/>
        <v>1</v>
      </c>
    </row>
    <row r="67" spans="1:19" ht="12" x14ac:dyDescent="0.2">
      <c r="A67" s="22" t="s">
        <v>275</v>
      </c>
      <c r="B67" s="22" t="s">
        <v>258</v>
      </c>
      <c r="C67" s="22" t="s">
        <v>269</v>
      </c>
      <c r="D67" s="22" t="s">
        <v>319</v>
      </c>
      <c r="E67" s="22" t="s">
        <v>52</v>
      </c>
      <c r="F67" s="22" t="s">
        <v>211</v>
      </c>
      <c r="G67" s="22" t="s">
        <v>273</v>
      </c>
      <c r="H67" s="22" t="s">
        <v>294</v>
      </c>
      <c r="I67" s="22" t="s">
        <v>260</v>
      </c>
      <c r="J67" s="22">
        <v>2</v>
      </c>
      <c r="K67" s="22">
        <v>4944.5</v>
      </c>
      <c r="L67" s="26" t="s">
        <v>304</v>
      </c>
      <c r="M67" s="26" t="s">
        <v>292</v>
      </c>
      <c r="N67" s="28" t="str">
        <f t="shared" si="6"/>
        <v/>
      </c>
      <c r="O67" s="28" t="str">
        <f t="shared" si="7"/>
        <v/>
      </c>
      <c r="P67" s="28" t="str">
        <f t="shared" si="8"/>
        <v/>
      </c>
      <c r="Q67" s="28" t="str">
        <f t="shared" si="9"/>
        <v/>
      </c>
      <c r="R67" s="28">
        <f t="shared" si="10"/>
        <v>2</v>
      </c>
      <c r="S67" s="28">
        <f t="shared" si="11"/>
        <v>1</v>
      </c>
    </row>
    <row r="68" spans="1:19" ht="12" x14ac:dyDescent="0.2">
      <c r="A68" s="22">
        <v>5291901</v>
      </c>
      <c r="B68" s="22" t="s">
        <v>33</v>
      </c>
      <c r="C68" s="22" t="s">
        <v>127</v>
      </c>
      <c r="D68" s="22" t="s">
        <v>319</v>
      </c>
      <c r="E68" s="22" t="s">
        <v>52</v>
      </c>
      <c r="F68" s="22" t="s">
        <v>130</v>
      </c>
      <c r="G68" s="22" t="s">
        <v>277</v>
      </c>
      <c r="H68" s="22" t="s">
        <v>35</v>
      </c>
      <c r="I68" s="22" t="s">
        <v>36</v>
      </c>
      <c r="J68" s="22">
        <v>6</v>
      </c>
      <c r="K68" s="22">
        <v>894</v>
      </c>
      <c r="L68" s="26" t="s">
        <v>295</v>
      </c>
      <c r="M68" s="26">
        <v>57</v>
      </c>
      <c r="N68" s="28">
        <f t="shared" si="6"/>
        <v>6</v>
      </c>
      <c r="O68" s="28" t="str">
        <f t="shared" si="7"/>
        <v/>
      </c>
      <c r="P68" s="28" t="str">
        <f t="shared" si="8"/>
        <v/>
      </c>
      <c r="Q68" s="28" t="str">
        <f t="shared" si="9"/>
        <v/>
      </c>
      <c r="R68" s="28" t="str">
        <f t="shared" si="10"/>
        <v/>
      </c>
      <c r="S68" s="28">
        <f t="shared" si="11"/>
        <v>1</v>
      </c>
    </row>
    <row r="69" spans="1:19" ht="12" x14ac:dyDescent="0.2">
      <c r="A69" s="22">
        <v>5291902</v>
      </c>
      <c r="B69" s="22" t="s">
        <v>33</v>
      </c>
      <c r="C69" s="22" t="s">
        <v>127</v>
      </c>
      <c r="D69" s="22" t="s">
        <v>319</v>
      </c>
      <c r="E69" s="22" t="s">
        <v>52</v>
      </c>
      <c r="F69" s="22" t="s">
        <v>130</v>
      </c>
      <c r="G69" s="22" t="s">
        <v>277</v>
      </c>
      <c r="H69" s="22" t="s">
        <v>71</v>
      </c>
      <c r="I69" s="22" t="s">
        <v>36</v>
      </c>
      <c r="J69" s="22">
        <v>3</v>
      </c>
      <c r="K69" s="22">
        <v>894</v>
      </c>
      <c r="L69" s="26" t="s">
        <v>297</v>
      </c>
      <c r="M69" s="26">
        <v>57</v>
      </c>
      <c r="N69" s="28">
        <f t="shared" si="6"/>
        <v>3</v>
      </c>
      <c r="O69" s="28" t="str">
        <f t="shared" si="7"/>
        <v/>
      </c>
      <c r="P69" s="28" t="str">
        <f t="shared" si="8"/>
        <v/>
      </c>
      <c r="Q69" s="28" t="str">
        <f t="shared" si="9"/>
        <v/>
      </c>
      <c r="R69" s="28" t="str">
        <f t="shared" si="10"/>
        <v/>
      </c>
      <c r="S69" s="28">
        <f t="shared" si="11"/>
        <v>1</v>
      </c>
    </row>
  </sheetData>
  <autoFilter ref="A1:K69" xr:uid="{7EDD4F6F-0EFF-43E9-B59E-A243E7434F64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B2DF-A6F8-4CD8-B5A6-01A632062251}">
  <sheetPr codeName="Лист4"/>
  <dimension ref="A1:O56"/>
  <sheetViews>
    <sheetView workbookViewId="0">
      <pane ySplit="1" topLeftCell="A23" activePane="bottomLeft" state="frozen"/>
      <selection pane="bottomLeft" activeCell="J56" sqref="J38:J56"/>
    </sheetView>
  </sheetViews>
  <sheetFormatPr defaultRowHeight="11.25" x14ac:dyDescent="0.2"/>
  <cols>
    <col min="1" max="1" width="13.6640625" style="21" bestFit="1" customWidth="1"/>
    <col min="2" max="2" width="14.1640625" style="21" bestFit="1" customWidth="1"/>
    <col min="3" max="3" width="41.6640625" style="21" bestFit="1" customWidth="1"/>
    <col min="4" max="4" width="62.5" style="21" bestFit="1" customWidth="1"/>
    <col min="5" max="5" width="14.83203125" style="21" bestFit="1" customWidth="1"/>
    <col min="6" max="6" width="31.5" style="21" bestFit="1" customWidth="1"/>
    <col min="7" max="7" width="15" style="21" bestFit="1" customWidth="1"/>
    <col min="8" max="8" width="9.33203125" bestFit="1" customWidth="1"/>
    <col min="9" max="9" width="20.5" bestFit="1" customWidth="1"/>
    <col min="10" max="13" width="3.5" bestFit="1" customWidth="1"/>
    <col min="14" max="14" width="10.83203125" bestFit="1" customWidth="1"/>
    <col min="15" max="15" width="13" bestFit="1" customWidth="1"/>
  </cols>
  <sheetData>
    <row r="1" spans="1:15" s="24" customFormat="1" ht="12.75" x14ac:dyDescent="0.2">
      <c r="A1" s="23" t="s">
        <v>286</v>
      </c>
      <c r="B1" s="23" t="s">
        <v>287</v>
      </c>
      <c r="C1" s="23" t="s">
        <v>288</v>
      </c>
      <c r="D1" s="23" t="s">
        <v>13</v>
      </c>
      <c r="E1" s="23" t="s">
        <v>308</v>
      </c>
      <c r="F1" s="23" t="s">
        <v>21</v>
      </c>
      <c r="G1" s="23" t="s">
        <v>10</v>
      </c>
      <c r="H1" s="23" t="s">
        <v>291</v>
      </c>
      <c r="I1" s="23" t="s">
        <v>293</v>
      </c>
      <c r="J1" s="27">
        <v>57</v>
      </c>
      <c r="K1" s="27">
        <v>61</v>
      </c>
      <c r="L1" s="27">
        <v>59</v>
      </c>
      <c r="M1" s="27">
        <v>56</v>
      </c>
      <c r="N1" s="27" t="s">
        <v>292</v>
      </c>
      <c r="O1" s="27" t="s">
        <v>309</v>
      </c>
    </row>
    <row r="2" spans="1:15" ht="12" x14ac:dyDescent="0.2">
      <c r="A2" s="22" t="s">
        <v>92</v>
      </c>
      <c r="B2" s="22" t="s">
        <v>94</v>
      </c>
      <c r="C2" s="22" t="s">
        <v>95</v>
      </c>
      <c r="D2" s="22" t="s">
        <v>38</v>
      </c>
      <c r="E2" s="22" t="s">
        <v>53</v>
      </c>
      <c r="F2" s="22" t="s">
        <v>98</v>
      </c>
      <c r="G2" s="22" t="s">
        <v>96</v>
      </c>
      <c r="H2" s="22">
        <v>1194</v>
      </c>
      <c r="I2" s="26" t="s">
        <v>295</v>
      </c>
      <c r="J2" s="28">
        <v>6</v>
      </c>
      <c r="K2" s="28" t="s">
        <v>307</v>
      </c>
      <c r="L2" s="28" t="s">
        <v>307</v>
      </c>
      <c r="M2" s="28" t="s">
        <v>307</v>
      </c>
      <c r="N2" s="28" t="s">
        <v>307</v>
      </c>
      <c r="O2" s="28">
        <f t="shared" ref="O2:O33" si="0">COUNTIF(A:A,A2)</f>
        <v>1</v>
      </c>
    </row>
    <row r="3" spans="1:15" ht="12" x14ac:dyDescent="0.2">
      <c r="A3" s="22" t="s">
        <v>101</v>
      </c>
      <c r="B3" s="22" t="s">
        <v>94</v>
      </c>
      <c r="C3" s="22" t="s">
        <v>95</v>
      </c>
      <c r="D3" s="22" t="s">
        <v>38</v>
      </c>
      <c r="E3" s="22" t="s">
        <v>53</v>
      </c>
      <c r="F3" s="22" t="s">
        <v>103</v>
      </c>
      <c r="G3" s="22" t="s">
        <v>102</v>
      </c>
      <c r="H3" s="22">
        <v>1194</v>
      </c>
      <c r="I3" s="26" t="s">
        <v>296</v>
      </c>
      <c r="J3" s="28">
        <v>3</v>
      </c>
      <c r="K3" s="28" t="s">
        <v>307</v>
      </c>
      <c r="L3" s="28" t="s">
        <v>307</v>
      </c>
      <c r="M3" s="28" t="s">
        <v>307</v>
      </c>
      <c r="N3" s="28" t="s">
        <v>307</v>
      </c>
      <c r="O3" s="28">
        <f t="shared" si="0"/>
        <v>1</v>
      </c>
    </row>
    <row r="4" spans="1:15" ht="12" x14ac:dyDescent="0.2">
      <c r="A4" s="22" t="s">
        <v>209</v>
      </c>
      <c r="B4" s="22" t="s">
        <v>94</v>
      </c>
      <c r="C4" s="22" t="s">
        <v>210</v>
      </c>
      <c r="D4" s="22" t="s">
        <v>38</v>
      </c>
      <c r="E4" s="22" t="s">
        <v>211</v>
      </c>
      <c r="F4" s="22" t="s">
        <v>212</v>
      </c>
      <c r="G4" s="22" t="s">
        <v>71</v>
      </c>
      <c r="H4" s="22">
        <v>1511.37</v>
      </c>
      <c r="I4" s="26" t="s">
        <v>295</v>
      </c>
      <c r="J4" s="28">
        <v>4</v>
      </c>
      <c r="K4" s="28">
        <v>1</v>
      </c>
      <c r="L4" s="28" t="s">
        <v>307</v>
      </c>
      <c r="M4" s="28" t="s">
        <v>307</v>
      </c>
      <c r="N4" s="28" t="s">
        <v>307</v>
      </c>
      <c r="O4" s="28">
        <f t="shared" si="0"/>
        <v>1</v>
      </c>
    </row>
    <row r="5" spans="1:15" ht="12" x14ac:dyDescent="0.2">
      <c r="A5" s="22" t="s">
        <v>214</v>
      </c>
      <c r="B5" s="22" t="s">
        <v>94</v>
      </c>
      <c r="C5" s="22" t="s">
        <v>215</v>
      </c>
      <c r="D5" s="22" t="s">
        <v>311</v>
      </c>
      <c r="E5" s="22" t="s">
        <v>53</v>
      </c>
      <c r="F5" s="22" t="s">
        <v>103</v>
      </c>
      <c r="G5" s="22" t="s">
        <v>71</v>
      </c>
      <c r="H5" s="22">
        <v>1259.3699999999999</v>
      </c>
      <c r="I5" s="26" t="s">
        <v>295</v>
      </c>
      <c r="J5" s="28">
        <v>6</v>
      </c>
      <c r="K5" s="28">
        <v>3</v>
      </c>
      <c r="L5" s="28" t="s">
        <v>307</v>
      </c>
      <c r="M5" s="28" t="s">
        <v>307</v>
      </c>
      <c r="N5" s="28" t="s">
        <v>307</v>
      </c>
      <c r="O5" s="28">
        <f t="shared" si="0"/>
        <v>1</v>
      </c>
    </row>
    <row r="6" spans="1:15" ht="12" x14ac:dyDescent="0.2">
      <c r="A6" s="22" t="s">
        <v>219</v>
      </c>
      <c r="B6" s="22" t="s">
        <v>94</v>
      </c>
      <c r="C6" s="22" t="s">
        <v>221</v>
      </c>
      <c r="D6" s="22" t="s">
        <v>312</v>
      </c>
      <c r="E6" s="22" t="s">
        <v>53</v>
      </c>
      <c r="F6" s="22" t="s">
        <v>103</v>
      </c>
      <c r="G6" s="22" t="s">
        <v>96</v>
      </c>
      <c r="H6" s="22">
        <v>1316.7</v>
      </c>
      <c r="I6" s="26" t="s">
        <v>295</v>
      </c>
      <c r="J6" s="28">
        <v>6</v>
      </c>
      <c r="K6" s="28" t="s">
        <v>307</v>
      </c>
      <c r="L6" s="28" t="s">
        <v>307</v>
      </c>
      <c r="M6" s="28" t="s">
        <v>307</v>
      </c>
      <c r="N6" s="28" t="s">
        <v>307</v>
      </c>
      <c r="O6" s="28">
        <f t="shared" si="0"/>
        <v>1</v>
      </c>
    </row>
    <row r="7" spans="1:15" ht="12" x14ac:dyDescent="0.2">
      <c r="A7" s="22" t="s">
        <v>105</v>
      </c>
      <c r="B7" s="22" t="s">
        <v>106</v>
      </c>
      <c r="C7" s="22" t="s">
        <v>107</v>
      </c>
      <c r="D7" s="22" t="s">
        <v>38</v>
      </c>
      <c r="E7" s="22" t="s">
        <v>53</v>
      </c>
      <c r="F7" s="22" t="s">
        <v>108</v>
      </c>
      <c r="G7" s="22" t="s">
        <v>35</v>
      </c>
      <c r="H7" s="22">
        <v>1316.7</v>
      </c>
      <c r="I7" s="26" t="s">
        <v>297</v>
      </c>
      <c r="J7" s="28">
        <v>3</v>
      </c>
      <c r="K7" s="28">
        <v>1</v>
      </c>
      <c r="L7" s="28" t="s">
        <v>307</v>
      </c>
      <c r="M7" s="28" t="s">
        <v>307</v>
      </c>
      <c r="N7" s="28" t="s">
        <v>307</v>
      </c>
      <c r="O7" s="28">
        <f t="shared" si="0"/>
        <v>1</v>
      </c>
    </row>
    <row r="8" spans="1:15" ht="12" x14ac:dyDescent="0.2">
      <c r="A8" s="22" t="s">
        <v>146</v>
      </c>
      <c r="B8" s="22" t="s">
        <v>106</v>
      </c>
      <c r="C8" s="22" t="s">
        <v>147</v>
      </c>
      <c r="D8" s="22" t="s">
        <v>52</v>
      </c>
      <c r="E8" s="22" t="s">
        <v>53</v>
      </c>
      <c r="F8" s="22" t="s">
        <v>149</v>
      </c>
      <c r="G8" s="22" t="s">
        <v>148</v>
      </c>
      <c r="H8" s="22">
        <v>1316.7</v>
      </c>
      <c r="I8" s="26" t="s">
        <v>297</v>
      </c>
      <c r="J8" s="28">
        <v>3</v>
      </c>
      <c r="K8" s="28" t="s">
        <v>307</v>
      </c>
      <c r="L8" s="28" t="s">
        <v>307</v>
      </c>
      <c r="M8" s="28" t="s">
        <v>307</v>
      </c>
      <c r="N8" s="28" t="s">
        <v>307</v>
      </c>
      <c r="O8" s="28">
        <f t="shared" si="0"/>
        <v>1</v>
      </c>
    </row>
    <row r="9" spans="1:15" ht="12" x14ac:dyDescent="0.2">
      <c r="A9" s="22" t="s">
        <v>152</v>
      </c>
      <c r="B9" s="22" t="s">
        <v>106</v>
      </c>
      <c r="C9" s="22" t="s">
        <v>147</v>
      </c>
      <c r="D9" s="22" t="s">
        <v>52</v>
      </c>
      <c r="E9" s="22" t="s">
        <v>53</v>
      </c>
      <c r="F9" s="22" t="s">
        <v>154</v>
      </c>
      <c r="G9" s="22" t="s">
        <v>153</v>
      </c>
      <c r="H9" s="22">
        <v>1316.7</v>
      </c>
      <c r="I9" s="26" t="s">
        <v>295</v>
      </c>
      <c r="J9" s="28">
        <v>4</v>
      </c>
      <c r="K9" s="28">
        <v>2</v>
      </c>
      <c r="L9" s="28" t="s">
        <v>307</v>
      </c>
      <c r="M9" s="28" t="s">
        <v>307</v>
      </c>
      <c r="N9" s="28" t="s">
        <v>307</v>
      </c>
      <c r="O9" s="28">
        <f t="shared" si="0"/>
        <v>1</v>
      </c>
    </row>
    <row r="10" spans="1:15" ht="12" x14ac:dyDescent="0.2">
      <c r="A10" s="22" t="s">
        <v>156</v>
      </c>
      <c r="B10" s="22" t="s">
        <v>106</v>
      </c>
      <c r="C10" s="22" t="s">
        <v>107</v>
      </c>
      <c r="D10" s="22" t="s">
        <v>52</v>
      </c>
      <c r="E10" s="22" t="s">
        <v>53</v>
      </c>
      <c r="F10" s="22" t="s">
        <v>118</v>
      </c>
      <c r="G10" s="22" t="s">
        <v>96</v>
      </c>
      <c r="H10" s="22">
        <v>938.7</v>
      </c>
      <c r="I10" s="26" t="s">
        <v>295</v>
      </c>
      <c r="J10" s="28">
        <v>4</v>
      </c>
      <c r="K10" s="28">
        <v>2</v>
      </c>
      <c r="L10" s="28" t="s">
        <v>307</v>
      </c>
      <c r="M10" s="28" t="s">
        <v>307</v>
      </c>
      <c r="N10" s="28" t="s">
        <v>307</v>
      </c>
      <c r="O10" s="28">
        <f t="shared" si="0"/>
        <v>1</v>
      </c>
    </row>
    <row r="11" spans="1:15" ht="12" x14ac:dyDescent="0.2">
      <c r="A11" s="22" t="s">
        <v>159</v>
      </c>
      <c r="B11" s="22" t="s">
        <v>106</v>
      </c>
      <c r="C11" s="22" t="s">
        <v>160</v>
      </c>
      <c r="D11" s="22" t="s">
        <v>38</v>
      </c>
      <c r="E11" s="22" t="s">
        <v>53</v>
      </c>
      <c r="F11" s="22" t="s">
        <v>162</v>
      </c>
      <c r="G11" s="22" t="s">
        <v>45</v>
      </c>
      <c r="H11" s="22">
        <v>1316.7</v>
      </c>
      <c r="I11" s="26" t="s">
        <v>295</v>
      </c>
      <c r="J11" s="28">
        <v>4</v>
      </c>
      <c r="K11" s="28">
        <v>2</v>
      </c>
      <c r="L11" s="28" t="s">
        <v>307</v>
      </c>
      <c r="M11" s="28" t="s">
        <v>307</v>
      </c>
      <c r="N11" s="28" t="s">
        <v>307</v>
      </c>
      <c r="O11" s="28">
        <f t="shared" si="0"/>
        <v>1</v>
      </c>
    </row>
    <row r="12" spans="1:15" ht="12" x14ac:dyDescent="0.2">
      <c r="A12" s="22" t="s">
        <v>201</v>
      </c>
      <c r="B12" s="22" t="s">
        <v>106</v>
      </c>
      <c r="C12" s="22" t="s">
        <v>202</v>
      </c>
      <c r="D12" s="22" t="s">
        <v>316</v>
      </c>
      <c r="E12" s="22" t="s">
        <v>53</v>
      </c>
      <c r="F12" s="22" t="s">
        <v>205</v>
      </c>
      <c r="G12" s="22" t="s">
        <v>35</v>
      </c>
      <c r="H12" s="22">
        <v>1439.4</v>
      </c>
      <c r="I12" s="26" t="s">
        <v>298</v>
      </c>
      <c r="J12" s="28" t="s">
        <v>307</v>
      </c>
      <c r="K12" s="28" t="s">
        <v>307</v>
      </c>
      <c r="L12" s="28">
        <v>3</v>
      </c>
      <c r="M12" s="28" t="s">
        <v>307</v>
      </c>
      <c r="N12" s="28" t="s">
        <v>307</v>
      </c>
      <c r="O12" s="28">
        <f t="shared" si="0"/>
        <v>1</v>
      </c>
    </row>
    <row r="13" spans="1:15" ht="12" x14ac:dyDescent="0.2">
      <c r="A13" s="22">
        <v>2126901</v>
      </c>
      <c r="B13" s="22" t="s">
        <v>33</v>
      </c>
      <c r="C13" s="22" t="s">
        <v>34</v>
      </c>
      <c r="D13" s="22" t="s">
        <v>38</v>
      </c>
      <c r="E13" s="22" t="s">
        <v>40</v>
      </c>
      <c r="F13" s="22" t="s">
        <v>41</v>
      </c>
      <c r="G13" s="22" t="s">
        <v>35</v>
      </c>
      <c r="H13" s="22">
        <v>1439.4</v>
      </c>
      <c r="I13" s="26" t="s">
        <v>299</v>
      </c>
      <c r="J13" s="28" t="s">
        <v>307</v>
      </c>
      <c r="K13" s="28" t="s">
        <v>307</v>
      </c>
      <c r="L13" s="28">
        <v>2</v>
      </c>
      <c r="M13" s="28" t="s">
        <v>307</v>
      </c>
      <c r="N13" s="28" t="s">
        <v>307</v>
      </c>
      <c r="O13" s="28">
        <f t="shared" si="0"/>
        <v>1</v>
      </c>
    </row>
    <row r="14" spans="1:15" ht="12" x14ac:dyDescent="0.2">
      <c r="A14" s="22">
        <v>2126907</v>
      </c>
      <c r="B14" s="22" t="s">
        <v>33</v>
      </c>
      <c r="C14" s="22" t="s">
        <v>34</v>
      </c>
      <c r="D14" s="22" t="s">
        <v>38</v>
      </c>
      <c r="E14" s="22" t="s">
        <v>40</v>
      </c>
      <c r="F14" s="22" t="s">
        <v>46</v>
      </c>
      <c r="G14" s="22" t="s">
        <v>45</v>
      </c>
      <c r="H14" s="22">
        <v>1259.3699999999999</v>
      </c>
      <c r="I14" s="26" t="s">
        <v>295</v>
      </c>
      <c r="J14" s="28">
        <v>4</v>
      </c>
      <c r="K14" s="28" t="s">
        <v>307</v>
      </c>
      <c r="L14" s="28" t="s">
        <v>307</v>
      </c>
      <c r="M14" s="28" t="s">
        <v>307</v>
      </c>
      <c r="N14" s="28" t="s">
        <v>307</v>
      </c>
      <c r="O14" s="28">
        <f t="shared" si="0"/>
        <v>1</v>
      </c>
    </row>
    <row r="15" spans="1:15" ht="12" x14ac:dyDescent="0.2">
      <c r="A15" s="22">
        <v>2241674</v>
      </c>
      <c r="B15" s="22" t="s">
        <v>33</v>
      </c>
      <c r="C15" s="22" t="s">
        <v>127</v>
      </c>
      <c r="D15" s="22" t="s">
        <v>52</v>
      </c>
      <c r="E15" s="22" t="s">
        <v>130</v>
      </c>
      <c r="F15" s="22" t="s">
        <v>131</v>
      </c>
      <c r="G15" s="22" t="s">
        <v>35</v>
      </c>
      <c r="H15" s="22">
        <v>1259.3699999999999</v>
      </c>
      <c r="I15" s="26" t="s">
        <v>295</v>
      </c>
      <c r="J15" s="28">
        <v>6</v>
      </c>
      <c r="K15" s="28">
        <v>1</v>
      </c>
      <c r="L15" s="28" t="s">
        <v>307</v>
      </c>
      <c r="M15" s="28" t="s">
        <v>307</v>
      </c>
      <c r="N15" s="28" t="s">
        <v>307</v>
      </c>
      <c r="O15" s="28">
        <f t="shared" si="0"/>
        <v>1</v>
      </c>
    </row>
    <row r="16" spans="1:15" ht="12" x14ac:dyDescent="0.2">
      <c r="A16" s="22">
        <v>2344502</v>
      </c>
      <c r="B16" s="22" t="s">
        <v>33</v>
      </c>
      <c r="C16" s="22" t="s">
        <v>134</v>
      </c>
      <c r="D16" s="22" t="s">
        <v>38</v>
      </c>
      <c r="E16" s="22" t="s">
        <v>53</v>
      </c>
      <c r="F16" s="22" t="s">
        <v>135</v>
      </c>
      <c r="G16" s="22" t="s">
        <v>35</v>
      </c>
      <c r="H16" s="22">
        <v>1316.7</v>
      </c>
      <c r="I16" s="26" t="s">
        <v>295</v>
      </c>
      <c r="J16" s="28">
        <v>2</v>
      </c>
      <c r="K16" s="28">
        <v>2</v>
      </c>
      <c r="L16" s="28" t="s">
        <v>307</v>
      </c>
      <c r="M16" s="28" t="s">
        <v>307</v>
      </c>
      <c r="N16" s="28" t="s">
        <v>307</v>
      </c>
      <c r="O16" s="28">
        <f t="shared" si="0"/>
        <v>1</v>
      </c>
    </row>
    <row r="17" spans="1:15" ht="12" x14ac:dyDescent="0.2">
      <c r="A17" s="22">
        <v>2353501</v>
      </c>
      <c r="B17" s="22" t="s">
        <v>33</v>
      </c>
      <c r="C17" s="22" t="s">
        <v>138</v>
      </c>
      <c r="D17" s="22" t="s">
        <v>52</v>
      </c>
      <c r="E17" s="22" t="s">
        <v>53</v>
      </c>
      <c r="F17" s="22" t="s">
        <v>135</v>
      </c>
      <c r="G17" s="22" t="s">
        <v>35</v>
      </c>
      <c r="H17" s="22">
        <v>1820.7</v>
      </c>
      <c r="I17" s="26" t="s">
        <v>295</v>
      </c>
      <c r="J17" s="28">
        <v>3</v>
      </c>
      <c r="K17" s="28">
        <v>1</v>
      </c>
      <c r="L17" s="28" t="s">
        <v>307</v>
      </c>
      <c r="M17" s="28" t="s">
        <v>307</v>
      </c>
      <c r="N17" s="28" t="s">
        <v>307</v>
      </c>
      <c r="O17" s="28">
        <f t="shared" si="0"/>
        <v>1</v>
      </c>
    </row>
    <row r="18" spans="1:15" ht="12" x14ac:dyDescent="0.2">
      <c r="A18" s="22">
        <v>2359301</v>
      </c>
      <c r="B18" s="22" t="s">
        <v>33</v>
      </c>
      <c r="C18" s="22" t="s">
        <v>141</v>
      </c>
      <c r="D18" s="22" t="s">
        <v>142</v>
      </c>
      <c r="E18" s="22" t="s">
        <v>40</v>
      </c>
      <c r="F18" s="22" t="s">
        <v>143</v>
      </c>
      <c r="G18" s="22" t="s">
        <v>35</v>
      </c>
      <c r="H18" s="22">
        <v>894</v>
      </c>
      <c r="I18" s="26" t="s">
        <v>295</v>
      </c>
      <c r="J18" s="28" t="s">
        <v>307</v>
      </c>
      <c r="K18" s="28" t="s">
        <v>307</v>
      </c>
      <c r="L18" s="28" t="s">
        <v>307</v>
      </c>
      <c r="M18" s="28" t="s">
        <v>307</v>
      </c>
      <c r="N18" s="28">
        <v>3</v>
      </c>
      <c r="O18" s="28">
        <f t="shared" si="0"/>
        <v>1</v>
      </c>
    </row>
    <row r="19" spans="1:15" ht="12" x14ac:dyDescent="0.2">
      <c r="A19" s="22">
        <v>2241675</v>
      </c>
      <c r="B19" s="22" t="s">
        <v>33</v>
      </c>
      <c r="C19" s="22" t="s">
        <v>127</v>
      </c>
      <c r="D19" s="22" t="s">
        <v>52</v>
      </c>
      <c r="E19" s="22" t="s">
        <v>130</v>
      </c>
      <c r="F19" s="22" t="s">
        <v>131</v>
      </c>
      <c r="G19" s="22" t="s">
        <v>71</v>
      </c>
      <c r="H19" s="22">
        <v>1674</v>
      </c>
      <c r="I19" s="26" t="s">
        <v>295</v>
      </c>
      <c r="J19" s="28" t="s">
        <v>307</v>
      </c>
      <c r="K19" s="28" t="s">
        <v>307</v>
      </c>
      <c r="L19" s="28" t="s">
        <v>307</v>
      </c>
      <c r="M19" s="28" t="s">
        <v>307</v>
      </c>
      <c r="N19" s="28">
        <v>6</v>
      </c>
      <c r="O19" s="28">
        <f t="shared" si="0"/>
        <v>1</v>
      </c>
    </row>
    <row r="20" spans="1:15" ht="12" x14ac:dyDescent="0.2">
      <c r="A20" s="22">
        <v>2241678</v>
      </c>
      <c r="B20" s="22" t="s">
        <v>33</v>
      </c>
      <c r="C20" s="22" t="s">
        <v>127</v>
      </c>
      <c r="D20" s="22" t="s">
        <v>52</v>
      </c>
      <c r="E20" s="22" t="s">
        <v>130</v>
      </c>
      <c r="F20" s="22" t="s">
        <v>131</v>
      </c>
      <c r="G20" s="22" t="s">
        <v>148</v>
      </c>
      <c r="H20" s="22">
        <v>1434</v>
      </c>
      <c r="I20" s="26" t="s">
        <v>295</v>
      </c>
      <c r="J20" s="28" t="s">
        <v>307</v>
      </c>
      <c r="K20" s="28" t="s">
        <v>307</v>
      </c>
      <c r="L20" s="28" t="s">
        <v>307</v>
      </c>
      <c r="M20" s="28" t="s">
        <v>307</v>
      </c>
      <c r="N20" s="28">
        <v>5</v>
      </c>
      <c r="O20" s="28">
        <f t="shared" si="0"/>
        <v>1</v>
      </c>
    </row>
    <row r="21" spans="1:15" ht="12" x14ac:dyDescent="0.2">
      <c r="A21" s="22">
        <v>2241679</v>
      </c>
      <c r="B21" s="22" t="s">
        <v>33</v>
      </c>
      <c r="C21" s="22" t="s">
        <v>127</v>
      </c>
      <c r="D21" s="22" t="s">
        <v>52</v>
      </c>
      <c r="E21" s="22" t="s">
        <v>130</v>
      </c>
      <c r="F21" s="22" t="s">
        <v>131</v>
      </c>
      <c r="G21" s="22" t="s">
        <v>173</v>
      </c>
      <c r="H21" s="22">
        <v>2094</v>
      </c>
      <c r="I21" s="26" t="s">
        <v>295</v>
      </c>
      <c r="J21" s="28" t="s">
        <v>307</v>
      </c>
      <c r="K21" s="28" t="s">
        <v>307</v>
      </c>
      <c r="L21" s="28" t="s">
        <v>307</v>
      </c>
      <c r="M21" s="28" t="s">
        <v>307</v>
      </c>
      <c r="N21" s="28">
        <v>3</v>
      </c>
      <c r="O21" s="28">
        <f t="shared" si="0"/>
        <v>1</v>
      </c>
    </row>
    <row r="22" spans="1:15" ht="12" x14ac:dyDescent="0.2">
      <c r="A22" s="22">
        <v>2255417</v>
      </c>
      <c r="B22" s="22" t="s">
        <v>33</v>
      </c>
      <c r="C22" s="22" t="s">
        <v>229</v>
      </c>
      <c r="D22" s="22" t="s">
        <v>52</v>
      </c>
      <c r="E22" s="22" t="s">
        <v>130</v>
      </c>
      <c r="F22" s="22" t="s">
        <v>131</v>
      </c>
      <c r="G22" s="22" t="s">
        <v>45</v>
      </c>
      <c r="H22" s="22">
        <v>1259.3699999999999</v>
      </c>
      <c r="I22" s="26" t="s">
        <v>300</v>
      </c>
      <c r="J22" s="28">
        <v>2</v>
      </c>
      <c r="K22" s="28" t="s">
        <v>307</v>
      </c>
      <c r="L22" s="28" t="s">
        <v>307</v>
      </c>
      <c r="M22" s="28" t="s">
        <v>307</v>
      </c>
      <c r="N22" s="28" t="s">
        <v>307</v>
      </c>
      <c r="O22" s="28">
        <f t="shared" si="0"/>
        <v>1</v>
      </c>
    </row>
    <row r="23" spans="1:15" ht="12" x14ac:dyDescent="0.2">
      <c r="A23" s="22">
        <v>2342801</v>
      </c>
      <c r="B23" s="22" t="s">
        <v>33</v>
      </c>
      <c r="C23" s="22" t="s">
        <v>232</v>
      </c>
      <c r="D23" s="22" t="s">
        <v>38</v>
      </c>
      <c r="E23" s="22" t="s">
        <v>53</v>
      </c>
      <c r="F23" s="22" t="s">
        <v>135</v>
      </c>
      <c r="G23" s="22" t="s">
        <v>35</v>
      </c>
      <c r="H23" s="22">
        <v>1259.3699999999999</v>
      </c>
      <c r="I23" s="26" t="s">
        <v>301</v>
      </c>
      <c r="J23" s="28">
        <v>2</v>
      </c>
      <c r="K23" s="28" t="s">
        <v>307</v>
      </c>
      <c r="L23" s="28" t="s">
        <v>307</v>
      </c>
      <c r="M23" s="28" t="s">
        <v>307</v>
      </c>
      <c r="N23" s="28" t="s">
        <v>307</v>
      </c>
      <c r="O23" s="28">
        <f t="shared" si="0"/>
        <v>1</v>
      </c>
    </row>
    <row r="24" spans="1:15" ht="12" x14ac:dyDescent="0.2">
      <c r="A24" s="22">
        <v>2343801</v>
      </c>
      <c r="B24" s="22" t="s">
        <v>33</v>
      </c>
      <c r="C24" s="22" t="s">
        <v>235</v>
      </c>
      <c r="D24" s="22" t="s">
        <v>313</v>
      </c>
      <c r="E24" s="22" t="s">
        <v>53</v>
      </c>
      <c r="F24" s="22" t="s">
        <v>135</v>
      </c>
      <c r="G24" s="22" t="s">
        <v>35</v>
      </c>
      <c r="H24" s="22">
        <v>1259.3699999999999</v>
      </c>
      <c r="I24" s="26" t="s">
        <v>298</v>
      </c>
      <c r="J24" s="28">
        <v>2</v>
      </c>
      <c r="K24" s="28" t="s">
        <v>307</v>
      </c>
      <c r="L24" s="28" t="s">
        <v>307</v>
      </c>
      <c r="M24" s="28" t="s">
        <v>307</v>
      </c>
      <c r="N24" s="28" t="s">
        <v>307</v>
      </c>
      <c r="O24" s="28">
        <f t="shared" si="0"/>
        <v>1</v>
      </c>
    </row>
    <row r="25" spans="1:15" ht="12" x14ac:dyDescent="0.2">
      <c r="A25" s="22">
        <v>2343805</v>
      </c>
      <c r="B25" s="22" t="s">
        <v>33</v>
      </c>
      <c r="C25" s="22" t="s">
        <v>235</v>
      </c>
      <c r="D25" s="22" t="s">
        <v>315</v>
      </c>
      <c r="E25" s="22" t="s">
        <v>53</v>
      </c>
      <c r="F25" s="22" t="s">
        <v>135</v>
      </c>
      <c r="G25" s="22" t="s">
        <v>148</v>
      </c>
      <c r="H25" s="22">
        <v>1889.37</v>
      </c>
      <c r="I25" s="26" t="s">
        <v>296</v>
      </c>
      <c r="J25" s="28">
        <v>2</v>
      </c>
      <c r="K25" s="28" t="s">
        <v>307</v>
      </c>
      <c r="L25" s="28" t="s">
        <v>307</v>
      </c>
      <c r="M25" s="28" t="s">
        <v>307</v>
      </c>
      <c r="N25" s="28" t="s">
        <v>307</v>
      </c>
      <c r="O25" s="28">
        <f t="shared" si="0"/>
        <v>1</v>
      </c>
    </row>
    <row r="26" spans="1:15" ht="12" x14ac:dyDescent="0.2">
      <c r="A26" s="22">
        <v>2366901</v>
      </c>
      <c r="B26" s="22" t="s">
        <v>33</v>
      </c>
      <c r="C26" s="22" t="s">
        <v>241</v>
      </c>
      <c r="D26" s="22" t="s">
        <v>52</v>
      </c>
      <c r="E26" s="22" t="s">
        <v>130</v>
      </c>
      <c r="F26" s="22" t="s">
        <v>131</v>
      </c>
      <c r="G26" s="22" t="s">
        <v>35</v>
      </c>
      <c r="H26" s="22">
        <v>1511.37</v>
      </c>
      <c r="I26" s="26" t="s">
        <v>300</v>
      </c>
      <c r="J26" s="28">
        <v>3</v>
      </c>
      <c r="K26" s="28" t="s">
        <v>307</v>
      </c>
      <c r="L26" s="28" t="s">
        <v>307</v>
      </c>
      <c r="M26" s="28" t="s">
        <v>307</v>
      </c>
      <c r="N26" s="28" t="s">
        <v>307</v>
      </c>
      <c r="O26" s="28">
        <f t="shared" si="0"/>
        <v>1</v>
      </c>
    </row>
    <row r="27" spans="1:15" ht="12" x14ac:dyDescent="0.2">
      <c r="A27" s="22">
        <v>2367503</v>
      </c>
      <c r="B27" s="22" t="s">
        <v>33</v>
      </c>
      <c r="C27" s="22" t="s">
        <v>244</v>
      </c>
      <c r="D27" s="22" t="s">
        <v>38</v>
      </c>
      <c r="E27" s="22" t="s">
        <v>53</v>
      </c>
      <c r="F27" s="22" t="s">
        <v>135</v>
      </c>
      <c r="G27" s="22" t="s">
        <v>96</v>
      </c>
      <c r="H27" s="22">
        <v>1511.37</v>
      </c>
      <c r="I27" s="26" t="s">
        <v>295</v>
      </c>
      <c r="J27" s="28">
        <v>3</v>
      </c>
      <c r="K27" s="28" t="s">
        <v>307</v>
      </c>
      <c r="L27" s="28" t="s">
        <v>307</v>
      </c>
      <c r="M27" s="28" t="s">
        <v>307</v>
      </c>
      <c r="N27" s="28" t="s">
        <v>307</v>
      </c>
      <c r="O27" s="28">
        <f t="shared" si="0"/>
        <v>1</v>
      </c>
    </row>
    <row r="28" spans="1:15" ht="12" x14ac:dyDescent="0.2">
      <c r="A28" s="22">
        <v>2371104</v>
      </c>
      <c r="B28" s="22" t="s">
        <v>33</v>
      </c>
      <c r="C28" s="22" t="s">
        <v>247</v>
      </c>
      <c r="D28" s="22" t="s">
        <v>38</v>
      </c>
      <c r="E28" s="22" t="s">
        <v>53</v>
      </c>
      <c r="F28" s="22" t="s">
        <v>135</v>
      </c>
      <c r="G28" s="22" t="s">
        <v>96</v>
      </c>
      <c r="H28" s="22">
        <v>1511.37</v>
      </c>
      <c r="I28" s="26" t="s">
        <v>302</v>
      </c>
      <c r="J28" s="28">
        <v>3</v>
      </c>
      <c r="K28" s="28" t="s">
        <v>307</v>
      </c>
      <c r="L28" s="28" t="s">
        <v>307</v>
      </c>
      <c r="M28" s="28">
        <v>1</v>
      </c>
      <c r="N28" s="28" t="s">
        <v>307</v>
      </c>
      <c r="O28" s="28">
        <f t="shared" si="0"/>
        <v>1</v>
      </c>
    </row>
    <row r="29" spans="1:15" ht="12" x14ac:dyDescent="0.2">
      <c r="A29" s="22">
        <v>2241685</v>
      </c>
      <c r="B29" s="22" t="s">
        <v>33</v>
      </c>
      <c r="C29" s="22" t="s">
        <v>127</v>
      </c>
      <c r="D29" s="22" t="s">
        <v>314</v>
      </c>
      <c r="E29" s="22" t="s">
        <v>130</v>
      </c>
      <c r="F29" s="22" t="s">
        <v>131</v>
      </c>
      <c r="G29" s="22" t="s">
        <v>71</v>
      </c>
      <c r="H29" s="22">
        <v>1889.37</v>
      </c>
      <c r="I29" s="26" t="s">
        <v>295</v>
      </c>
      <c r="J29" s="28">
        <v>3</v>
      </c>
      <c r="K29" s="28">
        <v>1</v>
      </c>
      <c r="L29" s="28" t="s">
        <v>307</v>
      </c>
      <c r="M29" s="28" t="s">
        <v>307</v>
      </c>
      <c r="N29" s="28" t="s">
        <v>307</v>
      </c>
      <c r="O29" s="28">
        <f t="shared" si="0"/>
        <v>1</v>
      </c>
    </row>
    <row r="30" spans="1:15" ht="12" x14ac:dyDescent="0.2">
      <c r="A30" s="22">
        <v>2375801</v>
      </c>
      <c r="B30" s="22" t="s">
        <v>33</v>
      </c>
      <c r="C30" s="22" t="s">
        <v>254</v>
      </c>
      <c r="D30" s="22" t="s">
        <v>52</v>
      </c>
      <c r="E30" s="22" t="s">
        <v>40</v>
      </c>
      <c r="F30" s="22" t="s">
        <v>143</v>
      </c>
      <c r="G30" s="22" t="s">
        <v>35</v>
      </c>
      <c r="H30" s="22">
        <v>1259.3699999999999</v>
      </c>
      <c r="I30" s="26" t="s">
        <v>296</v>
      </c>
      <c r="J30" s="28">
        <v>3</v>
      </c>
      <c r="K30" s="28">
        <v>1</v>
      </c>
      <c r="L30" s="28" t="s">
        <v>307</v>
      </c>
      <c r="M30" s="28" t="s">
        <v>307</v>
      </c>
      <c r="N30" s="28" t="s">
        <v>307</v>
      </c>
      <c r="O30" s="28">
        <f t="shared" si="0"/>
        <v>1</v>
      </c>
    </row>
    <row r="31" spans="1:15" ht="12" x14ac:dyDescent="0.2">
      <c r="A31" s="22">
        <v>2390901</v>
      </c>
      <c r="B31" s="22" t="s">
        <v>33</v>
      </c>
      <c r="C31" s="22" t="s">
        <v>310</v>
      </c>
      <c r="D31" s="22" t="s">
        <v>142</v>
      </c>
      <c r="E31" s="22" t="s">
        <v>53</v>
      </c>
      <c r="F31" s="22" t="s">
        <v>265</v>
      </c>
      <c r="G31" s="22" t="s">
        <v>35</v>
      </c>
      <c r="H31" s="22">
        <v>1259.3699999999999</v>
      </c>
      <c r="I31" s="26" t="s">
        <v>303</v>
      </c>
      <c r="J31" s="28">
        <v>2</v>
      </c>
      <c r="K31" s="28" t="s">
        <v>307</v>
      </c>
      <c r="L31" s="28" t="s">
        <v>307</v>
      </c>
      <c r="M31" s="28" t="s">
        <v>307</v>
      </c>
      <c r="N31" s="28" t="s">
        <v>307</v>
      </c>
      <c r="O31" s="28">
        <f t="shared" si="0"/>
        <v>1</v>
      </c>
    </row>
    <row r="32" spans="1:15" ht="12" x14ac:dyDescent="0.2">
      <c r="A32" s="22">
        <v>5291901</v>
      </c>
      <c r="B32" s="22" t="s">
        <v>33</v>
      </c>
      <c r="C32" s="22" t="s">
        <v>127</v>
      </c>
      <c r="D32" s="22" t="s">
        <v>52</v>
      </c>
      <c r="E32" s="22" t="s">
        <v>130</v>
      </c>
      <c r="F32" s="22" t="s">
        <v>277</v>
      </c>
      <c r="G32" s="22" t="s">
        <v>35</v>
      </c>
      <c r="H32" s="22">
        <v>1889.37</v>
      </c>
      <c r="I32" s="26" t="s">
        <v>305</v>
      </c>
      <c r="J32" s="28">
        <v>3</v>
      </c>
      <c r="K32" s="28" t="s">
        <v>307</v>
      </c>
      <c r="L32" s="28" t="s">
        <v>307</v>
      </c>
      <c r="M32" s="28" t="s">
        <v>307</v>
      </c>
      <c r="N32" s="28" t="s">
        <v>307</v>
      </c>
      <c r="O32" s="28">
        <f t="shared" si="0"/>
        <v>1</v>
      </c>
    </row>
    <row r="33" spans="1:15" ht="12" x14ac:dyDescent="0.2">
      <c r="A33" s="22">
        <v>5291902</v>
      </c>
      <c r="B33" s="22" t="s">
        <v>33</v>
      </c>
      <c r="C33" s="22" t="s">
        <v>127</v>
      </c>
      <c r="D33" s="22" t="s">
        <v>52</v>
      </c>
      <c r="E33" s="22" t="s">
        <v>130</v>
      </c>
      <c r="F33" s="22" t="s">
        <v>277</v>
      </c>
      <c r="G33" s="22" t="s">
        <v>71</v>
      </c>
      <c r="H33" s="22">
        <v>1511.37</v>
      </c>
      <c r="I33" s="26" t="s">
        <v>295</v>
      </c>
      <c r="J33" s="28">
        <v>3</v>
      </c>
      <c r="K33" s="28" t="s">
        <v>307</v>
      </c>
      <c r="L33" s="28" t="s">
        <v>307</v>
      </c>
      <c r="M33" s="28" t="s">
        <v>307</v>
      </c>
      <c r="N33" s="28" t="s">
        <v>307</v>
      </c>
      <c r="O33" s="28">
        <f t="shared" si="0"/>
        <v>1</v>
      </c>
    </row>
    <row r="34" spans="1:15" ht="12" x14ac:dyDescent="0.2">
      <c r="A34" s="22" t="s">
        <v>257</v>
      </c>
      <c r="B34" s="22" t="s">
        <v>258</v>
      </c>
      <c r="C34" s="22" t="s">
        <v>259</v>
      </c>
      <c r="D34" s="22" t="s">
        <v>52</v>
      </c>
      <c r="E34" s="22" t="s">
        <v>53</v>
      </c>
      <c r="F34" s="22" t="s">
        <v>262</v>
      </c>
      <c r="G34" s="22" t="s">
        <v>71</v>
      </c>
      <c r="H34" s="22">
        <v>1889.37</v>
      </c>
      <c r="I34" s="26" t="s">
        <v>295</v>
      </c>
      <c r="J34" s="28">
        <v>2</v>
      </c>
      <c r="K34" s="28" t="s">
        <v>307</v>
      </c>
      <c r="L34" s="28" t="s">
        <v>307</v>
      </c>
      <c r="M34" s="28">
        <v>1</v>
      </c>
      <c r="N34" s="28" t="s">
        <v>307</v>
      </c>
      <c r="O34" s="28">
        <f t="shared" ref="O34:O56" si="1">COUNTIF(A:A,A34)</f>
        <v>1</v>
      </c>
    </row>
    <row r="35" spans="1:15" ht="12" x14ac:dyDescent="0.2">
      <c r="A35" s="22" t="s">
        <v>268</v>
      </c>
      <c r="B35" s="22" t="s">
        <v>258</v>
      </c>
      <c r="C35" s="22" t="s">
        <v>269</v>
      </c>
      <c r="D35" s="22" t="s">
        <v>52</v>
      </c>
      <c r="E35" s="22" t="s">
        <v>211</v>
      </c>
      <c r="F35" s="22" t="s">
        <v>262</v>
      </c>
      <c r="G35" s="22" t="s">
        <v>102</v>
      </c>
      <c r="H35" s="22">
        <v>1979.4</v>
      </c>
      <c r="I35" s="26" t="s">
        <v>297</v>
      </c>
      <c r="J35" s="28" t="s">
        <v>307</v>
      </c>
      <c r="K35" s="28" t="s">
        <v>307</v>
      </c>
      <c r="L35" s="28">
        <v>2</v>
      </c>
      <c r="M35" s="28" t="s">
        <v>307</v>
      </c>
      <c r="N35" s="28" t="s">
        <v>307</v>
      </c>
      <c r="O35" s="28">
        <f t="shared" si="1"/>
        <v>1</v>
      </c>
    </row>
    <row r="36" spans="1:15" ht="12" x14ac:dyDescent="0.2">
      <c r="A36" s="22" t="s">
        <v>272</v>
      </c>
      <c r="B36" s="22" t="s">
        <v>258</v>
      </c>
      <c r="C36" s="22" t="s">
        <v>269</v>
      </c>
      <c r="D36" s="22" t="s">
        <v>52</v>
      </c>
      <c r="E36" s="22" t="s">
        <v>53</v>
      </c>
      <c r="F36" s="22" t="s">
        <v>273</v>
      </c>
      <c r="G36" s="22" t="s">
        <v>188</v>
      </c>
      <c r="H36" s="22">
        <v>1379.4</v>
      </c>
      <c r="I36" s="26" t="s">
        <v>297</v>
      </c>
      <c r="J36" s="28" t="s">
        <v>307</v>
      </c>
      <c r="K36" s="28" t="s">
        <v>307</v>
      </c>
      <c r="L36" s="28">
        <v>2</v>
      </c>
      <c r="M36" s="28" t="s">
        <v>307</v>
      </c>
      <c r="N36" s="28" t="s">
        <v>307</v>
      </c>
      <c r="O36" s="28">
        <f t="shared" si="1"/>
        <v>1</v>
      </c>
    </row>
    <row r="37" spans="1:15" ht="12" x14ac:dyDescent="0.2">
      <c r="A37" s="22" t="s">
        <v>275</v>
      </c>
      <c r="B37" s="22" t="s">
        <v>258</v>
      </c>
      <c r="C37" s="22" t="s">
        <v>269</v>
      </c>
      <c r="D37" s="22" t="s">
        <v>52</v>
      </c>
      <c r="E37" s="22" t="s">
        <v>211</v>
      </c>
      <c r="F37" s="22" t="s">
        <v>273</v>
      </c>
      <c r="G37" s="22" t="s">
        <v>294</v>
      </c>
      <c r="H37" s="22">
        <v>1979.4</v>
      </c>
      <c r="I37" s="26" t="s">
        <v>298</v>
      </c>
      <c r="J37" s="28" t="s">
        <v>307</v>
      </c>
      <c r="K37" s="28" t="s">
        <v>307</v>
      </c>
      <c r="L37" s="28" t="s">
        <v>307</v>
      </c>
      <c r="M37" s="28" t="s">
        <v>307</v>
      </c>
      <c r="N37" s="28">
        <v>3</v>
      </c>
      <c r="O37" s="28">
        <f t="shared" si="1"/>
        <v>1</v>
      </c>
    </row>
    <row r="38" spans="1:15" ht="12" x14ac:dyDescent="0.2">
      <c r="A38" s="22" t="s">
        <v>48</v>
      </c>
      <c r="B38" s="22" t="s">
        <v>49</v>
      </c>
      <c r="C38" s="22" t="s">
        <v>166</v>
      </c>
      <c r="D38" s="22" t="s">
        <v>52</v>
      </c>
      <c r="E38" s="22" t="s">
        <v>53</v>
      </c>
      <c r="F38" s="22" t="s">
        <v>54</v>
      </c>
      <c r="G38" s="22" t="s">
        <v>35</v>
      </c>
      <c r="H38" s="22">
        <v>894</v>
      </c>
      <c r="I38" s="26" t="s">
        <v>297</v>
      </c>
      <c r="J38" s="28" t="s">
        <v>307</v>
      </c>
      <c r="K38" s="28" t="s">
        <v>307</v>
      </c>
      <c r="L38" s="28" t="s">
        <v>307</v>
      </c>
      <c r="M38" s="28" t="s">
        <v>307</v>
      </c>
      <c r="N38" s="28">
        <v>3</v>
      </c>
      <c r="O38" s="28">
        <f t="shared" si="1"/>
        <v>1</v>
      </c>
    </row>
    <row r="39" spans="1:15" ht="12" x14ac:dyDescent="0.2">
      <c r="A39" s="22" t="s">
        <v>59</v>
      </c>
      <c r="B39" s="22" t="s">
        <v>49</v>
      </c>
      <c r="C39" s="22" t="s">
        <v>61</v>
      </c>
      <c r="D39" s="22" t="s">
        <v>62</v>
      </c>
      <c r="E39" s="22" t="s">
        <v>53</v>
      </c>
      <c r="F39" s="22" t="s">
        <v>63</v>
      </c>
      <c r="G39" s="22" t="s">
        <v>35</v>
      </c>
      <c r="H39" s="22">
        <v>894</v>
      </c>
      <c r="I39" s="26" t="s">
        <v>300</v>
      </c>
      <c r="J39" s="28" t="s">
        <v>307</v>
      </c>
      <c r="K39" s="28" t="s">
        <v>307</v>
      </c>
      <c r="L39" s="28" t="s">
        <v>307</v>
      </c>
      <c r="M39" s="28" t="s">
        <v>307</v>
      </c>
      <c r="N39" s="28">
        <v>3</v>
      </c>
      <c r="O39" s="28">
        <f t="shared" si="1"/>
        <v>1</v>
      </c>
    </row>
    <row r="40" spans="1:15" ht="12" x14ac:dyDescent="0.2">
      <c r="A40" s="22" t="s">
        <v>66</v>
      </c>
      <c r="B40" s="22" t="s">
        <v>49</v>
      </c>
      <c r="C40" s="22" t="s">
        <v>67</v>
      </c>
      <c r="D40" s="22" t="s">
        <v>52</v>
      </c>
      <c r="E40" s="22" t="s">
        <v>53</v>
      </c>
      <c r="F40" s="22" t="s">
        <v>54</v>
      </c>
      <c r="G40" s="22" t="s">
        <v>35</v>
      </c>
      <c r="H40" s="22">
        <v>894</v>
      </c>
      <c r="I40" s="26" t="s">
        <v>302</v>
      </c>
      <c r="J40" s="28" t="s">
        <v>307</v>
      </c>
      <c r="K40" s="28" t="s">
        <v>307</v>
      </c>
      <c r="L40" s="28" t="s">
        <v>307</v>
      </c>
      <c r="M40" s="28" t="s">
        <v>307</v>
      </c>
      <c r="N40" s="28">
        <v>3</v>
      </c>
      <c r="O40" s="28">
        <f t="shared" si="1"/>
        <v>1</v>
      </c>
    </row>
    <row r="41" spans="1:15" ht="12" x14ac:dyDescent="0.2">
      <c r="A41" s="22" t="s">
        <v>70</v>
      </c>
      <c r="B41" s="22" t="s">
        <v>49</v>
      </c>
      <c r="C41" s="22" t="s">
        <v>67</v>
      </c>
      <c r="D41" s="22" t="s">
        <v>52</v>
      </c>
      <c r="E41" s="22" t="s">
        <v>53</v>
      </c>
      <c r="F41" s="22" t="s">
        <v>72</v>
      </c>
      <c r="G41" s="22" t="s">
        <v>71</v>
      </c>
      <c r="H41" s="22">
        <v>1494</v>
      </c>
      <c r="I41" s="26" t="s">
        <v>296</v>
      </c>
      <c r="J41" s="28" t="s">
        <v>307</v>
      </c>
      <c r="K41" s="28" t="s">
        <v>307</v>
      </c>
      <c r="L41" s="28" t="s">
        <v>307</v>
      </c>
      <c r="M41" s="28" t="s">
        <v>307</v>
      </c>
      <c r="N41" s="28">
        <v>3</v>
      </c>
      <c r="O41" s="28">
        <f t="shared" si="1"/>
        <v>1</v>
      </c>
    </row>
    <row r="42" spans="1:15" ht="12" x14ac:dyDescent="0.2">
      <c r="A42" s="22" t="s">
        <v>75</v>
      </c>
      <c r="B42" s="22" t="s">
        <v>49</v>
      </c>
      <c r="C42" s="22" t="s">
        <v>76</v>
      </c>
      <c r="D42" s="22" t="s">
        <v>38</v>
      </c>
      <c r="E42" s="22" t="s">
        <v>53</v>
      </c>
      <c r="F42" s="22" t="s">
        <v>63</v>
      </c>
      <c r="G42" s="22" t="s">
        <v>71</v>
      </c>
      <c r="H42" s="22">
        <v>1314</v>
      </c>
      <c r="I42" s="26" t="s">
        <v>295</v>
      </c>
      <c r="J42" s="28" t="s">
        <v>307</v>
      </c>
      <c r="K42" s="28" t="s">
        <v>307</v>
      </c>
      <c r="L42" s="28" t="s">
        <v>307</v>
      </c>
      <c r="M42" s="28" t="s">
        <v>307</v>
      </c>
      <c r="N42" s="28">
        <v>1</v>
      </c>
      <c r="O42" s="28">
        <f t="shared" si="1"/>
        <v>1</v>
      </c>
    </row>
    <row r="43" spans="1:15" ht="12" x14ac:dyDescent="0.2">
      <c r="A43" s="22" t="s">
        <v>79</v>
      </c>
      <c r="B43" s="22" t="s">
        <v>49</v>
      </c>
      <c r="C43" s="22" t="s">
        <v>76</v>
      </c>
      <c r="D43" s="22" t="s">
        <v>52</v>
      </c>
      <c r="E43" s="22" t="s">
        <v>53</v>
      </c>
      <c r="F43" s="22" t="s">
        <v>80</v>
      </c>
      <c r="G43" s="22" t="s">
        <v>35</v>
      </c>
      <c r="H43" s="22">
        <v>1794</v>
      </c>
      <c r="I43" s="26" t="s">
        <v>295</v>
      </c>
      <c r="J43" s="28" t="s">
        <v>307</v>
      </c>
      <c r="K43" s="28" t="s">
        <v>307</v>
      </c>
      <c r="L43" s="28" t="s">
        <v>307</v>
      </c>
      <c r="M43" s="28" t="s">
        <v>307</v>
      </c>
      <c r="N43" s="28">
        <v>5</v>
      </c>
      <c r="O43" s="28">
        <f t="shared" si="1"/>
        <v>1</v>
      </c>
    </row>
    <row r="44" spans="1:15" ht="12" x14ac:dyDescent="0.2">
      <c r="A44" s="22" t="s">
        <v>82</v>
      </c>
      <c r="B44" s="22" t="s">
        <v>49</v>
      </c>
      <c r="C44" s="22" t="s">
        <v>83</v>
      </c>
      <c r="D44" s="22" t="s">
        <v>84</v>
      </c>
      <c r="E44" s="22" t="s">
        <v>53</v>
      </c>
      <c r="F44" s="22" t="s">
        <v>85</v>
      </c>
      <c r="G44" s="22" t="s">
        <v>35</v>
      </c>
      <c r="H44" s="22">
        <v>1794</v>
      </c>
      <c r="I44" s="26" t="s">
        <v>300</v>
      </c>
      <c r="J44" s="28" t="s">
        <v>307</v>
      </c>
      <c r="K44" s="28" t="s">
        <v>307</v>
      </c>
      <c r="L44" s="28" t="s">
        <v>307</v>
      </c>
      <c r="M44" s="28" t="s">
        <v>307</v>
      </c>
      <c r="N44" s="28">
        <v>3</v>
      </c>
      <c r="O44" s="28">
        <f t="shared" si="1"/>
        <v>1</v>
      </c>
    </row>
    <row r="45" spans="1:15" ht="12" x14ac:dyDescent="0.2">
      <c r="A45" s="22" t="s">
        <v>88</v>
      </c>
      <c r="B45" s="22" t="s">
        <v>49</v>
      </c>
      <c r="C45" s="22" t="s">
        <v>67</v>
      </c>
      <c r="D45" s="22" t="s">
        <v>52</v>
      </c>
      <c r="E45" s="22" t="s">
        <v>53</v>
      </c>
      <c r="F45" s="22" t="s">
        <v>90</v>
      </c>
      <c r="G45" s="22" t="s">
        <v>35</v>
      </c>
      <c r="H45" s="22">
        <v>894</v>
      </c>
      <c r="I45" s="26" t="s">
        <v>295</v>
      </c>
      <c r="J45" s="28" t="s">
        <v>307</v>
      </c>
      <c r="K45" s="28" t="s">
        <v>307</v>
      </c>
      <c r="L45" s="28" t="s">
        <v>307</v>
      </c>
      <c r="M45" s="28" t="s">
        <v>307</v>
      </c>
      <c r="N45" s="28">
        <v>3</v>
      </c>
      <c r="O45" s="28">
        <f t="shared" si="1"/>
        <v>1</v>
      </c>
    </row>
    <row r="46" spans="1:15" ht="12" x14ac:dyDescent="0.2">
      <c r="A46" s="22" t="s">
        <v>111</v>
      </c>
      <c r="B46" s="22" t="s">
        <v>49</v>
      </c>
      <c r="C46" s="22" t="s">
        <v>112</v>
      </c>
      <c r="D46" s="22" t="s">
        <v>38</v>
      </c>
      <c r="E46" s="22" t="s">
        <v>53</v>
      </c>
      <c r="F46" s="22" t="s">
        <v>113</v>
      </c>
      <c r="G46" s="22" t="s">
        <v>35</v>
      </c>
      <c r="H46" s="22">
        <v>1434</v>
      </c>
      <c r="I46" s="26" t="s">
        <v>298</v>
      </c>
      <c r="J46" s="28" t="s">
        <v>307</v>
      </c>
      <c r="K46" s="28" t="s">
        <v>307</v>
      </c>
      <c r="L46" s="28" t="s">
        <v>307</v>
      </c>
      <c r="M46" s="28" t="s">
        <v>307</v>
      </c>
      <c r="N46" s="28">
        <v>3</v>
      </c>
      <c r="O46" s="28">
        <f t="shared" si="1"/>
        <v>1</v>
      </c>
    </row>
    <row r="47" spans="1:15" ht="12" x14ac:dyDescent="0.2">
      <c r="A47" s="22" t="s">
        <v>116</v>
      </c>
      <c r="B47" s="22" t="s">
        <v>49</v>
      </c>
      <c r="C47" s="22" t="s">
        <v>117</v>
      </c>
      <c r="D47" s="22" t="s">
        <v>52</v>
      </c>
      <c r="E47" s="22" t="s">
        <v>53</v>
      </c>
      <c r="F47" s="22" t="s">
        <v>118</v>
      </c>
      <c r="G47" s="22" t="s">
        <v>35</v>
      </c>
      <c r="H47" s="22">
        <v>1194</v>
      </c>
      <c r="I47" s="26" t="s">
        <v>298</v>
      </c>
      <c r="J47" s="28" t="s">
        <v>307</v>
      </c>
      <c r="K47" s="28" t="s">
        <v>307</v>
      </c>
      <c r="L47" s="28" t="s">
        <v>307</v>
      </c>
      <c r="M47" s="28" t="s">
        <v>307</v>
      </c>
      <c r="N47" s="28">
        <v>3</v>
      </c>
      <c r="O47" s="28">
        <f t="shared" si="1"/>
        <v>1</v>
      </c>
    </row>
    <row r="48" spans="1:15" ht="12" x14ac:dyDescent="0.2">
      <c r="A48" s="22" t="s">
        <v>121</v>
      </c>
      <c r="B48" s="22" t="s">
        <v>49</v>
      </c>
      <c r="C48" s="22" t="s">
        <v>122</v>
      </c>
      <c r="D48" s="22" t="s">
        <v>317</v>
      </c>
      <c r="E48" s="22" t="s">
        <v>53</v>
      </c>
      <c r="F48" s="22" t="s">
        <v>124</v>
      </c>
      <c r="G48" s="22" t="s">
        <v>35</v>
      </c>
      <c r="H48" s="22">
        <v>894</v>
      </c>
      <c r="I48" s="26" t="s">
        <v>297</v>
      </c>
      <c r="J48" s="28" t="s">
        <v>307</v>
      </c>
      <c r="K48" s="28" t="s">
        <v>307</v>
      </c>
      <c r="L48" s="28" t="s">
        <v>307</v>
      </c>
      <c r="M48" s="28" t="s">
        <v>307</v>
      </c>
      <c r="N48" s="28">
        <v>2</v>
      </c>
      <c r="O48" s="28">
        <f t="shared" si="1"/>
        <v>1</v>
      </c>
    </row>
    <row r="49" spans="1:15" ht="12" x14ac:dyDescent="0.2">
      <c r="A49" s="22" t="s">
        <v>165</v>
      </c>
      <c r="B49" s="22" t="s">
        <v>49</v>
      </c>
      <c r="C49" s="22" t="s">
        <v>166</v>
      </c>
      <c r="D49" s="22" t="s">
        <v>84</v>
      </c>
      <c r="E49" s="22" t="s">
        <v>53</v>
      </c>
      <c r="F49" s="22" t="s">
        <v>90</v>
      </c>
      <c r="G49" s="22" t="s">
        <v>148</v>
      </c>
      <c r="H49" s="22">
        <v>1314</v>
      </c>
      <c r="I49" s="26" t="s">
        <v>295</v>
      </c>
      <c r="J49" s="28">
        <v>3</v>
      </c>
      <c r="K49" s="28" t="s">
        <v>307</v>
      </c>
      <c r="L49" s="28" t="s">
        <v>307</v>
      </c>
      <c r="M49" s="28" t="s">
        <v>307</v>
      </c>
      <c r="N49" s="28" t="s">
        <v>307</v>
      </c>
      <c r="O49" s="28">
        <f t="shared" si="1"/>
        <v>1</v>
      </c>
    </row>
    <row r="50" spans="1:15" ht="12" x14ac:dyDescent="0.2">
      <c r="A50" s="22" t="s">
        <v>169</v>
      </c>
      <c r="B50" s="22" t="s">
        <v>49</v>
      </c>
      <c r="C50" s="22" t="s">
        <v>166</v>
      </c>
      <c r="D50" s="22" t="s">
        <v>52</v>
      </c>
      <c r="E50" s="22" t="s">
        <v>53</v>
      </c>
      <c r="F50" s="22" t="s">
        <v>170</v>
      </c>
      <c r="G50" s="22" t="s">
        <v>35</v>
      </c>
      <c r="H50" s="22">
        <v>5489</v>
      </c>
      <c r="I50" s="26" t="s">
        <v>297</v>
      </c>
      <c r="J50" s="28" t="s">
        <v>307</v>
      </c>
      <c r="K50" s="28" t="s">
        <v>307</v>
      </c>
      <c r="L50" s="28" t="s">
        <v>307</v>
      </c>
      <c r="M50" s="28" t="s">
        <v>307</v>
      </c>
      <c r="N50" s="28">
        <v>1</v>
      </c>
      <c r="O50" s="28">
        <f t="shared" si="1"/>
        <v>1</v>
      </c>
    </row>
    <row r="51" spans="1:15" ht="12" x14ac:dyDescent="0.2">
      <c r="A51" s="22" t="s">
        <v>172</v>
      </c>
      <c r="B51" s="22" t="s">
        <v>49</v>
      </c>
      <c r="C51" s="22" t="s">
        <v>166</v>
      </c>
      <c r="D51" s="22" t="s">
        <v>52</v>
      </c>
      <c r="E51" s="22" t="s">
        <v>53</v>
      </c>
      <c r="F51" s="22" t="s">
        <v>54</v>
      </c>
      <c r="G51" s="22" t="s">
        <v>173</v>
      </c>
      <c r="H51" s="22">
        <v>1794</v>
      </c>
      <c r="I51" s="26" t="s">
        <v>295</v>
      </c>
      <c r="J51" s="28" t="s">
        <v>307</v>
      </c>
      <c r="K51" s="28" t="s">
        <v>307</v>
      </c>
      <c r="L51" s="28" t="s">
        <v>307</v>
      </c>
      <c r="M51" s="28" t="s">
        <v>307</v>
      </c>
      <c r="N51" s="28">
        <v>3</v>
      </c>
      <c r="O51" s="28">
        <f t="shared" si="1"/>
        <v>1</v>
      </c>
    </row>
    <row r="52" spans="1:15" ht="12" x14ac:dyDescent="0.2">
      <c r="A52" s="22" t="s">
        <v>178</v>
      </c>
      <c r="B52" s="22" t="s">
        <v>49</v>
      </c>
      <c r="C52" s="22" t="s">
        <v>179</v>
      </c>
      <c r="D52" s="22" t="s">
        <v>38</v>
      </c>
      <c r="E52" s="22" t="s">
        <v>53</v>
      </c>
      <c r="F52" s="22" t="s">
        <v>180</v>
      </c>
      <c r="G52" s="22" t="s">
        <v>35</v>
      </c>
      <c r="H52" s="22">
        <v>4614.5</v>
      </c>
      <c r="I52" s="26" t="s">
        <v>299</v>
      </c>
      <c r="J52" s="28" t="s">
        <v>307</v>
      </c>
      <c r="K52" s="28" t="s">
        <v>307</v>
      </c>
      <c r="L52" s="28" t="s">
        <v>307</v>
      </c>
      <c r="M52" s="28" t="s">
        <v>307</v>
      </c>
      <c r="N52" s="28">
        <v>1</v>
      </c>
      <c r="O52" s="28">
        <f t="shared" si="1"/>
        <v>1</v>
      </c>
    </row>
    <row r="53" spans="1:15" ht="12" x14ac:dyDescent="0.2">
      <c r="A53" s="22" t="s">
        <v>183</v>
      </c>
      <c r="B53" s="22" t="s">
        <v>49</v>
      </c>
      <c r="C53" s="22" t="s">
        <v>112</v>
      </c>
      <c r="D53" s="22" t="s">
        <v>84</v>
      </c>
      <c r="E53" s="22" t="s">
        <v>53</v>
      </c>
      <c r="F53" s="22" t="s">
        <v>63</v>
      </c>
      <c r="G53" s="22" t="s">
        <v>45</v>
      </c>
      <c r="H53" s="22">
        <v>4944.5</v>
      </c>
      <c r="I53" s="26" t="s">
        <v>303</v>
      </c>
      <c r="J53" s="28" t="s">
        <v>307</v>
      </c>
      <c r="K53" s="28" t="s">
        <v>307</v>
      </c>
      <c r="L53" s="28" t="s">
        <v>307</v>
      </c>
      <c r="M53" s="28" t="s">
        <v>307</v>
      </c>
      <c r="N53" s="28">
        <v>1</v>
      </c>
      <c r="O53" s="28">
        <f t="shared" si="1"/>
        <v>1</v>
      </c>
    </row>
    <row r="54" spans="1:15" ht="12" x14ac:dyDescent="0.2">
      <c r="A54" s="22" t="s">
        <v>186</v>
      </c>
      <c r="B54" s="22" t="s">
        <v>49</v>
      </c>
      <c r="C54" s="22" t="s">
        <v>187</v>
      </c>
      <c r="D54" s="22" t="s">
        <v>84</v>
      </c>
      <c r="E54" s="22" t="s">
        <v>53</v>
      </c>
      <c r="F54" s="22" t="s">
        <v>154</v>
      </c>
      <c r="G54" s="22" t="s">
        <v>188</v>
      </c>
      <c r="H54" s="22">
        <v>4944.5</v>
      </c>
      <c r="I54" s="26" t="s">
        <v>304</v>
      </c>
      <c r="J54" s="28" t="s">
        <v>307</v>
      </c>
      <c r="K54" s="28" t="s">
        <v>307</v>
      </c>
      <c r="L54" s="28" t="s">
        <v>307</v>
      </c>
      <c r="M54" s="28" t="s">
        <v>307</v>
      </c>
      <c r="N54" s="28">
        <v>2</v>
      </c>
      <c r="O54" s="28">
        <f t="shared" si="1"/>
        <v>1</v>
      </c>
    </row>
    <row r="55" spans="1:15" ht="12" x14ac:dyDescent="0.2">
      <c r="A55" s="22" t="s">
        <v>191</v>
      </c>
      <c r="B55" s="22" t="s">
        <v>49</v>
      </c>
      <c r="C55" s="22" t="s">
        <v>192</v>
      </c>
      <c r="D55" s="22" t="s">
        <v>38</v>
      </c>
      <c r="E55" s="22" t="s">
        <v>53</v>
      </c>
      <c r="F55" s="22" t="s">
        <v>170</v>
      </c>
      <c r="G55" s="22" t="s">
        <v>193</v>
      </c>
      <c r="H55" s="22">
        <v>894</v>
      </c>
      <c r="I55" s="26" t="s">
        <v>295</v>
      </c>
      <c r="J55" s="28">
        <v>6</v>
      </c>
      <c r="K55" s="28" t="s">
        <v>307</v>
      </c>
      <c r="L55" s="28" t="s">
        <v>307</v>
      </c>
      <c r="M55" s="28" t="s">
        <v>307</v>
      </c>
      <c r="N55" s="28" t="s">
        <v>307</v>
      </c>
      <c r="O55" s="28">
        <f t="shared" si="1"/>
        <v>1</v>
      </c>
    </row>
    <row r="56" spans="1:15" ht="12" x14ac:dyDescent="0.2">
      <c r="A56" s="22" t="s">
        <v>196</v>
      </c>
      <c r="B56" s="22" t="s">
        <v>49</v>
      </c>
      <c r="C56" s="22" t="s">
        <v>197</v>
      </c>
      <c r="D56" s="22" t="s">
        <v>312</v>
      </c>
      <c r="E56" s="22" t="s">
        <v>53</v>
      </c>
      <c r="F56" s="22" t="s">
        <v>170</v>
      </c>
      <c r="G56" s="22" t="s">
        <v>35</v>
      </c>
      <c r="H56" s="22">
        <v>894</v>
      </c>
      <c r="I56" s="26" t="s">
        <v>297</v>
      </c>
      <c r="J56" s="28">
        <v>3</v>
      </c>
      <c r="K56" s="28" t="s">
        <v>307</v>
      </c>
      <c r="L56" s="28" t="s">
        <v>307</v>
      </c>
      <c r="M56" s="28" t="s">
        <v>307</v>
      </c>
      <c r="N56" s="28" t="s">
        <v>307</v>
      </c>
      <c r="O56" s="28">
        <f t="shared" si="1"/>
        <v>1</v>
      </c>
    </row>
  </sheetData>
  <autoFilter ref="A1:G56" xr:uid="{7EDD4F6F-0EFF-43E9-B59E-A243E7434F64}">
    <sortState xmlns:xlrd2="http://schemas.microsoft.com/office/spreadsheetml/2017/richdata2" ref="A2:G56">
      <sortCondition descending="1" ref="B1:B56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TDSheet</vt:lpstr>
      <vt:lpstr>Цвета</vt:lpstr>
      <vt:lpstr>Table</vt:lpstr>
      <vt:lpstr>TableResult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BUH</cp:lastModifiedBy>
  <dcterms:modified xsi:type="dcterms:W3CDTF">2022-04-12T12:12:22Z</dcterms:modified>
</cp:coreProperties>
</file>