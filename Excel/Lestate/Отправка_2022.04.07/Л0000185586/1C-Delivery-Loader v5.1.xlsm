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07\Л0000185586\"/>
    </mc:Choice>
  </mc:AlternateContent>
  <xr:revisionPtr revIDLastSave="0" documentId="13_ncr:1_{928998DC-E107-47B8-BA52-7BA8E73A7362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Форма!$G$1:$AW$69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A25" i="43" l="1"/>
  <c r="A23" i="43"/>
  <c r="C1" i="43"/>
  <c r="C2" i="43"/>
  <c r="AA1" i="39" a="1"/>
  <c r="A4" i="39" l="1"/>
  <c r="B4" i="39" s="1"/>
  <c r="S5" i="39"/>
  <c r="T6" i="39"/>
  <c r="S7" i="39"/>
  <c r="A9" i="39"/>
  <c r="B9" i="39" s="1"/>
  <c r="T14" i="39"/>
  <c r="T3" i="39"/>
  <c r="T9" i="39"/>
  <c r="S10" i="39"/>
  <c r="A12" i="39"/>
  <c r="B12" i="39" s="1"/>
  <c r="T17" i="39"/>
  <c r="S18" i="39"/>
  <c r="A20" i="39"/>
  <c r="B20" i="39" s="1"/>
  <c r="T25" i="39"/>
  <c r="S26" i="39"/>
  <c r="A28" i="39"/>
  <c r="B28" i="39" s="1"/>
  <c r="T10" i="39"/>
  <c r="S11" i="39"/>
  <c r="A13" i="39"/>
  <c r="B13" i="39" s="1"/>
  <c r="T18" i="39"/>
  <c r="S19" i="39"/>
  <c r="A21" i="39"/>
  <c r="B21" i="39" s="1"/>
  <c r="T26" i="39"/>
  <c r="S27" i="39"/>
  <c r="A29" i="39"/>
  <c r="B29" i="39" s="1"/>
  <c r="T34" i="39"/>
  <c r="S35" i="39"/>
  <c r="A37" i="39"/>
  <c r="B37" i="39" s="1"/>
  <c r="A3" i="39"/>
  <c r="B3" i="39" s="1"/>
  <c r="S4" i="39"/>
  <c r="A6" i="39"/>
  <c r="B6" i="39" s="1"/>
  <c r="T11" i="39"/>
  <c r="S12" i="39"/>
  <c r="A14" i="39"/>
  <c r="B14" i="39" s="1"/>
  <c r="T4" i="39"/>
  <c r="A7" i="39"/>
  <c r="B7" i="39" s="1"/>
  <c r="T12" i="39"/>
  <c r="S13" i="39"/>
  <c r="A15" i="39"/>
  <c r="B15" i="39" s="1"/>
  <c r="T20" i="39"/>
  <c r="S21" i="39"/>
  <c r="A23" i="39"/>
  <c r="B23" i="39" s="1"/>
  <c r="T28" i="39"/>
  <c r="S29" i="39"/>
  <c r="A31" i="39"/>
  <c r="B31" i="39" s="1"/>
  <c r="T36" i="39"/>
  <c r="S37" i="39"/>
  <c r="A39" i="39"/>
  <c r="B39" i="39" s="1"/>
  <c r="S9" i="39"/>
  <c r="S14" i="39"/>
  <c r="T15" i="39"/>
  <c r="T16" i="39"/>
  <c r="A24" i="39"/>
  <c r="B24" i="39" s="1"/>
  <c r="A25" i="39"/>
  <c r="B25" i="39" s="1"/>
  <c r="A26" i="39"/>
  <c r="B26" i="39" s="1"/>
  <c r="A27" i="39"/>
  <c r="B27" i="39" s="1"/>
  <c r="T40" i="39"/>
  <c r="T43" i="39"/>
  <c r="A22" i="39"/>
  <c r="B22" i="39" s="1"/>
  <c r="A10" i="39"/>
  <c r="B10" i="39" s="1"/>
  <c r="S28" i="39"/>
  <c r="T29" i="39"/>
  <c r="T30" i="39"/>
  <c r="T31" i="39"/>
  <c r="T32" i="39"/>
  <c r="T35" i="39"/>
  <c r="T38" i="39"/>
  <c r="S41" i="39"/>
  <c r="T45" i="39"/>
  <c r="S46" i="39"/>
  <c r="A48" i="39"/>
  <c r="B48" i="39" s="1"/>
  <c r="T53" i="39"/>
  <c r="S54" i="39"/>
  <c r="A56" i="39"/>
  <c r="B56" i="39" s="1"/>
  <c r="T61" i="39"/>
  <c r="S62" i="39"/>
  <c r="A64" i="39"/>
  <c r="B64" i="39" s="1"/>
  <c r="T5" i="39"/>
  <c r="S6" i="39"/>
  <c r="A16" i="39"/>
  <c r="B16" i="39" s="1"/>
  <c r="A17" i="39"/>
  <c r="B17" i="39" s="1"/>
  <c r="A18" i="39"/>
  <c r="B18" i="39" s="1"/>
  <c r="A19" i="39"/>
  <c r="B19" i="39" s="1"/>
  <c r="T27" i="39"/>
  <c r="T41" i="39"/>
  <c r="T46" i="39"/>
  <c r="S47" i="39"/>
  <c r="A49" i="39"/>
  <c r="B49" i="39" s="1"/>
  <c r="T54" i="39"/>
  <c r="S55" i="39"/>
  <c r="A57" i="39"/>
  <c r="B57" i="39" s="1"/>
  <c r="A11" i="39"/>
  <c r="B11" i="39" s="1"/>
  <c r="S22" i="39"/>
  <c r="S23" i="39"/>
  <c r="S24" i="39"/>
  <c r="S25" i="39"/>
  <c r="S33" i="39"/>
  <c r="A35" i="39"/>
  <c r="B35" i="39" s="1"/>
  <c r="S36" i="39"/>
  <c r="A38" i="39"/>
  <c r="B38" i="39" s="1"/>
  <c r="S39" i="39"/>
  <c r="A41" i="39"/>
  <c r="B41" i="39" s="1"/>
  <c r="S3" i="39"/>
  <c r="T7" i="39"/>
  <c r="T13" i="39"/>
  <c r="S20" i="39"/>
  <c r="T21" i="39"/>
  <c r="T22" i="39"/>
  <c r="T23" i="39"/>
  <c r="T24" i="39"/>
  <c r="A5" i="39"/>
  <c r="B5" i="39" s="1"/>
  <c r="S8" i="39"/>
  <c r="T19" i="39"/>
  <c r="A30" i="39"/>
  <c r="B30" i="39" s="1"/>
  <c r="A33" i="39"/>
  <c r="B33" i="39" s="1"/>
  <c r="S42" i="39"/>
  <c r="A44" i="39"/>
  <c r="B44" i="39" s="1"/>
  <c r="T49" i="39"/>
  <c r="S50" i="39"/>
  <c r="A52" i="39"/>
  <c r="B52" i="39" s="1"/>
  <c r="T57" i="39"/>
  <c r="S58" i="39"/>
  <c r="A60" i="39"/>
  <c r="B60" i="39" s="1"/>
  <c r="T65" i="39"/>
  <c r="S66" i="39"/>
  <c r="A68" i="39"/>
  <c r="B68" i="39" s="1"/>
  <c r="T33" i="39"/>
  <c r="A36" i="39"/>
  <c r="B36" i="39" s="1"/>
  <c r="T42" i="39"/>
  <c r="S51" i="39"/>
  <c r="S52" i="39"/>
  <c r="S53" i="39"/>
  <c r="S57" i="39"/>
  <c r="A59" i="39"/>
  <c r="B59" i="39" s="1"/>
  <c r="S60" i="39"/>
  <c r="A62" i="39"/>
  <c r="B62" i="39" s="1"/>
  <c r="S63" i="39"/>
  <c r="A65" i="39"/>
  <c r="B65" i="39" s="1"/>
  <c r="S68" i="39"/>
  <c r="S17" i="39"/>
  <c r="S32" i="39"/>
  <c r="AL32" i="39" s="1"/>
  <c r="S40" i="39"/>
  <c r="S43" i="39"/>
  <c r="S48" i="39"/>
  <c r="S49" i="39"/>
  <c r="T50" i="39"/>
  <c r="T51" i="39"/>
  <c r="T52" i="39"/>
  <c r="T60" i="39"/>
  <c r="T63" i="39"/>
  <c r="T66" i="39"/>
  <c r="T68" i="39"/>
  <c r="S69" i="39"/>
  <c r="A34" i="39"/>
  <c r="B34" i="39" s="1"/>
  <c r="T39" i="39"/>
  <c r="A42" i="39"/>
  <c r="B42" i="39" s="1"/>
  <c r="A43" i="39"/>
  <c r="B43" i="39" s="1"/>
  <c r="T47" i="39"/>
  <c r="T48" i="39"/>
  <c r="T69" i="39"/>
  <c r="A8" i="39"/>
  <c r="B8" i="39" s="1"/>
  <c r="S31" i="39"/>
  <c r="S38" i="39"/>
  <c r="S44" i="39"/>
  <c r="S45" i="39"/>
  <c r="T58" i="39"/>
  <c r="S61" i="39"/>
  <c r="A63" i="39"/>
  <c r="B63" i="39" s="1"/>
  <c r="S64" i="39"/>
  <c r="A66" i="39"/>
  <c r="B66" i="39" s="1"/>
  <c r="S67" i="39"/>
  <c r="T8" i="39"/>
  <c r="A32" i="39"/>
  <c r="B32" i="39" s="1"/>
  <c r="T37" i="39"/>
  <c r="A40" i="39"/>
  <c r="B40" i="39" s="1"/>
  <c r="T44" i="39"/>
  <c r="A53" i="39"/>
  <c r="B53" i="39" s="1"/>
  <c r="A54" i="39"/>
  <c r="B54" i="39" s="1"/>
  <c r="A55" i="39"/>
  <c r="B55" i="39" s="1"/>
  <c r="T64" i="39"/>
  <c r="T67" i="39"/>
  <c r="S15" i="39"/>
  <c r="S30" i="39"/>
  <c r="A50" i="39"/>
  <c r="B50" i="39" s="1"/>
  <c r="A51" i="39"/>
  <c r="B51" i="39" s="1"/>
  <c r="A58" i="39"/>
  <c r="B58" i="39" s="1"/>
  <c r="S59" i="39"/>
  <c r="A61" i="39"/>
  <c r="B61" i="39" s="1"/>
  <c r="S56" i="39"/>
  <c r="T59" i="39"/>
  <c r="T62" i="39"/>
  <c r="S65" i="39"/>
  <c r="A67" i="39"/>
  <c r="B67" i="39" s="1"/>
  <c r="T55" i="39"/>
  <c r="S34" i="39"/>
  <c r="S16" i="39"/>
  <c r="T56" i="39"/>
  <c r="A45" i="39"/>
  <c r="B45" i="39" s="1"/>
  <c r="A46" i="39"/>
  <c r="B46" i="39" s="1"/>
  <c r="A47" i="39"/>
  <c r="B47" i="39" s="1"/>
  <c r="A69" i="39"/>
  <c r="B69" i="39" s="1"/>
  <c r="AA1" i="39"/>
  <c r="AU47" i="39" l="1"/>
  <c r="AF47" i="39"/>
  <c r="J47" i="39"/>
  <c r="AN47" i="39" s="1"/>
  <c r="C47" i="39"/>
  <c r="K47" i="39"/>
  <c r="AK47" i="39" s="1"/>
  <c r="F47" i="39"/>
  <c r="AM47" i="39" s="1"/>
  <c r="N47" i="39"/>
  <c r="D47" i="39"/>
  <c r="AJ47" i="39" s="1"/>
  <c r="P47" i="39"/>
  <c r="E47" i="39"/>
  <c r="Q47" i="39"/>
  <c r="G47" i="39"/>
  <c r="H47" i="39"/>
  <c r="I47" i="39"/>
  <c r="L47" i="39"/>
  <c r="AQ47" i="39" s="1"/>
  <c r="M47" i="39"/>
  <c r="AS47" i="39" s="1"/>
  <c r="Z47" i="39"/>
  <c r="AP47" i="39" s="1"/>
  <c r="O47" i="39"/>
  <c r="AC65" i="39"/>
  <c r="AE65" i="39"/>
  <c r="AL65" i="39"/>
  <c r="AU50" i="39"/>
  <c r="G50" i="39"/>
  <c r="O50" i="39"/>
  <c r="H50" i="39"/>
  <c r="P50" i="39"/>
  <c r="C50" i="39"/>
  <c r="K50" i="39"/>
  <c r="AK50" i="39" s="1"/>
  <c r="E50" i="39"/>
  <c r="F50" i="39"/>
  <c r="AM50" i="39" s="1"/>
  <c r="I50" i="39"/>
  <c r="J50" i="39"/>
  <c r="AN50" i="39" s="1"/>
  <c r="L50" i="39"/>
  <c r="AQ50" i="39" s="1"/>
  <c r="Z50" i="39"/>
  <c r="AP50" i="39" s="1"/>
  <c r="M50" i="39"/>
  <c r="AS50" i="39" s="1"/>
  <c r="AF50" i="39"/>
  <c r="N50" i="39"/>
  <c r="D50" i="39"/>
  <c r="AJ50" i="39" s="1"/>
  <c r="Q50" i="39"/>
  <c r="AU63" i="39"/>
  <c r="AF63" i="39"/>
  <c r="J63" i="39"/>
  <c r="AN63" i="39" s="1"/>
  <c r="F63" i="39"/>
  <c r="AM63" i="39" s="1"/>
  <c r="N63" i="39"/>
  <c r="H63" i="39"/>
  <c r="I63" i="39"/>
  <c r="K63" i="39"/>
  <c r="AK63" i="39" s="1"/>
  <c r="L63" i="39"/>
  <c r="AQ63" i="39" s="1"/>
  <c r="C63" i="39"/>
  <c r="M63" i="39"/>
  <c r="AS63" i="39" s="1"/>
  <c r="D63" i="39"/>
  <c r="AJ63" i="39" s="1"/>
  <c r="O63" i="39"/>
  <c r="E63" i="39"/>
  <c r="P63" i="39"/>
  <c r="G63" i="39"/>
  <c r="Q63" i="39"/>
  <c r="AE48" i="39"/>
  <c r="AL48" i="39"/>
  <c r="AC48" i="39"/>
  <c r="AU62" i="39"/>
  <c r="C62" i="39"/>
  <c r="K62" i="39"/>
  <c r="AK62" i="39" s="1"/>
  <c r="G62" i="39"/>
  <c r="O62" i="39"/>
  <c r="L62" i="39"/>
  <c r="AQ62" i="39" s="1"/>
  <c r="AF62" i="39"/>
  <c r="M62" i="39"/>
  <c r="AS62" i="39" s="1"/>
  <c r="D62" i="39"/>
  <c r="AJ62" i="39" s="1"/>
  <c r="N62" i="39"/>
  <c r="E62" i="39"/>
  <c r="P62" i="39"/>
  <c r="F62" i="39"/>
  <c r="AM62" i="39" s="1"/>
  <c r="Q62" i="39"/>
  <c r="H62" i="39"/>
  <c r="I62" i="39"/>
  <c r="Z62" i="39" s="1"/>
  <c r="AP62" i="39" s="1"/>
  <c r="J62" i="39"/>
  <c r="AN62" i="39" s="1"/>
  <c r="AU36" i="39"/>
  <c r="AF36" i="39"/>
  <c r="J36" i="39"/>
  <c r="AN36" i="39" s="1"/>
  <c r="D36" i="39"/>
  <c r="AJ36" i="39" s="1"/>
  <c r="L36" i="39"/>
  <c r="AQ36" i="39" s="1"/>
  <c r="C36" i="39"/>
  <c r="N36" i="39"/>
  <c r="F36" i="39"/>
  <c r="AM36" i="39" s="1"/>
  <c r="P36" i="39"/>
  <c r="G36" i="39"/>
  <c r="Q36" i="39"/>
  <c r="H36" i="39"/>
  <c r="K36" i="39"/>
  <c r="AK36" i="39" s="1"/>
  <c r="E36" i="39"/>
  <c r="I36" i="39"/>
  <c r="M36" i="39"/>
  <c r="AS36" i="39" s="1"/>
  <c r="O36" i="39"/>
  <c r="Z36" i="39"/>
  <c r="AP36" i="39" s="1"/>
  <c r="AU52" i="39"/>
  <c r="E52" i="39"/>
  <c r="M52" i="39"/>
  <c r="AS52" i="39" s="1"/>
  <c r="F52" i="39"/>
  <c r="AM52" i="39" s="1"/>
  <c r="N52" i="39"/>
  <c r="I52" i="39"/>
  <c r="Z52" i="39" s="1"/>
  <c r="AP52" i="39" s="1"/>
  <c r="Q52" i="39"/>
  <c r="G52" i="39"/>
  <c r="H52" i="39"/>
  <c r="J52" i="39"/>
  <c r="AN52" i="39" s="1"/>
  <c r="K52" i="39"/>
  <c r="AK52" i="39" s="1"/>
  <c r="L52" i="39"/>
  <c r="AQ52" i="39" s="1"/>
  <c r="AF52" i="39"/>
  <c r="O52" i="39"/>
  <c r="C52" i="39"/>
  <c r="P52" i="39"/>
  <c r="D52" i="39"/>
  <c r="AJ52" i="39" s="1"/>
  <c r="AC8" i="39"/>
  <c r="AL8" i="39"/>
  <c r="AE8" i="39"/>
  <c r="AC25" i="39"/>
  <c r="AE25" i="39"/>
  <c r="AL25" i="39"/>
  <c r="AU49" i="39"/>
  <c r="H49" i="39"/>
  <c r="P49" i="39"/>
  <c r="I49" i="39"/>
  <c r="Z49" i="39" s="1"/>
  <c r="AP49" i="39" s="1"/>
  <c r="Q49" i="39"/>
  <c r="D49" i="39"/>
  <c r="AJ49" i="39" s="1"/>
  <c r="L49" i="39"/>
  <c r="AQ49" i="39" s="1"/>
  <c r="E49" i="39"/>
  <c r="F49" i="39"/>
  <c r="AM49" i="39" s="1"/>
  <c r="G49" i="39"/>
  <c r="J49" i="39"/>
  <c r="AN49" i="39" s="1"/>
  <c r="K49" i="39"/>
  <c r="AK49" i="39" s="1"/>
  <c r="M49" i="39"/>
  <c r="AS49" i="39" s="1"/>
  <c r="AF49" i="39"/>
  <c r="N49" i="39"/>
  <c r="C49" i="39"/>
  <c r="O49" i="39"/>
  <c r="AU16" i="39"/>
  <c r="E16" i="39"/>
  <c r="M16" i="39"/>
  <c r="AS16" i="39" s="1"/>
  <c r="F16" i="39"/>
  <c r="AM16" i="39" s="1"/>
  <c r="N16" i="39"/>
  <c r="H16" i="39"/>
  <c r="P16" i="39"/>
  <c r="I16" i="39"/>
  <c r="Z16" i="39" s="1"/>
  <c r="AP16" i="39" s="1"/>
  <c r="J16" i="39"/>
  <c r="AN16" i="39" s="1"/>
  <c r="K16" i="39"/>
  <c r="AK16" i="39" s="1"/>
  <c r="L16" i="39"/>
  <c r="AQ16" i="39" s="1"/>
  <c r="AF16" i="39"/>
  <c r="O16" i="39"/>
  <c r="C16" i="39"/>
  <c r="Q16" i="39"/>
  <c r="D16" i="39"/>
  <c r="AJ16" i="39" s="1"/>
  <c r="G16" i="39"/>
  <c r="AU27" i="39"/>
  <c r="AF27" i="39"/>
  <c r="J27" i="39"/>
  <c r="AN27" i="39" s="1"/>
  <c r="C27" i="39"/>
  <c r="K27" i="39"/>
  <c r="AK27" i="39" s="1"/>
  <c r="E27" i="39"/>
  <c r="M27" i="39"/>
  <c r="AS27" i="39" s="1"/>
  <c r="O27" i="39"/>
  <c r="D27" i="39"/>
  <c r="AJ27" i="39" s="1"/>
  <c r="P27" i="39"/>
  <c r="F27" i="39"/>
  <c r="AM27" i="39" s="1"/>
  <c r="Q27" i="39"/>
  <c r="G27" i="39"/>
  <c r="H27" i="39"/>
  <c r="I27" i="39"/>
  <c r="L27" i="39"/>
  <c r="AQ27" i="39" s="1"/>
  <c r="N27" i="39"/>
  <c r="Z27" i="39"/>
  <c r="AP27" i="39" s="1"/>
  <c r="AU39" i="39"/>
  <c r="G39" i="39"/>
  <c r="O39" i="39"/>
  <c r="I39" i="39"/>
  <c r="Z39" i="39" s="1"/>
  <c r="AP39" i="39" s="1"/>
  <c r="Q39" i="39"/>
  <c r="C39" i="39"/>
  <c r="M39" i="39"/>
  <c r="AS39" i="39" s="1"/>
  <c r="E39" i="39"/>
  <c r="P39" i="39"/>
  <c r="F39" i="39"/>
  <c r="AM39" i="39" s="1"/>
  <c r="H39" i="39"/>
  <c r="K39" i="39"/>
  <c r="AK39" i="39" s="1"/>
  <c r="L39" i="39"/>
  <c r="AQ39" i="39" s="1"/>
  <c r="N39" i="39"/>
  <c r="AF39" i="39"/>
  <c r="D39" i="39"/>
  <c r="AJ39" i="39" s="1"/>
  <c r="J39" i="39"/>
  <c r="AN39" i="39" s="1"/>
  <c r="AC27" i="39"/>
  <c r="AE27" i="39"/>
  <c r="AL27" i="39"/>
  <c r="AU28" i="39"/>
  <c r="I28" i="39"/>
  <c r="Q28" i="39"/>
  <c r="Z28" i="39"/>
  <c r="AP28" i="39" s="1"/>
  <c r="AF28" i="39"/>
  <c r="J28" i="39"/>
  <c r="AN28" i="39" s="1"/>
  <c r="D28" i="39"/>
  <c r="AJ28" i="39" s="1"/>
  <c r="L28" i="39"/>
  <c r="AQ28" i="39" s="1"/>
  <c r="C28" i="39"/>
  <c r="O28" i="39"/>
  <c r="E28" i="39"/>
  <c r="P28" i="39"/>
  <c r="F28" i="39"/>
  <c r="AM28" i="39" s="1"/>
  <c r="G28" i="39"/>
  <c r="H28" i="39"/>
  <c r="K28" i="39"/>
  <c r="AK28" i="39" s="1"/>
  <c r="M28" i="39"/>
  <c r="AS28" i="39" s="1"/>
  <c r="N28" i="39"/>
  <c r="AU46" i="39"/>
  <c r="C46" i="39"/>
  <c r="K46" i="39"/>
  <c r="AK46" i="39" s="1"/>
  <c r="D46" i="39"/>
  <c r="AJ46" i="39" s="1"/>
  <c r="L46" i="39"/>
  <c r="AQ46" i="39" s="1"/>
  <c r="G46" i="39"/>
  <c r="O46" i="39"/>
  <c r="AF46" i="39"/>
  <c r="P46" i="39"/>
  <c r="E46" i="39"/>
  <c r="Q46" i="39"/>
  <c r="F46" i="39"/>
  <c r="AM46" i="39" s="1"/>
  <c r="H46" i="39"/>
  <c r="I46" i="39"/>
  <c r="J46" i="39"/>
  <c r="AN46" i="39" s="1"/>
  <c r="M46" i="39"/>
  <c r="AS46" i="39" s="1"/>
  <c r="Z46" i="39"/>
  <c r="AP46" i="39" s="1"/>
  <c r="N46" i="39"/>
  <c r="AE30" i="39"/>
  <c r="AL30" i="39"/>
  <c r="AC30" i="39"/>
  <c r="AU40" i="39"/>
  <c r="F40" i="39"/>
  <c r="AM40" i="39" s="1"/>
  <c r="N40" i="39"/>
  <c r="H40" i="39"/>
  <c r="P40" i="39"/>
  <c r="J40" i="39"/>
  <c r="AN40" i="39" s="1"/>
  <c r="AF40" i="39"/>
  <c r="L40" i="39"/>
  <c r="AQ40" i="39" s="1"/>
  <c r="C40" i="39"/>
  <c r="M40" i="39"/>
  <c r="AS40" i="39" s="1"/>
  <c r="D40" i="39"/>
  <c r="AJ40" i="39" s="1"/>
  <c r="O40" i="39"/>
  <c r="G40" i="39"/>
  <c r="Q40" i="39"/>
  <c r="E40" i="39"/>
  <c r="I40" i="39"/>
  <c r="Z40" i="39" s="1"/>
  <c r="AP40" i="39" s="1"/>
  <c r="K40" i="39"/>
  <c r="AK40" i="39" s="1"/>
  <c r="AE61" i="39"/>
  <c r="AL61" i="39"/>
  <c r="AC61" i="39"/>
  <c r="AE43" i="39"/>
  <c r="AL43" i="39"/>
  <c r="AC43" i="39"/>
  <c r="AL60" i="39"/>
  <c r="AC60" i="39"/>
  <c r="AE60" i="39"/>
  <c r="AC50" i="39"/>
  <c r="AE50" i="39"/>
  <c r="AL50" i="39"/>
  <c r="AU5" i="39"/>
  <c r="F5" i="39"/>
  <c r="AM5" i="39" s="1"/>
  <c r="N5" i="39"/>
  <c r="H5" i="39"/>
  <c r="P5" i="39"/>
  <c r="I5" i="39"/>
  <c r="AF5" i="39"/>
  <c r="L5" i="39"/>
  <c r="AQ5" i="39" s="1"/>
  <c r="C5" i="39"/>
  <c r="M5" i="39"/>
  <c r="AS5" i="39" s="1"/>
  <c r="D5" i="39"/>
  <c r="AJ5" i="39" s="1"/>
  <c r="O5" i="39"/>
  <c r="E5" i="39"/>
  <c r="Q5" i="39"/>
  <c r="J5" i="39"/>
  <c r="AN5" i="39" s="1"/>
  <c r="K5" i="39"/>
  <c r="AK5" i="39" s="1"/>
  <c r="G5" i="39"/>
  <c r="AC3" i="39"/>
  <c r="AL3" i="39"/>
  <c r="AE3" i="39"/>
  <c r="AC24" i="39"/>
  <c r="AL24" i="39"/>
  <c r="AE24" i="39"/>
  <c r="AC47" i="39"/>
  <c r="AL47" i="39"/>
  <c r="AE47" i="39"/>
  <c r="AE6" i="39"/>
  <c r="AL6" i="39"/>
  <c r="AC6" i="39"/>
  <c r="AU48" i="39"/>
  <c r="I48" i="39"/>
  <c r="Q48" i="39"/>
  <c r="AF48" i="39"/>
  <c r="J48" i="39"/>
  <c r="AN48" i="39" s="1"/>
  <c r="E48" i="39"/>
  <c r="M48" i="39"/>
  <c r="AS48" i="39" s="1"/>
  <c r="D48" i="39"/>
  <c r="AJ48" i="39" s="1"/>
  <c r="P48" i="39"/>
  <c r="F48" i="39"/>
  <c r="AM48" i="39" s="1"/>
  <c r="G48" i="39"/>
  <c r="H48" i="39"/>
  <c r="K48" i="39"/>
  <c r="AK48" i="39" s="1"/>
  <c r="L48" i="39"/>
  <c r="AQ48" i="39" s="1"/>
  <c r="N48" i="39"/>
  <c r="C48" i="39"/>
  <c r="O48" i="39"/>
  <c r="AU26" i="39"/>
  <c r="C26" i="39"/>
  <c r="K26" i="39"/>
  <c r="AK26" i="39" s="1"/>
  <c r="D26" i="39"/>
  <c r="AJ26" i="39" s="1"/>
  <c r="L26" i="39"/>
  <c r="AQ26" i="39" s="1"/>
  <c r="F26" i="39"/>
  <c r="AM26" i="39" s="1"/>
  <c r="N26" i="39"/>
  <c r="O26" i="39"/>
  <c r="AF26" i="39"/>
  <c r="P26" i="39"/>
  <c r="E26" i="39"/>
  <c r="Q26" i="39"/>
  <c r="G26" i="39"/>
  <c r="H26" i="39"/>
  <c r="I26" i="39"/>
  <c r="J26" i="39"/>
  <c r="AN26" i="39" s="1"/>
  <c r="M26" i="39"/>
  <c r="AS26" i="39" s="1"/>
  <c r="AE37" i="39"/>
  <c r="AL37" i="39"/>
  <c r="AC37" i="39"/>
  <c r="AU15" i="39"/>
  <c r="F15" i="39"/>
  <c r="AM15" i="39" s="1"/>
  <c r="N15" i="39"/>
  <c r="G15" i="39"/>
  <c r="O15" i="39"/>
  <c r="I15" i="39"/>
  <c r="Z15" i="39" s="1"/>
  <c r="AP15" i="39" s="1"/>
  <c r="Q15" i="39"/>
  <c r="H15" i="39"/>
  <c r="J15" i="39"/>
  <c r="AN15" i="39" s="1"/>
  <c r="K15" i="39"/>
  <c r="AK15" i="39" s="1"/>
  <c r="L15" i="39"/>
  <c r="AQ15" i="39" s="1"/>
  <c r="AF15" i="39"/>
  <c r="M15" i="39"/>
  <c r="AS15" i="39" s="1"/>
  <c r="C15" i="39"/>
  <c r="P15" i="39"/>
  <c r="D15" i="39"/>
  <c r="AJ15" i="39" s="1"/>
  <c r="E15" i="39"/>
  <c r="AU6" i="39"/>
  <c r="D6" i="39"/>
  <c r="AJ6" i="39" s="1"/>
  <c r="L6" i="39"/>
  <c r="AQ6" i="39" s="1"/>
  <c r="G6" i="39"/>
  <c r="O6" i="39"/>
  <c r="H6" i="39"/>
  <c r="P6" i="39"/>
  <c r="I6" i="39"/>
  <c r="Q6" i="39"/>
  <c r="AF6" i="39"/>
  <c r="J6" i="39"/>
  <c r="AN6" i="39" s="1"/>
  <c r="K6" i="39"/>
  <c r="AK6" i="39" s="1"/>
  <c r="M6" i="39"/>
  <c r="AS6" i="39" s="1"/>
  <c r="N6" i="39"/>
  <c r="C6" i="39"/>
  <c r="E6" i="39"/>
  <c r="F6" i="39"/>
  <c r="AM6" i="39" s="1"/>
  <c r="AE26" i="39"/>
  <c r="AC26" i="39"/>
  <c r="AL26" i="39"/>
  <c r="AU45" i="39"/>
  <c r="D45" i="39"/>
  <c r="AJ45" i="39" s="1"/>
  <c r="L45" i="39"/>
  <c r="AQ45" i="39" s="1"/>
  <c r="E45" i="39"/>
  <c r="M45" i="39"/>
  <c r="AS45" i="39" s="1"/>
  <c r="H45" i="39"/>
  <c r="P45" i="39"/>
  <c r="AF45" i="39"/>
  <c r="O45" i="39"/>
  <c r="C45" i="39"/>
  <c r="Q45" i="39"/>
  <c r="F45" i="39"/>
  <c r="AM45" i="39" s="1"/>
  <c r="G45" i="39"/>
  <c r="I45" i="39"/>
  <c r="Z45" i="39" s="1"/>
  <c r="AP45" i="39" s="1"/>
  <c r="J45" i="39"/>
  <c r="AN45" i="39" s="1"/>
  <c r="K45" i="39"/>
  <c r="AK45" i="39" s="1"/>
  <c r="N45" i="39"/>
  <c r="AC15" i="39"/>
  <c r="AE15" i="39"/>
  <c r="AL15" i="39"/>
  <c r="AC40" i="39"/>
  <c r="AL40" i="39"/>
  <c r="AE40" i="39"/>
  <c r="AU59" i="39"/>
  <c r="F59" i="39"/>
  <c r="AM59" i="39" s="1"/>
  <c r="N59" i="39"/>
  <c r="AF59" i="39"/>
  <c r="J59" i="39"/>
  <c r="AN59" i="39" s="1"/>
  <c r="L59" i="39"/>
  <c r="AQ59" i="39" s="1"/>
  <c r="C59" i="39"/>
  <c r="M59" i="39"/>
  <c r="AS59" i="39" s="1"/>
  <c r="D59" i="39"/>
  <c r="AJ59" i="39" s="1"/>
  <c r="O59" i="39"/>
  <c r="E59" i="39"/>
  <c r="P59" i="39"/>
  <c r="G59" i="39"/>
  <c r="Q59" i="39"/>
  <c r="H59" i="39"/>
  <c r="I59" i="39"/>
  <c r="Z59" i="39" s="1"/>
  <c r="AP59" i="39" s="1"/>
  <c r="K59" i="39"/>
  <c r="AK59" i="39" s="1"/>
  <c r="AU68" i="39"/>
  <c r="E68" i="39"/>
  <c r="M68" i="39"/>
  <c r="AS68" i="39" s="1"/>
  <c r="J68" i="39"/>
  <c r="AN68" i="39" s="1"/>
  <c r="AF68" i="39"/>
  <c r="K68" i="39"/>
  <c r="AK68" i="39" s="1"/>
  <c r="C68" i="39"/>
  <c r="L68" i="39"/>
  <c r="AQ68" i="39" s="1"/>
  <c r="D68" i="39"/>
  <c r="AJ68" i="39" s="1"/>
  <c r="N68" i="39"/>
  <c r="F68" i="39"/>
  <c r="AM68" i="39" s="1"/>
  <c r="O68" i="39"/>
  <c r="G68" i="39"/>
  <c r="P68" i="39"/>
  <c r="H68" i="39"/>
  <c r="Q68" i="39"/>
  <c r="I68" i="39"/>
  <c r="Z68" i="39" s="1"/>
  <c r="AP68" i="39" s="1"/>
  <c r="E41" i="39"/>
  <c r="M41" i="39"/>
  <c r="AS41" i="39" s="1"/>
  <c r="AU41" i="39"/>
  <c r="G41" i="39"/>
  <c r="O41" i="39"/>
  <c r="F41" i="39"/>
  <c r="AM41" i="39" s="1"/>
  <c r="Q41" i="39"/>
  <c r="I41" i="39"/>
  <c r="J41" i="39"/>
  <c r="AN41" i="39" s="1"/>
  <c r="K41" i="39"/>
  <c r="AK41" i="39" s="1"/>
  <c r="C41" i="39"/>
  <c r="N41" i="39"/>
  <c r="AF41" i="39"/>
  <c r="D41" i="39"/>
  <c r="AJ41" i="39" s="1"/>
  <c r="H41" i="39"/>
  <c r="L41" i="39"/>
  <c r="AQ41" i="39" s="1"/>
  <c r="P41" i="39"/>
  <c r="AL23" i="39"/>
  <c r="AC23" i="39"/>
  <c r="AE23" i="39"/>
  <c r="AL46" i="39"/>
  <c r="AC46" i="39"/>
  <c r="AE46" i="39"/>
  <c r="AU25" i="39"/>
  <c r="D25" i="39"/>
  <c r="AJ25" i="39" s="1"/>
  <c r="L25" i="39"/>
  <c r="AQ25" i="39" s="1"/>
  <c r="E25" i="39"/>
  <c r="M25" i="39"/>
  <c r="AS25" i="39" s="1"/>
  <c r="G25" i="39"/>
  <c r="O25" i="39"/>
  <c r="N25" i="39"/>
  <c r="AF25" i="39"/>
  <c r="P25" i="39"/>
  <c r="C25" i="39"/>
  <c r="Q25" i="39"/>
  <c r="F25" i="39"/>
  <c r="AM25" i="39" s="1"/>
  <c r="H25" i="39"/>
  <c r="I25" i="39"/>
  <c r="Z25" i="39" s="1"/>
  <c r="AP25" i="39" s="1"/>
  <c r="J25" i="39"/>
  <c r="AN25" i="39" s="1"/>
  <c r="K25" i="39"/>
  <c r="AK25" i="39" s="1"/>
  <c r="AC13" i="39"/>
  <c r="AE13" i="39"/>
  <c r="AL13" i="39"/>
  <c r="AC4" i="39"/>
  <c r="AL4" i="39"/>
  <c r="AE4" i="39"/>
  <c r="AU21" i="39"/>
  <c r="H21" i="39"/>
  <c r="P21" i="39"/>
  <c r="I21" i="39"/>
  <c r="Z21" i="39" s="1"/>
  <c r="AP21" i="39" s="1"/>
  <c r="Q21" i="39"/>
  <c r="C21" i="39"/>
  <c r="K21" i="39"/>
  <c r="AK21" i="39" s="1"/>
  <c r="L21" i="39"/>
  <c r="AQ21" i="39" s="1"/>
  <c r="M21" i="39"/>
  <c r="AS21" i="39" s="1"/>
  <c r="AF21" i="39"/>
  <c r="N21" i="39"/>
  <c r="D21" i="39"/>
  <c r="AJ21" i="39" s="1"/>
  <c r="O21" i="39"/>
  <c r="E21" i="39"/>
  <c r="F21" i="39"/>
  <c r="AM21" i="39" s="1"/>
  <c r="G21" i="39"/>
  <c r="J21" i="39"/>
  <c r="AN21" i="39" s="1"/>
  <c r="AE56" i="39"/>
  <c r="AC56" i="39"/>
  <c r="AL56" i="39"/>
  <c r="AU32" i="39"/>
  <c r="E32" i="39"/>
  <c r="M32" i="39"/>
  <c r="AS32" i="39" s="1"/>
  <c r="F32" i="39"/>
  <c r="AM32" i="39" s="1"/>
  <c r="N32" i="39"/>
  <c r="H32" i="39"/>
  <c r="P32" i="39"/>
  <c r="D32" i="39"/>
  <c r="AJ32" i="39" s="1"/>
  <c r="I32" i="39"/>
  <c r="J32" i="39"/>
  <c r="AN32" i="39" s="1"/>
  <c r="K32" i="39"/>
  <c r="AK32" i="39" s="1"/>
  <c r="AF32" i="39"/>
  <c r="O32" i="39"/>
  <c r="Q32" i="39"/>
  <c r="C32" i="39"/>
  <c r="G32" i="39"/>
  <c r="L32" i="39"/>
  <c r="AQ32" i="39" s="1"/>
  <c r="AC45" i="39"/>
  <c r="AE45" i="39"/>
  <c r="AL45" i="39"/>
  <c r="AU43" i="39"/>
  <c r="D43" i="39"/>
  <c r="AJ43" i="39" s="1"/>
  <c r="L43" i="39"/>
  <c r="AQ43" i="39" s="1"/>
  <c r="F43" i="39"/>
  <c r="AM43" i="39" s="1"/>
  <c r="N43" i="39"/>
  <c r="G43" i="39"/>
  <c r="O43" i="39"/>
  <c r="H43" i="39"/>
  <c r="P43" i="39"/>
  <c r="AF43" i="39"/>
  <c r="J43" i="39"/>
  <c r="AN43" i="39" s="1"/>
  <c r="Q43" i="39"/>
  <c r="C43" i="39"/>
  <c r="E43" i="39"/>
  <c r="I43" i="39"/>
  <c r="Z43" i="39" s="1"/>
  <c r="AP43" i="39" s="1"/>
  <c r="K43" i="39"/>
  <c r="AK43" i="39" s="1"/>
  <c r="M43" i="39"/>
  <c r="AS43" i="39" s="1"/>
  <c r="AC32" i="39"/>
  <c r="AE32" i="39"/>
  <c r="AC57" i="39"/>
  <c r="AL57" i="39"/>
  <c r="AE57" i="39"/>
  <c r="AE66" i="39"/>
  <c r="AL66" i="39"/>
  <c r="AC66" i="39"/>
  <c r="AU44" i="39"/>
  <c r="C44" i="39"/>
  <c r="K44" i="39"/>
  <c r="AK44" i="39" s="1"/>
  <c r="E44" i="39"/>
  <c r="M44" i="39"/>
  <c r="AS44" i="39" s="1"/>
  <c r="F44" i="39"/>
  <c r="AM44" i="39" s="1"/>
  <c r="N44" i="39"/>
  <c r="G44" i="39"/>
  <c r="O44" i="39"/>
  <c r="I44" i="39"/>
  <c r="Z44" i="39" s="1"/>
  <c r="AP44" i="39" s="1"/>
  <c r="Q44" i="39"/>
  <c r="L44" i="39"/>
  <c r="AQ44" i="39" s="1"/>
  <c r="P44" i="39"/>
  <c r="AF44" i="39"/>
  <c r="D44" i="39"/>
  <c r="AJ44" i="39" s="1"/>
  <c r="H44" i="39"/>
  <c r="J44" i="39"/>
  <c r="AN44" i="39" s="1"/>
  <c r="AC39" i="39"/>
  <c r="AL39" i="39"/>
  <c r="AE39" i="39"/>
  <c r="AE22" i="39"/>
  <c r="AL22" i="39"/>
  <c r="AC22" i="39"/>
  <c r="I64" i="39"/>
  <c r="Z64" i="39" s="1"/>
  <c r="AP64" i="39" s="1"/>
  <c r="Q64" i="39"/>
  <c r="AU64" i="39"/>
  <c r="E64" i="39"/>
  <c r="M64" i="39"/>
  <c r="AS64" i="39" s="1"/>
  <c r="D64" i="39"/>
  <c r="AJ64" i="39" s="1"/>
  <c r="O64" i="39"/>
  <c r="F64" i="39"/>
  <c r="AM64" i="39" s="1"/>
  <c r="P64" i="39"/>
  <c r="G64" i="39"/>
  <c r="H64" i="39"/>
  <c r="J64" i="39"/>
  <c r="AN64" i="39" s="1"/>
  <c r="K64" i="39"/>
  <c r="AK64" i="39" s="1"/>
  <c r="AF64" i="39"/>
  <c r="L64" i="39"/>
  <c r="AQ64" i="39" s="1"/>
  <c r="C64" i="39"/>
  <c r="N64" i="39"/>
  <c r="AC28" i="39"/>
  <c r="AL28" i="39"/>
  <c r="AE28" i="39"/>
  <c r="AU24" i="39"/>
  <c r="E24" i="39"/>
  <c r="M24" i="39"/>
  <c r="AS24" i="39" s="1"/>
  <c r="F24" i="39"/>
  <c r="AM24" i="39" s="1"/>
  <c r="N24" i="39"/>
  <c r="H24" i="39"/>
  <c r="P24" i="39"/>
  <c r="L24" i="39"/>
  <c r="AQ24" i="39" s="1"/>
  <c r="AF24" i="39"/>
  <c r="O24" i="39"/>
  <c r="C24" i="39"/>
  <c r="Q24" i="39"/>
  <c r="D24" i="39"/>
  <c r="AJ24" i="39" s="1"/>
  <c r="G24" i="39"/>
  <c r="I24" i="39"/>
  <c r="Z24" i="39" s="1"/>
  <c r="AP24" i="39" s="1"/>
  <c r="J24" i="39"/>
  <c r="AN24" i="39" s="1"/>
  <c r="K24" i="39"/>
  <c r="AK24" i="39" s="1"/>
  <c r="AU31" i="39"/>
  <c r="F31" i="39"/>
  <c r="AM31" i="39" s="1"/>
  <c r="N31" i="39"/>
  <c r="G31" i="39"/>
  <c r="O31" i="39"/>
  <c r="I31" i="39"/>
  <c r="Z31" i="39" s="1"/>
  <c r="AP31" i="39" s="1"/>
  <c r="Q31" i="39"/>
  <c r="D31" i="39"/>
  <c r="AJ31" i="39" s="1"/>
  <c r="H31" i="39"/>
  <c r="J31" i="39"/>
  <c r="AN31" i="39" s="1"/>
  <c r="K31" i="39"/>
  <c r="AK31" i="39" s="1"/>
  <c r="AF31" i="39"/>
  <c r="M31" i="39"/>
  <c r="AS31" i="39" s="1"/>
  <c r="E31" i="39"/>
  <c r="L31" i="39"/>
  <c r="AQ31" i="39" s="1"/>
  <c r="P31" i="39"/>
  <c r="C31" i="39"/>
  <c r="AU3" i="39"/>
  <c r="H3" i="39"/>
  <c r="P3" i="39"/>
  <c r="AF3" i="39"/>
  <c r="J3" i="39"/>
  <c r="AN3" i="39" s="1"/>
  <c r="E3" i="39"/>
  <c r="O3" i="39"/>
  <c r="I3" i="39"/>
  <c r="Z3" i="39" s="1"/>
  <c r="AP3" i="39" s="1"/>
  <c r="K3" i="39"/>
  <c r="AK3" i="39" s="1"/>
  <c r="L3" i="39"/>
  <c r="AQ3" i="39" s="1"/>
  <c r="C3" i="39"/>
  <c r="M3" i="39"/>
  <c r="AS3" i="39" s="1"/>
  <c r="D3" i="39"/>
  <c r="AJ3" i="39" s="1"/>
  <c r="F3" i="39"/>
  <c r="AM3" i="39" s="1"/>
  <c r="G3" i="39"/>
  <c r="N3" i="39"/>
  <c r="Q3" i="39"/>
  <c r="AL19" i="39"/>
  <c r="AE19" i="39"/>
  <c r="AC19" i="39"/>
  <c r="AU20" i="39"/>
  <c r="I20" i="39"/>
  <c r="Z20" i="39" s="1"/>
  <c r="AP20" i="39" s="1"/>
  <c r="Q20" i="39"/>
  <c r="AF20" i="39"/>
  <c r="J20" i="39"/>
  <c r="AN20" i="39" s="1"/>
  <c r="D20" i="39"/>
  <c r="AJ20" i="39" s="1"/>
  <c r="L20" i="39"/>
  <c r="AQ20" i="39" s="1"/>
  <c r="K20" i="39"/>
  <c r="AK20" i="39" s="1"/>
  <c r="M20" i="39"/>
  <c r="AS20" i="39" s="1"/>
  <c r="N20" i="39"/>
  <c r="C20" i="39"/>
  <c r="O20" i="39"/>
  <c r="E20" i="39"/>
  <c r="P20" i="39"/>
  <c r="F20" i="39"/>
  <c r="AM20" i="39" s="1"/>
  <c r="G20" i="39"/>
  <c r="H20" i="39"/>
  <c r="AU9" i="39"/>
  <c r="I9" i="39"/>
  <c r="Z9" i="39" s="1"/>
  <c r="AP9" i="39" s="1"/>
  <c r="Q9" i="39"/>
  <c r="D9" i="39"/>
  <c r="AJ9" i="39" s="1"/>
  <c r="L9" i="39"/>
  <c r="AQ9" i="39" s="1"/>
  <c r="E9" i="39"/>
  <c r="M9" i="39"/>
  <c r="AS9" i="39" s="1"/>
  <c r="F9" i="39"/>
  <c r="AM9" i="39" s="1"/>
  <c r="N9" i="39"/>
  <c r="G9" i="39"/>
  <c r="O9" i="39"/>
  <c r="AF9" i="39"/>
  <c r="C9" i="39"/>
  <c r="H9" i="39"/>
  <c r="J9" i="39"/>
  <c r="AN9" i="39" s="1"/>
  <c r="K9" i="39"/>
  <c r="AK9" i="39" s="1"/>
  <c r="P9" i="39"/>
  <c r="AC16" i="39"/>
  <c r="AL16" i="39"/>
  <c r="AE16" i="39"/>
  <c r="AU61" i="39"/>
  <c r="D61" i="39"/>
  <c r="AJ61" i="39" s="1"/>
  <c r="L61" i="39"/>
  <c r="AQ61" i="39" s="1"/>
  <c r="H61" i="39"/>
  <c r="P61" i="39"/>
  <c r="E61" i="39"/>
  <c r="O61" i="39"/>
  <c r="F61" i="39"/>
  <c r="AM61" i="39" s="1"/>
  <c r="Q61" i="39"/>
  <c r="G61" i="39"/>
  <c r="I61" i="39"/>
  <c r="Z61" i="39" s="1"/>
  <c r="AP61" i="39" s="1"/>
  <c r="J61" i="39"/>
  <c r="AN61" i="39" s="1"/>
  <c r="K61" i="39"/>
  <c r="AK61" i="39" s="1"/>
  <c r="AF61" i="39"/>
  <c r="M61" i="39"/>
  <c r="AS61" i="39" s="1"/>
  <c r="C61" i="39"/>
  <c r="N61" i="39"/>
  <c r="AE44" i="39"/>
  <c r="AL44" i="39"/>
  <c r="AC44" i="39"/>
  <c r="AU42" i="39"/>
  <c r="D42" i="39"/>
  <c r="AJ42" i="39" s="1"/>
  <c r="F42" i="39"/>
  <c r="AM42" i="39" s="1"/>
  <c r="N42" i="39"/>
  <c r="AF42" i="39"/>
  <c r="L42" i="39"/>
  <c r="AQ42" i="39" s="1"/>
  <c r="E42" i="39"/>
  <c r="O42" i="39"/>
  <c r="G42" i="39"/>
  <c r="P42" i="39"/>
  <c r="H42" i="39"/>
  <c r="Q42" i="39"/>
  <c r="J42" i="39"/>
  <c r="AN42" i="39" s="1"/>
  <c r="C42" i="39"/>
  <c r="I42" i="39"/>
  <c r="Z42" i="39" s="1"/>
  <c r="AP42" i="39" s="1"/>
  <c r="K42" i="39"/>
  <c r="AK42" i="39" s="1"/>
  <c r="M42" i="39"/>
  <c r="AS42" i="39" s="1"/>
  <c r="AE17" i="39"/>
  <c r="AL17" i="39"/>
  <c r="AC17" i="39"/>
  <c r="AE53" i="39"/>
  <c r="AL53" i="39"/>
  <c r="AC53" i="39"/>
  <c r="AC42" i="39"/>
  <c r="AL42" i="39"/>
  <c r="AE42" i="39"/>
  <c r="AU38" i="39"/>
  <c r="H38" i="39"/>
  <c r="P38" i="39"/>
  <c r="AF38" i="39"/>
  <c r="J38" i="39"/>
  <c r="AN38" i="39" s="1"/>
  <c r="F38" i="39"/>
  <c r="AM38" i="39" s="1"/>
  <c r="Q38" i="39"/>
  <c r="I38" i="39"/>
  <c r="Z38" i="39" s="1"/>
  <c r="AP38" i="39" s="1"/>
  <c r="K38" i="39"/>
  <c r="AK38" i="39" s="1"/>
  <c r="L38" i="39"/>
  <c r="AQ38" i="39" s="1"/>
  <c r="D38" i="39"/>
  <c r="AJ38" i="39" s="1"/>
  <c r="N38" i="39"/>
  <c r="G38" i="39"/>
  <c r="M38" i="39"/>
  <c r="AS38" i="39" s="1"/>
  <c r="O38" i="39"/>
  <c r="C38" i="39"/>
  <c r="E38" i="39"/>
  <c r="AU11" i="39"/>
  <c r="G11" i="39"/>
  <c r="O11" i="39"/>
  <c r="AF11" i="39"/>
  <c r="J11" i="39"/>
  <c r="AN11" i="39" s="1"/>
  <c r="C11" i="39"/>
  <c r="K11" i="39"/>
  <c r="AK11" i="39" s="1"/>
  <c r="D11" i="39"/>
  <c r="AJ11" i="39" s="1"/>
  <c r="L11" i="39"/>
  <c r="AQ11" i="39" s="1"/>
  <c r="E11" i="39"/>
  <c r="M11" i="39"/>
  <c r="AS11" i="39" s="1"/>
  <c r="N11" i="39"/>
  <c r="P11" i="39"/>
  <c r="Q11" i="39"/>
  <c r="F11" i="39"/>
  <c r="AM11" i="39" s="1"/>
  <c r="H11" i="39"/>
  <c r="I11" i="39"/>
  <c r="Z11" i="39" s="1"/>
  <c r="AP11" i="39" s="1"/>
  <c r="AC62" i="39"/>
  <c r="AL62" i="39"/>
  <c r="AE62" i="39"/>
  <c r="AE41" i="39"/>
  <c r="AC41" i="39"/>
  <c r="AL41" i="39"/>
  <c r="AU10" i="39"/>
  <c r="H10" i="39"/>
  <c r="P10" i="39"/>
  <c r="C10" i="39"/>
  <c r="K10" i="39"/>
  <c r="AK10" i="39" s="1"/>
  <c r="D10" i="39"/>
  <c r="AJ10" i="39" s="1"/>
  <c r="L10" i="39"/>
  <c r="AQ10" i="39" s="1"/>
  <c r="E10" i="39"/>
  <c r="M10" i="39"/>
  <c r="AS10" i="39" s="1"/>
  <c r="F10" i="39"/>
  <c r="AM10" i="39" s="1"/>
  <c r="N10" i="39"/>
  <c r="Q10" i="39"/>
  <c r="AF10" i="39"/>
  <c r="G10" i="39"/>
  <c r="I10" i="39"/>
  <c r="J10" i="39"/>
  <c r="AN10" i="39" s="1"/>
  <c r="O10" i="39"/>
  <c r="AL29" i="39"/>
  <c r="AC29" i="39"/>
  <c r="AE29" i="39"/>
  <c r="AU7" i="39"/>
  <c r="C7" i="39"/>
  <c r="K7" i="39"/>
  <c r="AK7" i="39" s="1"/>
  <c r="F7" i="39"/>
  <c r="AM7" i="39" s="1"/>
  <c r="N7" i="39"/>
  <c r="G7" i="39"/>
  <c r="O7" i="39"/>
  <c r="H7" i="39"/>
  <c r="P7" i="39"/>
  <c r="I7" i="39"/>
  <c r="Z7" i="39" s="1"/>
  <c r="AP7" i="39" s="1"/>
  <c r="Q7" i="39"/>
  <c r="E7" i="39"/>
  <c r="J7" i="39"/>
  <c r="AN7" i="39" s="1"/>
  <c r="L7" i="39"/>
  <c r="AQ7" i="39" s="1"/>
  <c r="M7" i="39"/>
  <c r="AS7" i="39" s="1"/>
  <c r="AF7" i="39"/>
  <c r="D7" i="39"/>
  <c r="AJ7" i="39" s="1"/>
  <c r="AU37" i="39"/>
  <c r="I37" i="39"/>
  <c r="Z37" i="39" s="1"/>
  <c r="AP37" i="39" s="1"/>
  <c r="Q37" i="39"/>
  <c r="C37" i="39"/>
  <c r="K37" i="39"/>
  <c r="AK37" i="39" s="1"/>
  <c r="J37" i="39"/>
  <c r="AN37" i="39" s="1"/>
  <c r="AF37" i="39"/>
  <c r="M37" i="39"/>
  <c r="AS37" i="39" s="1"/>
  <c r="D37" i="39"/>
  <c r="AJ37" i="39" s="1"/>
  <c r="N37" i="39"/>
  <c r="E37" i="39"/>
  <c r="O37" i="39"/>
  <c r="G37" i="39"/>
  <c r="F37" i="39"/>
  <c r="AM37" i="39" s="1"/>
  <c r="H37" i="39"/>
  <c r="L37" i="39"/>
  <c r="AQ37" i="39" s="1"/>
  <c r="P37" i="39"/>
  <c r="AE18" i="39"/>
  <c r="AL18" i="39"/>
  <c r="AC18" i="39"/>
  <c r="AC7" i="39"/>
  <c r="AL7" i="39"/>
  <c r="AE7" i="39"/>
  <c r="AE34" i="39"/>
  <c r="AC34" i="39"/>
  <c r="AL34" i="39"/>
  <c r="AL59" i="39"/>
  <c r="AC59" i="39"/>
  <c r="AE59" i="39"/>
  <c r="AU55" i="39"/>
  <c r="AF55" i="39"/>
  <c r="J55" i="39"/>
  <c r="AN55" i="39" s="1"/>
  <c r="C55" i="39"/>
  <c r="K55" i="39"/>
  <c r="AK55" i="39" s="1"/>
  <c r="F55" i="39"/>
  <c r="AM55" i="39" s="1"/>
  <c r="N55" i="39"/>
  <c r="H55" i="39"/>
  <c r="I55" i="39"/>
  <c r="Z55" i="39" s="1"/>
  <c r="AP55" i="39" s="1"/>
  <c r="L55" i="39"/>
  <c r="AQ55" i="39" s="1"/>
  <c r="M55" i="39"/>
  <c r="AS55" i="39" s="1"/>
  <c r="O55" i="39"/>
  <c r="D55" i="39"/>
  <c r="AJ55" i="39" s="1"/>
  <c r="P55" i="39"/>
  <c r="E55" i="39"/>
  <c r="Q55" i="39"/>
  <c r="G55" i="39"/>
  <c r="AE67" i="39"/>
  <c r="AL67" i="39"/>
  <c r="AC67" i="39"/>
  <c r="AE38" i="39"/>
  <c r="AC38" i="39"/>
  <c r="AL38" i="39"/>
  <c r="AC68" i="39"/>
  <c r="AL68" i="39"/>
  <c r="AE68" i="39"/>
  <c r="AE52" i="39"/>
  <c r="AC52" i="39"/>
  <c r="AL52" i="39"/>
  <c r="AU60" i="39"/>
  <c r="E60" i="39"/>
  <c r="M60" i="39"/>
  <c r="AS60" i="39" s="1"/>
  <c r="I60" i="39"/>
  <c r="Z60" i="39" s="1"/>
  <c r="AP60" i="39" s="1"/>
  <c r="Q60" i="39"/>
  <c r="H60" i="39"/>
  <c r="J60" i="39"/>
  <c r="AN60" i="39" s="1"/>
  <c r="K60" i="39"/>
  <c r="AK60" i="39" s="1"/>
  <c r="AF60" i="39"/>
  <c r="L60" i="39"/>
  <c r="AQ60" i="39" s="1"/>
  <c r="C60" i="39"/>
  <c r="N60" i="39"/>
  <c r="D60" i="39"/>
  <c r="AJ60" i="39" s="1"/>
  <c r="O60" i="39"/>
  <c r="F60" i="39"/>
  <c r="AM60" i="39" s="1"/>
  <c r="P60" i="39"/>
  <c r="G60" i="39"/>
  <c r="E33" i="39"/>
  <c r="M33" i="39"/>
  <c r="AS33" i="39" s="1"/>
  <c r="AU33" i="39"/>
  <c r="G33" i="39"/>
  <c r="O33" i="39"/>
  <c r="C33" i="39"/>
  <c r="N33" i="39"/>
  <c r="F33" i="39"/>
  <c r="AM33" i="39" s="1"/>
  <c r="Q33" i="39"/>
  <c r="H33" i="39"/>
  <c r="I33" i="39"/>
  <c r="Z33" i="39" s="1"/>
  <c r="AP33" i="39" s="1"/>
  <c r="K33" i="39"/>
  <c r="AK33" i="39" s="1"/>
  <c r="AF33" i="39"/>
  <c r="D33" i="39"/>
  <c r="AJ33" i="39" s="1"/>
  <c r="J33" i="39"/>
  <c r="AN33" i="39" s="1"/>
  <c r="L33" i="39"/>
  <c r="AQ33" i="39" s="1"/>
  <c r="P33" i="39"/>
  <c r="AE36" i="39"/>
  <c r="AL36" i="39"/>
  <c r="AC36" i="39"/>
  <c r="AU57" i="39"/>
  <c r="H57" i="39"/>
  <c r="P57" i="39"/>
  <c r="D57" i="39"/>
  <c r="AJ57" i="39" s="1"/>
  <c r="L57" i="39"/>
  <c r="AQ57" i="39" s="1"/>
  <c r="I57" i="39"/>
  <c r="Z57" i="39" s="1"/>
  <c r="AP57" i="39" s="1"/>
  <c r="J57" i="39"/>
  <c r="AN57" i="39" s="1"/>
  <c r="K57" i="39"/>
  <c r="AK57" i="39" s="1"/>
  <c r="AF57" i="39"/>
  <c r="M57" i="39"/>
  <c r="AS57" i="39" s="1"/>
  <c r="C57" i="39"/>
  <c r="N57" i="39"/>
  <c r="E57" i="39"/>
  <c r="O57" i="39"/>
  <c r="F57" i="39"/>
  <c r="AM57" i="39" s="1"/>
  <c r="Q57" i="39"/>
  <c r="G57" i="39"/>
  <c r="AU19" i="39"/>
  <c r="AF19" i="39"/>
  <c r="J19" i="39"/>
  <c r="AN19" i="39" s="1"/>
  <c r="C19" i="39"/>
  <c r="K19" i="39"/>
  <c r="AK19" i="39" s="1"/>
  <c r="E19" i="39"/>
  <c r="M19" i="39"/>
  <c r="AS19" i="39" s="1"/>
  <c r="I19" i="39"/>
  <c r="Z19" i="39" s="1"/>
  <c r="AP19" i="39" s="1"/>
  <c r="L19" i="39"/>
  <c r="AQ19" i="39" s="1"/>
  <c r="N19" i="39"/>
  <c r="O19" i="39"/>
  <c r="D19" i="39"/>
  <c r="AJ19" i="39" s="1"/>
  <c r="P19" i="39"/>
  <c r="F19" i="39"/>
  <c r="AM19" i="39" s="1"/>
  <c r="Q19" i="39"/>
  <c r="G19" i="39"/>
  <c r="H19" i="39"/>
  <c r="AU22" i="39"/>
  <c r="G22" i="39"/>
  <c r="O22" i="39"/>
  <c r="H22" i="39"/>
  <c r="P22" i="39"/>
  <c r="AF22" i="39"/>
  <c r="J22" i="39"/>
  <c r="AN22" i="39" s="1"/>
  <c r="L22" i="39"/>
  <c r="AQ22" i="39" s="1"/>
  <c r="M22" i="39"/>
  <c r="AS22" i="39" s="1"/>
  <c r="C22" i="39"/>
  <c r="N22" i="39"/>
  <c r="D22" i="39"/>
  <c r="AJ22" i="39" s="1"/>
  <c r="Q22" i="39"/>
  <c r="E22" i="39"/>
  <c r="F22" i="39"/>
  <c r="AM22" i="39" s="1"/>
  <c r="I22" i="39"/>
  <c r="K22" i="39"/>
  <c r="AK22" i="39" s="1"/>
  <c r="AE35" i="39"/>
  <c r="AC35" i="39"/>
  <c r="AL35" i="39"/>
  <c r="AU13" i="39"/>
  <c r="E13" i="39"/>
  <c r="M13" i="39"/>
  <c r="AS13" i="39" s="1"/>
  <c r="H13" i="39"/>
  <c r="P13" i="39"/>
  <c r="I13" i="39"/>
  <c r="Z13" i="39" s="1"/>
  <c r="AP13" i="39" s="1"/>
  <c r="Q13" i="39"/>
  <c r="AF13" i="39"/>
  <c r="J13" i="39"/>
  <c r="AN13" i="39" s="1"/>
  <c r="C13" i="39"/>
  <c r="K13" i="39"/>
  <c r="AK13" i="39" s="1"/>
  <c r="F13" i="39"/>
  <c r="AM13" i="39" s="1"/>
  <c r="G13" i="39"/>
  <c r="L13" i="39"/>
  <c r="AQ13" i="39" s="1"/>
  <c r="N13" i="39"/>
  <c r="O13" i="39"/>
  <c r="D13" i="39"/>
  <c r="AJ13" i="39" s="1"/>
  <c r="AU58" i="39"/>
  <c r="G58" i="39"/>
  <c r="O58" i="39"/>
  <c r="C58" i="39"/>
  <c r="K58" i="39"/>
  <c r="AK58" i="39" s="1"/>
  <c r="E58" i="39"/>
  <c r="P58" i="39"/>
  <c r="F58" i="39"/>
  <c r="AM58" i="39" s="1"/>
  <c r="Q58" i="39"/>
  <c r="H58" i="39"/>
  <c r="I58" i="39"/>
  <c r="J58" i="39"/>
  <c r="AN58" i="39" s="1"/>
  <c r="L58" i="39"/>
  <c r="AQ58" i="39" s="1"/>
  <c r="AF58" i="39"/>
  <c r="M58" i="39"/>
  <c r="AS58" i="39" s="1"/>
  <c r="D58" i="39"/>
  <c r="AJ58" i="39" s="1"/>
  <c r="N58" i="39"/>
  <c r="Z58" i="39"/>
  <c r="AP58" i="39" s="1"/>
  <c r="AU54" i="39"/>
  <c r="C54" i="39"/>
  <c r="K54" i="39"/>
  <c r="AK54" i="39" s="1"/>
  <c r="D54" i="39"/>
  <c r="AJ54" i="39" s="1"/>
  <c r="L54" i="39"/>
  <c r="AQ54" i="39" s="1"/>
  <c r="G54" i="39"/>
  <c r="O54" i="39"/>
  <c r="H54" i="39"/>
  <c r="I54" i="39"/>
  <c r="Z54" i="39" s="1"/>
  <c r="AP54" i="39" s="1"/>
  <c r="J54" i="39"/>
  <c r="AN54" i="39" s="1"/>
  <c r="M54" i="39"/>
  <c r="AS54" i="39" s="1"/>
  <c r="N54" i="39"/>
  <c r="AF54" i="39"/>
  <c r="P54" i="39"/>
  <c r="E54" i="39"/>
  <c r="Q54" i="39"/>
  <c r="F54" i="39"/>
  <c r="AM54" i="39" s="1"/>
  <c r="AU66" i="39"/>
  <c r="G66" i="39"/>
  <c r="O66" i="39"/>
  <c r="C66" i="39"/>
  <c r="K66" i="39"/>
  <c r="AK66" i="39" s="1"/>
  <c r="H66" i="39"/>
  <c r="I66" i="39"/>
  <c r="Z66" i="39" s="1"/>
  <c r="AP66" i="39" s="1"/>
  <c r="J66" i="39"/>
  <c r="AN66" i="39" s="1"/>
  <c r="L66" i="39"/>
  <c r="AQ66" i="39" s="1"/>
  <c r="AF66" i="39"/>
  <c r="M66" i="39"/>
  <c r="AS66" i="39" s="1"/>
  <c r="D66" i="39"/>
  <c r="AJ66" i="39" s="1"/>
  <c r="N66" i="39"/>
  <c r="E66" i="39"/>
  <c r="P66" i="39"/>
  <c r="F66" i="39"/>
  <c r="AM66" i="39" s="1"/>
  <c r="Q66" i="39"/>
  <c r="AL31" i="39"/>
  <c r="AC31" i="39"/>
  <c r="AE31" i="39"/>
  <c r="AU34" i="39"/>
  <c r="D34" i="39"/>
  <c r="AJ34" i="39" s="1"/>
  <c r="L34" i="39"/>
  <c r="AQ34" i="39" s="1"/>
  <c r="F34" i="39"/>
  <c r="AM34" i="39" s="1"/>
  <c r="N34" i="39"/>
  <c r="J34" i="39"/>
  <c r="AN34" i="39" s="1"/>
  <c r="AF34" i="39"/>
  <c r="M34" i="39"/>
  <c r="AS34" i="39" s="1"/>
  <c r="C34" i="39"/>
  <c r="O34" i="39"/>
  <c r="E34" i="39"/>
  <c r="P34" i="39"/>
  <c r="H34" i="39"/>
  <c r="G34" i="39"/>
  <c r="I34" i="39"/>
  <c r="K34" i="39"/>
  <c r="AK34" i="39" s="1"/>
  <c r="Q34" i="39"/>
  <c r="AU65" i="39"/>
  <c r="H65" i="39"/>
  <c r="P65" i="39"/>
  <c r="D65" i="39"/>
  <c r="AJ65" i="39" s="1"/>
  <c r="L65" i="39"/>
  <c r="AQ65" i="39" s="1"/>
  <c r="K65" i="39"/>
  <c r="AK65" i="39" s="1"/>
  <c r="AF65" i="39"/>
  <c r="M65" i="39"/>
  <c r="AS65" i="39" s="1"/>
  <c r="C65" i="39"/>
  <c r="N65" i="39"/>
  <c r="E65" i="39"/>
  <c r="O65" i="39"/>
  <c r="F65" i="39"/>
  <c r="AM65" i="39" s="1"/>
  <c r="Q65" i="39"/>
  <c r="G65" i="39"/>
  <c r="I65" i="39"/>
  <c r="Z65" i="39" s="1"/>
  <c r="AP65" i="39" s="1"/>
  <c r="J65" i="39"/>
  <c r="AN65" i="39" s="1"/>
  <c r="AE51" i="39"/>
  <c r="AC51" i="39"/>
  <c r="AL51" i="39"/>
  <c r="AE58" i="39"/>
  <c r="AL58" i="39"/>
  <c r="AC58" i="39"/>
  <c r="AU30" i="39"/>
  <c r="G30" i="39"/>
  <c r="O30" i="39"/>
  <c r="H30" i="39"/>
  <c r="P30" i="39"/>
  <c r="AF30" i="39"/>
  <c r="J30" i="39"/>
  <c r="AN30" i="39" s="1"/>
  <c r="D30" i="39"/>
  <c r="AJ30" i="39" s="1"/>
  <c r="Q30" i="39"/>
  <c r="F30" i="39"/>
  <c r="AM30" i="39" s="1"/>
  <c r="I30" i="39"/>
  <c r="K30" i="39"/>
  <c r="AK30" i="39" s="1"/>
  <c r="M30" i="39"/>
  <c r="AS30" i="39" s="1"/>
  <c r="C30" i="39"/>
  <c r="E30" i="39"/>
  <c r="L30" i="39"/>
  <c r="AQ30" i="39" s="1"/>
  <c r="N30" i="39"/>
  <c r="AC20" i="39"/>
  <c r="AL20" i="39"/>
  <c r="AE20" i="39"/>
  <c r="AU35" i="39"/>
  <c r="C35" i="39"/>
  <c r="K35" i="39"/>
  <c r="AK35" i="39" s="1"/>
  <c r="E35" i="39"/>
  <c r="M35" i="39"/>
  <c r="AS35" i="39" s="1"/>
  <c r="G35" i="39"/>
  <c r="Q35" i="39"/>
  <c r="I35" i="39"/>
  <c r="Z35" i="39" s="1"/>
  <c r="AP35" i="39" s="1"/>
  <c r="J35" i="39"/>
  <c r="AN35" i="39" s="1"/>
  <c r="L35" i="39"/>
  <c r="AQ35" i="39" s="1"/>
  <c r="D35" i="39"/>
  <c r="AJ35" i="39" s="1"/>
  <c r="O35" i="39"/>
  <c r="AF35" i="39"/>
  <c r="F35" i="39"/>
  <c r="AM35" i="39" s="1"/>
  <c r="H35" i="39"/>
  <c r="N35" i="39"/>
  <c r="P35" i="39"/>
  <c r="AC55" i="39"/>
  <c r="AL55" i="39"/>
  <c r="AE55" i="39"/>
  <c r="AU18" i="39"/>
  <c r="C18" i="39"/>
  <c r="K18" i="39"/>
  <c r="AK18" i="39" s="1"/>
  <c r="D18" i="39"/>
  <c r="AJ18" i="39" s="1"/>
  <c r="L18" i="39"/>
  <c r="AQ18" i="39" s="1"/>
  <c r="F18" i="39"/>
  <c r="AM18" i="39" s="1"/>
  <c r="N18" i="39"/>
  <c r="I18" i="39"/>
  <c r="Z18" i="39" s="1"/>
  <c r="AP18" i="39" s="1"/>
  <c r="J18" i="39"/>
  <c r="AN18" i="39" s="1"/>
  <c r="M18" i="39"/>
  <c r="AS18" i="39" s="1"/>
  <c r="O18" i="39"/>
  <c r="AF18" i="39"/>
  <c r="P18" i="39"/>
  <c r="E18" i="39"/>
  <c r="Q18" i="39"/>
  <c r="G18" i="39"/>
  <c r="H18" i="39"/>
  <c r="AU56" i="39"/>
  <c r="I56" i="39"/>
  <c r="Q56" i="39"/>
  <c r="AF56" i="39"/>
  <c r="J56" i="39"/>
  <c r="AN56" i="39" s="1"/>
  <c r="E56" i="39"/>
  <c r="M56" i="39"/>
  <c r="AS56" i="39" s="1"/>
  <c r="H56" i="39"/>
  <c r="K56" i="39"/>
  <c r="AK56" i="39" s="1"/>
  <c r="L56" i="39"/>
  <c r="AQ56" i="39" s="1"/>
  <c r="N56" i="39"/>
  <c r="C56" i="39"/>
  <c r="O56" i="39"/>
  <c r="D56" i="39"/>
  <c r="AJ56" i="39" s="1"/>
  <c r="P56" i="39"/>
  <c r="F56" i="39"/>
  <c r="AM56" i="39" s="1"/>
  <c r="G56" i="39"/>
  <c r="AE14" i="39"/>
  <c r="AC14" i="39"/>
  <c r="AL14" i="39"/>
  <c r="AU23" i="39"/>
  <c r="F23" i="39"/>
  <c r="AM23" i="39" s="1"/>
  <c r="N23" i="39"/>
  <c r="G23" i="39"/>
  <c r="O23" i="39"/>
  <c r="I23" i="39"/>
  <c r="Z23" i="39" s="1"/>
  <c r="AP23" i="39" s="1"/>
  <c r="Q23" i="39"/>
  <c r="L23" i="39"/>
  <c r="AQ23" i="39" s="1"/>
  <c r="AF23" i="39"/>
  <c r="M23" i="39"/>
  <c r="AS23" i="39" s="1"/>
  <c r="C23" i="39"/>
  <c r="P23" i="39"/>
  <c r="D23" i="39"/>
  <c r="AJ23" i="39" s="1"/>
  <c r="E23" i="39"/>
  <c r="H23" i="39"/>
  <c r="J23" i="39"/>
  <c r="AN23" i="39" s="1"/>
  <c r="K23" i="39"/>
  <c r="AK23" i="39" s="1"/>
  <c r="AU14" i="39"/>
  <c r="D14" i="39"/>
  <c r="AJ14" i="39" s="1"/>
  <c r="L14" i="39"/>
  <c r="AQ14" i="39" s="1"/>
  <c r="G14" i="39"/>
  <c r="O14" i="39"/>
  <c r="H14" i="39"/>
  <c r="P14" i="39"/>
  <c r="AF14" i="39"/>
  <c r="J14" i="39"/>
  <c r="AN14" i="39" s="1"/>
  <c r="C14" i="39"/>
  <c r="E14" i="39"/>
  <c r="F14" i="39"/>
  <c r="AM14" i="39" s="1"/>
  <c r="I14" i="39"/>
  <c r="Z14" i="39" s="1"/>
  <c r="AP14" i="39" s="1"/>
  <c r="K14" i="39"/>
  <c r="AK14" i="39" s="1"/>
  <c r="M14" i="39"/>
  <c r="AS14" i="39" s="1"/>
  <c r="N14" i="39"/>
  <c r="Q14" i="39"/>
  <c r="AC11" i="39"/>
  <c r="AL11" i="39"/>
  <c r="AE11" i="39"/>
  <c r="AU12" i="39"/>
  <c r="F12" i="39"/>
  <c r="AM12" i="39" s="1"/>
  <c r="N12" i="39"/>
  <c r="I12" i="39"/>
  <c r="Z12" i="39" s="1"/>
  <c r="AP12" i="39" s="1"/>
  <c r="Q12" i="39"/>
  <c r="AF12" i="39"/>
  <c r="J12" i="39"/>
  <c r="AN12" i="39" s="1"/>
  <c r="C12" i="39"/>
  <c r="K12" i="39"/>
  <c r="AK12" i="39" s="1"/>
  <c r="D12" i="39"/>
  <c r="AJ12" i="39" s="1"/>
  <c r="L12" i="39"/>
  <c r="AQ12" i="39" s="1"/>
  <c r="H12" i="39"/>
  <c r="M12" i="39"/>
  <c r="AS12" i="39" s="1"/>
  <c r="O12" i="39"/>
  <c r="P12" i="39"/>
  <c r="E12" i="39"/>
  <c r="G12" i="39"/>
  <c r="AE5" i="39"/>
  <c r="AC5" i="39"/>
  <c r="AL5" i="39"/>
  <c r="AU69" i="39"/>
  <c r="AF69" i="39"/>
  <c r="J69" i="39"/>
  <c r="AN69" i="39" s="1"/>
  <c r="C69" i="39"/>
  <c r="K69" i="39"/>
  <c r="AK69" i="39" s="1"/>
  <c r="D69" i="39"/>
  <c r="AJ69" i="39" s="1"/>
  <c r="L69" i="39"/>
  <c r="AQ69" i="39" s="1"/>
  <c r="E69" i="39"/>
  <c r="M69" i="39"/>
  <c r="AS69" i="39" s="1"/>
  <c r="F69" i="39"/>
  <c r="AM69" i="39" s="1"/>
  <c r="N69" i="39"/>
  <c r="G69" i="39"/>
  <c r="O69" i="39"/>
  <c r="H69" i="39"/>
  <c r="P69" i="39"/>
  <c r="I69" i="39"/>
  <c r="Z69" i="39" s="1"/>
  <c r="AP69" i="39" s="1"/>
  <c r="Q69" i="39"/>
  <c r="AU67" i="39"/>
  <c r="F67" i="39"/>
  <c r="AM67" i="39" s="1"/>
  <c r="N67" i="39"/>
  <c r="AF67" i="39"/>
  <c r="J67" i="39"/>
  <c r="AN67" i="39" s="1"/>
  <c r="D67" i="39"/>
  <c r="AJ67" i="39" s="1"/>
  <c r="O67" i="39"/>
  <c r="E67" i="39"/>
  <c r="P67" i="39"/>
  <c r="G67" i="39"/>
  <c r="Q67" i="39"/>
  <c r="H67" i="39"/>
  <c r="I67" i="39"/>
  <c r="Z67" i="39" s="1"/>
  <c r="AP67" i="39" s="1"/>
  <c r="K67" i="39"/>
  <c r="AK67" i="39" s="1"/>
  <c r="L67" i="39"/>
  <c r="AQ67" i="39" s="1"/>
  <c r="C67" i="39"/>
  <c r="M67" i="39"/>
  <c r="AS67" i="39" s="1"/>
  <c r="AU51" i="39"/>
  <c r="F51" i="39"/>
  <c r="AM51" i="39" s="1"/>
  <c r="N51" i="39"/>
  <c r="G51" i="39"/>
  <c r="O51" i="39"/>
  <c r="AF51" i="39"/>
  <c r="J51" i="39"/>
  <c r="AN51" i="39" s="1"/>
  <c r="E51" i="39"/>
  <c r="H51" i="39"/>
  <c r="I51" i="39"/>
  <c r="Z51" i="39" s="1"/>
  <c r="AP51" i="39" s="1"/>
  <c r="K51" i="39"/>
  <c r="AK51" i="39" s="1"/>
  <c r="L51" i="39"/>
  <c r="AQ51" i="39" s="1"/>
  <c r="M51" i="39"/>
  <c r="AS51" i="39" s="1"/>
  <c r="C51" i="39"/>
  <c r="P51" i="39"/>
  <c r="Q51" i="39"/>
  <c r="D51" i="39"/>
  <c r="AJ51" i="39" s="1"/>
  <c r="AU53" i="39"/>
  <c r="D53" i="39"/>
  <c r="AJ53" i="39" s="1"/>
  <c r="L53" i="39"/>
  <c r="AQ53" i="39" s="1"/>
  <c r="E53" i="39"/>
  <c r="M53" i="39"/>
  <c r="AS53" i="39" s="1"/>
  <c r="H53" i="39"/>
  <c r="P53" i="39"/>
  <c r="G53" i="39"/>
  <c r="I53" i="39"/>
  <c r="Z53" i="39" s="1"/>
  <c r="AP53" i="39" s="1"/>
  <c r="J53" i="39"/>
  <c r="AN53" i="39" s="1"/>
  <c r="K53" i="39"/>
  <c r="AK53" i="39" s="1"/>
  <c r="N53" i="39"/>
  <c r="AF53" i="39"/>
  <c r="O53" i="39"/>
  <c r="C53" i="39"/>
  <c r="Q53" i="39"/>
  <c r="F53" i="39"/>
  <c r="AM53" i="39" s="1"/>
  <c r="AL64" i="39"/>
  <c r="AC64" i="39"/>
  <c r="AE64" i="39"/>
  <c r="AU8" i="39"/>
  <c r="AF8" i="39"/>
  <c r="J8" i="39"/>
  <c r="AN8" i="39" s="1"/>
  <c r="E8" i="39"/>
  <c r="M8" i="39"/>
  <c r="AS8" i="39" s="1"/>
  <c r="F8" i="39"/>
  <c r="AM8" i="39" s="1"/>
  <c r="N8" i="39"/>
  <c r="G8" i="39"/>
  <c r="O8" i="39"/>
  <c r="H8" i="39"/>
  <c r="P8" i="39"/>
  <c r="C8" i="39"/>
  <c r="D8" i="39"/>
  <c r="AJ8" i="39" s="1"/>
  <c r="I8" i="39"/>
  <c r="K8" i="39"/>
  <c r="AK8" i="39" s="1"/>
  <c r="L8" i="39"/>
  <c r="AQ8" i="39" s="1"/>
  <c r="Q8" i="39"/>
  <c r="AE69" i="39"/>
  <c r="AL69" i="39"/>
  <c r="AC69" i="39"/>
  <c r="AC49" i="39"/>
  <c r="AL49" i="39"/>
  <c r="AE49" i="39"/>
  <c r="AC63" i="39"/>
  <c r="AL63" i="39"/>
  <c r="AE63" i="39"/>
  <c r="AE33" i="39"/>
  <c r="AL33" i="39"/>
  <c r="AC33" i="39"/>
  <c r="AU17" i="39"/>
  <c r="D17" i="39"/>
  <c r="AJ17" i="39" s="1"/>
  <c r="L17" i="39"/>
  <c r="AQ17" i="39" s="1"/>
  <c r="E17" i="39"/>
  <c r="M17" i="39"/>
  <c r="AS17" i="39" s="1"/>
  <c r="G17" i="39"/>
  <c r="O17" i="39"/>
  <c r="I17" i="39"/>
  <c r="Z17" i="39" s="1"/>
  <c r="AP17" i="39" s="1"/>
  <c r="J17" i="39"/>
  <c r="AN17" i="39" s="1"/>
  <c r="K17" i="39"/>
  <c r="AK17" i="39" s="1"/>
  <c r="N17" i="39"/>
  <c r="AF17" i="39"/>
  <c r="P17" i="39"/>
  <c r="C17" i="39"/>
  <c r="Q17" i="39"/>
  <c r="F17" i="39"/>
  <c r="AM17" i="39" s="1"/>
  <c r="H17" i="39"/>
  <c r="AE54" i="39"/>
  <c r="AL54" i="39"/>
  <c r="AC54" i="39"/>
  <c r="AE9" i="39"/>
  <c r="AL9" i="39"/>
  <c r="AC9" i="39"/>
  <c r="AL21" i="39"/>
  <c r="AE21" i="39"/>
  <c r="AC21" i="39"/>
  <c r="AC12" i="39"/>
  <c r="AL12" i="39"/>
  <c r="AE12" i="39"/>
  <c r="H29" i="39"/>
  <c r="P29" i="39"/>
  <c r="I29" i="39"/>
  <c r="Q29" i="39"/>
  <c r="C29" i="39"/>
  <c r="K29" i="39"/>
  <c r="AK29" i="39" s="1"/>
  <c r="D29" i="39"/>
  <c r="AJ29" i="39" s="1"/>
  <c r="O29" i="39"/>
  <c r="E29" i="39"/>
  <c r="F29" i="39"/>
  <c r="AM29" i="39" s="1"/>
  <c r="G29" i="39"/>
  <c r="AU29" i="39"/>
  <c r="J29" i="39"/>
  <c r="AN29" i="39" s="1"/>
  <c r="L29" i="39"/>
  <c r="AQ29" i="39" s="1"/>
  <c r="M29" i="39"/>
  <c r="AS29" i="39" s="1"/>
  <c r="N29" i="39"/>
  <c r="AF29" i="39"/>
  <c r="AE10" i="39"/>
  <c r="AC10" i="39"/>
  <c r="AL10" i="39"/>
  <c r="AU4" i="39"/>
  <c r="G4" i="39"/>
  <c r="O4" i="39"/>
  <c r="I4" i="39"/>
  <c r="Z4" i="39" s="1"/>
  <c r="AP4" i="39" s="1"/>
  <c r="Q4" i="39"/>
  <c r="AF4" i="39"/>
  <c r="L4" i="39"/>
  <c r="AQ4" i="39" s="1"/>
  <c r="E4" i="39"/>
  <c r="P4" i="39"/>
  <c r="F4" i="39"/>
  <c r="AM4" i="39" s="1"/>
  <c r="H4" i="39"/>
  <c r="J4" i="39"/>
  <c r="AN4" i="39" s="1"/>
  <c r="D4" i="39"/>
  <c r="AJ4" i="39" s="1"/>
  <c r="K4" i="39"/>
  <c r="AK4" i="39" s="1"/>
  <c r="M4" i="39"/>
  <c r="AS4" i="39" s="1"/>
  <c r="N4" i="39"/>
  <c r="C4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R54" i="39" l="1"/>
  <c r="R54" i="39"/>
  <c r="AR19" i="39"/>
  <c r="R19" i="39"/>
  <c r="AH57" i="39"/>
  <c r="AB57" i="39"/>
  <c r="AR60" i="39"/>
  <c r="R60" i="39"/>
  <c r="AR17" i="39"/>
  <c r="R17" i="39"/>
  <c r="AB8" i="39"/>
  <c r="AH8" i="39"/>
  <c r="AD53" i="39"/>
  <c r="AO53" i="39"/>
  <c r="Y53" i="39"/>
  <c r="X53" i="39"/>
  <c r="AD12" i="39"/>
  <c r="AO12" i="39"/>
  <c r="X12" i="39"/>
  <c r="Y12" i="39"/>
  <c r="AH18" i="39"/>
  <c r="AB18" i="39"/>
  <c r="AD19" i="39"/>
  <c r="AO19" i="39"/>
  <c r="X19" i="39"/>
  <c r="Y19" i="39"/>
  <c r="AR57" i="39"/>
  <c r="R57" i="39"/>
  <c r="AB37" i="39"/>
  <c r="AH37" i="39"/>
  <c r="AH10" i="39"/>
  <c r="AB10" i="39"/>
  <c r="AR38" i="39"/>
  <c r="R38" i="39"/>
  <c r="AR42" i="39"/>
  <c r="R42" i="39"/>
  <c r="AR9" i="39"/>
  <c r="R9" i="39"/>
  <c r="AR31" i="39"/>
  <c r="R31" i="39"/>
  <c r="AR24" i="39"/>
  <c r="R24" i="39"/>
  <c r="AR64" i="39"/>
  <c r="R64" i="39"/>
  <c r="AR43" i="39"/>
  <c r="R43" i="39"/>
  <c r="AO41" i="39"/>
  <c r="AD41" i="39"/>
  <c r="X41" i="39"/>
  <c r="Y41" i="39"/>
  <c r="AO68" i="39"/>
  <c r="AD68" i="39"/>
  <c r="X68" i="39"/>
  <c r="Y68" i="39"/>
  <c r="AO48" i="39"/>
  <c r="AD48" i="39"/>
  <c r="X48" i="39"/>
  <c r="Y48" i="39"/>
  <c r="AR40" i="39"/>
  <c r="R40" i="39"/>
  <c r="AR39" i="39"/>
  <c r="R39" i="39"/>
  <c r="AB27" i="39"/>
  <c r="AH27" i="39"/>
  <c r="AB52" i="39"/>
  <c r="AH52" i="39"/>
  <c r="AR36" i="39"/>
  <c r="R36" i="39"/>
  <c r="AR62" i="39"/>
  <c r="R62" i="39"/>
  <c r="AR63" i="39"/>
  <c r="R63" i="39"/>
  <c r="AH66" i="39"/>
  <c r="AB66" i="39"/>
  <c r="AR35" i="39"/>
  <c r="R35" i="39"/>
  <c r="AO30" i="39"/>
  <c r="AD30" i="39"/>
  <c r="X30" i="39"/>
  <c r="Y30" i="39"/>
  <c r="AB33" i="39"/>
  <c r="AH33" i="39"/>
  <c r="AR7" i="39"/>
  <c r="R7" i="39"/>
  <c r="AD42" i="39"/>
  <c r="AO42" i="39"/>
  <c r="X42" i="39"/>
  <c r="Y42" i="39"/>
  <c r="AO9" i="39"/>
  <c r="AD9" i="39"/>
  <c r="X9" i="39"/>
  <c r="Y9" i="39"/>
  <c r="AH20" i="39"/>
  <c r="AB20" i="39"/>
  <c r="AO44" i="39"/>
  <c r="AD44" i="39"/>
  <c r="X44" i="39"/>
  <c r="Y44" i="39"/>
  <c r="AH44" i="39"/>
  <c r="AB44" i="39"/>
  <c r="AH43" i="39"/>
  <c r="AB43" i="39"/>
  <c r="AB21" i="39"/>
  <c r="AH21" i="39"/>
  <c r="AO25" i="39"/>
  <c r="AD25" i="39"/>
  <c r="X25" i="39"/>
  <c r="Y25" i="39"/>
  <c r="AH6" i="39"/>
  <c r="AB6" i="39"/>
  <c r="AD6" i="39"/>
  <c r="AO6" i="39"/>
  <c r="X6" i="39"/>
  <c r="Y6" i="39"/>
  <c r="AO26" i="39"/>
  <c r="AD26" i="39"/>
  <c r="X26" i="39"/>
  <c r="Y26" i="39"/>
  <c r="AH48" i="39"/>
  <c r="AB48" i="39"/>
  <c r="AH46" i="39"/>
  <c r="AB46" i="39"/>
  <c r="AD50" i="39"/>
  <c r="AO50" i="39"/>
  <c r="X50" i="39"/>
  <c r="Y50" i="39"/>
  <c r="AR50" i="39"/>
  <c r="R50" i="39"/>
  <c r="AB35" i="39"/>
  <c r="AH35" i="39"/>
  <c r="AH4" i="39"/>
  <c r="AB4" i="39"/>
  <c r="AR4" i="39"/>
  <c r="R4" i="39"/>
  <c r="AR66" i="39"/>
  <c r="R66" i="39"/>
  <c r="AR67" i="39"/>
  <c r="R67" i="39"/>
  <c r="R12" i="39"/>
  <c r="AR12" i="39"/>
  <c r="AD18" i="39"/>
  <c r="AO18" i="39"/>
  <c r="X18" i="39"/>
  <c r="Y18" i="39"/>
  <c r="Z30" i="39"/>
  <c r="AP30" i="39" s="1"/>
  <c r="AR30" i="39"/>
  <c r="R30" i="39"/>
  <c r="AD11" i="39"/>
  <c r="AO11" i="39"/>
  <c r="X11" i="39"/>
  <c r="Y11" i="39"/>
  <c r="AR11" i="39"/>
  <c r="R11" i="39"/>
  <c r="AB45" i="39"/>
  <c r="AH45" i="39"/>
  <c r="AO5" i="39"/>
  <c r="AD5" i="39"/>
  <c r="Y5" i="39"/>
  <c r="X5" i="39"/>
  <c r="AD52" i="39"/>
  <c r="AO52" i="39"/>
  <c r="X52" i="39"/>
  <c r="Y52" i="39"/>
  <c r="AB62" i="39"/>
  <c r="AH62" i="39"/>
  <c r="AD63" i="39"/>
  <c r="AO63" i="39"/>
  <c r="X63" i="39"/>
  <c r="Y63" i="39"/>
  <c r="AD47" i="39"/>
  <c r="AO47" i="39"/>
  <c r="X47" i="39"/>
  <c r="Y47" i="39"/>
  <c r="AO29" i="39"/>
  <c r="AD29" i="39"/>
  <c r="Y29" i="39"/>
  <c r="X29" i="39"/>
  <c r="AO8" i="39"/>
  <c r="AD8" i="39"/>
  <c r="X8" i="39"/>
  <c r="Y8" i="39"/>
  <c r="AD34" i="39"/>
  <c r="AO34" i="39"/>
  <c r="Y34" i="39"/>
  <c r="X34" i="39"/>
  <c r="AB13" i="39"/>
  <c r="AH13" i="39"/>
  <c r="AO4" i="39"/>
  <c r="AD4" i="39"/>
  <c r="X4" i="39"/>
  <c r="Y4" i="39"/>
  <c r="AB17" i="39"/>
  <c r="AH17" i="39"/>
  <c r="Z8" i="39"/>
  <c r="AP8" i="39" s="1"/>
  <c r="AR51" i="39"/>
  <c r="R51" i="39"/>
  <c r="AD67" i="39"/>
  <c r="AO67" i="39"/>
  <c r="X67" i="39"/>
  <c r="Y67" i="39"/>
  <c r="AO69" i="39"/>
  <c r="AD69" i="39"/>
  <c r="X69" i="39"/>
  <c r="Y69" i="39"/>
  <c r="AB14" i="39"/>
  <c r="AH14" i="39"/>
  <c r="AB23" i="39"/>
  <c r="AH23" i="39"/>
  <c r="AR23" i="39"/>
  <c r="R23" i="39"/>
  <c r="AD35" i="39"/>
  <c r="AO35" i="39"/>
  <c r="X35" i="39"/>
  <c r="Y35" i="39"/>
  <c r="AR34" i="39"/>
  <c r="R34" i="39"/>
  <c r="AH53" i="39"/>
  <c r="AB53" i="39"/>
  <c r="AR53" i="39"/>
  <c r="R53" i="39"/>
  <c r="AD51" i="39"/>
  <c r="AO51" i="39"/>
  <c r="X51" i="39"/>
  <c r="Y51" i="39"/>
  <c r="AR18" i="39"/>
  <c r="R18" i="39"/>
  <c r="AB29" i="39"/>
  <c r="AH29" i="39"/>
  <c r="AB42" i="39"/>
  <c r="AH42" i="39"/>
  <c r="AD3" i="39"/>
  <c r="AO3" i="39"/>
  <c r="Y3" i="39"/>
  <c r="X3" i="39"/>
  <c r="AH31" i="39"/>
  <c r="AB31" i="39"/>
  <c r="AH64" i="39"/>
  <c r="AB64" i="39"/>
  <c r="AO64" i="39"/>
  <c r="AD64" i="39"/>
  <c r="X64" i="39"/>
  <c r="Y64" i="39"/>
  <c r="AR32" i="39"/>
  <c r="R32" i="39"/>
  <c r="AD32" i="39"/>
  <c r="AO32" i="39"/>
  <c r="Y32" i="39"/>
  <c r="X32" i="39"/>
  <c r="AR25" i="39"/>
  <c r="R25" i="39"/>
  <c r="Z29" i="39"/>
  <c r="AP29" i="39" s="1"/>
  <c r="AR69" i="39"/>
  <c r="R69" i="39"/>
  <c r="AB69" i="39"/>
  <c r="AH69" i="39"/>
  <c r="AH12" i="39"/>
  <c r="AB12" i="39"/>
  <c r="AH56" i="39"/>
  <c r="AB56" i="39"/>
  <c r="AD65" i="39"/>
  <c r="AO65" i="39"/>
  <c r="Y65" i="39"/>
  <c r="X65" i="39"/>
  <c r="AB65" i="39"/>
  <c r="AH65" i="39"/>
  <c r="Z34" i="39"/>
  <c r="AP34" i="39" s="1"/>
  <c r="AB54" i="39"/>
  <c r="AH54" i="39"/>
  <c r="AH58" i="39"/>
  <c r="AB58" i="39"/>
  <c r="AR13" i="39"/>
  <c r="R13" i="39"/>
  <c r="AO13" i="39"/>
  <c r="AD13" i="39"/>
  <c r="Y13" i="39"/>
  <c r="X13" i="39"/>
  <c r="AB22" i="39"/>
  <c r="AH22" i="39"/>
  <c r="AO33" i="39"/>
  <c r="AD33" i="39"/>
  <c r="X33" i="39"/>
  <c r="Y33" i="39"/>
  <c r="AR33" i="39"/>
  <c r="R33" i="39"/>
  <c r="AH55" i="39"/>
  <c r="AB55" i="39"/>
  <c r="AD37" i="39"/>
  <c r="AO37" i="39"/>
  <c r="X37" i="39"/>
  <c r="Y37" i="39"/>
  <c r="AO61" i="39"/>
  <c r="AD61" i="39"/>
  <c r="Y61" i="39"/>
  <c r="X61" i="39"/>
  <c r="AO20" i="39"/>
  <c r="X20" i="39"/>
  <c r="AD20" i="39"/>
  <c r="Y20" i="39"/>
  <c r="AR3" i="39"/>
  <c r="R3" i="39"/>
  <c r="AH24" i="39"/>
  <c r="AB24" i="39"/>
  <c r="AR44" i="39"/>
  <c r="R44" i="39"/>
  <c r="AH32" i="39"/>
  <c r="AB32" i="39"/>
  <c r="Z41" i="39"/>
  <c r="AP41" i="39" s="1"/>
  <c r="AB68" i="39"/>
  <c r="AH68" i="39"/>
  <c r="AD59" i="39"/>
  <c r="AO59" i="39"/>
  <c r="X59" i="39"/>
  <c r="Y59" i="39"/>
  <c r="AR26" i="39"/>
  <c r="R26" i="39"/>
  <c r="AD28" i="39"/>
  <c r="AO28" i="39"/>
  <c r="X28" i="39"/>
  <c r="Y28" i="39"/>
  <c r="AB39" i="39"/>
  <c r="AH39" i="39"/>
  <c r="AD36" i="39"/>
  <c r="AO36" i="39"/>
  <c r="Y36" i="39"/>
  <c r="X36" i="39"/>
  <c r="AO62" i="39"/>
  <c r="AD62" i="39"/>
  <c r="X62" i="39"/>
  <c r="Y62" i="39"/>
  <c r="Z63" i="39"/>
  <c r="AP63" i="39" s="1"/>
  <c r="AO17" i="39"/>
  <c r="AD17" i="39"/>
  <c r="X17" i="39"/>
  <c r="Y17" i="39"/>
  <c r="AR56" i="39"/>
  <c r="R56" i="39"/>
  <c r="AO56" i="39"/>
  <c r="AD56" i="39"/>
  <c r="X56" i="39"/>
  <c r="Y56" i="39"/>
  <c r="AB30" i="39"/>
  <c r="AH30" i="39"/>
  <c r="AR29" i="39"/>
  <c r="R29" i="39"/>
  <c r="AR8" i="39"/>
  <c r="R8" i="39"/>
  <c r="AH51" i="39"/>
  <c r="AB51" i="39"/>
  <c r="AB67" i="39"/>
  <c r="AH67" i="39"/>
  <c r="AO14" i="39"/>
  <c r="AD14" i="39"/>
  <c r="X14" i="39"/>
  <c r="Y14" i="39"/>
  <c r="Z56" i="39"/>
  <c r="AP56" i="39" s="1"/>
  <c r="AR65" i="39"/>
  <c r="R65" i="39"/>
  <c r="AD66" i="39"/>
  <c r="AO66" i="39"/>
  <c r="X66" i="39"/>
  <c r="Y66" i="39"/>
  <c r="AD54" i="39"/>
  <c r="AO54" i="39"/>
  <c r="X54" i="39"/>
  <c r="Y54" i="39"/>
  <c r="AD58" i="39"/>
  <c r="AO58" i="39"/>
  <c r="X58" i="39"/>
  <c r="Y58" i="39"/>
  <c r="AR22" i="39"/>
  <c r="R22" i="39"/>
  <c r="AH19" i="39"/>
  <c r="AB19" i="39"/>
  <c r="AO57" i="39"/>
  <c r="AD57" i="39"/>
  <c r="Y57" i="39"/>
  <c r="X57" i="39"/>
  <c r="AD10" i="39"/>
  <c r="AO10" i="39"/>
  <c r="Y10" i="39"/>
  <c r="X10" i="39"/>
  <c r="AR61" i="39"/>
  <c r="R61" i="39"/>
  <c r="AR20" i="39"/>
  <c r="R20" i="39"/>
  <c r="Z32" i="39"/>
  <c r="AP32" i="39" s="1"/>
  <c r="AO21" i="39"/>
  <c r="AD21" i="39"/>
  <c r="Y21" i="39"/>
  <c r="X21" i="39"/>
  <c r="AR41" i="39"/>
  <c r="R41" i="39"/>
  <c r="AB15" i="39"/>
  <c r="AH15" i="39"/>
  <c r="AH28" i="39"/>
  <c r="AB28" i="39"/>
  <c r="AR16" i="39"/>
  <c r="R16" i="39"/>
  <c r="AD49" i="39"/>
  <c r="AO49" i="39"/>
  <c r="Y49" i="39"/>
  <c r="X49" i="39"/>
  <c r="AH36" i="39"/>
  <c r="AB36" i="39"/>
  <c r="AR47" i="39"/>
  <c r="R47" i="39"/>
  <c r="AB47" i="39"/>
  <c r="AH47" i="39"/>
  <c r="AB34" i="39"/>
  <c r="AH34" i="39"/>
  <c r="AR58" i="39"/>
  <c r="R58" i="39"/>
  <c r="AD22" i="39"/>
  <c r="X22" i="39"/>
  <c r="Y22" i="39"/>
  <c r="AO22" i="39"/>
  <c r="Z22" i="39"/>
  <c r="AP22" i="39" s="1"/>
  <c r="AB60" i="39"/>
  <c r="AH60" i="39"/>
  <c r="AD60" i="39"/>
  <c r="AO60" i="39"/>
  <c r="X60" i="39"/>
  <c r="Y60" i="39"/>
  <c r="AR55" i="39"/>
  <c r="R55" i="39"/>
  <c r="AD7" i="39"/>
  <c r="AO7" i="39"/>
  <c r="X7" i="39"/>
  <c r="Y7" i="39"/>
  <c r="AH7" i="39"/>
  <c r="AB7" i="39"/>
  <c r="AR10" i="39"/>
  <c r="R10" i="39"/>
  <c r="AH38" i="39"/>
  <c r="AB38" i="39"/>
  <c r="AB9" i="39"/>
  <c r="AH9" i="39"/>
  <c r="AB25" i="39"/>
  <c r="AH25" i="39"/>
  <c r="AB41" i="39"/>
  <c r="AH41" i="39"/>
  <c r="AR68" i="39"/>
  <c r="R68" i="39"/>
  <c r="AH59" i="39"/>
  <c r="AB59" i="39"/>
  <c r="AR6" i="39"/>
  <c r="R6" i="39"/>
  <c r="AD15" i="39"/>
  <c r="AO15" i="39"/>
  <c r="X15" i="39"/>
  <c r="Y15" i="39"/>
  <c r="Z5" i="39"/>
  <c r="AP5" i="39" s="1"/>
  <c r="AO40" i="39"/>
  <c r="AD40" i="39"/>
  <c r="Y40" i="39"/>
  <c r="X40" i="39"/>
  <c r="AB40" i="39"/>
  <c r="AH40" i="39"/>
  <c r="AO46" i="39"/>
  <c r="AD46" i="39"/>
  <c r="X46" i="39"/>
  <c r="Y46" i="39"/>
  <c r="AR46" i="39"/>
  <c r="R46" i="39"/>
  <c r="AD27" i="39"/>
  <c r="AO27" i="39"/>
  <c r="X27" i="39"/>
  <c r="Y27" i="39"/>
  <c r="AR49" i="39"/>
  <c r="R49" i="39"/>
  <c r="AB50" i="39"/>
  <c r="AH50" i="39"/>
  <c r="AR14" i="39"/>
  <c r="R14" i="39"/>
  <c r="AD23" i="39"/>
  <c r="AO23" i="39"/>
  <c r="X23" i="39"/>
  <c r="Y23" i="39"/>
  <c r="AD55" i="39"/>
  <c r="AO55" i="39"/>
  <c r="X55" i="39"/>
  <c r="Y55" i="39"/>
  <c r="Z10" i="39"/>
  <c r="AP10" i="39" s="1"/>
  <c r="AB11" i="39"/>
  <c r="AH11" i="39"/>
  <c r="AD38" i="39"/>
  <c r="AO38" i="39"/>
  <c r="Y38" i="39"/>
  <c r="X38" i="39"/>
  <c r="AB61" i="39"/>
  <c r="AH61" i="39"/>
  <c r="AD31" i="39"/>
  <c r="AO31" i="39"/>
  <c r="X31" i="39"/>
  <c r="Y31" i="39"/>
  <c r="AD43" i="39"/>
  <c r="AO43" i="39"/>
  <c r="X43" i="39"/>
  <c r="Y43" i="39"/>
  <c r="AR59" i="39"/>
  <c r="R59" i="39"/>
  <c r="AD45" i="39"/>
  <c r="AO45" i="39"/>
  <c r="Y45" i="39"/>
  <c r="X45" i="39"/>
  <c r="Z26" i="39"/>
  <c r="AP26" i="39" s="1"/>
  <c r="AB26" i="39"/>
  <c r="AH26" i="39"/>
  <c r="AR48" i="39"/>
  <c r="R48" i="39"/>
  <c r="Z48" i="39"/>
  <c r="AP48" i="39" s="1"/>
  <c r="AR5" i="39"/>
  <c r="R5" i="39"/>
  <c r="AD39" i="39"/>
  <c r="AO39" i="39"/>
  <c r="X39" i="39"/>
  <c r="Y39" i="39"/>
  <c r="AD16" i="39"/>
  <c r="AO16" i="39"/>
  <c r="Y16" i="39"/>
  <c r="X16" i="39"/>
  <c r="AR37" i="39"/>
  <c r="R37" i="39"/>
  <c r="AB3" i="39"/>
  <c r="AH3" i="39"/>
  <c r="AD24" i="39"/>
  <c r="AO24" i="39"/>
  <c r="Y24" i="39"/>
  <c r="X24" i="39"/>
  <c r="AR21" i="39"/>
  <c r="R21" i="39"/>
  <c r="AR45" i="39"/>
  <c r="R45" i="39"/>
  <c r="Z6" i="39"/>
  <c r="AP6" i="39" s="1"/>
  <c r="AR15" i="39"/>
  <c r="R15" i="39"/>
  <c r="AB5" i="39"/>
  <c r="AH5" i="39"/>
  <c r="AR28" i="39"/>
  <c r="R28" i="39"/>
  <c r="AR27" i="39"/>
  <c r="R27" i="39"/>
  <c r="AH16" i="39"/>
  <c r="AB16" i="39"/>
  <c r="AH49" i="39"/>
  <c r="AB49" i="39"/>
  <c r="AR52" i="39"/>
  <c r="R52" i="39"/>
  <c r="AH63" i="39"/>
  <c r="AB63" i="39"/>
  <c r="S2" i="39"/>
  <c r="AE2" i="39" s="1"/>
  <c r="A26" i="43"/>
  <c r="A2" i="39"/>
  <c r="T2" i="39"/>
  <c r="A17" i="43"/>
  <c r="P2" i="39" l="1"/>
  <c r="B2" i="39"/>
  <c r="AI10" i="39"/>
  <c r="V10" i="39"/>
  <c r="W10" i="39"/>
  <c r="AI16" i="39"/>
  <c r="V16" i="39"/>
  <c r="W16" i="39"/>
  <c r="AI17" i="39"/>
  <c r="V17" i="39"/>
  <c r="W17" i="39"/>
  <c r="AI48" i="39"/>
  <c r="V48" i="39"/>
  <c r="W48" i="39"/>
  <c r="AI50" i="39"/>
  <c r="V50" i="39"/>
  <c r="W50" i="39"/>
  <c r="AI7" i="39"/>
  <c r="W7" i="39"/>
  <c r="V7" i="39"/>
  <c r="AI47" i="39"/>
  <c r="W47" i="39"/>
  <c r="V47" i="39"/>
  <c r="AI23" i="39"/>
  <c r="W23" i="39"/>
  <c r="V23" i="39"/>
  <c r="AI21" i="39"/>
  <c r="V21" i="39"/>
  <c r="W21" i="39"/>
  <c r="AI27" i="39"/>
  <c r="V27" i="39"/>
  <c r="W27" i="39"/>
  <c r="AI69" i="39"/>
  <c r="V69" i="39"/>
  <c r="W69" i="39"/>
  <c r="AI64" i="39"/>
  <c r="V64" i="39"/>
  <c r="W64" i="39"/>
  <c r="AI20" i="39"/>
  <c r="V20" i="39"/>
  <c r="W20" i="39"/>
  <c r="AI18" i="39"/>
  <c r="W18" i="39"/>
  <c r="V18" i="39"/>
  <c r="AI57" i="39"/>
  <c r="V57" i="39"/>
  <c r="W57" i="39"/>
  <c r="AI65" i="39"/>
  <c r="W65" i="39"/>
  <c r="V65" i="39"/>
  <c r="AI63" i="39"/>
  <c r="W63" i="39"/>
  <c r="V63" i="39"/>
  <c r="AI6" i="39"/>
  <c r="V6" i="39"/>
  <c r="W6" i="39"/>
  <c r="AI59" i="39"/>
  <c r="W59" i="39"/>
  <c r="V59" i="39"/>
  <c r="AI19" i="39"/>
  <c r="V19" i="39"/>
  <c r="W19" i="39"/>
  <c r="AI67" i="39"/>
  <c r="W67" i="39"/>
  <c r="V67" i="39"/>
  <c r="AI30" i="39"/>
  <c r="V30" i="39"/>
  <c r="W30" i="39"/>
  <c r="AI22" i="39"/>
  <c r="V22" i="39"/>
  <c r="W22" i="39"/>
  <c r="AI42" i="39"/>
  <c r="V42" i="39"/>
  <c r="W42" i="39"/>
  <c r="AI14" i="39"/>
  <c r="V14" i="39"/>
  <c r="W14" i="39"/>
  <c r="AI37" i="39"/>
  <c r="V37" i="39"/>
  <c r="W37" i="39"/>
  <c r="AI24" i="39"/>
  <c r="V24" i="39"/>
  <c r="W24" i="39"/>
  <c r="AI55" i="39"/>
  <c r="W55" i="39"/>
  <c r="V55" i="39"/>
  <c r="AI58" i="39"/>
  <c r="V58" i="39"/>
  <c r="W58" i="39"/>
  <c r="AI43" i="39"/>
  <c r="W43" i="39"/>
  <c r="V43" i="39"/>
  <c r="AI3" i="39"/>
  <c r="V3" i="39"/>
  <c r="W3" i="39"/>
  <c r="AI11" i="39"/>
  <c r="V11" i="39"/>
  <c r="W11" i="39"/>
  <c r="AI9" i="39"/>
  <c r="V9" i="39"/>
  <c r="W9" i="39"/>
  <c r="AI36" i="39"/>
  <c r="W36" i="39"/>
  <c r="V36" i="39"/>
  <c r="AI28" i="39"/>
  <c r="V28" i="39"/>
  <c r="W28" i="39"/>
  <c r="AI51" i="39"/>
  <c r="W51" i="39"/>
  <c r="V51" i="39"/>
  <c r="AI68" i="39"/>
  <c r="V68" i="39"/>
  <c r="W68" i="39"/>
  <c r="AI31" i="39"/>
  <c r="W31" i="39"/>
  <c r="V31" i="39"/>
  <c r="AI62" i="39"/>
  <c r="W62" i="39"/>
  <c r="V62" i="39"/>
  <c r="AI4" i="39"/>
  <c r="W4" i="39"/>
  <c r="V4" i="39"/>
  <c r="AI44" i="39"/>
  <c r="V44" i="39"/>
  <c r="W44" i="39"/>
  <c r="AI25" i="39"/>
  <c r="V25" i="39"/>
  <c r="W25" i="39"/>
  <c r="AI38" i="39"/>
  <c r="V38" i="39"/>
  <c r="W38" i="39"/>
  <c r="AI54" i="39"/>
  <c r="V54" i="39"/>
  <c r="W54" i="39"/>
  <c r="AI56" i="39"/>
  <c r="V56" i="39"/>
  <c r="W56" i="39"/>
  <c r="AI29" i="39"/>
  <c r="V29" i="39"/>
  <c r="W29" i="39"/>
  <c r="AI8" i="39"/>
  <c r="V8" i="39"/>
  <c r="W8" i="39"/>
  <c r="AI26" i="39"/>
  <c r="W26" i="39"/>
  <c r="V26" i="39"/>
  <c r="AI49" i="39"/>
  <c r="V49" i="39"/>
  <c r="W49" i="39"/>
  <c r="AI61" i="39"/>
  <c r="V61" i="39"/>
  <c r="W61" i="39"/>
  <c r="AI60" i="39"/>
  <c r="V60" i="39"/>
  <c r="W60" i="39"/>
  <c r="AI32" i="39"/>
  <c r="W32" i="39"/>
  <c r="V32" i="39"/>
  <c r="V53" i="39"/>
  <c r="AI53" i="39"/>
  <c r="W53" i="39"/>
  <c r="AI13" i="39"/>
  <c r="V13" i="39"/>
  <c r="W13" i="39"/>
  <c r="AI45" i="39"/>
  <c r="V45" i="39"/>
  <c r="W45" i="39"/>
  <c r="AI46" i="39"/>
  <c r="V46" i="39"/>
  <c r="W46" i="39"/>
  <c r="AI66" i="39"/>
  <c r="V66" i="39"/>
  <c r="W66" i="39"/>
  <c r="AI41" i="39"/>
  <c r="V41" i="39"/>
  <c r="W41" i="39"/>
  <c r="AI39" i="39"/>
  <c r="V39" i="39"/>
  <c r="W39" i="39"/>
  <c r="AI5" i="39"/>
  <c r="W5" i="39"/>
  <c r="V5" i="39"/>
  <c r="W40" i="39"/>
  <c r="AI40" i="39"/>
  <c r="V40" i="39"/>
  <c r="AI34" i="39"/>
  <c r="W34" i="39"/>
  <c r="V34" i="39"/>
  <c r="AI15" i="39"/>
  <c r="W15" i="39"/>
  <c r="V15" i="39"/>
  <c r="AI12" i="39"/>
  <c r="W12" i="39"/>
  <c r="V12" i="39"/>
  <c r="AI35" i="39"/>
  <c r="V35" i="39"/>
  <c r="W35" i="39"/>
  <c r="AI33" i="39"/>
  <c r="V33" i="39"/>
  <c r="W33" i="39"/>
  <c r="AI52" i="39"/>
  <c r="V52" i="39"/>
  <c r="W52" i="39"/>
  <c r="Q2" i="39"/>
  <c r="AF2" i="39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W11" i="39" l="1"/>
  <c r="AT11" i="39"/>
  <c r="AV11" i="39"/>
  <c r="AT59" i="39"/>
  <c r="AV59" i="39"/>
  <c r="AW59" i="39"/>
  <c r="AT12" i="39"/>
  <c r="AW12" i="39"/>
  <c r="AV12" i="39"/>
  <c r="AV53" i="39"/>
  <c r="AT53" i="39"/>
  <c r="AW53" i="39"/>
  <c r="AV26" i="39"/>
  <c r="AT26" i="39"/>
  <c r="AW26" i="39"/>
  <c r="AW56" i="39"/>
  <c r="AT56" i="39"/>
  <c r="AV56" i="39"/>
  <c r="AW4" i="39"/>
  <c r="AT4" i="39"/>
  <c r="AV4" i="39"/>
  <c r="AT68" i="39"/>
  <c r="AV68" i="39"/>
  <c r="AW68" i="39"/>
  <c r="AW58" i="39"/>
  <c r="AV58" i="39"/>
  <c r="AT58" i="39"/>
  <c r="AT65" i="39"/>
  <c r="AV65" i="39"/>
  <c r="AW65" i="39"/>
  <c r="AT20" i="39"/>
  <c r="AV20" i="39"/>
  <c r="AW20" i="39"/>
  <c r="AT23" i="39"/>
  <c r="AW23" i="39"/>
  <c r="AV23" i="39"/>
  <c r="AW50" i="39"/>
  <c r="AV50" i="39"/>
  <c r="AT50" i="39"/>
  <c r="AW33" i="39"/>
  <c r="AT33" i="39"/>
  <c r="AV33" i="39"/>
  <c r="AV61" i="39"/>
  <c r="AW61" i="39"/>
  <c r="AT61" i="39"/>
  <c r="AW25" i="39"/>
  <c r="AV25" i="39"/>
  <c r="AT25" i="39"/>
  <c r="AV37" i="39"/>
  <c r="AT37" i="39"/>
  <c r="AW37" i="39"/>
  <c r="AT67" i="39"/>
  <c r="AV67" i="39"/>
  <c r="AW67" i="39"/>
  <c r="AV6" i="39"/>
  <c r="AT6" i="39"/>
  <c r="AW6" i="39"/>
  <c r="AV27" i="39"/>
  <c r="AT27" i="39"/>
  <c r="AW27" i="39"/>
  <c r="AT16" i="39"/>
  <c r="AV16" i="39"/>
  <c r="AW16" i="39"/>
  <c r="AT42" i="39"/>
  <c r="AW42" i="39"/>
  <c r="AV42" i="39"/>
  <c r="AW41" i="39"/>
  <c r="AT41" i="39"/>
  <c r="AV41" i="39"/>
  <c r="AT40" i="39"/>
  <c r="AV40" i="39"/>
  <c r="AW40" i="39"/>
  <c r="AV45" i="39"/>
  <c r="AT45" i="39"/>
  <c r="AW45" i="39"/>
  <c r="AT8" i="39"/>
  <c r="AW8" i="39"/>
  <c r="AV8" i="39"/>
  <c r="AV36" i="39"/>
  <c r="AT36" i="39"/>
  <c r="AW36" i="39"/>
  <c r="AT3" i="39"/>
  <c r="AW3" i="39"/>
  <c r="AV3" i="39"/>
  <c r="AV22" i="39"/>
  <c r="AT22" i="39"/>
  <c r="AW22" i="39"/>
  <c r="AT57" i="39"/>
  <c r="AV57" i="39"/>
  <c r="AW57" i="39"/>
  <c r="AT15" i="39"/>
  <c r="AV15" i="39"/>
  <c r="AW15" i="39"/>
  <c r="AW54" i="39"/>
  <c r="AT54" i="39"/>
  <c r="AV54" i="39"/>
  <c r="AT62" i="39"/>
  <c r="AV62" i="39"/>
  <c r="AW62" i="39"/>
  <c r="AV19" i="39"/>
  <c r="AW19" i="39"/>
  <c r="AT19" i="39"/>
  <c r="AW64" i="39"/>
  <c r="AV64" i="39"/>
  <c r="AT64" i="39"/>
  <c r="AT47" i="39"/>
  <c r="AV47" i="39"/>
  <c r="AW47" i="39"/>
  <c r="AV48" i="39"/>
  <c r="AW48" i="39"/>
  <c r="AT48" i="39"/>
  <c r="AW35" i="39"/>
  <c r="AT35" i="39"/>
  <c r="AV35" i="39"/>
  <c r="AV5" i="39"/>
  <c r="AW5" i="39"/>
  <c r="AT5" i="39"/>
  <c r="AV66" i="39"/>
  <c r="AT66" i="39"/>
  <c r="AW66" i="39"/>
  <c r="AT32" i="39"/>
  <c r="AW32" i="39"/>
  <c r="AV32" i="39"/>
  <c r="AT49" i="39"/>
  <c r="AW49" i="39"/>
  <c r="AV49" i="39"/>
  <c r="AW44" i="39"/>
  <c r="AT44" i="39"/>
  <c r="AV44" i="39"/>
  <c r="AT51" i="39"/>
  <c r="AV51" i="39"/>
  <c r="AW51" i="39"/>
  <c r="AV9" i="39"/>
  <c r="AW9" i="39"/>
  <c r="AT9" i="39"/>
  <c r="AT55" i="39"/>
  <c r="AV55" i="39"/>
  <c r="AW55" i="39"/>
  <c r="AV14" i="39"/>
  <c r="AT14" i="39"/>
  <c r="AW14" i="39"/>
  <c r="AW21" i="39"/>
  <c r="AT21" i="39"/>
  <c r="AV21" i="39"/>
  <c r="AV10" i="39"/>
  <c r="AT10" i="39"/>
  <c r="AW10" i="39"/>
  <c r="AW46" i="39"/>
  <c r="AT46" i="39"/>
  <c r="AV46" i="39"/>
  <c r="AW13" i="39"/>
  <c r="AT13" i="39"/>
  <c r="AV13" i="39"/>
  <c r="AW29" i="39"/>
  <c r="AV29" i="39"/>
  <c r="AT29" i="39"/>
  <c r="AV30" i="39"/>
  <c r="AW30" i="39"/>
  <c r="AT30" i="39"/>
  <c r="AT63" i="39"/>
  <c r="AW63" i="39"/>
  <c r="AV63" i="39"/>
  <c r="AT52" i="39"/>
  <c r="AV52" i="39"/>
  <c r="AW52" i="39"/>
  <c r="AV34" i="39"/>
  <c r="AW34" i="39"/>
  <c r="AT34" i="39"/>
  <c r="AT39" i="39"/>
  <c r="AV39" i="39"/>
  <c r="AW39" i="39"/>
  <c r="AV60" i="39"/>
  <c r="AT60" i="39"/>
  <c r="AW60" i="39"/>
  <c r="AV38" i="39"/>
  <c r="AT38" i="39"/>
  <c r="AW38" i="39"/>
  <c r="AW31" i="39"/>
  <c r="AV31" i="39"/>
  <c r="AT31" i="39"/>
  <c r="AT28" i="39"/>
  <c r="AV28" i="39"/>
  <c r="AW28" i="39"/>
  <c r="AW43" i="39"/>
  <c r="AV43" i="39"/>
  <c r="AT43" i="39"/>
  <c r="AT24" i="39"/>
  <c r="AW24" i="39"/>
  <c r="AV24" i="39"/>
  <c r="AV18" i="39"/>
  <c r="AW18" i="39"/>
  <c r="AT18" i="39"/>
  <c r="AW69" i="39"/>
  <c r="AV69" i="39"/>
  <c r="AT69" i="39"/>
  <c r="AT7" i="39"/>
  <c r="AV7" i="39"/>
  <c r="AW7" i="39"/>
  <c r="AW17" i="39"/>
  <c r="AV17" i="39"/>
  <c r="AT17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<sst xmlns="http://schemas.openxmlformats.org/spreadsheetml/2006/main" count="35033" uniqueCount="29756">
  <si>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</si>
  <si>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</si>
  <si>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</si>
  <si>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</si>
  <si>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</si>
  <si>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</si>
  <si>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</si>
  <si>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</si>
  <si>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</si>
  <si>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</si>
  <si>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</si>
  <si>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</si>
  <si>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</si>
  <si>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</si>
  <si>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</si>
  <si>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</si>
  <si>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</si>
  <si>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</si>
  <si>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</si>
  <si>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</si>
  <si>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</si>
  <si>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</si>
  <si>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</si>
  <si>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</si>
  <si>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</si>
  <si>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</si>
  <si>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</si>
  <si>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</si>
  <si>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</si>
  <si>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</si>
  <si>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</si>
  <si>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</si>
  <si>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</si>
  <si>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</si>
  <si>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</si>
  <si>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</si>
  <si>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</si>
  <si>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</si>
  <si>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</si>
  <si>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</si>
  <si>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</si>
  <si>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</si>
  <si>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</si>
  <si>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</si>
  <si>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</si>
  <si>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</si>
  <si>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</si>
  <si>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</si>
  <si>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</si>
  <si>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</si>
  <si>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</si>
  <si>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</si>
  <si>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</si>
  <si>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</si>
  <si>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</si>
  <si>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</si>
  <si>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</si>
  <si>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</si>
  <si>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</si>
  <si>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</si>
  <si>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</si>
  <si>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</si>
  <si>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</si>
  <si>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</si>
  <si>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</si>
  <si>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</si>
  <si>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</si>
  <si>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</si>
  <si>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</si>
  <si>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</si>
  <si>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</si>
  <si>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</si>
  <si>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</si>
  <si>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</si>
  <si>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</si>
  <si>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</si>
  <si>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</si>
  <si>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</si>
  <si>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</si>
  <si>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</si>
  <si>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</si>
  <si>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</si>
  <si>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</si>
  <si>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</si>
  <si>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</si>
  <si>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</si>
  <si>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</si>
  <si>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</si>
  <si>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</si>
  <si>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</si>
  <si>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</si>
  <si>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</si>
  <si>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</si>
  <si>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</si>
  <si>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</si>
  <si>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</si>
  <si>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</si>
  <si>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</si>
  <si>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</si>
  <si>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</si>
  <si>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</si>
  <si>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</si>
  <si>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</si>
  <si>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</si>
  <si>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</si>
  <si>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</si>
  <si>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</si>
  <si>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</si>
  <si>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</si>
  <si>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</si>
  <si>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</si>
  <si>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</si>
  <si>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</si>
  <si>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</si>
  <si>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</si>
  <si>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</si>
  <si>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</si>
  <si>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</si>
  <si>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</si>
  <si>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</si>
  <si>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</si>
  <si>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</si>
  <si>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</si>
  <si>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</si>
  <si>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</si>
  <si>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</si>
  <si>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</si>
  <si>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</si>
  <si>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</si>
  <si>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</si>
  <si>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</si>
  <si>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</si>
  <si>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</si>
  <si>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</si>
  <si>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</si>
  <si>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</si>
  <si>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</si>
  <si>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</si>
  <si>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</si>
  <si>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</si>
  <si>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</si>
  <si>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</si>
  <si>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</si>
  <si>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</si>
  <si>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</si>
  <si>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</si>
  <si>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</si>
  <si>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</si>
  <si>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</si>
  <si>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</si>
  <si>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</si>
  <si>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</si>
  <si>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</si>
  <si>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</si>
  <si>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</si>
  <si>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</si>
  <si>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</si>
  <si>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</si>
  <si>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</si>
  <si>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</si>
  <si>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</si>
  <si>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</si>
  <si>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</si>
  <si>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</si>
  <si>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</si>
  <si>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</si>
  <si>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</si>
  <si>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</si>
  <si>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</si>
  <si>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</si>
  <si>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</si>
  <si>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</si>
  <si>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</si>
  <si>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</si>
  <si>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</si>
  <si>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</si>
  <si>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</si>
  <si>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</si>
  <si>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</si>
  <si>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</si>
  <si>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</si>
  <si>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</si>
  <si>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</si>
  <si>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</si>
  <si>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</si>
  <si>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</si>
  <si>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</si>
  <si>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</si>
  <si>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</si>
  <si>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</si>
  <si>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</si>
  <si>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</si>
  <si>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</si>
  <si>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</si>
  <si>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</si>
  <si>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</si>
  <si>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</si>
  <si>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</si>
  <si>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</si>
  <si>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</si>
  <si>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</si>
  <si>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</si>
  <si>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</si>
  <si>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</si>
  <si>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</si>
  <si>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</si>
  <si>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</si>
  <si>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</si>
  <si>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</si>
  <si>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</si>
  <si>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</si>
  <si>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</si>
  <si>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</si>
  <si>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</si>
  <si>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</si>
  <si>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</si>
  <si>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</si>
  <si>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</si>
  <si>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</si>
  <si>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</si>
  <si>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</si>
  <si>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</si>
  <si>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</si>
  <si>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</si>
  <si>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</si>
  <si>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</si>
  <si>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</si>
  <si>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</si>
  <si>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</si>
  <si>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</si>
  <si>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</si>
  <si>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</si>
  <si>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</si>
  <si>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</si>
  <si>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</si>
  <si>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</si>
  <si>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</si>
  <si>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</si>
  <si>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</si>
  <si>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</si>
  <si>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</si>
  <si>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</si>
  <si>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</si>
  <si>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</si>
  <si>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</si>
  <si>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</si>
  <si>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</si>
  <si>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</si>
  <si>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</si>
  <si>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</si>
  <si>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</si>
  <si>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</si>
  <si>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</si>
  <si>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</si>
  <si>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</si>
  <si>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</si>
  <si>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</si>
  <si>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</si>
  <si>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</si>
  <si>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</si>
  <si>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</si>
  <si>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</si>
  <si>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</si>
  <si>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</si>
  <si>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</si>
  <si>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</si>
  <si>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</si>
  <si>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</si>
  <si>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</si>
  <si>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</si>
  <si>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</si>
  <si>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</si>
  <si>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</si>
  <si>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</si>
  <si>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</si>
  <si>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</si>
  <si>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</si>
  <si>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</si>
  <si>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</si>
  <si>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</si>
  <si>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</si>
  <si>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</si>
  <si>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</si>
  <si>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</si>
  <si>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</si>
  <si>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</si>
  <si>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</si>
  <si>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</si>
  <si>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</si>
  <si>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</si>
  <si>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</si>
  <si>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</si>
  <si>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</si>
  <si>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</si>
  <si>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</si>
  <si>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</si>
  <si>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</si>
  <si>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</si>
  <si>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</si>
  <si>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</si>
  <si>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</si>
  <si>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</si>
  <si>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</si>
  <si>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</si>
  <si>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</si>
  <si>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</si>
  <si>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</si>
  <si>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</si>
  <si>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</si>
  <si>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</si>
  <si>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</si>
  <si>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</si>
  <si>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</si>
  <si>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</si>
  <si>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</si>
  <si>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</si>
  <si>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</si>
  <si>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</si>
  <si>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</si>
  <si>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</si>
  <si>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</si>
  <si>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</si>
  <si>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</si>
  <si>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</si>
  <si>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</si>
  <si>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</si>
  <si>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</si>
  <si>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</si>
  <si>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</si>
  <si>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</si>
  <si>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</si>
  <si>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</si>
  <si>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</si>
  <si>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</si>
  <si>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</si>
  <si>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</si>
  <si>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</si>
  <si>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</si>
  <si>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</si>
  <si>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</si>
  <si>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</si>
  <si>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</si>
  <si>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</si>
  <si>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</si>
  <si>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</si>
  <si>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</si>
  <si>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</si>
  <si>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</si>
  <si>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</si>
  <si>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</si>
  <si>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</si>
  <si>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</si>
  <si>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</si>
  <si>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</si>
  <si>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</si>
  <si>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</si>
  <si>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</si>
  <si>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</si>
  <si>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</si>
  <si>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</si>
  <si>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</si>
  <si>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</si>
  <si>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</si>
  <si>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</si>
  <si>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</si>
  <si>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</si>
  <si>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</si>
  <si>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</si>
  <si>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</si>
  <si>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</si>
  <si>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</si>
  <si>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</si>
  <si>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</si>
  <si>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</si>
  <si>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</si>
  <si>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</si>
  <si>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</si>
  <si>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</si>
  <si>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</si>
  <si>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</si>
  <si>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</si>
  <si>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</si>
  <si>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</si>
  <si>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</si>
  <si>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</si>
  <si>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</si>
  <si>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</si>
  <si>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</si>
  <si>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</si>
  <si>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</si>
  <si>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</si>
  <si>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</si>
  <si>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</si>
  <si>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</si>
  <si>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</si>
  <si>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</si>
  <si>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</si>
  <si>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</si>
  <si>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</si>
  <si>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</si>
  <si>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</si>
  <si>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</si>
  <si>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</si>
  <si>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</si>
  <si>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</si>
  <si>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</si>
  <si>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</si>
  <si>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</si>
  <si>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</si>
  <si>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</si>
  <si>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</si>
  <si>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</si>
  <si>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</si>
  <si>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</si>
  <si>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</si>
  <si>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</si>
  <si>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</si>
  <si>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</si>
  <si>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</si>
  <si>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</si>
  <si>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</si>
  <si>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</si>
  <si>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</si>
  <si>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</si>
  <si>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</si>
  <si>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</si>
  <si>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</si>
  <si>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</si>
  <si>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</si>
  <si>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</si>
  <si>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</si>
  <si>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</si>
  <si>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</si>
  <si>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</si>
  <si>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</si>
  <si>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</si>
  <si>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</si>
  <si>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</si>
  <si>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</si>
  <si>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</si>
  <si>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</si>
  <si>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</si>
  <si>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</si>
  <si>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</si>
  <si>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</si>
  <si>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</si>
  <si>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</si>
  <si>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</si>
  <si>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</si>
  <si>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</si>
  <si>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</si>
  <si>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</si>
  <si>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</si>
  <si>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</si>
  <si>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</si>
  <si>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</si>
  <si>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</si>
  <si>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</si>
  <si>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</si>
  <si>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</si>
  <si>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</si>
  <si>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</si>
  <si>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</si>
  <si>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</si>
  <si>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</si>
  <si>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</si>
  <si>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</si>
  <si>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</si>
  <si>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</si>
  <si>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</si>
  <si>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</si>
  <si>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</si>
  <si>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</si>
  <si>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</si>
  <si>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</si>
  <si>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</si>
  <si>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</si>
  <si>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</si>
  <si>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</si>
  <si>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</si>
  <si>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</si>
  <si>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</si>
  <si>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</si>
  <si>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</si>
  <si>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</si>
  <si>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</si>
  <si>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</si>
  <si>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</si>
  <si>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</si>
  <si>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</si>
  <si>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</si>
  <si>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</si>
  <si>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</si>
  <si>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</si>
  <si>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</si>
  <si>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</si>
  <si>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</si>
  <si>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</si>
  <si>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</si>
  <si>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</si>
  <si>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</si>
  <si>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</si>
  <si>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</si>
  <si>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</si>
  <si>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</si>
  <si>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</si>
  <si>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</si>
  <si>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</si>
  <si>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</si>
  <si>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</si>
  <si>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</si>
  <si>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</si>
  <si>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</si>
  <si>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</si>
  <si>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</si>
  <si>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</si>
  <si>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</si>
  <si>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</si>
  <si>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</si>
  <si>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</si>
  <si>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</si>
  <si>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</si>
  <si>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</si>
  <si>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</si>
  <si>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</si>
  <si>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</si>
  <si>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</si>
  <si>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</si>
  <si>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</si>
  <si>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</si>
  <si>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</si>
  <si>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</si>
  <si>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</si>
  <si>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</si>
  <si>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</si>
  <si>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</si>
  <si>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</si>
  <si>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</si>
  <si>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</si>
  <si>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</si>
  <si>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</si>
  <si>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</si>
  <si>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</si>
  <si>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</si>
  <si>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</si>
  <si>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</si>
  <si>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</si>
  <si>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</si>
  <si>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</si>
  <si>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</si>
  <si>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</si>
  <si>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</si>
  <si>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</si>
  <si>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</si>
  <si>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</si>
  <si>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</si>
  <si>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</si>
  <si>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</si>
  <si>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</si>
  <si>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</si>
  <si>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</si>
  <si>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</si>
  <si>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</si>
  <si>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</si>
  <si>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</si>
  <si>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</si>
  <si>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</si>
  <si>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</si>
  <si>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</si>
  <si>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</si>
  <si>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</si>
  <si>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</si>
  <si>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</si>
  <si>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</si>
  <si>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</si>
  <si>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</si>
  <si>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</si>
  <si>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</si>
  <si>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</si>
  <si>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</si>
  <si>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</si>
  <si>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</si>
  <si>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</si>
  <si>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</si>
  <si>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</si>
  <si>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</si>
  <si>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</si>
  <si>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</si>
  <si>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</si>
  <si>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</si>
  <si>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</si>
  <si>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</si>
  <si>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</si>
  <si>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</si>
  <si>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</si>
  <si>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</si>
  <si>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</si>
  <si>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</si>
  <si>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</si>
  <si>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</si>
  <si>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</si>
  <si>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</si>
  <si>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</si>
  <si>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</si>
  <si>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</si>
  <si>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</si>
  <si>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</si>
  <si>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</si>
  <si>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</si>
  <si>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</si>
  <si>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</si>
  <si>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</si>
  <si>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</si>
  <si>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</si>
  <si>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</si>
  <si>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</si>
  <si>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</si>
  <si>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</si>
  <si>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</si>
  <si>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</si>
  <si>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</si>
  <si>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</si>
  <si>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</si>
  <si>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</si>
  <si>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</si>
  <si>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</si>
  <si>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</si>
  <si>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</si>
  <si>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</si>
  <si>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</si>
  <si>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</si>
  <si>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</si>
  <si>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</si>
  <si>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</si>
  <si>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</si>
  <si>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</si>
  <si>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</si>
  <si>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</si>
  <si>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</si>
  <si>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</si>
  <si>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</si>
  <si>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</si>
  <si>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</si>
  <si>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</si>
  <si>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</si>
  <si>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</si>
  <si>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</si>
  <si>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</si>
  <si>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</si>
  <si>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</si>
  <si>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</si>
  <si>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</si>
  <si>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</si>
  <si>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</si>
  <si>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</si>
  <si>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</si>
  <si>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</si>
  <si>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</si>
  <si>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</si>
  <si>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</si>
  <si>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</si>
  <si>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</si>
  <si>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</si>
  <si>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</si>
  <si>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</si>
  <si>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</si>
  <si>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</si>
  <si>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</si>
  <si>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</si>
  <si>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</si>
  <si>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</si>
  <si>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</si>
  <si>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</si>
  <si>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</si>
  <si>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</si>
  <si>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</si>
  <si>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</si>
  <si>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</si>
  <si>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</si>
  <si>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</si>
  <si>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</si>
  <si>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</si>
  <si>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</si>
  <si>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</si>
  <si>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</si>
  <si>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</si>
  <si>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</si>
  <si>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</si>
  <si>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</si>
  <si>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</si>
  <si>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</si>
  <si>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</si>
  <si>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</si>
  <si>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</si>
  <si>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</si>
  <si>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</si>
  <si>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</si>
  <si>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</si>
  <si>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</si>
  <si>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</si>
  <si>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</si>
  <si>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</si>
  <si>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</si>
  <si>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</si>
  <si>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</si>
  <si>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</si>
  <si>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</si>
  <si>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</si>
  <si>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</si>
  <si>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</si>
  <si>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</si>
  <si>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</si>
  <si>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</si>
  <si>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</si>
  <si>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</si>
  <si>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</si>
  <si>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</si>
  <si>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</si>
  <si>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</si>
  <si>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</si>
  <si>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</si>
  <si>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</si>
  <si>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</si>
  <si>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</si>
  <si>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</si>
  <si>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</si>
  <si>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</si>
  <si>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</si>
  <si>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</si>
  <si>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</si>
  <si>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</si>
  <si>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</si>
  <si>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</si>
  <si>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</si>
  <si>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</si>
  <si>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</si>
  <si>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</si>
  <si>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</si>
  <si>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</si>
  <si>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</si>
  <si>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</si>
  <si>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</si>
  <si>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</si>
  <si>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</si>
  <si>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</si>
  <si>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</si>
  <si>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</si>
  <si>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</si>
  <si>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</si>
  <si>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</si>
  <si>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</si>
  <si>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</si>
  <si>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</si>
  <si>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</si>
  <si>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</si>
  <si>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</si>
  <si>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</si>
  <si>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</si>
  <si>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</si>
  <si>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</si>
  <si>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</si>
  <si>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</si>
  <si>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</si>
  <si>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</si>
  <si>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</si>
  <si>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</si>
  <si>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</si>
  <si>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</si>
  <si>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</si>
  <si>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</si>
  <si>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</si>
  <si>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</si>
  <si>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</si>
  <si>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</si>
  <si>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</si>
  <si>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</si>
  <si>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</si>
  <si>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</si>
  <si>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</si>
  <si>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</si>
  <si>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</si>
  <si>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</si>
  <si>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</si>
  <si>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</si>
  <si>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</si>
  <si>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</si>
  <si>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</si>
  <si>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</si>
  <si>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</si>
  <si>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</si>
  <si>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</si>
  <si>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</si>
  <si>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</si>
  <si>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</si>
  <si>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</si>
  <si>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</si>
  <si>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</si>
  <si>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</si>
  <si>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</si>
  <si>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</si>
  <si>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</si>
  <si>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</si>
  <si>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</si>
  <si>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</si>
  <si>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</si>
  <si>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</si>
  <si>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</si>
  <si>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</si>
  <si>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</si>
  <si>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</si>
  <si>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</si>
  <si>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</si>
  <si>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</si>
  <si>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</si>
  <si>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</si>
  <si>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</si>
  <si>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</si>
  <si>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</si>
  <si>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</si>
  <si>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</si>
  <si>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</si>
  <si>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</si>
  <si>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</si>
  <si>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</si>
  <si>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</si>
  <si>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</si>
  <si>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</si>
  <si>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</si>
  <si>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</si>
  <si>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</si>
  <si>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</si>
  <si>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</si>
  <si>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</si>
  <si>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</si>
  <si>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</si>
  <si>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</si>
  <si>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</si>
  <si>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</si>
  <si>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</si>
  <si>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</si>
  <si>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</si>
  <si>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</si>
  <si>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</si>
  <si>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</si>
  <si>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</si>
  <si>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</si>
  <si>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</si>
  <si>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</si>
  <si>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</si>
  <si>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</si>
  <si>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</si>
  <si>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</si>
  <si>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</si>
  <si>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</si>
  <si>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</si>
  <si>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</si>
  <si>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</si>
  <si>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</si>
  <si>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</si>
  <si>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</si>
  <si>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</si>
  <si>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</si>
  <si>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</si>
  <si>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</si>
  <si>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</si>
  <si>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</si>
  <si>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</si>
  <si>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</si>
  <si>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</si>
  <si>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</si>
  <si>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</si>
  <si>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</si>
  <si>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</si>
  <si>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</si>
  <si>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</si>
  <si>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</si>
  <si>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</si>
  <si>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</si>
  <si>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</si>
  <si>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</si>
  <si>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</si>
  <si>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</si>
  <si>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</si>
  <si>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</si>
  <si>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</si>
  <si>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</si>
  <si>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</si>
  <si>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</si>
  <si>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</si>
  <si>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</si>
  <si>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</si>
  <si>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</si>
  <si>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</si>
  <si>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</si>
  <si>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</si>
  <si>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</si>
  <si>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</si>
  <si>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</si>
  <si>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</si>
  <si>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</si>
  <si>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</si>
  <si>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</si>
  <si>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</si>
  <si>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</si>
  <si>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</si>
  <si>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</si>
  <si>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</si>
  <si>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</si>
  <si>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</si>
  <si>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</si>
  <si>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</si>
  <si>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</si>
  <si>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</si>
  <si>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</si>
  <si>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</si>
  <si>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</si>
  <si>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</si>
  <si>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</si>
  <si>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</si>
  <si>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</si>
  <si>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</si>
  <si>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</si>
  <si>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</si>
  <si>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</si>
  <si>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</si>
  <si>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</si>
  <si>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</si>
  <si>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</si>
  <si>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</si>
  <si>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</si>
  <si>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</si>
  <si>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</si>
  <si>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</si>
  <si>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</si>
  <si>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</si>
  <si>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</si>
  <si>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</si>
  <si>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</si>
  <si>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</si>
  <si>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</si>
  <si>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</si>
  <si>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</si>
  <si>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</si>
  <si>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</si>
  <si>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</si>
  <si>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</si>
  <si>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</si>
  <si>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</si>
  <si>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</si>
  <si>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</si>
  <si>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</si>
  <si>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</si>
  <si>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</si>
  <si>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</si>
  <si>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</si>
  <si>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</si>
  <si>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</si>
  <si>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</si>
  <si>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</si>
  <si>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</si>
  <si>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</si>
  <si>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</si>
  <si>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</si>
  <si>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</si>
  <si>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</si>
  <si>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</si>
  <si>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</si>
  <si>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</si>
  <si>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</si>
  <si>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</si>
  <si>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</si>
  <si>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</si>
  <si>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</si>
  <si>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</si>
  <si>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</si>
  <si>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</si>
  <si>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</si>
  <si>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</si>
  <si>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</si>
  <si>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</si>
  <si>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</si>
  <si>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</si>
  <si>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</si>
  <si>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</si>
  <si>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</si>
  <si>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</si>
  <si>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</si>
  <si>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</si>
  <si>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</si>
  <si>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</si>
  <si>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</si>
  <si>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</si>
  <si>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</si>
  <si>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</si>
  <si>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</si>
  <si>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</si>
  <si>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</si>
  <si>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</si>
  <si>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</si>
  <si>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</si>
  <si>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</si>
  <si>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</si>
  <si>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</si>
  <si>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</si>
  <si>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</si>
  <si>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</si>
  <si>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</si>
  <si>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</si>
  <si>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</si>
  <si>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</si>
  <si>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</si>
  <si>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</si>
  <si>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</si>
  <si>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</si>
  <si>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</si>
  <si>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</si>
  <si>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</si>
  <si>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</si>
  <si>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</si>
  <si>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</si>
  <si>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</si>
  <si>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</si>
  <si>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</si>
  <si>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</si>
  <si>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</si>
  <si>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</si>
  <si>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</si>
  <si>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</si>
  <si>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</si>
  <si>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</si>
  <si>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</si>
  <si>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</si>
  <si>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</si>
  <si>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</si>
  <si>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</si>
  <si>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</si>
  <si>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</si>
  <si>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</si>
  <si>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</si>
  <si>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</si>
  <si>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</si>
  <si>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</si>
  <si>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</si>
  <si>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</si>
  <si>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</si>
  <si>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</si>
  <si>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</si>
  <si>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</si>
  <si>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</si>
  <si>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</si>
  <si>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</si>
  <si>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</si>
  <si>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</si>
  <si>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</si>
  <si>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</si>
  <si>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</si>
  <si>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</si>
  <si>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</si>
  <si>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</si>
  <si>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</si>
  <si>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</si>
  <si>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</si>
  <si>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</si>
  <si>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</si>
  <si>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</si>
  <si>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</si>
  <si>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</si>
  <si>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</si>
  <si>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</si>
  <si>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</si>
  <si>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</si>
  <si>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</si>
  <si>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</si>
  <si>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</si>
  <si>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</si>
  <si>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</si>
  <si>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</si>
  <si>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</si>
  <si>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</si>
  <si>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</si>
  <si>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</si>
  <si>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</si>
  <si>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</si>
  <si>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</si>
  <si>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</si>
  <si>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</si>
  <si>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</si>
  <si>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</si>
  <si>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</si>
  <si>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</si>
  <si>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</si>
  <si>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</si>
  <si>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</si>
  <si>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</si>
  <si>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</si>
  <si>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</si>
  <si>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</si>
  <si>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</si>
  <si>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</si>
  <si>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</si>
  <si>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</si>
  <si>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</si>
  <si>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</si>
  <si>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</si>
  <si>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</si>
  <si>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</si>
  <si>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</si>
  <si>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</si>
  <si>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</si>
  <si>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</si>
  <si>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</si>
  <si>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</si>
  <si>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</si>
  <si>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</si>
  <si>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</si>
  <si>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</si>
  <si>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</si>
  <si>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</si>
  <si>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</si>
  <si>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</si>
  <si>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</si>
  <si>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</si>
  <si>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</si>
  <si>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</si>
  <si>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</si>
  <si>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</si>
  <si>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</si>
  <si>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</si>
  <si>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</si>
  <si>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</si>
  <si>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</si>
  <si>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</si>
  <si>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</si>
  <si>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</si>
  <si>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</si>
  <si>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</si>
  <si>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</si>
  <si>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</si>
  <si>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</si>
  <si>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</si>
  <si>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</si>
  <si>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</si>
  <si>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</si>
  <si>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</si>
  <si>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</si>
  <si>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</si>
  <si>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</si>
  <si>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</si>
  <si>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</si>
  <si>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</si>
  <si>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</si>
  <si>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</si>
  <si>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</si>
  <si>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</si>
  <si>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</si>
  <si>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</si>
  <si>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</si>
  <si>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</si>
  <si>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</si>
  <si>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</si>
  <si>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</si>
  <si>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</si>
  <si>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</si>
  <si>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</si>
  <si>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</si>
  <si>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</si>
  <si>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</si>
  <si>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</si>
  <si>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</si>
  <si>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</si>
  <si>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</si>
  <si>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</si>
  <si>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</si>
  <si>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</si>
  <si>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</si>
  <si>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</si>
  <si>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</si>
  <si>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</si>
  <si>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</si>
  <si>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</si>
  <si>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</si>
  <si>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</si>
  <si>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</si>
  <si>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</si>
  <si>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</si>
  <si>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</si>
  <si>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</si>
  <si>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</si>
  <si>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</si>
  <si>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</si>
  <si>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</si>
  <si>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</si>
  <si>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</si>
  <si>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</si>
  <si>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</si>
  <si>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</si>
  <si>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</si>
  <si>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</si>
  <si>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</si>
  <si>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</si>
  <si>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</si>
  <si>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</si>
  <si>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</si>
  <si>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</si>
  <si>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</si>
  <si>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</si>
  <si>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</si>
  <si>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</si>
  <si>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</si>
  <si>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</si>
  <si>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</si>
  <si>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</si>
  <si>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</si>
  <si>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</si>
  <si>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</si>
  <si>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</si>
  <si>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</si>
  <si>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</si>
  <si>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</si>
  <si>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</si>
  <si>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</si>
  <si>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</si>
  <si>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</si>
  <si>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</si>
  <si>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</si>
  <si>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</si>
  <si>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</si>
  <si>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</si>
  <si>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</si>
  <si>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</si>
  <si>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</si>
  <si>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</si>
  <si>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</si>
  <si>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</si>
  <si>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</si>
  <si>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</si>
  <si>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</si>
  <si>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</si>
  <si>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</si>
  <si>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</si>
  <si>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</si>
  <si>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</si>
  <si>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</si>
  <si>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</si>
  <si>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</si>
  <si>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</si>
  <si>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</si>
  <si>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</si>
  <si>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</si>
  <si>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</si>
  <si>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</si>
  <si>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</si>
  <si>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</si>
  <si>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</si>
  <si>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</si>
  <si>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</si>
  <si>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</si>
  <si>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</si>
  <si>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</si>
  <si>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</si>
  <si>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</si>
  <si>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</si>
  <si>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</si>
  <si>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</si>
  <si>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</si>
  <si>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</si>
  <si>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</si>
  <si>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</si>
  <si>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</si>
  <si>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</si>
  <si>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</si>
  <si>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</si>
  <si>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</si>
  <si>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</si>
  <si>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</si>
  <si>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</si>
  <si>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</si>
  <si>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</si>
  <si>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</si>
  <si>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</si>
  <si>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</si>
  <si>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</si>
  <si>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</si>
  <si>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</si>
  <si>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</si>
  <si>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</si>
  <si>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</si>
  <si>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</si>
  <si>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</si>
  <si>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</si>
  <si>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</si>
  <si>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</si>
  <si>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</si>
  <si>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</si>
  <si>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</si>
  <si>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</si>
  <si>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</si>
  <si>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</si>
  <si>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</si>
  <si>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</si>
  <si>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</si>
  <si>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</si>
  <si>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</si>
  <si>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</si>
  <si>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</si>
  <si>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</si>
  <si>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</si>
  <si>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</si>
  <si>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</si>
  <si>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</si>
  <si>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</si>
  <si>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</si>
  <si>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</si>
  <si>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</si>
  <si>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</si>
  <si>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</si>
  <si>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</si>
  <si>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</si>
  <si>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</si>
  <si>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</si>
  <si>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</si>
  <si>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</si>
  <si>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</si>
  <si>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</si>
  <si>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</si>
  <si>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</si>
  <si>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</si>
  <si>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</si>
  <si>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</si>
  <si>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</si>
  <si>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</si>
  <si>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</si>
  <si>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</si>
  <si>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</si>
  <si>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</si>
  <si>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</si>
  <si>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</si>
  <si>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</si>
  <si>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</si>
  <si>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</si>
  <si>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</si>
  <si>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</si>
  <si>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</si>
  <si>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</si>
  <si>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</si>
  <si>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</si>
  <si>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</si>
  <si>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</si>
  <si>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</si>
  <si>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</si>
  <si>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</si>
  <si>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</si>
  <si>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</si>
  <si>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</si>
  <si>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</si>
  <si>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</si>
  <si>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</si>
  <si>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</si>
  <si>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</si>
  <si>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</si>
  <si>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</si>
  <si>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</si>
  <si>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</si>
  <si>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</si>
  <si>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</si>
  <si>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</si>
  <si>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</si>
  <si>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</si>
  <si>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</si>
  <si>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</si>
  <si>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</si>
  <si>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</si>
  <si>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</si>
  <si>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</si>
  <si>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</si>
  <si>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</si>
  <si>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</si>
  <si>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</si>
  <si>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</si>
  <si>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</si>
  <si>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</si>
  <si>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</si>
  <si>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</si>
  <si>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</si>
  <si>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</si>
  <si>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</si>
  <si>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</si>
  <si>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</si>
  <si>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</si>
  <si>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</si>
  <si>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</si>
  <si>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</si>
  <si>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</si>
  <si>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</si>
  <si>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</si>
  <si>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</si>
  <si>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</si>
  <si>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</si>
  <si>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</si>
  <si>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</si>
  <si>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</si>
  <si>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</si>
  <si>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</si>
  <si>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</si>
  <si>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</si>
  <si>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</si>
  <si>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</si>
  <si>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</si>
  <si>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</si>
  <si>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</si>
  <si>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</si>
  <si>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</si>
  <si>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</si>
  <si>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</si>
  <si>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</si>
  <si>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</si>
  <si>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</si>
  <si>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</si>
  <si>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</si>
  <si>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</si>
  <si>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</si>
  <si>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</si>
  <si>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</si>
  <si>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</si>
  <si>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</si>
  <si>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</si>
  <si>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</si>
  <si>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</si>
  <si>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</si>
  <si>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</si>
  <si>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</si>
  <si>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</si>
  <si>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</si>
  <si>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</si>
  <si>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</si>
  <si>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</si>
  <si>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</si>
  <si>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</si>
  <si>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</si>
  <si>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</si>
  <si>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</si>
  <si>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</si>
  <si>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</si>
  <si>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</si>
  <si>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</si>
  <si>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</si>
  <si>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</si>
  <si>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</si>
  <si>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</si>
  <si>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</si>
  <si>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</si>
  <si>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</si>
  <si>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</si>
  <si>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</si>
  <si>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</si>
  <si>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</si>
  <si>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</si>
  <si>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</si>
  <si>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</si>
  <si>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</si>
  <si>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</si>
  <si>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</si>
  <si>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</si>
  <si>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</si>
  <si>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</si>
  <si>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</si>
  <si>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</si>
  <si>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</si>
  <si>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</si>
  <si>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</si>
  <si>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</si>
  <si>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</si>
  <si>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</si>
  <si>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</si>
  <si>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</si>
  <si>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</si>
  <si>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</si>
  <si>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</si>
  <si>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</si>
  <si>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</si>
  <si>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</si>
  <si>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</si>
  <si>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</si>
  <si>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</si>
  <si>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</si>
  <si>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</si>
  <si>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</si>
  <si>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</si>
  <si>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</si>
  <si>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</si>
  <si>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</si>
  <si>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</si>
  <si>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</si>
  <si>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</si>
  <si>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</si>
  <si>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</si>
  <si>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</si>
  <si>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</si>
  <si>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</si>
  <si>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</si>
  <si>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</si>
  <si>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</si>
  <si>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</si>
  <si>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</si>
  <si>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</si>
  <si>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</si>
  <si>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</si>
  <si>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</si>
  <si>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</si>
  <si>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</si>
  <si>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</si>
  <si>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</si>
  <si>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</si>
  <si>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</si>
  <si>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</si>
  <si>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</si>
  <si>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</si>
  <si>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</si>
  <si>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</si>
  <si>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</si>
  <si>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</si>
  <si>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</si>
  <si>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</si>
  <si>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</si>
  <si>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</si>
  <si>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</si>
  <si>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</si>
  <si>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</si>
  <si>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</si>
  <si>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</si>
  <si>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</si>
  <si>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</si>
  <si>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</si>
  <si>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</si>
  <si>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</si>
  <si>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</si>
  <si>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</si>
  <si>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</si>
  <si>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</si>
  <si>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</si>
  <si>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</si>
  <si>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</si>
  <si>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</si>
  <si>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</si>
  <si>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</si>
  <si>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</si>
  <si>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</si>
  <si>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</si>
  <si>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</si>
  <si>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</si>
  <si>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</si>
  <si>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</si>
  <si>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</si>
  <si>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</si>
  <si>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</si>
  <si>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</si>
  <si>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</si>
  <si>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</si>
  <si>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</si>
  <si>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</si>
  <si>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</si>
  <si>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</si>
  <si>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</si>
  <si>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</si>
  <si>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</si>
  <si>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</si>
  <si>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</si>
  <si>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</si>
  <si>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</si>
  <si>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</si>
  <si>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</si>
  <si>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</si>
  <si>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</si>
  <si>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</si>
  <si>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</si>
  <si>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</si>
  <si>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</si>
  <si>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</si>
  <si>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</si>
  <si>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</si>
  <si>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</si>
  <si>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</si>
  <si>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</si>
  <si>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</si>
  <si>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</si>
  <si>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</si>
  <si>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</si>
  <si>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</si>
  <si>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</si>
  <si>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</si>
  <si>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</si>
  <si>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</si>
  <si>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</si>
  <si>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</si>
  <si>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</si>
  <si>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</si>
  <si>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</si>
  <si>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</si>
  <si>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</si>
  <si>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</si>
  <si>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</si>
  <si>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</si>
  <si>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</si>
  <si>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</si>
  <si>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</si>
  <si>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</si>
  <si>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</si>
  <si>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</si>
  <si>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</si>
  <si>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</si>
  <si>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</si>
  <si>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</si>
  <si>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</si>
  <si>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</si>
  <si>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</si>
  <si>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</si>
  <si>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</si>
  <si>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</si>
  <si>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</si>
  <si>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</si>
  <si>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</si>
  <si>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</si>
  <si>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</si>
  <si>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</si>
  <si>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</si>
  <si>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</si>
  <si>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</si>
  <si>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</si>
  <si>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</si>
  <si>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</si>
  <si>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</si>
  <si>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</si>
  <si>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</si>
  <si>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</si>
  <si>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</si>
  <si>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</si>
  <si>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</si>
  <si>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</si>
  <si>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</si>
  <si>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</si>
  <si>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</si>
  <si>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</si>
  <si>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</si>
  <si>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</si>
  <si>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</si>
  <si>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</si>
  <si>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</si>
  <si>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</si>
  <si>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</si>
  <si>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</si>
  <si>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</si>
  <si>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</si>
  <si>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</si>
  <si>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</si>
  <si>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</si>
  <si>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</si>
  <si>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</si>
  <si>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</si>
  <si>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</si>
  <si>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</si>
  <si>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</si>
  <si>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</si>
  <si>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</si>
  <si>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</si>
  <si>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</si>
  <si>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</si>
  <si>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</si>
  <si>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</si>
  <si>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</si>
  <si>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</si>
  <si>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</si>
  <si>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</si>
  <si>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</si>
  <si>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</si>
  <si>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</si>
  <si>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</si>
  <si>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</si>
  <si>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</si>
  <si>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</si>
  <si>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</si>
  <si>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</si>
  <si>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</si>
  <si>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</si>
  <si>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</si>
  <si>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</si>
  <si>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</si>
  <si>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</si>
  <si>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</si>
  <si>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</si>
  <si>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</si>
  <si>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</si>
  <si>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</si>
  <si>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</si>
  <si>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</si>
  <si>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</si>
  <si>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</si>
  <si>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</si>
  <si>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</si>
  <si>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</si>
  <si>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</si>
  <si>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</si>
  <si>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</si>
  <si>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</si>
  <si>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</si>
  <si>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</si>
  <si>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</si>
  <si>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</si>
  <si>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</si>
  <si>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</si>
  <si>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</si>
  <si>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</si>
  <si>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</si>
  <si>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</si>
  <si>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</si>
  <si>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</si>
  <si>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</si>
  <si>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</si>
  <si>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</si>
  <si>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</si>
  <si>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</si>
  <si>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</si>
  <si>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</si>
  <si>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</si>
  <si>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</si>
  <si>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</si>
  <si>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</si>
  <si>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</si>
  <si>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</si>
  <si>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</si>
  <si>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</si>
  <si>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</si>
  <si>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</si>
  <si>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</si>
  <si>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</si>
  <si>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</si>
  <si>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</si>
  <si>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</si>
  <si>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</si>
  <si>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</si>
  <si>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</si>
  <si>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</si>
  <si>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</si>
  <si>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</si>
  <si>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</si>
  <si>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</si>
  <si>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</si>
  <si>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</si>
  <si>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</si>
  <si>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</si>
  <si>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</si>
  <si>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</si>
  <si>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</si>
  <si>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</si>
  <si>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</si>
  <si>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</si>
  <si>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</si>
  <si>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</si>
  <si>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</si>
  <si>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</si>
  <si>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</si>
  <si>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</si>
  <si>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</si>
  <si>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</si>
  <si>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</si>
  <si>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</si>
  <si>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</si>
  <si>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</si>
  <si>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</si>
  <si>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</si>
  <si>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</si>
  <si>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</si>
  <si>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</si>
  <si>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</si>
  <si>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</si>
  <si>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</si>
  <si>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</si>
  <si>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</si>
  <si>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</si>
  <si>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</si>
  <si>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</si>
  <si>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</si>
  <si>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</si>
  <si>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</si>
  <si>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</si>
  <si>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</si>
  <si>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</si>
  <si>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</si>
  <si>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</si>
  <si>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</si>
  <si>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</si>
  <si>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</si>
  <si>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</si>
  <si>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</si>
  <si>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</si>
  <si>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</si>
  <si>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</si>
  <si>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</si>
  <si>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</si>
  <si>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</si>
  <si>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</si>
  <si>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</si>
  <si>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</si>
  <si>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</si>
  <si>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</si>
  <si>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</si>
  <si>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</si>
  <si>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</si>
  <si>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</si>
  <si>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</si>
  <si>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</si>
  <si>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</si>
  <si>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</si>
  <si>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</si>
  <si>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</si>
  <si>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</si>
  <si>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</si>
  <si>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</si>
  <si>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</si>
  <si>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</si>
  <si>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</si>
  <si>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</si>
  <si>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</si>
  <si>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</si>
  <si>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</si>
  <si>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</si>
  <si>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</si>
  <si>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</si>
  <si>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</si>
  <si>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</si>
  <si>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</si>
  <si>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</si>
  <si>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</si>
  <si>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</si>
  <si>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</si>
  <si>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</si>
  <si>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</si>
  <si>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</si>
  <si>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</si>
  <si>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</si>
  <si>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</si>
  <si>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</si>
  <si>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</si>
  <si>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</si>
  <si>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</si>
  <si>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</si>
  <si>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</si>
  <si>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</si>
  <si>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</si>
  <si>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</si>
  <si>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</si>
  <si>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</si>
  <si>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</si>
  <si>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</si>
  <si>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</si>
  <si>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</si>
  <si>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</si>
  <si>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</si>
  <si>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</si>
  <si>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</si>
  <si>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</si>
  <si>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</si>
  <si>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</si>
  <si>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</si>
  <si>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</si>
  <si>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</si>
  <si>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</si>
  <si>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</si>
  <si>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</si>
  <si>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</si>
  <si>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</si>
  <si>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</si>
  <si>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</si>
  <si>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</si>
  <si>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</si>
  <si>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</si>
  <si>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</si>
  <si>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</si>
  <si>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</si>
  <si>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</si>
  <si>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</si>
  <si>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</si>
  <si>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</si>
  <si>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</si>
  <si>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</si>
  <si>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</si>
  <si>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</si>
  <si>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</si>
  <si>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</si>
  <si>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</si>
  <si>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</si>
  <si>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</si>
  <si>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</si>
  <si>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</si>
  <si>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</si>
  <si>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</si>
  <si>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</si>
  <si>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</si>
  <si>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</si>
  <si>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</si>
  <si>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</si>
  <si>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</si>
  <si>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</si>
  <si>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</si>
  <si>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</si>
  <si>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</si>
  <si>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</si>
  <si>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</si>
  <si>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</si>
  <si>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</si>
  <si>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</si>
  <si>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</si>
  <si>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</si>
  <si>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</si>
  <si>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</si>
  <si>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</si>
  <si>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</si>
  <si>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</si>
  <si>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</si>
  <si>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</si>
  <si>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</si>
  <si>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</si>
  <si>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</si>
  <si>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</si>
  <si>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</si>
  <si>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</si>
  <si>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</si>
  <si>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</si>
  <si>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</si>
  <si>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</si>
  <si>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</si>
  <si>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</si>
  <si>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</si>
  <si>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</si>
  <si>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</si>
  <si>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</si>
  <si>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</si>
  <si>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</si>
  <si>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</si>
  <si>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</si>
  <si>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</si>
  <si>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</si>
  <si>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</si>
  <si>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</si>
  <si>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</si>
  <si>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</si>
  <si>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</si>
  <si>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</si>
  <si>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</si>
  <si>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</si>
  <si>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</si>
  <si>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</si>
  <si>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</si>
  <si>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</si>
  <si>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</si>
  <si>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</si>
  <si>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</si>
  <si>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</si>
  <si>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</si>
  <si>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</si>
  <si>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</si>
  <si>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</si>
  <si>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</si>
  <si>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</si>
  <si>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</si>
  <si>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</si>
  <si>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</si>
  <si>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</si>
  <si>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</si>
  <si>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</si>
  <si>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</si>
  <si>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</si>
  <si>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</si>
  <si>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</si>
  <si>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</si>
  <si>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</si>
  <si>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</si>
  <si>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</si>
  <si>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</si>
  <si>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</si>
  <si>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</si>
  <si>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</si>
  <si>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</si>
  <si>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</si>
  <si>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</si>
  <si>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</si>
  <si>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</si>
  <si>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</si>
  <si>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</si>
  <si>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</si>
  <si>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</si>
  <si>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</si>
  <si>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</si>
  <si>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</si>
  <si>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</si>
  <si>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</si>
  <si>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</si>
  <si>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</si>
  <si>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</si>
  <si>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</si>
  <si>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</si>
  <si>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</si>
  <si>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</si>
  <si>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</si>
  <si>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</si>
  <si>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</si>
  <si>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</si>
  <si>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</si>
  <si>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</si>
  <si>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</si>
  <si>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</si>
  <si>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</si>
  <si>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</si>
  <si>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</si>
  <si>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</si>
  <si>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</si>
  <si>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</si>
  <si>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</si>
  <si>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</si>
  <si>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</si>
  <si>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</si>
  <si>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</si>
  <si>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</si>
  <si>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</si>
  <si>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</si>
  <si>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</si>
  <si>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</si>
  <si>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</si>
  <si>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</si>
  <si>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</si>
  <si>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</si>
  <si>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</si>
  <si>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</si>
  <si>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</si>
  <si>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</si>
  <si>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</si>
  <si>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</si>
  <si>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</si>
  <si>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</si>
  <si>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</si>
  <si>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</si>
  <si>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</si>
  <si>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</si>
  <si>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</si>
  <si>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</si>
  <si>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</si>
  <si>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</si>
  <si>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</si>
  <si>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</si>
  <si>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</si>
  <si>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</si>
  <si>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</si>
  <si>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</si>
  <si>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</si>
  <si>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</si>
  <si>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</si>
  <si>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</si>
  <si>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</si>
  <si>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</si>
  <si>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</si>
  <si>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</si>
  <si>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</si>
  <si>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</si>
  <si>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</si>
  <si>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</si>
  <si>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</si>
  <si>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</si>
  <si>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</si>
  <si>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</si>
  <si>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</si>
  <si>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</si>
  <si>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</si>
  <si>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</si>
  <si>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</si>
  <si>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</si>
  <si>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</si>
  <si>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</si>
  <si>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</si>
  <si>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</si>
  <si>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</si>
  <si>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</si>
  <si>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</si>
  <si>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</si>
  <si>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</si>
  <si>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</si>
  <si>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</si>
  <si>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</si>
  <si>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</si>
  <si>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</si>
  <si>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</si>
  <si>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</si>
  <si>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</si>
  <si>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</si>
  <si>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</si>
  <si>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</si>
  <si>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</si>
  <si>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</si>
  <si>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</si>
  <si>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</si>
  <si>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</si>
  <si>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</si>
  <si>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</si>
  <si>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</si>
  <si>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</si>
  <si>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</si>
  <si>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</si>
  <si>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</si>
  <si>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</si>
  <si>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</si>
  <si>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</si>
  <si>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</si>
  <si>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</si>
  <si>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</si>
  <si>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</si>
  <si>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</si>
  <si>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</si>
  <si>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</si>
  <si>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</si>
  <si>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</si>
  <si>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</si>
  <si>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</si>
  <si>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</si>
  <si>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</si>
  <si>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</si>
  <si>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</si>
  <si>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</si>
  <si>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</si>
  <si>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</si>
  <si>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</si>
  <si>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</si>
  <si>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</si>
  <si>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</si>
  <si>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</si>
  <si>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</si>
  <si>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</si>
  <si>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</si>
  <si>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</si>
  <si>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</si>
  <si>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</si>
  <si>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</si>
  <si>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</si>
  <si>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</si>
  <si>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</si>
  <si>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</si>
  <si>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</si>
  <si>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</si>
  <si>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</si>
  <si>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</si>
  <si>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</si>
  <si>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</si>
  <si>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</si>
  <si>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</si>
  <si>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</si>
  <si>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</si>
  <si>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</si>
  <si>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</si>
  <si>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</si>
  <si>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</si>
  <si>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</si>
  <si>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</si>
  <si>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</si>
  <si>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</si>
  <si>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</si>
  <si>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</si>
  <si>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</si>
  <si>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</si>
  <si>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</si>
  <si>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</si>
  <si>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</si>
  <si>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</si>
  <si>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</si>
  <si>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</si>
  <si>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</si>
  <si>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</si>
  <si>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</si>
  <si>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</si>
  <si>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</si>
  <si>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</si>
  <si>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</si>
  <si>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</si>
  <si>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</si>
  <si>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</si>
  <si>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</si>
  <si>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</si>
  <si>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</si>
  <si>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</si>
  <si>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</si>
  <si>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</si>
  <si>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</si>
  <si>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</si>
  <si>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</si>
  <si>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</si>
  <si>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</si>
  <si>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</si>
  <si>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</si>
  <si>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</si>
  <si>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</si>
  <si>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</si>
  <si>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</si>
  <si>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</si>
  <si>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</si>
  <si>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</si>
  <si>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</si>
  <si>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</si>
  <si>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</si>
  <si>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</si>
  <si>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</si>
  <si>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</si>
  <si>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</si>
  <si>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</si>
  <si>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</si>
  <si>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</si>
  <si>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</si>
  <si>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</si>
  <si>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</si>
  <si>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</si>
  <si>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</si>
  <si>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</si>
  <si>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</si>
  <si>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</si>
  <si>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</si>
  <si>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</si>
  <si>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</si>
  <si>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</si>
  <si>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</si>
  <si>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</si>
  <si>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</si>
  <si>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</si>
  <si>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</si>
  <si>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</si>
  <si>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</si>
  <si>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</si>
  <si>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</si>
  <si>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</si>
  <si>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</si>
  <si>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</si>
  <si>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</si>
  <si>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</si>
  <si>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</si>
  <si>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</si>
  <si>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</si>
  <si>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</si>
  <si>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</si>
  <si>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</si>
  <si>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</si>
  <si>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</si>
  <si>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</si>
  <si>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</si>
  <si>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</si>
  <si>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</si>
  <si>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</si>
  <si>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</si>
  <si>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</si>
  <si>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</si>
  <si>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</si>
  <si>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</si>
  <si>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</si>
  <si>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</si>
  <si>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</si>
  <si>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</si>
  <si>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</si>
  <si>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</si>
  <si>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</si>
  <si>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</si>
  <si>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</si>
  <si>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</si>
  <si>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</si>
  <si>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</si>
  <si>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</si>
  <si>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</si>
  <si>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</si>
  <si>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</si>
  <si>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</si>
  <si>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</si>
  <si>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</si>
  <si>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</si>
  <si>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</si>
  <si>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</si>
  <si>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</si>
  <si>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</si>
  <si>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</si>
  <si>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</si>
  <si>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</si>
  <si>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</si>
  <si>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</si>
  <si>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</si>
  <si>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</si>
  <si>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</si>
  <si>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</si>
  <si>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</si>
  <si>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</si>
  <si>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</si>
  <si>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</si>
  <si>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</si>
  <si>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</si>
  <si>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</si>
  <si>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</si>
  <si>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</si>
  <si>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</si>
  <si>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</si>
  <si>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</si>
  <si>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</si>
  <si>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</si>
  <si>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</si>
  <si>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</si>
  <si>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</si>
  <si>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</si>
  <si>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</si>
  <si>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</si>
  <si>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</si>
  <si>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</si>
  <si>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</si>
  <si>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</si>
  <si>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</si>
  <si>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</si>
  <si>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</si>
  <si>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</si>
  <si>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</si>
  <si>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</si>
  <si>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</si>
  <si>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</si>
  <si>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</si>
  <si>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</si>
  <si>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</si>
  <si>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</si>
  <si>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</si>
  <si>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</si>
  <si>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</si>
  <si>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</si>
  <si>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</si>
  <si>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</si>
  <si>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</si>
  <si>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</si>
  <si>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</si>
  <si>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</si>
  <si>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</si>
  <si>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</si>
  <si>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</si>
  <si>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</si>
  <si>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</si>
  <si>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</si>
  <si>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</si>
  <si>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</si>
  <si>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</si>
  <si>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</si>
  <si>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</si>
  <si>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</si>
  <si>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</si>
  <si>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</si>
  <si>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</si>
  <si>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</si>
  <si>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</si>
  <si>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</si>
  <si>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</si>
  <si>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</si>
  <si>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</si>
  <si>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</si>
  <si>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</si>
  <si>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</si>
  <si>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</si>
  <si>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</si>
  <si>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</si>
  <si>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</si>
  <si>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</si>
  <si>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</si>
  <si>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</si>
  <si>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</si>
  <si>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</si>
  <si>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</si>
  <si>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</si>
  <si>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</si>
  <si>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</si>
  <si>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</si>
  <si>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</si>
  <si>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</si>
  <si>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</si>
  <si>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</si>
  <si>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</si>
  <si>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</si>
  <si>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</si>
  <si>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</si>
  <si>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</si>
  <si>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</si>
  <si>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</si>
  <si>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</si>
  <si>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</si>
  <si>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</si>
  <si>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</si>
  <si>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</si>
  <si>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</si>
  <si>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</si>
  <si>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</si>
  <si>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</si>
  <si>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</si>
  <si>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</si>
  <si>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</si>
  <si>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</si>
  <si>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</si>
  <si>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</si>
  <si>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</si>
  <si>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</si>
  <si>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</si>
  <si>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</si>
  <si>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</si>
  <si>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</si>
  <si>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</si>
  <si>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</si>
  <si>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</si>
  <si>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</si>
  <si>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</si>
  <si>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</si>
  <si>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</si>
  <si>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</si>
  <si>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</si>
  <si>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</si>
  <si>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</si>
  <si>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</si>
  <si>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</si>
  <si>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</si>
  <si>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</si>
  <si>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</si>
  <si>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</si>
  <si>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</si>
  <si>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</si>
  <si>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</si>
  <si>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</si>
  <si>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</si>
  <si>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</si>
  <si>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</si>
  <si>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</si>
  <si>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</si>
  <si>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</si>
  <si>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</si>
  <si>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</si>
  <si>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</si>
  <si>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</si>
  <si>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</si>
  <si>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</si>
  <si>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</si>
  <si>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</si>
  <si>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</si>
  <si>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</si>
  <si>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</si>
  <si>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</si>
  <si>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</si>
  <si>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</si>
  <si>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</si>
  <si>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</si>
  <si>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</si>
  <si>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</si>
  <si>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</si>
  <si>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</si>
  <si>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</si>
  <si>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</si>
  <si>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</si>
  <si>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</si>
  <si>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</si>
  <si>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</si>
  <si>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</si>
  <si>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</si>
  <si>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</si>
  <si>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</si>
  <si>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</si>
  <si>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</si>
  <si>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</si>
  <si>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</si>
  <si>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</si>
  <si>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</si>
  <si>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</si>
  <si>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</si>
  <si>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</si>
  <si>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</si>
  <si>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</si>
  <si>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</si>
  <si>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</si>
  <si>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</si>
  <si>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</si>
  <si>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</si>
  <si>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</si>
  <si>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</si>
  <si>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</si>
  <si>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</si>
  <si>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</si>
  <si>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</si>
  <si>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</si>
  <si>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</si>
  <si>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</si>
  <si>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</si>
  <si>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</si>
  <si>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</si>
  <si>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</si>
  <si>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</si>
  <si>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</si>
  <si>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</si>
  <si>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</si>
  <si>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</si>
  <si>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</si>
  <si>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</si>
  <si>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</si>
  <si>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</si>
  <si>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</si>
  <si>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</si>
  <si>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</si>
  <si>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</si>
  <si>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</si>
  <si>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</si>
  <si>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</si>
  <si>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</si>
  <si>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</si>
  <si>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</si>
  <si>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</si>
  <si>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</si>
  <si>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</si>
  <si>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</si>
  <si>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</si>
  <si>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</si>
  <si>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</si>
  <si>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</si>
  <si>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</si>
  <si>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</si>
  <si>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</si>
  <si>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</si>
  <si>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</si>
  <si>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</si>
  <si>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</si>
  <si>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</si>
  <si>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</si>
  <si>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</si>
  <si>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</si>
  <si>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</si>
  <si>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</si>
  <si>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</si>
  <si>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</si>
  <si>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</si>
  <si>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</si>
  <si>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</si>
  <si>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</si>
  <si>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</si>
  <si>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</si>
  <si>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</si>
  <si>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</si>
  <si>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</si>
  <si>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</si>
  <si>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</si>
  <si>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</si>
  <si>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</si>
  <si>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</si>
  <si>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</si>
  <si>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</si>
  <si>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</si>
  <si>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</si>
  <si>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</si>
  <si>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</si>
  <si>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</si>
  <si>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</si>
  <si>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</si>
  <si>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</si>
  <si>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</si>
  <si>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</si>
  <si>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</si>
  <si>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</si>
  <si>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</si>
  <si>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</si>
  <si>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</si>
  <si>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</si>
  <si>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</si>
  <si>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</si>
  <si>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</si>
  <si>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</si>
  <si>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</si>
  <si>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</si>
  <si>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</si>
  <si>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</si>
  <si>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</si>
  <si>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</si>
  <si>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</si>
  <si>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</si>
  <si>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</si>
  <si>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</si>
  <si>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</si>
  <si>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</si>
  <si>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</si>
  <si>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</si>
  <si>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</si>
  <si>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</si>
  <si>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</si>
  <si>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</si>
  <si>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</si>
  <si>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</si>
  <si>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</si>
  <si>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</si>
  <si>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</si>
  <si>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</si>
  <si>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</si>
  <si>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</si>
  <si>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</si>
  <si>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</si>
  <si>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</si>
  <si>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</si>
  <si>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</si>
  <si>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</si>
  <si>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</si>
  <si>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</si>
  <si>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</si>
  <si>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</si>
  <si>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</si>
  <si>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</si>
  <si>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</si>
  <si>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</si>
  <si>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</si>
  <si>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</si>
  <si>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</si>
  <si>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</si>
  <si>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</si>
  <si>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</si>
  <si>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</si>
  <si>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</si>
  <si>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</si>
  <si>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</si>
  <si>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</si>
  <si>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</si>
  <si>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</si>
  <si>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</si>
  <si>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</si>
  <si>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</si>
  <si>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</si>
  <si>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</si>
  <si>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</si>
  <si>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</si>
  <si>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</si>
  <si>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</si>
  <si>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</si>
  <si>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</si>
  <si>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</si>
  <si>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</si>
  <si>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</si>
  <si>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</si>
  <si>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</si>
  <si>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</si>
  <si>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</si>
  <si>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</si>
  <si>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</si>
  <si>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</si>
  <si>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</si>
  <si>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</si>
  <si>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</si>
  <si>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</si>
  <si>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</si>
  <si>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</si>
  <si>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</si>
  <si>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</si>
  <si>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</si>
  <si>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</si>
  <si>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</si>
  <si>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</si>
  <si>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</si>
  <si>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</si>
  <si>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</si>
  <si>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</si>
  <si>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</si>
  <si>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</si>
  <si>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</si>
  <si>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</si>
  <si>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</si>
  <si>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</si>
  <si>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</si>
  <si>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</si>
  <si>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</si>
  <si>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</si>
  <si>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</si>
  <si>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</si>
  <si>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</si>
  <si>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</si>
  <si>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</si>
  <si>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</si>
  <si>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</si>
  <si>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</si>
  <si>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</si>
  <si>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</si>
  <si>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</si>
  <si>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</si>
  <si>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</si>
  <si>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</si>
  <si>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</si>
  <si>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</si>
  <si>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</si>
  <si>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</si>
  <si>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</si>
  <si>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</si>
  <si>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</si>
  <si>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</si>
  <si>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</si>
  <si>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</si>
  <si>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</si>
  <si>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</si>
  <si>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</si>
  <si>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</si>
  <si>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</si>
  <si>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</si>
  <si>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</si>
  <si>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</si>
  <si>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</si>
  <si>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</si>
  <si>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</si>
  <si>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</si>
  <si>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</si>
  <si>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</si>
  <si>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</si>
  <si>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</si>
  <si>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</si>
  <si>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</si>
  <si>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</si>
  <si>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</si>
  <si>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</si>
  <si>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</si>
  <si>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</si>
  <si>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</si>
  <si>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</si>
  <si>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</si>
  <si>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</si>
  <si>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</si>
  <si>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</si>
  <si>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</si>
  <si>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</si>
  <si>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</si>
  <si>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</si>
  <si>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</si>
  <si>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</si>
  <si>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</si>
  <si>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</si>
  <si>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</si>
  <si>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</si>
  <si>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</si>
  <si>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</si>
  <si>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</si>
  <si>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</si>
  <si>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</si>
  <si>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</si>
  <si>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</si>
  <si>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</si>
  <si>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</si>
  <si>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</si>
  <si>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</si>
  <si>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</si>
  <si>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</si>
  <si>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</si>
  <si>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</si>
  <si>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</si>
  <si>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</si>
  <si>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</si>
  <si>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</si>
  <si>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</si>
  <si>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</si>
  <si>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</si>
  <si>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</si>
  <si>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</si>
  <si>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</si>
  <si>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</si>
  <si>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</si>
  <si>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</si>
  <si>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</si>
  <si>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</si>
  <si>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</si>
  <si>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</si>
  <si>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</si>
  <si>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</si>
  <si>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</si>
  <si>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</si>
  <si>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</si>
  <si>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</si>
  <si>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</si>
  <si>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</si>
  <si>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</si>
  <si>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</si>
  <si>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</si>
  <si>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</si>
  <si>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</si>
  <si>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</si>
  <si>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</si>
  <si>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</si>
  <si>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</si>
  <si>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</si>
  <si>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</si>
  <si>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</si>
  <si>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</si>
  <si>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</si>
  <si>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</si>
  <si>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</si>
  <si>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</si>
  <si>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</si>
  <si>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</si>
  <si>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</si>
  <si>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</si>
  <si>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</si>
  <si>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</si>
  <si>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</si>
  <si>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</si>
  <si>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</si>
  <si>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</si>
  <si>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</si>
  <si>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</si>
  <si>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</si>
  <si>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</si>
  <si>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</si>
  <si>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</si>
  <si>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</si>
  <si>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</si>
  <si>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</si>
  <si>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</si>
  <si>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</si>
  <si>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</si>
  <si>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</si>
  <si>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</si>
  <si>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</si>
  <si>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</si>
  <si>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</si>
  <si>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</si>
  <si>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</si>
  <si>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</si>
  <si>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</si>
  <si>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</si>
  <si>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</si>
  <si>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</si>
  <si>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</si>
  <si>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</si>
  <si>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</si>
  <si>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</si>
  <si>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</si>
  <si>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</si>
  <si>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</si>
  <si>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</si>
  <si>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</si>
  <si>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</si>
  <si>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</si>
  <si>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</si>
  <si>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</si>
  <si>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</si>
  <si>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</si>
  <si>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</si>
  <si>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</si>
  <si>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</si>
  <si>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</si>
  <si>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</si>
  <si>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</si>
  <si>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</si>
  <si>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</si>
  <si>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</si>
  <si>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</si>
  <si>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</si>
  <si>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</si>
  <si>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</si>
  <si>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</si>
  <si>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</si>
  <si>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</si>
  <si>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</si>
  <si>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</si>
  <si>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</si>
  <si>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</si>
  <si>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</si>
  <si>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</si>
  <si>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</si>
  <si>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</si>
  <si>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</si>
  <si>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</si>
  <si>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</si>
  <si>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</si>
  <si>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</si>
  <si>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</si>
  <si>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</si>
  <si>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</si>
  <si>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</si>
  <si>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</si>
  <si>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</si>
  <si>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</si>
  <si>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</si>
  <si>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</si>
  <si>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</si>
  <si>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</si>
  <si>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</si>
  <si>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</si>
  <si>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</si>
  <si>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</si>
  <si>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</si>
  <si>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</si>
  <si>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</si>
  <si>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</si>
  <si>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</si>
  <si>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</si>
  <si>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</si>
  <si>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</si>
  <si>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</si>
  <si>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</si>
  <si>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</si>
  <si>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</si>
  <si>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</si>
  <si>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</si>
  <si>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</si>
  <si>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</si>
  <si>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</si>
  <si>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</si>
  <si>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</si>
  <si>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</si>
  <si>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</si>
  <si>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</si>
  <si>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</si>
  <si>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</si>
  <si>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</si>
  <si>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</si>
  <si>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</si>
  <si>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</si>
  <si>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</si>
  <si>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</si>
  <si>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</si>
  <si>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</si>
  <si>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</si>
  <si>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</si>
  <si>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</si>
  <si>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</si>
  <si>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</si>
  <si>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</si>
  <si>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</si>
  <si>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</si>
  <si>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</si>
  <si>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</si>
  <si>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</si>
  <si>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</si>
  <si>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</si>
  <si>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</si>
  <si>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</si>
  <si>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</si>
  <si>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</si>
  <si>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</si>
  <si>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</si>
  <si>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</si>
  <si>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</si>
  <si>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</si>
  <si>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</si>
  <si>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</si>
  <si>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</si>
  <si>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</si>
  <si>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</si>
  <si>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</si>
  <si>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</si>
  <si>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</si>
  <si>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</si>
  <si>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</si>
  <si>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</si>
  <si>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</si>
  <si>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</si>
  <si>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</si>
  <si>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</si>
  <si>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</si>
  <si>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</si>
  <si>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</si>
  <si>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</si>
  <si>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</si>
  <si>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</si>
  <si>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</si>
  <si>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</si>
  <si>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</si>
  <si>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</si>
  <si>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</si>
  <si>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</si>
  <si>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</si>
  <si>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</si>
  <si>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</si>
  <si>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</si>
  <si>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</si>
  <si>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</si>
  <si>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</si>
  <si>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</si>
  <si>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</si>
  <si>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</si>
  <si>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</si>
  <si>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</si>
  <si>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</si>
  <si>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</si>
  <si>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</si>
  <si>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</si>
  <si>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</si>
  <si>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</si>
  <si>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</si>
  <si>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</si>
  <si>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</si>
  <si>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</si>
  <si>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</si>
  <si>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</si>
  <si>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</si>
  <si>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</si>
  <si>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</si>
  <si>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</si>
  <si>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</si>
  <si>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</si>
  <si>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</si>
  <si>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</si>
  <si>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</si>
  <si>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</si>
  <si>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</si>
  <si>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</si>
  <si>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</si>
  <si>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</si>
  <si>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</si>
  <si>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</si>
  <si>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</si>
  <si>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</si>
  <si>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</si>
  <si>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</si>
  <si>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</si>
  <si>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</si>
  <si>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</si>
  <si>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</si>
  <si>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</si>
  <si>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</si>
  <si>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</si>
  <si>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</si>
  <si>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</si>
  <si>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</si>
  <si>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</si>
  <si>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</si>
  <si>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</si>
  <si>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</si>
  <si>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</si>
  <si>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</si>
  <si>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</si>
  <si>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</si>
  <si>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</si>
  <si>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</si>
  <si>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</si>
  <si>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</si>
  <si>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</si>
  <si>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</si>
  <si>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</si>
  <si>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</si>
  <si>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</si>
  <si>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</si>
  <si>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</si>
  <si>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</si>
  <si>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</si>
  <si>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</si>
  <si>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</si>
  <si>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</si>
  <si>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</si>
  <si>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</si>
  <si>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</si>
  <si>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</si>
  <si>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</si>
  <si>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</si>
  <si>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</si>
  <si>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</si>
  <si>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</si>
  <si>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</si>
  <si>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</si>
  <si>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</si>
  <si>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</si>
  <si>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</si>
  <si>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</si>
  <si>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</si>
  <si>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</si>
  <si>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</si>
  <si>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</si>
  <si>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</si>
  <si>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</si>
  <si>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</si>
  <si>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</si>
  <si>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</si>
  <si>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</si>
  <si>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</si>
  <si>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</si>
  <si>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</si>
  <si>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</si>
  <si>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</si>
  <si>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</si>
  <si>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</si>
  <si>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</si>
  <si>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</si>
  <si>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</si>
  <si>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</si>
  <si>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</si>
  <si>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</si>
  <si>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</si>
  <si>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</si>
  <si>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</si>
  <si>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</si>
  <si>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</si>
  <si>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</si>
  <si>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</si>
  <si>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</si>
  <si>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</si>
  <si>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</si>
  <si>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</si>
  <si>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</si>
  <si>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</si>
  <si>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</si>
  <si>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</si>
  <si>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</si>
  <si>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</si>
  <si>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</si>
  <si>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</si>
  <si>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</si>
  <si>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</si>
  <si>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</si>
  <si>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</si>
  <si>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</si>
  <si>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</si>
  <si>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</si>
  <si>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</si>
  <si>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</si>
  <si>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</si>
  <si>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</si>
  <si>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</si>
  <si>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</si>
  <si>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</si>
  <si>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</si>
  <si>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</si>
  <si>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</si>
  <si>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</si>
  <si>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</si>
  <si>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</si>
  <si>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</si>
  <si>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</si>
  <si>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</si>
  <si>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</si>
  <si>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</si>
  <si>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</si>
  <si>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</si>
  <si>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</si>
  <si>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</si>
  <si>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</si>
  <si>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</si>
  <si>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</si>
  <si>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</si>
  <si>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</si>
  <si>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</si>
  <si>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</si>
  <si>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</si>
  <si>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</si>
  <si>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</si>
  <si>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</si>
  <si>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</si>
  <si>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</si>
  <si>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</si>
  <si>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</si>
  <si>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</si>
  <si>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</si>
  <si>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</si>
  <si>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</si>
  <si>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</si>
  <si>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</si>
  <si>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</si>
  <si>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</si>
  <si>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</si>
  <si>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</si>
  <si>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</si>
  <si>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</si>
  <si>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</si>
  <si>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</si>
  <si>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</si>
  <si>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</si>
  <si>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</si>
  <si>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</si>
  <si>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</si>
  <si>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</si>
  <si>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</si>
  <si>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</si>
  <si>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</si>
  <si>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</si>
  <si>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</si>
  <si>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</si>
  <si>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</si>
  <si>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</si>
  <si>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</si>
  <si>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</si>
  <si>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</si>
  <si>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</si>
  <si>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</si>
  <si>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</si>
  <si>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</si>
  <si>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</si>
  <si>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</si>
  <si>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</si>
  <si>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</si>
  <si>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</si>
  <si>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</si>
  <si>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</si>
  <si>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</si>
  <si>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</si>
  <si>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</si>
  <si>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</si>
  <si>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</si>
  <si>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</si>
  <si>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</si>
  <si>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</si>
  <si>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</si>
  <si>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</si>
  <si>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</si>
  <si>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</si>
  <si>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</si>
  <si>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</si>
  <si>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</si>
  <si>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</si>
  <si>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</si>
  <si>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</si>
  <si>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</si>
  <si>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</si>
  <si>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</si>
  <si>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</si>
  <si>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</si>
  <si>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</si>
  <si>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</si>
  <si>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</si>
  <si>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</si>
  <si>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</si>
  <si>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</si>
  <si>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</si>
  <si>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</si>
  <si>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</si>
  <si>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</si>
  <si>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</si>
  <si>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</si>
  <si>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</si>
  <si>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</si>
  <si>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</si>
  <si>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</si>
  <si>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</si>
  <si>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</si>
  <si>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</si>
  <si>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</si>
  <si>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</si>
  <si>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</si>
  <si>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</si>
  <si>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</si>
  <si>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</si>
  <si>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</si>
  <si>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</si>
  <si>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</si>
  <si>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</si>
  <si>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</si>
  <si>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</si>
  <si>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</si>
  <si>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</si>
  <si>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</si>
  <si>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</si>
  <si>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</si>
  <si>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</si>
  <si>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</si>
  <si>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</si>
  <si>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</si>
  <si>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</si>
  <si>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</si>
  <si>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</si>
  <si>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</si>
  <si>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</si>
  <si>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</si>
  <si>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</si>
  <si>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</si>
  <si>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</si>
  <si>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</si>
  <si>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</si>
  <si>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</si>
  <si>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</si>
  <si>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</si>
  <si>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</si>
  <si>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</si>
  <si>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</si>
  <si>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</si>
  <si>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</si>
  <si>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</si>
  <si>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</si>
  <si>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</si>
  <si>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</si>
  <si>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</si>
  <si>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</si>
  <si>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</si>
  <si>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</si>
  <si>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</si>
  <si>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</si>
  <si>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</si>
  <si>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</si>
  <si>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</si>
  <si>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</si>
  <si>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</si>
  <si>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</si>
  <si>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</si>
  <si>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</si>
  <si>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</si>
  <si>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</si>
  <si>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</si>
  <si>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</si>
  <si>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</si>
  <si>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</si>
  <si>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</si>
  <si>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</si>
  <si>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</si>
  <si>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</si>
  <si>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</si>
  <si>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</si>
  <si>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</si>
  <si>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</si>
  <si>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</si>
  <si>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</si>
  <si>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</si>
  <si>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</si>
  <si>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</si>
  <si>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</si>
  <si>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</si>
  <si>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</si>
  <si>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</si>
  <si>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</si>
  <si>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</si>
  <si>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</si>
  <si>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</si>
  <si>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</si>
  <si>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</si>
  <si>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</si>
  <si>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</si>
  <si>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</si>
  <si>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</si>
  <si>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</si>
  <si>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</si>
  <si>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</si>
  <si>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</si>
  <si>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</si>
  <si>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</si>
  <si>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</si>
  <si>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</si>
  <si>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</si>
  <si>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</si>
  <si>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</si>
  <si>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</si>
  <si>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</si>
  <si>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</si>
  <si>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</si>
  <si>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</si>
  <si>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</si>
  <si>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</si>
  <si>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</si>
  <si>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</si>
  <si>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</si>
  <si>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</si>
  <si>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</si>
  <si>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</si>
  <si>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</si>
  <si>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</si>
  <si>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</si>
  <si>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</si>
  <si>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</si>
  <si>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</si>
  <si>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</si>
  <si>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</si>
  <si>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</si>
  <si>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</si>
  <si>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</si>
  <si>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</si>
  <si>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</si>
  <si>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</si>
  <si>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</si>
  <si>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</si>
  <si>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</si>
  <si>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</si>
  <si>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</si>
  <si>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</si>
  <si>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</si>
  <si>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</si>
  <si>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</si>
  <si>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</si>
  <si>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</si>
  <si>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</si>
  <si>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</si>
  <si>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</si>
  <si>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</si>
  <si>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</si>
  <si>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</si>
  <si>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</si>
  <si>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</si>
  <si>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</si>
  <si>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</si>
  <si>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</si>
  <si>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</si>
  <si>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</si>
  <si>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</si>
  <si>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</si>
  <si>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</si>
  <si>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</si>
  <si>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</si>
  <si>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</si>
  <si>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</si>
  <si>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</si>
  <si>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</si>
  <si>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</si>
  <si>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</si>
  <si>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</si>
  <si>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</si>
  <si>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</si>
  <si>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</si>
  <si>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</si>
  <si>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</si>
  <si>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</si>
  <si>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</si>
  <si>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</si>
  <si>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</si>
  <si>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</si>
  <si>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</si>
  <si>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</si>
  <si>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</si>
  <si>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</si>
  <si>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</si>
  <si>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</si>
  <si>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</si>
  <si>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</si>
  <si>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</si>
  <si>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</si>
  <si>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</si>
  <si>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</si>
  <si>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</si>
  <si>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</si>
  <si>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</si>
  <si>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</si>
  <si>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</si>
  <si>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</si>
  <si>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</si>
  <si>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</si>
  <si>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</si>
  <si>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</si>
  <si>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</si>
  <si>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</si>
  <si>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</si>
  <si>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</si>
  <si>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</si>
  <si>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</si>
  <si>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</si>
  <si>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</si>
  <si>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</si>
  <si>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</si>
  <si>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</si>
  <si>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</si>
  <si>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</si>
  <si>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</si>
  <si>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</si>
  <si>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</si>
  <si>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</si>
  <si>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</si>
  <si>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</si>
  <si>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</si>
  <si>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</si>
  <si>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</si>
  <si>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</si>
  <si>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</si>
  <si>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</si>
  <si>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</si>
  <si>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</si>
  <si>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</si>
  <si>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</si>
  <si>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</si>
  <si>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</si>
  <si>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</si>
  <si>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</si>
  <si>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</si>
  <si>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</si>
  <si>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</si>
  <si>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</si>
  <si>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</si>
  <si>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</si>
  <si>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</si>
  <si>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</si>
  <si>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</si>
  <si>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</si>
  <si>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</si>
  <si>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</si>
  <si>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</si>
  <si>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</si>
  <si>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</si>
  <si>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</si>
  <si>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</si>
  <si>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</si>
  <si>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</si>
  <si>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</si>
  <si>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</si>
  <si>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</si>
  <si>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</si>
  <si>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</si>
  <si>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</si>
  <si>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</si>
  <si>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</si>
  <si>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</si>
  <si>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</si>
  <si>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</si>
  <si>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</si>
  <si>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</si>
  <si>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</si>
  <si>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</si>
  <si>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</si>
  <si>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</si>
  <si>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</si>
  <si>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</si>
  <si>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</si>
  <si>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</si>
  <si>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</si>
  <si>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</si>
  <si>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</si>
  <si>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</si>
  <si>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</si>
  <si>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</si>
  <si>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</si>
  <si>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</si>
  <si>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</si>
  <si>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</si>
  <si>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</si>
  <si>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</si>
  <si>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</si>
  <si>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</si>
  <si>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</si>
  <si>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</si>
  <si>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</si>
  <si>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</si>
  <si>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</si>
  <si>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</si>
  <si>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</si>
  <si>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</si>
  <si>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</si>
  <si>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</si>
  <si>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</si>
  <si>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</si>
  <si>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</si>
  <si>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</si>
  <si>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</si>
  <si>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</si>
  <si>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</si>
  <si>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</si>
  <si>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</si>
  <si>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</si>
  <si>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</si>
  <si>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</si>
  <si>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</si>
  <si>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</si>
  <si>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</si>
  <si>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</si>
  <si>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</si>
  <si>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</si>
  <si>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</si>
  <si>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</si>
  <si>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</si>
  <si>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</si>
  <si>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</si>
  <si>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</si>
  <si>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</si>
  <si>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</si>
  <si>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</si>
  <si>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</si>
  <si>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</si>
  <si>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</si>
  <si>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</si>
  <si>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</si>
  <si>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</si>
  <si>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</si>
  <si>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</si>
  <si>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</si>
  <si>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</si>
  <si>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</si>
  <si>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</si>
  <si>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</si>
  <si>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</si>
  <si>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</si>
  <si>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</si>
  <si>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</si>
  <si>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</si>
  <si>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</si>
  <si>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</si>
  <si>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</si>
  <si>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</si>
  <si>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</si>
  <si>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</si>
  <si>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</si>
  <si>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</si>
  <si>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</si>
  <si>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</si>
  <si>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</si>
  <si>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</si>
  <si>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</si>
  <si>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</si>
  <si>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</si>
  <si>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</si>
  <si>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</si>
  <si>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</si>
  <si>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</si>
  <si>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</si>
  <si>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</si>
  <si>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</si>
  <si>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</si>
  <si>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</si>
  <si>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</si>
  <si>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</si>
  <si>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</si>
  <si>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</si>
  <si>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</si>
  <si>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</si>
  <si>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</si>
  <si>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</si>
  <si>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</si>
  <si>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</si>
  <si>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</si>
  <si>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</si>
  <si>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</si>
  <si>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</si>
  <si>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</si>
  <si>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</si>
  <si>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</si>
  <si>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</si>
  <si>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</si>
  <si>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</si>
  <si>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</si>
  <si>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</si>
  <si>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</si>
  <si>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</si>
  <si>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</si>
  <si>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</si>
  <si>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</si>
  <si>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</si>
  <si>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</si>
  <si>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</si>
  <si>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</si>
  <si>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</si>
  <si>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</si>
  <si>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</si>
  <si>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</si>
  <si>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</si>
  <si>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</si>
  <si>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</si>
  <si>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</si>
  <si>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</si>
  <si>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</si>
  <si>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</si>
  <si>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</si>
  <si>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</si>
  <si>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</si>
  <si>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</si>
  <si>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</si>
  <si>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</si>
  <si>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</si>
  <si>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</si>
  <si>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</si>
  <si>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</si>
  <si>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</si>
  <si>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</si>
  <si>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</si>
  <si>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</si>
  <si>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</si>
  <si>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</si>
  <si>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</si>
  <si>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</si>
  <si>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</si>
  <si>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</si>
  <si>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</si>
  <si>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</si>
  <si>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</si>
  <si>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</si>
  <si>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</si>
  <si>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</si>
  <si>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</si>
  <si>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</si>
  <si>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</si>
  <si>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</si>
  <si>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</si>
  <si>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</si>
  <si>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</si>
  <si>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</si>
  <si>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</si>
  <si>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</si>
  <si>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</si>
  <si>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</si>
  <si>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</si>
  <si>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</si>
  <si>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</si>
  <si>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</si>
  <si>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</si>
  <si>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</si>
  <si>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</si>
  <si>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</si>
  <si>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</si>
  <si>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</si>
  <si>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</si>
  <si>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</si>
  <si>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</si>
  <si>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</si>
  <si>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</si>
  <si>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</si>
  <si>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</si>
  <si>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</si>
  <si>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</si>
  <si>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</si>
  <si>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</si>
  <si>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</si>
  <si>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</si>
  <si>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</si>
  <si>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</si>
  <si>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</si>
  <si>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</si>
  <si>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</si>
  <si>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</si>
  <si>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</si>
  <si>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</si>
  <si>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</si>
  <si>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</si>
  <si>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</si>
  <si>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</si>
  <si>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</si>
  <si>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</si>
  <si>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</si>
  <si>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</si>
  <si>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</si>
  <si>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</si>
  <si>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</si>
  <si>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</si>
  <si>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</si>
  <si>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</si>
  <si>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</si>
  <si>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</si>
  <si>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</si>
  <si>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</si>
  <si>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</si>
  <si>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</si>
  <si>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</si>
  <si>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</si>
  <si>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</si>
  <si>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</si>
  <si>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</si>
  <si>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</si>
  <si>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</si>
  <si>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</si>
  <si>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</si>
  <si>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</si>
  <si>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</si>
  <si>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</si>
  <si>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</si>
  <si>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</si>
  <si>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</si>
  <si>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</si>
  <si>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</si>
  <si>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</si>
  <si>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</si>
  <si>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</si>
  <si>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</si>
  <si>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</si>
  <si>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</si>
  <si>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</si>
  <si>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</si>
  <si>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</si>
  <si>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</si>
  <si>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</si>
  <si>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</si>
  <si>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</si>
  <si>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</si>
  <si>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</si>
  <si>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</si>
  <si>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</si>
  <si>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</si>
  <si>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</si>
  <si>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</si>
  <si>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</si>
  <si>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</si>
  <si>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</si>
  <si>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</si>
  <si>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</si>
  <si>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</si>
  <si>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</si>
  <si>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</si>
  <si>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</si>
  <si>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</si>
  <si>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</si>
  <si>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</si>
  <si>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</si>
  <si>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</si>
  <si>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</si>
  <si>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</si>
  <si>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</si>
  <si>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</si>
  <si>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</si>
  <si>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</si>
  <si>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</si>
  <si>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</si>
  <si>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</si>
  <si>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</si>
  <si>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</si>
  <si>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</si>
  <si>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</si>
  <si>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</si>
  <si>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</si>
  <si>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</si>
  <si>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</si>
  <si>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</si>
  <si>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</si>
  <si>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</si>
  <si>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</si>
  <si>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</si>
  <si>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</si>
  <si>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</si>
  <si>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</si>
  <si>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</si>
  <si>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</si>
  <si>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</si>
  <si>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</si>
  <si>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</si>
  <si>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</si>
  <si>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</si>
  <si>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</si>
  <si>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</si>
  <si>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</si>
  <si>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</si>
  <si>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</si>
  <si>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</si>
  <si>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</si>
  <si>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</si>
  <si>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</si>
  <si>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</si>
  <si>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</si>
  <si>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</si>
  <si>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</si>
  <si>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</si>
  <si>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</si>
  <si>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</si>
  <si>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</si>
  <si>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</si>
  <si>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</si>
  <si>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</si>
  <si>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</si>
  <si>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</si>
  <si>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</si>
  <si>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</si>
  <si>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</si>
  <si>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</si>
  <si>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</si>
  <si>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</si>
  <si>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</si>
  <si>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</si>
  <si>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</si>
  <si>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</si>
  <si>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</si>
  <si>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</si>
  <si>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</si>
  <si>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</si>
  <si>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</si>
  <si>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</si>
  <si>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</si>
  <si>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</si>
  <si>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</si>
  <si>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</si>
  <si>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</si>
  <si>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</si>
  <si>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</si>
  <si>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</si>
  <si>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</si>
  <si>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</si>
  <si>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</si>
  <si>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</si>
  <si>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</si>
  <si>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</si>
  <si>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</si>
  <si>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</si>
  <si>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</si>
  <si>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</si>
  <si>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</si>
  <si>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</si>
  <si>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</si>
  <si>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</si>
  <si>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</si>
  <si>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</si>
  <si>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</si>
  <si>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</si>
  <si>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</si>
  <si>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</si>
  <si>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</si>
  <si>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</si>
  <si>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</si>
  <si>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</si>
  <si>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</si>
  <si>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</si>
  <si>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</si>
  <si>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</si>
  <si>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</si>
  <si>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</si>
  <si>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</si>
  <si>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</si>
  <si>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</si>
  <si>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</si>
  <si>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</si>
  <si>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</si>
  <si>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</si>
  <si>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</si>
  <si>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</si>
  <si>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</si>
  <si>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</si>
  <si>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</si>
  <si>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</si>
  <si>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</si>
  <si>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</si>
  <si>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</si>
  <si>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</si>
  <si>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</si>
  <si>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</si>
  <si>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</si>
  <si>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</si>
  <si>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</si>
  <si>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</si>
  <si>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</si>
  <si>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</si>
  <si>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</si>
  <si>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</si>
  <si>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</si>
  <si>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</si>
  <si>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</si>
  <si>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</si>
  <si>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</si>
  <si>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</si>
  <si>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</si>
  <si>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</si>
  <si>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</si>
  <si>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</si>
  <si>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</si>
  <si>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</si>
  <si>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</si>
  <si>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</si>
  <si>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</si>
  <si>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</si>
  <si>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</si>
  <si>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</si>
  <si>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</si>
  <si>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</si>
  <si>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</si>
  <si>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</si>
  <si>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</si>
  <si>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</si>
  <si>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</si>
  <si>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</si>
  <si>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</si>
  <si>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</si>
  <si>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</si>
  <si>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</si>
  <si>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</si>
  <si>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</si>
  <si>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</si>
  <si>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</si>
  <si>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</si>
  <si>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</si>
  <si>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</si>
  <si>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</si>
  <si>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</si>
  <si>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</si>
  <si>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</si>
  <si>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</si>
  <si>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</si>
  <si>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</si>
  <si>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</si>
  <si>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</si>
  <si>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</si>
  <si>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</si>
  <si>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</si>
  <si>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</si>
  <si>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</si>
  <si>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</si>
  <si>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</si>
  <si>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</si>
  <si>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</si>
  <si>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</si>
  <si>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</si>
  <si>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</si>
  <si>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</si>
  <si>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</si>
  <si>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</si>
  <si>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</si>
  <si>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</si>
  <si>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</si>
  <si>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</si>
  <si>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</si>
  <si>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</si>
  <si>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</si>
  <si>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</si>
  <si>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</si>
  <si>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</si>
  <si>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</si>
  <si>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</si>
  <si>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</si>
  <si>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</si>
  <si>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</si>
  <si>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</si>
  <si>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</si>
  <si>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</si>
  <si>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</si>
  <si>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</si>
  <si>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</si>
  <si>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</si>
  <si>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</si>
  <si>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</si>
  <si>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</si>
  <si>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</si>
  <si>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</si>
  <si>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</si>
  <si>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</si>
  <si>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</si>
  <si>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</si>
  <si>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</si>
  <si>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</si>
  <si>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</si>
  <si>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</si>
  <si>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</si>
  <si>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</si>
  <si>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</si>
  <si>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</si>
  <si>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</si>
  <si>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</si>
  <si>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</si>
  <si>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</si>
  <si>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</si>
  <si>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</si>
  <si>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</si>
  <si>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</si>
  <si>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</si>
  <si>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</si>
  <si>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</si>
  <si>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</si>
  <si>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</si>
  <si>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</si>
  <si>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</si>
  <si>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</si>
  <si>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</si>
  <si>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</si>
  <si>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</si>
  <si>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</si>
  <si>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</si>
  <si>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</si>
  <si>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</si>
  <si>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</si>
  <si>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</si>
  <si>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</si>
  <si>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</si>
  <si>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</si>
  <si>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</si>
  <si>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</si>
  <si>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</si>
  <si>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</si>
  <si>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</si>
  <si>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</si>
  <si>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</si>
  <si>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</si>
  <si>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</si>
  <si>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</si>
  <si>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</si>
  <si>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</si>
  <si>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</si>
  <si>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</si>
  <si>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</si>
  <si>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</si>
  <si>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</si>
  <si>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</si>
  <si>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</si>
  <si>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</si>
  <si>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</si>
  <si>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</si>
  <si>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</si>
  <si>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</si>
  <si>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</si>
  <si>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</si>
  <si>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</si>
  <si>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</si>
  <si>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</si>
  <si>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</si>
  <si>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</si>
  <si>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</si>
  <si>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</si>
  <si>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</si>
  <si>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</si>
  <si>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</si>
  <si>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</si>
  <si>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</si>
  <si>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</si>
  <si>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</si>
  <si>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</si>
  <si>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</si>
  <si>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</si>
  <si>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</si>
  <si>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</si>
  <si>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</si>
  <si>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</si>
  <si>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</si>
  <si>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</si>
  <si>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</si>
  <si>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</si>
  <si>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</si>
  <si>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</si>
  <si>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</si>
  <si>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</si>
  <si>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</si>
  <si>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</si>
  <si>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</si>
  <si>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</si>
  <si>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</si>
  <si>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</si>
  <si>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</si>
  <si>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</si>
  <si>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</si>
  <si>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</si>
  <si>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</si>
  <si>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</si>
  <si>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</si>
  <si>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</si>
  <si>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</si>
  <si>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</si>
  <si>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</si>
  <si>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</si>
  <si>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</si>
  <si>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</si>
  <si>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</si>
  <si>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</si>
  <si>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</si>
  <si>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</si>
  <si>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</si>
  <si>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</si>
  <si>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</si>
  <si>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</si>
  <si>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</si>
  <si>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</si>
  <si>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</si>
  <si>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</si>
  <si>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</si>
  <si>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</si>
  <si>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</si>
  <si>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</si>
  <si>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</si>
  <si>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</si>
  <si>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</si>
  <si>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</si>
  <si>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</si>
  <si>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</si>
  <si>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</si>
  <si>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</si>
  <si>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</si>
  <si>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</si>
  <si>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</si>
  <si>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</si>
  <si>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</si>
  <si>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</si>
  <si>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</si>
  <si>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</si>
  <si>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</si>
  <si>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</si>
  <si>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</si>
  <si>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</si>
  <si>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</si>
  <si>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</si>
  <si>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</si>
  <si>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</si>
  <si>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</si>
  <si>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</si>
  <si>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</si>
  <si>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</si>
  <si>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</si>
  <si>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</si>
  <si>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</si>
  <si>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</si>
  <si>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</si>
  <si>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</si>
  <si>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</si>
  <si>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</si>
  <si>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</si>
  <si>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</si>
  <si>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</si>
  <si>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</si>
  <si>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</si>
  <si>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</si>
  <si>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</si>
  <si>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</si>
  <si>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</si>
  <si>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</si>
  <si>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</si>
  <si>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</si>
  <si>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</si>
  <si>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</si>
  <si>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</si>
  <si>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</si>
  <si>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</si>
  <si>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</si>
  <si>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</si>
  <si>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</si>
  <si>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</si>
  <si>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</si>
  <si>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</si>
  <si>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</si>
  <si>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</si>
  <si>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</si>
  <si>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</si>
  <si>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</si>
  <si>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</si>
  <si>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</si>
  <si>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</si>
  <si>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</si>
  <si>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</si>
  <si>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</si>
  <si>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</si>
  <si>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</si>
  <si>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</si>
  <si>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</si>
  <si>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</si>
  <si>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</si>
  <si>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</si>
  <si>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</si>
  <si>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</si>
  <si>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</si>
  <si>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</si>
  <si>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</si>
  <si>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</si>
  <si>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</si>
  <si>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</si>
  <si>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</si>
  <si>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</si>
  <si>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</si>
  <si>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</si>
  <si>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</si>
  <si>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</si>
  <si>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</si>
  <si>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</si>
  <si>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</si>
  <si>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</si>
  <si>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</si>
  <si>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</si>
  <si>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</si>
  <si>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</si>
  <si>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</si>
  <si>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</si>
  <si>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</si>
  <si>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</si>
  <si>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</si>
  <si>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</si>
  <si>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</si>
  <si>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</si>
  <si>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</si>
  <si>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</si>
  <si>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</si>
  <si>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</si>
  <si>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</si>
  <si>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</si>
  <si>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</si>
  <si>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</si>
  <si>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</si>
  <si>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</si>
  <si>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</si>
  <si>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</si>
  <si>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</si>
  <si>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</si>
  <si>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</si>
  <si>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</si>
  <si>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</si>
  <si>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</si>
  <si>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</si>
  <si>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</si>
  <si>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</si>
  <si>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</si>
  <si>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</si>
  <si>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</si>
  <si>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</si>
  <si>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</si>
  <si>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</si>
  <si>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</si>
  <si>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</si>
  <si>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</si>
  <si>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</si>
  <si>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</si>
  <si>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</si>
  <si>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</si>
  <si>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</si>
  <si>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</si>
  <si>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</si>
  <si>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</si>
  <si>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</si>
  <si>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</si>
  <si>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</si>
  <si>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</si>
  <si>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</si>
  <si>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</si>
  <si>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</si>
  <si>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</si>
  <si>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</si>
  <si>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</si>
  <si>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</si>
  <si>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</si>
  <si>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</si>
  <si>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</si>
  <si>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</si>
  <si>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</si>
  <si>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</si>
  <si>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</si>
  <si>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</si>
  <si>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</si>
  <si>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</si>
  <si>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</si>
  <si>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</si>
  <si>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</si>
  <si>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</si>
  <si>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</si>
  <si>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</si>
  <si>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</si>
  <si>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</si>
  <si>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</si>
  <si>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</si>
  <si>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</si>
  <si>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</si>
  <si>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</si>
  <si>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</si>
  <si>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</si>
  <si>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</si>
  <si>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</si>
  <si>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</si>
  <si>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</si>
  <si>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</si>
  <si>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</si>
  <si>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</si>
  <si>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</si>
  <si>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</si>
  <si>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</si>
  <si>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</si>
  <si>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</si>
  <si>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</si>
  <si>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</si>
  <si>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</si>
  <si>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</si>
  <si>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</si>
  <si>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</si>
  <si>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</si>
  <si>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</si>
  <si>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</si>
  <si>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</si>
  <si>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</si>
  <si>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</si>
  <si>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</si>
  <si>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</si>
  <si>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</si>
  <si>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</si>
  <si>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</si>
  <si>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</si>
  <si>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</si>
  <si>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</si>
  <si>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</si>
  <si>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</si>
  <si>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</si>
  <si>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</si>
  <si>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</si>
  <si>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</si>
  <si>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</si>
  <si>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</si>
  <si>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</si>
  <si>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</si>
  <si>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</si>
  <si>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</si>
  <si>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</si>
  <si>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</si>
  <si>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</si>
  <si>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</si>
  <si>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</si>
  <si>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</si>
  <si>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</si>
  <si>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</si>
  <si>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</si>
  <si>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</si>
  <si>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</si>
  <si>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</si>
  <si>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</si>
  <si>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</si>
  <si>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</si>
  <si>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</si>
  <si>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</si>
  <si>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</si>
  <si>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</si>
  <si>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</si>
  <si>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</si>
  <si>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</si>
  <si>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</si>
  <si>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</si>
  <si>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</si>
  <si>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</si>
  <si>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</si>
  <si>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</si>
  <si>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</si>
  <si>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</si>
  <si>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</si>
  <si>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</si>
  <si>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</si>
  <si>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</si>
  <si>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</si>
  <si>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</si>
  <si>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</si>
  <si>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</si>
  <si>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</si>
  <si>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</si>
  <si>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</si>
  <si>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</si>
  <si>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</si>
  <si>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</si>
  <si>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</si>
  <si>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</si>
  <si>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</si>
  <si>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</si>
  <si>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</si>
  <si>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</si>
  <si>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</si>
  <si>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</si>
  <si>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</si>
  <si>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</si>
  <si>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</si>
  <si>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</si>
  <si>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</si>
  <si>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</si>
  <si>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</si>
  <si>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</si>
  <si>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</si>
  <si>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</si>
  <si>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</si>
  <si>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</si>
  <si>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</si>
  <si>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</si>
  <si>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</si>
  <si>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</si>
  <si>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</si>
  <si>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</si>
  <si>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</si>
  <si>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</si>
  <si>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</si>
  <si>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</si>
  <si>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</si>
  <si>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</si>
  <si>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</si>
  <si>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</si>
  <si>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</si>
  <si>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</si>
  <si>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</si>
  <si>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</si>
  <si>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</si>
  <si>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</si>
  <si>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</si>
  <si>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</si>
  <si>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</si>
  <si>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</si>
  <si>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</si>
  <si>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</si>
  <si>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</si>
  <si>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</si>
  <si>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</si>
  <si>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</si>
  <si>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</si>
  <si>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</si>
  <si>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</si>
  <si>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</si>
  <si>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</si>
  <si>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</si>
  <si>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</si>
  <si>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</si>
  <si>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</si>
  <si>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</si>
  <si>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</si>
  <si>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</si>
  <si>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</si>
  <si>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</si>
  <si>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</si>
  <si>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</si>
  <si>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</si>
  <si>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</si>
  <si>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</si>
  <si>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</si>
  <si>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</si>
  <si>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</si>
  <si>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</si>
  <si>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</si>
  <si>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</si>
  <si>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</si>
  <si>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</si>
  <si>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</si>
  <si>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</si>
  <si>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</si>
  <si>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</si>
  <si>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</si>
  <si>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</si>
  <si>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</si>
  <si>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</si>
  <si>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</si>
  <si>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</si>
  <si>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</si>
  <si>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</si>
  <si>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</si>
  <si>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</si>
  <si>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</si>
  <si>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</si>
  <si>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</si>
  <si>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</si>
  <si>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</si>
  <si>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</si>
  <si>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</si>
  <si>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</si>
  <si>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</si>
  <si>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</si>
  <si>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</si>
  <si>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</si>
  <si>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</si>
  <si>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</si>
  <si>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</si>
  <si>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</si>
  <si>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</si>
  <si>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</si>
  <si>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</si>
  <si>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</si>
  <si>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</si>
  <si>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</si>
  <si>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</si>
  <si>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</si>
  <si>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</si>
  <si>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</si>
  <si>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</si>
  <si>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</si>
  <si>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</si>
  <si>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</si>
  <si>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</si>
  <si>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</si>
  <si>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</si>
  <si>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</si>
  <si>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</si>
  <si>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</si>
  <si>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</si>
  <si>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</si>
  <si>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</si>
  <si>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</si>
  <si>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</si>
  <si>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</si>
  <si>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</si>
  <si>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</si>
  <si>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</si>
  <si>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</si>
  <si>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</si>
  <si>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</si>
  <si>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</si>
  <si>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</si>
  <si>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</si>
  <si>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</si>
  <si>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</si>
  <si>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</si>
  <si>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</si>
  <si>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</si>
  <si>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</si>
  <si>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</si>
  <si>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</si>
  <si>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</si>
  <si>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</si>
  <si>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</si>
  <si>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</si>
  <si>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</si>
  <si>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</si>
  <si>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</si>
  <si>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</si>
  <si>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</si>
  <si>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</si>
  <si>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</si>
  <si>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</si>
  <si>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</si>
  <si>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</si>
  <si>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</si>
  <si>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</si>
  <si>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</si>
  <si>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</si>
  <si>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</si>
  <si>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</si>
  <si>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</si>
  <si>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</si>
  <si>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</si>
  <si>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</si>
  <si>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</si>
  <si>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</si>
  <si>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</si>
  <si>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</si>
  <si>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</si>
  <si>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</si>
  <si>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</si>
  <si>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</si>
  <si>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</si>
  <si>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</si>
  <si>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</si>
  <si>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</si>
  <si>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</si>
  <si>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</si>
  <si>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</si>
  <si>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</si>
  <si>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</si>
  <si>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</si>
  <si>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</si>
  <si>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</si>
  <si>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</si>
  <si>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</si>
  <si>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</si>
  <si>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</si>
  <si>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</si>
  <si>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</si>
  <si>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</si>
  <si>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</si>
  <si>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</si>
  <si>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</si>
  <si>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</si>
  <si>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</si>
  <si>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</si>
  <si>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</si>
  <si>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</si>
  <si>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</si>
  <si>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</si>
  <si>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</si>
  <si>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</si>
  <si>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</si>
  <si>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</si>
  <si>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</si>
  <si>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</si>
  <si>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</si>
  <si>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</si>
  <si>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</si>
  <si>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</si>
  <si>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</si>
  <si>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</si>
  <si>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</si>
  <si>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</si>
  <si>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</si>
  <si>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</si>
  <si>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</si>
  <si>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</si>
  <si>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</si>
  <si>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</si>
  <si>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</si>
  <si>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</si>
  <si>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</si>
  <si>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</si>
  <si>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</si>
  <si>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</si>
  <si>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</si>
  <si>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</si>
  <si>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</si>
  <si>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</si>
  <si>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</si>
  <si>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</si>
  <si>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</si>
  <si>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</si>
  <si>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</si>
  <si>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</si>
  <si>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</si>
  <si>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</si>
  <si>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</si>
  <si>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</si>
  <si>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</si>
  <si>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</si>
  <si>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</si>
  <si>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</si>
  <si>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</si>
  <si>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</si>
  <si>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</si>
  <si>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</si>
  <si>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</si>
  <si>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</si>
  <si>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</si>
  <si>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</si>
  <si>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</si>
  <si>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</si>
  <si>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</si>
  <si>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</si>
  <si>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</si>
  <si>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</si>
  <si>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</si>
  <si>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</si>
  <si>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</si>
  <si>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</si>
  <si>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</si>
  <si>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</si>
  <si>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</si>
  <si>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</si>
  <si>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</si>
  <si>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</si>
  <si>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</si>
  <si>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</si>
  <si>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</si>
  <si>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</si>
  <si>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</si>
  <si>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</si>
  <si>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</si>
  <si>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</si>
  <si>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</si>
  <si>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</si>
  <si>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</si>
  <si>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</si>
  <si>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</si>
  <si>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</si>
  <si>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</si>
  <si>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</si>
  <si>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</si>
  <si>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</si>
  <si>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</si>
  <si>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</si>
  <si>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</si>
  <si>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</si>
  <si>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</si>
  <si>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</si>
  <si>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</si>
  <si>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</si>
  <si>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</si>
  <si>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</si>
  <si>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</si>
  <si>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</si>
  <si>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</si>
  <si>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</si>
  <si>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</si>
  <si>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</si>
  <si>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</si>
  <si>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</si>
  <si>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</si>
  <si>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</si>
  <si>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</si>
  <si>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</si>
  <si>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</si>
  <si>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</si>
  <si>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</si>
  <si>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</si>
  <si>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</si>
  <si>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</si>
  <si>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</si>
  <si>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</si>
  <si>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</si>
  <si>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</si>
  <si>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</si>
  <si>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</si>
  <si>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</si>
  <si>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</si>
  <si>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</si>
  <si>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</si>
  <si>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</si>
  <si>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</si>
  <si>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</si>
  <si>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</si>
  <si>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</si>
  <si>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</si>
  <si>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</si>
  <si>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</si>
  <si>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</si>
  <si>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</si>
  <si>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</si>
  <si>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</si>
  <si>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</si>
  <si>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</si>
  <si>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</si>
  <si>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</si>
  <si>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</si>
  <si>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</si>
  <si>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</si>
  <si>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</si>
  <si>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</si>
  <si>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</si>
  <si>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</si>
  <si>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</si>
  <si>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</si>
  <si>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</si>
  <si>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</si>
  <si>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</si>
  <si>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</si>
  <si>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</si>
  <si>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</si>
  <si>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</si>
  <si>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</si>
  <si>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</si>
  <si>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</si>
  <si>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</si>
  <si>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</si>
  <si>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</si>
  <si>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</si>
  <si>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</si>
  <si>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</si>
  <si>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</si>
  <si>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</si>
  <si>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</si>
  <si>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</si>
  <si>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</si>
  <si>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</si>
  <si>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</si>
  <si>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</si>
  <si>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</si>
  <si>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</si>
  <si>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</si>
  <si>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</si>
  <si>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</si>
  <si>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</si>
  <si>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</si>
  <si>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</si>
  <si>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</si>
  <si>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</si>
  <si>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</si>
  <si>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</si>
  <si>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</si>
  <si>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</si>
  <si>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</si>
  <si>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</si>
  <si>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</si>
  <si>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</si>
  <si>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</si>
  <si>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</si>
  <si>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</si>
  <si>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</si>
  <si>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</si>
  <si>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</si>
  <si>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</si>
  <si>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</si>
  <si>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</si>
  <si>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</si>
  <si>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</si>
  <si>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</si>
  <si>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</si>
  <si>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</si>
  <si>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</si>
  <si>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</si>
  <si>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</si>
  <si>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</si>
  <si>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</si>
  <si>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</si>
  <si>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</si>
  <si>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</si>
  <si>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</si>
  <si>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</si>
  <si>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</si>
  <si>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</si>
  <si>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</si>
  <si>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</si>
  <si>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</si>
  <si>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</si>
  <si>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</si>
  <si>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</si>
  <si>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</si>
  <si>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</si>
  <si>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</si>
  <si>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</si>
  <si>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</si>
  <si>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</si>
  <si>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</si>
  <si>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</si>
  <si>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</si>
  <si>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</si>
  <si>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</si>
  <si>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</si>
  <si>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</si>
  <si>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</si>
  <si>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</si>
  <si>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</si>
  <si>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</si>
  <si>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</si>
  <si>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</si>
  <si>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</si>
  <si>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</si>
  <si>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</si>
  <si>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</si>
  <si>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</si>
  <si>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</si>
  <si>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</si>
  <si>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</si>
  <si>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</si>
  <si>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</si>
  <si>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</si>
  <si>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</si>
  <si>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</si>
  <si>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</si>
  <si>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</si>
  <si>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</si>
  <si>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</si>
  <si>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</si>
  <si>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</si>
  <si>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</si>
  <si>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</si>
  <si>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</si>
  <si>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</si>
  <si>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</si>
  <si>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</si>
  <si>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</si>
  <si>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</si>
  <si>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</si>
  <si>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</si>
  <si>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</si>
  <si>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</si>
  <si>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</si>
  <si>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</si>
  <si>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</si>
  <si>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</si>
  <si>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</si>
  <si>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</si>
  <si>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</si>
  <si>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</si>
  <si>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</si>
  <si>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</si>
  <si>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</si>
  <si>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</si>
  <si>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</si>
  <si>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</si>
  <si>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</si>
  <si>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</si>
  <si>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</si>
  <si>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</si>
  <si>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</si>
  <si>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</si>
  <si>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</si>
  <si>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</si>
  <si>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</si>
  <si>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</si>
  <si>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</si>
  <si>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</si>
  <si>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</si>
  <si>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</si>
  <si>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</si>
  <si>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</si>
  <si>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</si>
  <si>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</si>
  <si>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</si>
  <si>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</si>
  <si>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</si>
  <si>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</si>
  <si>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</si>
  <si>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</si>
  <si>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</si>
  <si>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</si>
  <si>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</si>
  <si>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</si>
  <si>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</si>
  <si>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</si>
  <si>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</si>
  <si>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</si>
  <si>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</si>
  <si>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</si>
  <si>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</si>
  <si>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</si>
  <si>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</si>
  <si>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</si>
  <si>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</si>
  <si>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</si>
  <si>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</si>
  <si>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</si>
  <si>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</si>
  <si>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</si>
  <si>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</si>
  <si>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</si>
  <si>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</si>
  <si>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</si>
  <si>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</si>
  <si>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</si>
  <si>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</si>
  <si>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</si>
  <si>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</si>
  <si>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</si>
  <si>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</si>
  <si>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</si>
  <si>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</si>
  <si>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</si>
  <si>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</si>
  <si>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</si>
  <si>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</si>
  <si>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</si>
  <si>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</si>
  <si>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</si>
  <si>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</si>
  <si>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</si>
  <si>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</si>
  <si>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</si>
  <si>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</si>
  <si>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</si>
  <si>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</si>
  <si>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</si>
  <si>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</si>
  <si>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</si>
  <si>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</si>
  <si>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</si>
  <si>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</si>
  <si>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</si>
  <si>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</si>
  <si>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</si>
  <si>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</si>
  <si>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</si>
  <si>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</si>
  <si>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</si>
  <si>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</si>
  <si>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</si>
  <si>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</si>
  <si>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</si>
  <si>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</si>
  <si>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</si>
  <si>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</si>
  <si>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</si>
  <si>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</si>
  <si>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</si>
  <si>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</si>
  <si>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</si>
  <si>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</si>
  <si>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</si>
  <si>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</si>
  <si>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</si>
  <si>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</si>
  <si>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</si>
  <si>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</si>
  <si>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</si>
  <si>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</si>
  <si>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</si>
  <si>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</si>
  <si>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</si>
  <si>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</si>
  <si>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</si>
  <si>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</si>
  <si>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</si>
  <si>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</si>
  <si>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</si>
  <si>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</si>
  <si>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</si>
  <si>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</si>
  <si>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</si>
  <si>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</si>
  <si>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</si>
  <si>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</si>
  <si>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</si>
  <si>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</si>
  <si>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</si>
  <si>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</si>
  <si>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</si>
  <si>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</si>
  <si>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</si>
  <si>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</si>
  <si>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</si>
  <si>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</si>
  <si>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</si>
  <si>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</si>
  <si>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</si>
  <si>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</si>
  <si>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</si>
  <si>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</si>
  <si>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</si>
  <si>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</si>
  <si>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</si>
  <si>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</si>
  <si>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</si>
  <si>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</si>
  <si>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</si>
  <si>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</si>
  <si>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</si>
  <si>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</si>
  <si>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</si>
  <si>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</si>
  <si>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</si>
  <si>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</si>
  <si>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</si>
  <si>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</si>
  <si>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</si>
  <si>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</si>
  <si>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</si>
  <si>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</si>
  <si>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</si>
  <si>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</si>
  <si>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</si>
  <si>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</si>
  <si>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</si>
  <si>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</si>
  <si>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</si>
  <si>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</si>
  <si>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</si>
  <si>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</si>
  <si>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</si>
  <si>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</si>
  <si>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</si>
  <si>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</si>
  <si>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</si>
  <si>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</si>
  <si>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</si>
  <si>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</si>
  <si>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</si>
  <si>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</si>
  <si>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</si>
  <si>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</si>
  <si>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</si>
  <si>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</si>
  <si>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</si>
  <si>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</si>
  <si>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</si>
  <si>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</si>
  <si>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</si>
  <si>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</si>
  <si>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</si>
  <si>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</si>
  <si>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</si>
  <si>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</si>
  <si>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</si>
  <si>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</si>
  <si>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</si>
  <si>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</si>
  <si>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</si>
  <si>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</si>
  <si>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</si>
  <si>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</si>
  <si>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</si>
  <si>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</si>
  <si>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</si>
  <si>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</si>
  <si>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</si>
  <si>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</si>
  <si>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</si>
  <si>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</si>
  <si>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</si>
  <si>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</si>
  <si>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</si>
  <si>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</si>
  <si>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</si>
  <si>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</si>
  <si>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</si>
  <si>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</si>
  <si>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</si>
  <si>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</si>
  <si>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</si>
  <si>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</si>
  <si>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</si>
  <si>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</si>
  <si>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</si>
  <si>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</si>
  <si>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</si>
  <si>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</si>
  <si>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</si>
  <si>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</si>
  <si>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</si>
  <si>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</si>
  <si>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</si>
  <si>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</si>
  <si>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</si>
  <si>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</si>
  <si>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</si>
  <si>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</si>
  <si>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</si>
  <si>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</si>
  <si>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</si>
  <si>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</si>
  <si>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</si>
  <si>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</si>
  <si>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</si>
  <si>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</si>
  <si>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</si>
  <si>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</si>
  <si>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</si>
  <si>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</si>
  <si>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</si>
  <si>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</si>
  <si>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</si>
  <si>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</si>
  <si>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</si>
  <si>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</si>
  <si>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</si>
  <si>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</si>
  <si>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</si>
  <si>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</si>
  <si>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</si>
  <si>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</si>
  <si>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</si>
  <si>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</si>
  <si>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</si>
  <si>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</si>
  <si>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</si>
  <si>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</si>
  <si>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</si>
  <si>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</si>
  <si>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</si>
  <si>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</si>
  <si>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</si>
  <si>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</si>
  <si>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</si>
  <si>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</si>
  <si>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</si>
  <si>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</si>
  <si>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</si>
  <si>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</si>
  <si>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</si>
  <si>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</si>
  <si>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</si>
  <si>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</si>
  <si>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</si>
  <si>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</si>
  <si>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</si>
  <si>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</si>
  <si>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</si>
  <si>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</si>
  <si>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</si>
  <si>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</si>
  <si>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</si>
  <si>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</si>
  <si>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</si>
  <si>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</si>
  <si>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</si>
  <si>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</si>
  <si>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</si>
  <si>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</si>
  <si>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</si>
  <si>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</si>
  <si>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</si>
  <si>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</si>
  <si>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</si>
  <si>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</si>
  <si>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</si>
  <si>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</si>
  <si>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</si>
  <si>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</si>
  <si>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</si>
  <si>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</si>
  <si>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</si>
  <si>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</si>
  <si>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</si>
  <si>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</si>
  <si>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</si>
  <si>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</si>
  <si>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</si>
  <si>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</si>
  <si>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</si>
  <si>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</si>
  <si>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</si>
  <si>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</si>
  <si>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</si>
  <si>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</si>
  <si>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</si>
  <si>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</si>
  <si>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</si>
  <si>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</si>
  <si>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</si>
  <si>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</si>
  <si>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</si>
  <si>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</si>
  <si>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</si>
  <si>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</si>
  <si>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</si>
  <si>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</si>
  <si>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</si>
  <si>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</si>
  <si>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</si>
  <si>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</si>
  <si>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</si>
  <si>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</si>
  <si>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</si>
  <si>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</si>
  <si>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</si>
  <si>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</si>
  <si>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</si>
  <si>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</si>
  <si>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</si>
  <si>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</si>
  <si>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</si>
  <si>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</si>
  <si>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</si>
  <si>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</si>
  <si>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</si>
  <si>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</si>
  <si>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</si>
  <si>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</si>
  <si>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</si>
  <si>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</si>
  <si>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</si>
  <si>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</si>
  <si>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</si>
  <si>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</si>
  <si>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</si>
  <si>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</si>
  <si>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</si>
  <si>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</si>
  <si>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</si>
  <si>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</si>
  <si>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</si>
  <si>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</si>
  <si>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</si>
  <si>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</si>
  <si>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</si>
  <si>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</si>
  <si>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</si>
  <si>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</si>
  <si>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</si>
  <si>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</si>
  <si>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</si>
  <si>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</si>
  <si>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</si>
  <si>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</si>
  <si>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</si>
  <si>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</si>
  <si>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</si>
  <si>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</si>
  <si>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</si>
  <si>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</si>
  <si>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</si>
  <si>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</si>
  <si>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</si>
  <si>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</si>
  <si>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</si>
  <si>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</si>
  <si>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</si>
  <si>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</si>
  <si>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</si>
  <si>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</si>
  <si>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</si>
  <si>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</si>
  <si>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</si>
  <si>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</si>
  <si>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</si>
  <si>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</si>
  <si>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</si>
  <si>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</si>
  <si>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</si>
  <si>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</si>
  <si>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</si>
  <si>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</si>
  <si>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</si>
  <si>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</si>
  <si>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</si>
  <si>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</si>
  <si>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</si>
  <si>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</si>
  <si>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</si>
  <si>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</si>
  <si>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</si>
  <si>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</si>
  <si>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</si>
  <si>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</si>
  <si>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</si>
  <si>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</si>
  <si>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</si>
  <si>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</si>
  <si>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</si>
  <si>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</si>
  <si>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</si>
  <si>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</si>
  <si>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</si>
  <si>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</si>
  <si>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</si>
  <si>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</si>
  <si>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</si>
  <si>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</si>
  <si>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</si>
  <si>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</si>
  <si>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</si>
  <si>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</si>
  <si>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</si>
  <si>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</si>
  <si>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</si>
  <si>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</si>
  <si>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</si>
  <si>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</si>
  <si>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</si>
  <si>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</si>
  <si>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</si>
  <si>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</si>
  <si>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</si>
  <si>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</si>
  <si>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</si>
  <si>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</si>
  <si>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</si>
  <si>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</si>
  <si>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</si>
  <si>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</si>
  <si>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</si>
  <si>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</si>
  <si>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</si>
  <si>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</si>
  <si>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</si>
  <si>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</si>
  <si>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</si>
  <si>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</si>
  <si>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</si>
  <si>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</si>
  <si>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</si>
  <si>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</si>
  <si>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</si>
  <si>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</si>
  <si>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</si>
  <si>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</si>
  <si>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</si>
  <si>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</si>
  <si>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</si>
  <si>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</si>
  <si>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</si>
  <si>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</si>
  <si>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</si>
  <si>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</si>
  <si>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</si>
  <si>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</si>
  <si>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</si>
  <si>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</si>
  <si>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</si>
  <si>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</si>
  <si>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</si>
  <si>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</si>
  <si>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</si>
  <si>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</si>
  <si>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</si>
  <si>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</si>
  <si>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</si>
  <si>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</si>
  <si>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</si>
  <si>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</si>
  <si>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</si>
  <si>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</si>
  <si>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</si>
  <si>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</si>
  <si>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</si>
  <si>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</si>
  <si>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</si>
  <si>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</si>
  <si>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</si>
  <si>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</si>
  <si>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</si>
  <si>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</si>
  <si>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</si>
  <si>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</si>
  <si>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</si>
  <si>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</si>
  <si>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</si>
  <si>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</si>
  <si>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</si>
  <si>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</si>
  <si>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</si>
  <si>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</si>
  <si>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</si>
  <si>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</si>
  <si>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</si>
  <si>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</si>
  <si>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</si>
  <si>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</si>
  <si>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</si>
  <si>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</si>
  <si>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</si>
  <si>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</si>
  <si>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</si>
  <si>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</si>
  <si>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</si>
  <si>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</si>
  <si>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</si>
  <si>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</si>
  <si>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</si>
  <si>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</si>
  <si>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</si>
  <si>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</si>
  <si>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</si>
  <si>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</si>
  <si>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</si>
  <si>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</si>
  <si>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</si>
  <si>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</si>
  <si>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</si>
  <si>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</si>
  <si>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</si>
  <si>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</si>
  <si>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</si>
  <si>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</si>
  <si>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</si>
  <si>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</si>
  <si>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</si>
  <si>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</si>
  <si>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</si>
  <si>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</si>
  <si>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</si>
  <si>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</si>
  <si>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</si>
  <si>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</si>
  <si>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</si>
  <si>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</si>
  <si>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</si>
  <si>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</si>
  <si>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</si>
  <si>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</si>
  <si>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</si>
  <si>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</si>
  <si>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</si>
  <si>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</si>
  <si>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</si>
  <si>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</si>
  <si>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</si>
  <si>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</si>
  <si>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</si>
  <si>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</si>
  <si>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</si>
  <si>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</si>
  <si>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</si>
  <si>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</si>
  <si>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</si>
  <si>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</si>
  <si>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</si>
  <si>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</si>
  <si>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</si>
  <si>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</si>
  <si>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</si>
  <si>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</si>
  <si>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</si>
  <si>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</si>
  <si>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</si>
  <si>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</si>
  <si>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</si>
  <si>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</si>
  <si>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</si>
  <si>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</si>
  <si>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</si>
  <si>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</si>
  <si>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</si>
  <si>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</si>
  <si>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</si>
  <si>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</si>
  <si>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</si>
  <si>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</si>
  <si>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</si>
  <si>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</si>
  <si>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</si>
  <si>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</si>
  <si>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</si>
  <si>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</si>
  <si>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</si>
  <si>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</si>
  <si>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</si>
  <si>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</si>
  <si>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</si>
  <si>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</si>
  <si>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</si>
  <si>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</si>
  <si>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</si>
  <si>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</si>
  <si>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</si>
  <si>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</si>
  <si>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</si>
  <si>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</si>
  <si>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</si>
  <si>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</si>
  <si>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</si>
  <si>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</si>
  <si>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</si>
  <si>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</si>
  <si>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</si>
  <si>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</si>
  <si>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</si>
  <si>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</si>
  <si>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</si>
  <si>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</si>
  <si>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</si>
  <si>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</si>
  <si>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</si>
  <si>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</si>
  <si>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</si>
  <si>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</si>
  <si>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</si>
  <si>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</si>
  <si>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</si>
  <si>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</si>
  <si>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</si>
  <si>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</si>
  <si>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</si>
  <si>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</si>
  <si>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</si>
  <si>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</si>
  <si>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</si>
  <si>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</si>
  <si>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</si>
  <si>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</si>
  <si>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</si>
  <si>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</si>
  <si>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</si>
  <si>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</si>
  <si>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</si>
  <si>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</si>
  <si>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</si>
  <si>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</si>
  <si>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</si>
  <si>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</si>
  <si>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</si>
  <si>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</si>
  <si>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</si>
  <si>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</si>
  <si>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</si>
  <si>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</si>
  <si>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</si>
  <si>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</si>
  <si>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</si>
  <si>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</si>
  <si>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</si>
  <si>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</si>
  <si>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</si>
  <si>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</si>
  <si>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</si>
  <si>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</si>
  <si>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</si>
  <si>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</si>
  <si>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</si>
  <si>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</si>
  <si>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</si>
  <si>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</si>
  <si>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</si>
  <si>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</si>
  <si>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</si>
  <si>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</si>
  <si>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</si>
  <si>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</si>
  <si>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</si>
  <si>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</si>
  <si>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</si>
  <si>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</si>
  <si>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</si>
  <si>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</si>
  <si>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</si>
  <si>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</si>
  <si>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</si>
  <si>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</si>
  <si>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</si>
  <si>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</si>
  <si>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</si>
  <si>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</si>
  <si>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</si>
  <si>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</si>
  <si>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</si>
  <si>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</si>
  <si>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</si>
  <si>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</si>
  <si>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</si>
  <si>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</si>
  <si>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</si>
  <si>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</si>
  <si>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</si>
  <si>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</si>
  <si>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</si>
  <si>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</si>
  <si>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</si>
  <si>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</si>
  <si>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</si>
  <si>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</si>
  <si>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</si>
  <si>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</si>
  <si>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</si>
  <si>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</si>
  <si>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</si>
  <si>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</si>
  <si>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</si>
  <si>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</si>
  <si>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</si>
  <si>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</si>
  <si>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</si>
  <si>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</si>
  <si>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</si>
  <si>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</si>
  <si>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</si>
  <si>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</si>
  <si>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</si>
  <si>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</si>
  <si>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</si>
  <si>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</si>
  <si>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</si>
  <si>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</si>
  <si>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</si>
  <si>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</si>
  <si>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</si>
  <si>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</si>
  <si>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</si>
  <si>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</si>
  <si>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</si>
  <si>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</si>
  <si>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</si>
  <si>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</si>
  <si>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</si>
  <si>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</si>
  <si>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</si>
  <si>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</si>
  <si>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</si>
  <si>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</si>
  <si>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</si>
  <si>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</si>
  <si>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</si>
  <si>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</si>
  <si>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</si>
  <si>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</si>
  <si>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</si>
  <si>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</si>
  <si>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</si>
  <si>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</si>
  <si>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</si>
  <si>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</si>
  <si>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</si>
  <si>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</si>
  <si>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</si>
  <si>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</si>
  <si>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</si>
  <si>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</si>
  <si>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</si>
  <si>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</si>
  <si>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</si>
  <si>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</si>
  <si>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</si>
  <si>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</si>
  <si>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</si>
  <si>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</si>
  <si>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</si>
  <si>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</si>
  <si>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</si>
  <si>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</si>
  <si>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</si>
  <si>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</si>
  <si>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</si>
  <si>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</si>
  <si>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</si>
  <si>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</si>
  <si>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</si>
  <si>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</si>
  <si>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</si>
  <si>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</si>
  <si>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</si>
  <si>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</si>
  <si>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</si>
  <si>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</si>
  <si>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</si>
  <si>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</si>
  <si>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</si>
  <si>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</si>
  <si>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</si>
  <si>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</si>
  <si>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</si>
  <si>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</si>
  <si>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</si>
  <si>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</si>
  <si>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</si>
  <si>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</si>
  <si>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</si>
  <si>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</si>
  <si>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</si>
  <si>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</si>
  <si>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</si>
  <si>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</si>
  <si>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</si>
  <si>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</si>
  <si>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</si>
  <si>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</si>
  <si>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</si>
  <si>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</si>
  <si>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</si>
  <si>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</si>
  <si>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</si>
  <si>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</si>
  <si>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</si>
  <si>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</si>
  <si>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</si>
  <si>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</si>
  <si>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</si>
  <si>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</si>
  <si>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</si>
  <si>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</si>
  <si>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</si>
  <si>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</si>
  <si>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</si>
  <si>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</si>
  <si>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</si>
  <si>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</si>
  <si>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</si>
  <si>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</si>
  <si>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</si>
  <si>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</si>
  <si>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</si>
  <si>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</si>
  <si>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</si>
  <si>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</si>
  <si>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</si>
  <si>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</si>
  <si>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</si>
  <si>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</si>
  <si>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</si>
  <si>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</si>
  <si>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</si>
  <si>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</si>
  <si>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</si>
  <si>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</si>
  <si>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</si>
  <si>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</si>
  <si>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</si>
  <si>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</si>
  <si>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</si>
  <si>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</si>
  <si>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</si>
  <si>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</si>
  <si>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</si>
  <si>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</si>
  <si>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</si>
  <si>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</si>
  <si>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</si>
  <si>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</si>
  <si>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</si>
  <si>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</si>
  <si>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</si>
  <si>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</si>
  <si>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</si>
  <si>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</si>
  <si>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</si>
  <si>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</si>
  <si>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</si>
  <si>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</si>
  <si>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</si>
  <si>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</si>
  <si>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</si>
  <si>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</si>
  <si>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</si>
  <si>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</si>
  <si>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</si>
  <si>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</si>
  <si>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</si>
  <si>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</si>
  <si>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</si>
  <si>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</si>
  <si>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</si>
  <si>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</si>
  <si>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</si>
  <si>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</si>
  <si>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</si>
  <si>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</si>
  <si>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</si>
  <si>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</si>
  <si>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</si>
  <si>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</si>
  <si>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</si>
  <si>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</si>
  <si>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</si>
  <si>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</si>
  <si>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</si>
  <si>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</si>
  <si>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</si>
  <si>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</si>
  <si>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</si>
  <si>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</si>
  <si>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</si>
  <si>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</si>
  <si>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</si>
  <si>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</si>
  <si>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</si>
  <si>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</si>
  <si>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</si>
  <si>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</si>
  <si>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</si>
  <si>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</si>
  <si>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</si>
  <si>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</si>
  <si>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</si>
  <si>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</si>
  <si>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</si>
  <si>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</si>
  <si>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</si>
  <si>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</si>
  <si>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</si>
  <si>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</si>
  <si>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</si>
  <si>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</si>
  <si>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</si>
  <si>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</si>
  <si>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</si>
  <si>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</si>
  <si>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</si>
  <si>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</si>
  <si>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</si>
  <si>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</si>
  <si>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</si>
  <si>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</si>
  <si>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</si>
  <si>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</si>
  <si>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</si>
  <si>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</si>
  <si>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</si>
  <si>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</si>
  <si>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</si>
  <si>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</si>
  <si>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</si>
  <si>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</si>
  <si>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</si>
  <si>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</si>
  <si>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</si>
  <si>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</si>
  <si>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</si>
  <si>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</si>
  <si>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</si>
  <si>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</si>
  <si>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</si>
  <si>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</si>
  <si>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</si>
  <si>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</si>
  <si>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</si>
  <si>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</si>
  <si>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</si>
  <si>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</si>
  <si>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</si>
  <si>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</si>
  <si>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</si>
  <si>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</si>
  <si>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</si>
  <si>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</si>
  <si>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</si>
  <si>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</si>
  <si>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</si>
  <si>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</si>
  <si>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</si>
  <si>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</si>
  <si>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</si>
  <si>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</si>
  <si>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</si>
  <si>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</si>
  <si>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</si>
  <si>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</si>
  <si>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</si>
  <si>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</si>
  <si>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</si>
  <si>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</si>
  <si>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</si>
  <si>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</si>
  <si>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</si>
  <si>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</si>
  <si>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</si>
  <si>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</si>
  <si>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</si>
  <si>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</si>
  <si>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</si>
  <si>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</si>
  <si>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</si>
  <si>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</si>
  <si>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</si>
  <si>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</si>
  <si>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</si>
  <si>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</si>
  <si>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</si>
  <si>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</si>
  <si>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</si>
  <si>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</si>
  <si>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</si>
  <si>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</si>
  <si>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</si>
  <si>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</si>
  <si>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</si>
  <si>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</si>
  <si>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</si>
  <si>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</si>
  <si>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</si>
  <si>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</si>
  <si>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</si>
  <si>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</si>
  <si>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</si>
  <si>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</si>
  <si>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</si>
  <si>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</si>
  <si>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</si>
  <si>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</si>
  <si>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</si>
  <si>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</si>
  <si>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</si>
  <si>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</si>
  <si>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</si>
  <si>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</si>
  <si>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</si>
  <si>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</si>
  <si>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</si>
  <si>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</si>
  <si>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</si>
  <si>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</si>
  <si>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</si>
  <si>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</si>
  <si>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</si>
  <si>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</si>
  <si>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</si>
  <si>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</si>
  <si>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</si>
  <si>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</si>
  <si>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</si>
  <si>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</si>
  <si>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</si>
  <si>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</si>
  <si>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</si>
  <si>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</si>
  <si>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</si>
  <si>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</si>
  <si>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</si>
  <si>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</si>
  <si>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</si>
  <si>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</si>
  <si>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</si>
  <si>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</si>
  <si>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</si>
  <si>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</si>
  <si>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</si>
  <si>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</si>
  <si>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</si>
  <si>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</si>
  <si>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</si>
  <si>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</si>
  <si>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</si>
  <si>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</si>
  <si>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</si>
  <si>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</si>
  <si>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</si>
  <si>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</si>
  <si>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</si>
  <si>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</si>
  <si>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</si>
  <si>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</si>
  <si>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</si>
  <si>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</si>
  <si>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</si>
  <si>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</si>
  <si>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</si>
  <si>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</si>
  <si>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</si>
  <si>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</si>
  <si>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</si>
  <si>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</si>
  <si>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</si>
  <si>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</si>
  <si>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</si>
  <si>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</si>
  <si>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</si>
  <si>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</si>
  <si>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</si>
  <si>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</si>
  <si>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</si>
  <si>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</si>
  <si>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</si>
  <si>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</si>
  <si>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</si>
  <si>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</si>
  <si>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</si>
  <si>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</si>
  <si>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</si>
  <si>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</si>
  <si>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</si>
  <si>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</si>
  <si>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</si>
  <si>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</si>
  <si>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</si>
  <si>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</si>
  <si>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</si>
  <si>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</si>
  <si>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</si>
  <si>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</si>
  <si>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</si>
  <si>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</si>
  <si>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</si>
  <si>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</si>
  <si>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</si>
  <si>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</si>
  <si>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</si>
  <si>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</si>
  <si>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</si>
  <si>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</si>
  <si>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</si>
  <si>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</si>
  <si>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</si>
  <si>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</si>
  <si>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</si>
  <si>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</si>
  <si>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</si>
  <si>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</si>
  <si>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</si>
  <si>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</si>
  <si>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</si>
  <si>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</si>
  <si>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</si>
  <si>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</si>
  <si>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</si>
  <si>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</si>
  <si>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</si>
  <si>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</si>
  <si>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</si>
  <si>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</si>
  <si>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</si>
  <si>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</si>
  <si>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</si>
  <si>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</si>
  <si>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</si>
  <si>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</si>
  <si>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</si>
  <si>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</si>
  <si>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</si>
  <si>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</si>
  <si>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</si>
  <si>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</si>
  <si>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</si>
  <si>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</si>
  <si>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</si>
  <si>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</si>
  <si>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</si>
  <si>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</si>
  <si>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</si>
  <si>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</si>
  <si>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</si>
  <si>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</si>
  <si>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</si>
  <si>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</si>
  <si>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</si>
  <si>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</si>
  <si>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</si>
  <si>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</si>
  <si>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</si>
  <si>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</si>
  <si>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</si>
  <si>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</si>
  <si>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</si>
  <si>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</si>
  <si>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</si>
  <si>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</si>
  <si>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</si>
  <si>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</si>
  <si>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</si>
  <si>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</si>
  <si>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</si>
  <si>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</si>
  <si>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</si>
  <si>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</si>
  <si>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</si>
  <si>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</si>
  <si>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</si>
  <si>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</si>
  <si>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</si>
  <si>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</si>
  <si>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</si>
  <si>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</si>
  <si>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</si>
  <si>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</si>
  <si>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</si>
  <si>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</si>
  <si>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</si>
  <si>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</si>
  <si>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</si>
  <si>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</si>
  <si>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</si>
  <si>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</si>
  <si>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</si>
  <si>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</si>
  <si>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</si>
  <si>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</si>
  <si>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</si>
  <si>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</si>
  <si>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</si>
  <si>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</si>
  <si>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</si>
  <si>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</si>
  <si>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</si>
  <si>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</si>
  <si>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</si>
  <si>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</si>
  <si>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</si>
  <si>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</si>
  <si>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</si>
  <si>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</si>
  <si>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</si>
  <si>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</si>
  <si>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</si>
  <si>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</si>
  <si>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</si>
  <si>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</si>
  <si>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</si>
  <si>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</si>
  <si>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</si>
  <si>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</si>
  <si>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</si>
  <si>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</si>
  <si>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</si>
  <si>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</si>
  <si>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</si>
  <si>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</si>
  <si>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</si>
  <si>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</si>
  <si>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</si>
  <si>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</si>
  <si>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</si>
  <si>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</si>
  <si>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</si>
  <si>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</si>
  <si>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</si>
  <si>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</si>
  <si>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</si>
  <si>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</si>
  <si>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</si>
  <si>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</si>
  <si>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</si>
  <si>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</si>
  <si>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</si>
  <si>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</si>
  <si>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</si>
  <si>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</si>
  <si>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</si>
  <si>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</si>
  <si>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</si>
  <si>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</si>
  <si>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</si>
  <si>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</si>
  <si>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</si>
  <si>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</si>
  <si>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</si>
  <si>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</si>
  <si>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</si>
  <si>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</si>
  <si>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</si>
  <si>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</si>
  <si>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</si>
  <si>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</si>
  <si>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</si>
  <si>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</si>
  <si>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</si>
  <si>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</si>
  <si>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</si>
  <si>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</si>
  <si>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</si>
  <si>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</si>
  <si>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</si>
  <si>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</si>
  <si>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</si>
  <si>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</si>
  <si>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</si>
  <si>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</si>
  <si>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</si>
  <si>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</si>
  <si>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</si>
  <si>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</si>
  <si>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</si>
  <si>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</si>
  <si>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</si>
  <si>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</si>
  <si>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</si>
  <si>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</si>
  <si>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</si>
  <si>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</si>
  <si>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</si>
  <si>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</si>
  <si>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</si>
  <si>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</si>
  <si>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</si>
  <si>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</si>
  <si>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</si>
  <si>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</si>
  <si>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</si>
  <si>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</si>
  <si>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</si>
  <si>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</si>
  <si>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</si>
  <si>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</si>
  <si>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</si>
  <si>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</si>
  <si>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</si>
  <si>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</si>
  <si>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</si>
  <si>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</si>
  <si>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</si>
  <si>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</si>
  <si>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</si>
  <si>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</si>
  <si>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</si>
  <si>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</si>
  <si>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</si>
  <si>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</si>
  <si>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</si>
  <si>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</si>
  <si>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</si>
  <si>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</si>
  <si>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</si>
  <si>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</si>
  <si>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</si>
  <si>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</si>
  <si>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</si>
  <si>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</si>
  <si>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</si>
  <si>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</si>
  <si>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</si>
  <si>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</si>
  <si>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</si>
  <si>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</si>
  <si>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</si>
  <si>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</si>
  <si>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</si>
  <si>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</si>
  <si>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</si>
  <si>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</si>
  <si>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</si>
  <si>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</si>
  <si>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</si>
  <si>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</si>
  <si>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</si>
  <si>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</si>
  <si>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</si>
  <si>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</si>
  <si>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</si>
  <si>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</si>
  <si>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</si>
  <si>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</si>
  <si>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</si>
  <si>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</si>
  <si>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</si>
  <si>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</si>
  <si>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</si>
  <si>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</si>
  <si>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</si>
  <si>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</si>
  <si>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</si>
  <si>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</si>
  <si>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</si>
  <si>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</si>
  <si>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</si>
  <si>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</si>
  <si>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</si>
  <si>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</si>
  <si>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</si>
  <si>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</si>
  <si>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</si>
  <si>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</si>
  <si>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</si>
  <si>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</si>
  <si>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</si>
  <si>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</si>
  <si>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</si>
  <si>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</si>
  <si>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</si>
  <si>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</si>
  <si>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</si>
  <si>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</si>
  <si>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</si>
  <si>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</si>
  <si>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</si>
  <si>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</si>
  <si>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</si>
  <si>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</si>
  <si>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</si>
  <si>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</si>
  <si>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</si>
  <si>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</si>
  <si>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</si>
  <si>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</si>
  <si>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</si>
  <si>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</si>
  <si>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</si>
  <si>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</si>
  <si>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</si>
  <si>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</si>
  <si>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</si>
  <si>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</si>
  <si>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</si>
  <si>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</si>
  <si>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</si>
  <si>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</si>
  <si>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</si>
  <si>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</si>
  <si>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</si>
  <si>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</si>
  <si>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</si>
  <si>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</si>
  <si>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</si>
  <si>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</si>
  <si>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</si>
  <si>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</si>
  <si>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</si>
  <si>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</si>
  <si>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</si>
  <si>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</si>
  <si>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</si>
  <si>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</si>
  <si>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</si>
  <si>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</si>
  <si>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</si>
  <si>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</si>
  <si>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</si>
  <si>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</si>
  <si>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</si>
  <si>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</si>
  <si>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</si>
  <si>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</si>
  <si>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</si>
  <si>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</si>
  <si>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</si>
  <si>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</si>
  <si>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</si>
  <si>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</si>
  <si>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</si>
  <si>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</si>
  <si>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</si>
  <si>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</si>
  <si>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</si>
  <si>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</si>
  <si>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</si>
  <si>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</si>
  <si>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</si>
  <si>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</si>
  <si>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</si>
  <si>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</si>
  <si>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</si>
  <si>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</si>
  <si>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</si>
  <si>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</si>
  <si>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</si>
  <si>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</si>
  <si>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</si>
  <si>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</si>
  <si>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</si>
  <si>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</si>
  <si>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</si>
  <si>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</si>
  <si>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</si>
  <si>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</si>
  <si>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</si>
  <si>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</si>
  <si>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</si>
  <si>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</si>
  <si>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</si>
  <si>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</si>
  <si>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</si>
  <si>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</si>
  <si>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</si>
  <si>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</si>
  <si>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</si>
  <si>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</si>
  <si>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</si>
  <si>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</si>
  <si>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</si>
  <si>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</si>
  <si>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</si>
  <si>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</si>
  <si>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</si>
  <si>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</si>
  <si>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</si>
  <si>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</si>
  <si>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</si>
  <si>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</si>
  <si>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</si>
  <si>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</si>
  <si>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</si>
  <si>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</si>
  <si>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</si>
  <si>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</si>
  <si>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</si>
  <si>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</si>
  <si>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</si>
  <si>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</si>
  <si>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</si>
  <si>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</si>
  <si>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</si>
  <si>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</si>
  <si>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</si>
  <si>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</si>
  <si>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</si>
  <si>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</si>
  <si>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</si>
  <si>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</si>
  <si>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</si>
  <si>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</si>
  <si>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</si>
  <si>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</si>
  <si>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</si>
  <si>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</si>
  <si>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</si>
  <si>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</si>
  <si>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</si>
  <si>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</si>
  <si>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</si>
  <si>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</si>
  <si>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</si>
  <si>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</si>
  <si>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</si>
  <si>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</si>
  <si>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</si>
  <si>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</si>
  <si>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</si>
  <si>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</si>
  <si>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</si>
  <si>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</si>
  <si>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</si>
  <si>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</si>
  <si>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</si>
  <si>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</si>
  <si>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</si>
  <si>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</si>
  <si>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</si>
  <si>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</si>
  <si>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</si>
  <si>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</si>
  <si>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</si>
  <si>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</si>
  <si>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</si>
  <si>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</si>
  <si>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</si>
  <si>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</si>
  <si>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</si>
  <si>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</si>
  <si>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</si>
  <si>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</si>
  <si>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</si>
  <si>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</si>
  <si>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</si>
  <si>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</si>
  <si>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</si>
  <si>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</si>
  <si>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</si>
  <si>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</si>
  <si>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</si>
  <si>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</si>
  <si>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</si>
  <si>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</si>
  <si>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</si>
  <si>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</si>
  <si>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</si>
  <si>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</si>
  <si>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</si>
  <si>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</si>
  <si>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</si>
  <si>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</si>
  <si>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</si>
  <si>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</si>
  <si>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</si>
  <si>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</si>
  <si>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</si>
  <si>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</si>
  <si>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</si>
  <si>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</si>
  <si>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</si>
  <si>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</si>
  <si>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</si>
  <si>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</si>
  <si>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</si>
  <si>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</si>
  <si>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</si>
  <si>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</si>
  <si>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</si>
  <si>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</si>
  <si>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</si>
  <si>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</si>
  <si>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</si>
  <si>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</si>
  <si>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</si>
  <si>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</si>
  <si>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</si>
  <si>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</si>
  <si>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</si>
  <si>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</si>
  <si>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</si>
  <si>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</si>
  <si>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</si>
  <si>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</si>
  <si>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</si>
  <si>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</si>
  <si>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</si>
  <si>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</si>
  <si>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</si>
  <si>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</si>
  <si>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</si>
  <si>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</si>
  <si>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</si>
  <si>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</si>
  <si>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</si>
  <si>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</si>
  <si>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</si>
  <si>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</si>
  <si>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</si>
  <si>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</si>
  <si>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</si>
  <si>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</si>
  <si>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</si>
  <si>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</si>
  <si>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</si>
  <si>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</si>
  <si>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</si>
  <si>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</si>
  <si>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</si>
  <si>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</si>
  <si>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</si>
  <si>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</si>
  <si>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</si>
  <si>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</si>
  <si>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</si>
  <si>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</si>
  <si>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</si>
  <si>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</si>
  <si>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</si>
  <si>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</si>
  <si>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</si>
  <si>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</si>
  <si>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</si>
  <si>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</si>
  <si>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</si>
  <si>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</si>
  <si>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</si>
  <si>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</si>
  <si>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</si>
  <si>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</si>
  <si>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</si>
  <si>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</si>
  <si>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</si>
  <si>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</si>
  <si>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</si>
  <si>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</si>
  <si>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</si>
  <si>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</si>
  <si>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</si>
  <si>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</si>
  <si>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</si>
  <si>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</si>
  <si>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</si>
  <si>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</si>
  <si>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</si>
  <si>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</si>
  <si>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</si>
  <si>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</si>
  <si>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</si>
  <si>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</si>
  <si>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</si>
  <si>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</si>
  <si>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</si>
  <si>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</si>
  <si>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</si>
  <si>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</si>
  <si>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</si>
  <si>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</si>
  <si>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</si>
  <si>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</si>
  <si>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</si>
  <si>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</si>
  <si>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</si>
  <si>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</si>
  <si>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</si>
  <si>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</si>
  <si>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</si>
  <si>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</si>
  <si>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</si>
  <si>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</si>
  <si>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</si>
  <si>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</si>
  <si>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</si>
  <si>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</si>
  <si>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</si>
  <si>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</si>
  <si>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</si>
  <si>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</si>
  <si>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</si>
  <si>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</si>
  <si>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</si>
  <si>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</si>
  <si>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</si>
  <si>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</si>
  <si>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</si>
  <si>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</si>
  <si>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</si>
  <si>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</si>
  <si>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</si>
  <si>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</si>
  <si>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</si>
  <si>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</si>
  <si>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</si>
  <si>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</si>
  <si>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</si>
  <si>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</si>
  <si>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</si>
  <si>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</si>
  <si>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</si>
  <si>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</si>
  <si>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</si>
  <si>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</si>
  <si>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</si>
  <si>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</si>
  <si>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</si>
  <si>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</si>
  <si>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</si>
  <si>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</si>
  <si>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</si>
  <si>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</si>
  <si>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</si>
  <si>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</si>
  <si>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</si>
  <si>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</si>
  <si>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</si>
  <si>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</si>
  <si>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</si>
  <si>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</si>
  <si>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</si>
  <si>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</si>
  <si>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</si>
  <si>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</si>
  <si>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</si>
  <si>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</si>
  <si>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</si>
  <si>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</si>
  <si>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</si>
  <si>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</si>
  <si>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</si>
  <si>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</si>
  <si>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</si>
  <si>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</si>
  <si>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</si>
  <si>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</si>
  <si>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</si>
  <si>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</si>
  <si>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</si>
  <si>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</si>
  <si>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</si>
  <si>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</si>
  <si>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</si>
  <si>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</si>
  <si>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</si>
  <si>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</si>
  <si>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</si>
  <si>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</si>
  <si>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</si>
  <si>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</si>
  <si>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</si>
  <si>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</si>
  <si>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</si>
  <si>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</si>
  <si>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</si>
  <si>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</si>
  <si>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</si>
  <si>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</si>
  <si>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</si>
  <si>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</si>
  <si>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</si>
  <si>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</si>
  <si>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</si>
  <si>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</si>
  <si>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</si>
  <si>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</si>
  <si>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</si>
  <si>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</si>
  <si>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</si>
  <si>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</si>
  <si>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</si>
  <si>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</si>
  <si>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</si>
  <si>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</si>
  <si>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</si>
  <si>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</si>
  <si>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</si>
  <si>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</si>
  <si>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</si>
  <si>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</si>
  <si>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</si>
  <si>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</si>
  <si>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</si>
  <si>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</si>
  <si>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</si>
  <si>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</si>
  <si>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</si>
  <si>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</si>
  <si>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</si>
  <si>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</si>
  <si>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</si>
  <si>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</si>
  <si>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</si>
  <si>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</si>
  <si>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</si>
  <si>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</si>
  <si>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</si>
  <si>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</si>
  <si>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</si>
  <si>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</si>
  <si>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</si>
  <si>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</si>
  <si>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</si>
  <si>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</si>
  <si>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</si>
  <si>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</si>
  <si>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</si>
  <si>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</si>
  <si>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</si>
  <si>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</si>
  <si>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</si>
  <si>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</si>
  <si>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</si>
  <si>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</si>
  <si>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</si>
  <si>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</si>
  <si>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</si>
  <si>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</si>
  <si>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</si>
  <si>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</si>
  <si>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</si>
  <si>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</si>
  <si>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</si>
  <si>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</si>
  <si>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</si>
  <si>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</si>
  <si>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</si>
  <si>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</si>
  <si>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</si>
  <si>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</si>
  <si>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</si>
  <si>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</si>
  <si>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</si>
  <si>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</si>
  <si>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</si>
  <si>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</si>
  <si>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</si>
  <si>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</si>
  <si>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</si>
  <si>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</si>
  <si>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</si>
  <si>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</si>
  <si>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</si>
  <si>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</si>
  <si>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</si>
  <si>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</si>
  <si>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</si>
  <si>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</si>
  <si>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</si>
  <si>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</si>
  <si>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</si>
  <si>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</si>
  <si>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</si>
  <si>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</si>
  <si>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</si>
  <si>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</si>
  <si>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</si>
  <si>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</si>
  <si>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</si>
  <si>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</si>
  <si>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</si>
  <si>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</si>
  <si>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</si>
  <si>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</si>
  <si>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</si>
  <si>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</si>
  <si>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</si>
  <si>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</si>
  <si>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</si>
  <si>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</si>
  <si>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</si>
  <si>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</si>
  <si>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</si>
  <si>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</si>
  <si>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</si>
  <si>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</si>
  <si>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</si>
  <si>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</si>
  <si>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</si>
  <si>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</si>
  <si>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</si>
  <si>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</si>
  <si>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</si>
  <si>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</si>
  <si>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</si>
  <si>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</si>
  <si>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</si>
  <si>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</si>
  <si>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</si>
  <si>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</si>
  <si>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</si>
  <si>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</si>
  <si>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</si>
  <si>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</si>
  <si>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</si>
  <si>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</si>
  <si>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</si>
  <si>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</si>
  <si>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</si>
  <si>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</si>
  <si>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</si>
  <si>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</si>
  <si>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</si>
  <si>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</si>
  <si>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</si>
  <si>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</si>
  <si>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</si>
  <si>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</si>
  <si>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</si>
  <si>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</si>
  <si>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</si>
  <si>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</si>
  <si>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</si>
  <si>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</si>
  <si>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</si>
  <si>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</si>
  <si>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</si>
  <si>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</si>
  <si>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</si>
  <si>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</si>
  <si>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</si>
  <si>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</si>
  <si>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</si>
  <si>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</si>
  <si>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</si>
  <si>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</si>
  <si>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</si>
  <si>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</si>
  <si>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</si>
  <si>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</si>
  <si>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</si>
  <si>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</si>
  <si>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</si>
  <si>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</si>
  <si>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</si>
  <si>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</si>
  <si>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</si>
  <si>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</si>
  <si>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</si>
  <si>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</si>
  <si>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</si>
  <si>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</si>
  <si>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</si>
  <si>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</si>
  <si>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</si>
  <si>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</si>
  <si>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</si>
  <si>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</si>
  <si>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</si>
  <si>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</si>
  <si>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</si>
  <si>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</si>
  <si>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</si>
  <si>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</si>
  <si>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</si>
  <si>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</si>
  <si>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</si>
  <si>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</si>
  <si>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</si>
  <si>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</si>
  <si>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</si>
  <si>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</si>
  <si>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</si>
  <si>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</si>
  <si>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</si>
  <si>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</si>
  <si>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</si>
  <si>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</si>
  <si>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</si>
  <si>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</si>
  <si>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</si>
  <si>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</si>
  <si>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</si>
  <si>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</si>
  <si>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</si>
  <si>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</si>
  <si>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</si>
  <si>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</si>
  <si>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</si>
  <si>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</si>
  <si>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</si>
  <si>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</si>
  <si>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</si>
  <si>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</si>
  <si>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</si>
  <si>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</si>
  <si>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</si>
  <si>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</si>
  <si>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</si>
  <si>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</si>
  <si>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</si>
  <si>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</si>
  <si>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</si>
  <si>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</si>
  <si>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</si>
  <si>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</si>
  <si>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</si>
  <si>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</si>
  <si>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</si>
  <si>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</si>
  <si>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</si>
  <si>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</si>
  <si>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</si>
  <si>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</si>
  <si>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</si>
  <si>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</si>
  <si>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</si>
  <si>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</si>
  <si>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</si>
  <si>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</si>
  <si>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</si>
  <si>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</si>
  <si>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</si>
  <si>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</si>
  <si>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</si>
  <si>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</si>
  <si>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</si>
  <si>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</si>
  <si>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</si>
  <si>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</si>
  <si>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</si>
  <si>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</si>
  <si>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</si>
  <si>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</si>
  <si>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</si>
  <si>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</si>
  <si>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</si>
  <si>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</si>
  <si>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</si>
  <si>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</si>
  <si>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</si>
  <si>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</si>
  <si>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</si>
  <si>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</si>
  <si>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</si>
  <si>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</si>
  <si>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</si>
  <si>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</si>
  <si>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</si>
  <si>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</si>
  <si>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</si>
  <si>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</si>
  <si>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</si>
  <si>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</si>
  <si>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</si>
  <si>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</si>
  <si>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</si>
  <si>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</si>
  <si>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</si>
  <si>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</si>
  <si>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</si>
  <si>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</si>
  <si>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</si>
  <si>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</si>
  <si>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</si>
  <si>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</si>
  <si>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</si>
  <si>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</si>
  <si>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</si>
  <si>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</si>
  <si>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</si>
  <si>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</si>
  <si>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</si>
  <si>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</si>
  <si>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</si>
  <si>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</si>
  <si>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</si>
  <si>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</si>
  <si>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</si>
  <si>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</si>
  <si>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</si>
  <si>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</si>
  <si>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</si>
  <si>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</si>
  <si>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</si>
  <si>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</si>
  <si>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</si>
  <si>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</si>
  <si>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</si>
  <si>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</si>
  <si>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</si>
  <si>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</si>
  <si>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</si>
  <si>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</si>
  <si>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</si>
  <si>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</si>
  <si>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</si>
  <si>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</si>
  <si>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</si>
  <si>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</si>
  <si>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</si>
  <si>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</si>
  <si>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</si>
  <si>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</si>
  <si>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</si>
  <si>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</si>
  <si>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</si>
  <si>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</si>
  <si>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</si>
  <si>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</si>
  <si>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</si>
  <si>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</si>
  <si>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</si>
  <si>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</si>
  <si>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</si>
  <si>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</si>
  <si>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</si>
  <si>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</si>
  <si>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</si>
  <si>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</si>
  <si>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</si>
  <si>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</si>
  <si>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</si>
  <si>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</si>
  <si>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</si>
  <si>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</si>
  <si>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</si>
  <si>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</si>
  <si>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</si>
  <si>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</si>
  <si>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</si>
  <si>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</si>
  <si>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</si>
  <si>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</si>
  <si>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</si>
  <si>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</si>
  <si>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</si>
  <si>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</si>
  <si>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</si>
  <si>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</si>
  <si>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</si>
  <si>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</si>
  <si>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</si>
  <si>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</si>
  <si>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</si>
  <si>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</si>
  <si>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</si>
  <si>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</si>
  <si>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</si>
  <si>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</si>
  <si>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</si>
  <si>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</si>
  <si>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</si>
  <si>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</si>
  <si>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</si>
  <si>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</si>
  <si>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</si>
  <si>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</si>
  <si>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</si>
  <si>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</si>
  <si>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</si>
  <si>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</si>
  <si>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</si>
  <si>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</si>
  <si>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</si>
  <si>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</si>
  <si>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</si>
  <si>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</si>
  <si>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</si>
  <si>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</si>
  <si>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</si>
  <si>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</si>
  <si>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</si>
  <si>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</si>
  <si>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</si>
  <si>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</si>
  <si>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</si>
  <si>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</si>
  <si>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</si>
  <si>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</si>
  <si>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</si>
  <si>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</si>
  <si>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</si>
  <si>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</si>
  <si>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</si>
  <si>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</si>
  <si>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</si>
  <si>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</si>
  <si>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</si>
  <si>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</si>
  <si>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</si>
  <si>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</si>
  <si>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</si>
  <si>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</si>
  <si>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</si>
  <si>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</si>
  <si>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</si>
  <si>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</si>
  <si>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</si>
  <si>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</si>
  <si>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</si>
  <si>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</si>
  <si>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</si>
  <si>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</si>
  <si>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</si>
  <si>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</si>
  <si>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</si>
  <si>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</si>
  <si>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</si>
  <si>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</si>
  <si>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</si>
  <si>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</si>
  <si>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</si>
  <si>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</si>
  <si>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</si>
  <si>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</si>
  <si>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</si>
  <si>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</si>
  <si>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</si>
  <si>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</si>
  <si>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</si>
  <si>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</si>
  <si>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</si>
  <si>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</si>
  <si>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</si>
  <si>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</si>
  <si>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</si>
  <si>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</si>
  <si>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</si>
  <si>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</si>
  <si>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</si>
  <si>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</si>
  <si>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</si>
  <si>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</si>
  <si>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</si>
  <si>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</si>
  <si>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</si>
  <si>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</si>
  <si>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</si>
  <si>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</si>
  <si>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</si>
  <si>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</si>
  <si>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</si>
  <si>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</si>
  <si>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</si>
  <si>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</si>
  <si>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</si>
  <si>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</si>
  <si>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</si>
  <si>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</si>
  <si>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</si>
  <si>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</si>
  <si>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</si>
  <si>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</si>
  <si>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</si>
  <si>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</si>
  <si>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</si>
  <si>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</si>
  <si>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</si>
  <si>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</si>
  <si>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</si>
  <si>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</si>
  <si>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</si>
  <si>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</si>
  <si>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</si>
  <si>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</si>
  <si>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</si>
  <si>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</si>
  <si>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</si>
  <si>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</si>
  <si>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</si>
  <si>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</si>
  <si>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</si>
  <si>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</si>
  <si>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</si>
  <si>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</si>
  <si>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</si>
  <si>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</si>
  <si>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</si>
  <si>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</si>
  <si>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</si>
  <si>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</si>
  <si>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</si>
  <si>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</si>
  <si>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</si>
  <si>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</si>
  <si>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</si>
  <si>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</si>
  <si>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</si>
  <si>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</si>
  <si>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</si>
  <si>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</si>
  <si>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</si>
  <si>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</si>
  <si>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</si>
  <si>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</si>
  <si>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</si>
  <si>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</si>
  <si>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</si>
  <si>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</si>
  <si>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</si>
  <si>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</si>
  <si>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</si>
  <si>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</si>
  <si>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</si>
  <si>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</si>
  <si>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</si>
  <si>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</si>
  <si>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</si>
  <si>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</si>
  <si>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</si>
  <si>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</si>
  <si>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</si>
  <si>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</si>
  <si>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</si>
  <si>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</si>
  <si>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</si>
  <si>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</si>
  <si>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</si>
  <si>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</si>
  <si>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</si>
  <si>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</si>
  <si>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</si>
  <si>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</si>
  <si>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</si>
  <si>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</si>
  <si>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</si>
  <si>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</si>
  <si>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</si>
  <si>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</si>
  <si>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</si>
  <si>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</si>
  <si>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</si>
  <si>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</si>
  <si>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</si>
  <si>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</si>
  <si>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</si>
  <si>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</si>
  <si>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</si>
  <si>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</si>
  <si>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</si>
  <si>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</si>
  <si>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</si>
  <si>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</si>
  <si>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</si>
  <si>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</si>
  <si>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</si>
  <si>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</si>
  <si>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</si>
  <si>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</si>
  <si>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</si>
  <si>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</si>
  <si>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</si>
  <si>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</si>
  <si>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</si>
  <si>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</si>
  <si>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</si>
  <si>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</si>
  <si>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</si>
  <si>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</si>
  <si>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</si>
  <si>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</si>
  <si>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</si>
  <si>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</si>
  <si>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</si>
  <si>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</si>
  <si>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</si>
  <si>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</si>
  <si>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</si>
  <si>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</si>
  <si>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</si>
  <si>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</si>
  <si>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</si>
  <si>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</si>
  <si>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</si>
  <si>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</si>
  <si>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</si>
  <si>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</si>
  <si>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</si>
  <si>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</si>
  <si>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</si>
  <si>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</si>
  <si>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</si>
  <si>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</si>
  <si>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</si>
  <si>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</si>
  <si>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</si>
  <si>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</si>
  <si>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</si>
  <si>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</si>
  <si>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</si>
  <si>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</si>
  <si>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</si>
  <si>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</si>
  <si>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</si>
  <si>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</si>
  <si>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</si>
  <si>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</si>
  <si>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</si>
  <si>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</si>
  <si>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</si>
  <si>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</si>
  <si>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</si>
  <si>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</si>
  <si>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</si>
  <si>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</si>
  <si>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</si>
  <si>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</si>
  <si>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</si>
  <si>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</si>
  <si>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</si>
  <si>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</si>
  <si>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</si>
  <si>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</si>
  <si>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</si>
  <si>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</si>
  <si>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</si>
  <si>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</si>
  <si>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</si>
  <si>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</si>
  <si>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</si>
  <si>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</si>
  <si>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</si>
  <si>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</si>
  <si>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</si>
  <si>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</si>
  <si>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</si>
  <si>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</si>
  <si>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</si>
  <si>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</si>
  <si>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</si>
  <si>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</si>
  <si>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</si>
  <si>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</si>
  <si>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</si>
  <si>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</si>
  <si>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</si>
  <si>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</si>
  <si>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</si>
  <si>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</si>
  <si>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</si>
  <si>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</si>
  <si>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</si>
  <si>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</si>
  <si>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</si>
  <si>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</si>
  <si>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</si>
  <si>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</si>
  <si>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</si>
  <si>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</si>
  <si>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</si>
  <si>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</si>
  <si>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</si>
  <si>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</si>
  <si>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</si>
  <si>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</si>
  <si>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</si>
  <si>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</si>
  <si>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</si>
  <si>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</si>
  <si>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</si>
  <si>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</si>
  <si>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</si>
  <si>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</si>
  <si>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</si>
  <si>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</si>
  <si>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</si>
  <si>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</si>
  <si>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</si>
  <si>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</si>
  <si>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</si>
  <si>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</si>
  <si>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</si>
  <si>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</si>
  <si>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</si>
  <si>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</si>
  <si>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</si>
  <si>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</si>
  <si>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</si>
  <si>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</si>
  <si>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</si>
  <si>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</si>
  <si>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</si>
  <si>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</si>
  <si>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</si>
  <si>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</si>
  <si>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</si>
  <si>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</si>
  <si>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</si>
  <si>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</si>
  <si>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</si>
  <si>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</si>
  <si>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</si>
  <si>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</si>
  <si>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</si>
  <si>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</si>
  <si>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</si>
  <si>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</si>
  <si>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</si>
  <si>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</si>
  <si>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</si>
  <si>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</si>
  <si>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</si>
  <si>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</si>
  <si>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</si>
  <si>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</si>
  <si>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</si>
  <si>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</si>
  <si>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</si>
  <si>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</si>
  <si>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</si>
  <si>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</si>
  <si>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</si>
  <si>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</si>
  <si>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</si>
  <si>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</si>
  <si>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</si>
  <si>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</si>
  <si>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</si>
  <si>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</si>
  <si>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</si>
  <si>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</si>
  <si>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</si>
  <si>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</si>
  <si>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</si>
  <si>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</si>
  <si>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</si>
  <si>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</si>
  <si>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</si>
  <si>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</si>
  <si>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</si>
  <si>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</si>
  <si>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</si>
  <si>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</si>
  <si>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</si>
  <si>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</si>
  <si>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</si>
  <si>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</si>
  <si>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</si>
  <si>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</si>
  <si>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</si>
  <si>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</si>
  <si>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</si>
  <si>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</si>
  <si>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</si>
  <si>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</si>
  <si>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</si>
  <si>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</si>
  <si>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</si>
  <si>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</si>
  <si>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</si>
  <si>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</si>
  <si>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</si>
  <si>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</si>
  <si>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</si>
  <si>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</si>
  <si>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</si>
  <si>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</si>
  <si>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</si>
  <si>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</si>
  <si>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</si>
  <si>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</si>
  <si>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</si>
  <si>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</si>
  <si>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</si>
  <si>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</si>
  <si>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</si>
  <si>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</si>
  <si>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</si>
  <si>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</si>
  <si>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</si>
  <si>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</si>
  <si>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</si>
  <si>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</si>
  <si>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</si>
  <si>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</si>
  <si>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</si>
  <si>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</si>
  <si>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</si>
  <si>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</si>
  <si>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</si>
  <si>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</si>
  <si>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</si>
  <si>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</si>
  <si>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</si>
  <si>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</si>
  <si>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</si>
  <si>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</si>
  <si>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</si>
  <si>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</si>
  <si>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</si>
  <si>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</si>
  <si>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</si>
  <si>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</si>
  <si>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</si>
  <si>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</si>
  <si>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</si>
  <si>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</si>
  <si>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</si>
  <si>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</si>
  <si>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</si>
  <si>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</si>
  <si>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</si>
  <si>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</si>
  <si>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</si>
  <si>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</si>
  <si>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</si>
  <si>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</si>
  <si>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</si>
  <si>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</si>
  <si>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</si>
  <si>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</si>
  <si>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</si>
  <si>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</si>
  <si>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</si>
  <si>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</si>
  <si>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</si>
  <si>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</si>
  <si>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</si>
  <si>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</si>
  <si>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</si>
  <si>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</si>
  <si>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</si>
  <si>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</si>
  <si>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</si>
  <si>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</si>
  <si>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</si>
  <si>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</si>
  <si>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</si>
  <si>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</si>
  <si>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</si>
  <si>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</si>
  <si>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</si>
  <si>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</si>
  <si>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</si>
  <si>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</si>
  <si>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</si>
  <si>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</si>
  <si>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</si>
  <si>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</si>
  <si>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</si>
  <si>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</si>
  <si>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</si>
  <si>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</si>
  <si>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</si>
  <si>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</si>
  <si>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</si>
  <si>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</si>
  <si>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</si>
  <si>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</si>
  <si>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</si>
  <si>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</si>
  <si>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</si>
  <si>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</si>
  <si>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</si>
  <si>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</si>
  <si>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</si>
  <si>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</si>
  <si>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</si>
  <si>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</si>
  <si>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</si>
  <si>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</si>
  <si>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</si>
  <si>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</si>
  <si>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</si>
  <si>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</si>
  <si>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</si>
  <si>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</si>
  <si>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</si>
  <si>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</si>
  <si>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</si>
  <si>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</si>
  <si>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</si>
  <si>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</si>
  <si>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</si>
  <si>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</si>
  <si>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</si>
  <si>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</si>
  <si>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</si>
  <si>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</si>
  <si>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</si>
  <si>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</si>
  <si>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</si>
  <si>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</si>
  <si>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</si>
  <si>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</si>
  <si>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</si>
  <si>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</si>
  <si>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</si>
  <si>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</si>
  <si>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</si>
  <si>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</si>
  <si>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</si>
  <si>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</si>
  <si>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</si>
  <si>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</si>
  <si>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</si>
  <si>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</si>
  <si>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</si>
  <si>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</si>
  <si>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</si>
  <si>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</si>
  <si>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</si>
  <si>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</si>
  <si>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</si>
  <si>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</si>
  <si>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</si>
  <si>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</si>
  <si>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</si>
  <si>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</si>
  <si>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</si>
  <si>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</si>
  <si>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</si>
  <si>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</si>
  <si>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</si>
  <si>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</si>
  <si>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</si>
  <si>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</si>
  <si>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</si>
  <si>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</si>
  <si>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</si>
  <si>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</si>
  <si>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</si>
  <si>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</si>
  <si>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</si>
  <si>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</si>
  <si>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</si>
  <si>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</si>
  <si>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</si>
  <si>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</si>
  <si>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</si>
  <si>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</si>
  <si>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</si>
  <si>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</si>
  <si>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</si>
  <si>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</si>
  <si>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</si>
  <si>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</si>
  <si>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</si>
  <si>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</si>
  <si>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</si>
  <si>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</si>
  <si>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</si>
  <si>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</si>
  <si>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</si>
  <si>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</si>
  <si>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</si>
  <si>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</si>
  <si>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</si>
  <si>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</si>
  <si>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</si>
  <si>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</si>
  <si>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</si>
  <si>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</si>
  <si>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</si>
  <si>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</si>
  <si>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</si>
  <si>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</si>
  <si>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</si>
  <si>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</si>
  <si>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</si>
  <si>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</si>
  <si>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</si>
  <si>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</si>
  <si>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</si>
  <si>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</si>
  <si>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</si>
  <si>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</si>
  <si>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</si>
  <si>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</si>
  <si>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</si>
  <si>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</si>
  <si>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</si>
  <si>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</si>
  <si>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</si>
  <si>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</si>
  <si>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</si>
  <si>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</si>
  <si>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</si>
  <si>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</si>
  <si>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</si>
  <si>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</si>
  <si>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</si>
  <si>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</si>
  <si>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</si>
  <si>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</si>
  <si>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</si>
  <si>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</si>
  <si>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</si>
  <si>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</si>
  <si>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</si>
  <si>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</si>
  <si>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</si>
  <si>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</si>
  <si>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</si>
  <si>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</si>
  <si>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</si>
  <si>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</si>
  <si>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</si>
  <si>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</si>
  <si>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</si>
  <si>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</si>
  <si>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</si>
  <si>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</si>
  <si>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</si>
  <si>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</si>
  <si>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</si>
  <si>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</si>
  <si>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</si>
  <si>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</si>
  <si>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</si>
  <si>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</si>
  <si>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</si>
  <si>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</si>
  <si>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</si>
  <si>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</si>
  <si>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</si>
  <si>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</si>
  <si>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</si>
  <si>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</si>
  <si>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</si>
  <si>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</si>
  <si>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</si>
  <si>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</si>
  <si>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</si>
  <si>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</si>
  <si>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</si>
  <si>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</si>
  <si>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</si>
  <si>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</si>
  <si>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</si>
  <si>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</si>
  <si>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</si>
  <si>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</si>
  <si>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</si>
  <si>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</si>
  <si>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</si>
  <si>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</si>
  <si>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</si>
  <si>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</si>
  <si>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</si>
  <si>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</si>
  <si>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</si>
  <si>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</si>
  <si>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</si>
  <si>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</si>
  <si>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</si>
  <si>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</si>
  <si>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</si>
  <si>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</si>
  <si>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</si>
  <si>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</si>
  <si>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</si>
  <si>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</si>
  <si>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</si>
  <si>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</si>
  <si>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</si>
  <si>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</si>
  <si>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</si>
  <si>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</si>
  <si>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</si>
  <si>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</si>
  <si>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</si>
  <si>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</si>
  <si>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</si>
  <si>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</si>
  <si>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</si>
  <si>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</si>
  <si>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</si>
  <si>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</si>
  <si>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</si>
  <si>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</si>
  <si>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</si>
  <si>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</si>
  <si>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</si>
  <si>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</si>
  <si>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</si>
  <si>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</si>
  <si>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</si>
  <si>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</si>
  <si>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</si>
  <si>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</si>
  <si>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</si>
  <si>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</si>
  <si>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</si>
  <si>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</si>
  <si>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</si>
  <si>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</si>
  <si>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</si>
  <si>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</si>
  <si>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</si>
  <si>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</si>
  <si>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</si>
  <si>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</si>
  <si>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</si>
  <si>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</si>
  <si>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</si>
  <si>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</si>
  <si>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</si>
  <si>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</si>
  <si>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</si>
  <si>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</si>
  <si>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</si>
  <si>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</si>
  <si>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</si>
  <si>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</si>
  <si>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</si>
  <si>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</si>
  <si>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</si>
  <si>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</si>
  <si>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</si>
  <si>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</si>
  <si>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</si>
  <si>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</si>
  <si>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</si>
  <si>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</si>
  <si>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</si>
  <si>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</si>
  <si>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</si>
  <si>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</si>
  <si>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</si>
  <si>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</si>
  <si>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</si>
  <si>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</si>
  <si>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</si>
  <si>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</si>
  <si>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</si>
  <si>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</si>
  <si>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</si>
  <si>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</si>
  <si>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</si>
  <si>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</si>
  <si>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</si>
  <si>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</si>
  <si>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</si>
  <si>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</si>
  <si>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</si>
  <si>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</si>
  <si>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</si>
  <si>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</si>
  <si>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</si>
  <si>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</si>
  <si>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</si>
  <si>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</si>
  <si>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</si>
  <si>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</si>
  <si>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</si>
  <si>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</si>
  <si>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</si>
  <si>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</si>
  <si>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</si>
  <si>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</si>
  <si>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</si>
  <si>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</si>
  <si>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</si>
  <si>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</si>
  <si>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</si>
  <si>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</si>
  <si>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</si>
  <si>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</si>
  <si>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</si>
  <si>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</si>
  <si>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</si>
  <si>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</si>
  <si>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</si>
  <si>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</si>
  <si>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</si>
  <si>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</si>
  <si>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</si>
  <si>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</si>
  <si>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</si>
  <si>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</si>
  <si>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</si>
  <si>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</si>
  <si>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</si>
  <si>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</si>
  <si>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</si>
  <si>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</si>
  <si>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</si>
  <si>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</si>
  <si>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</si>
  <si>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</si>
  <si>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</si>
  <si>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</si>
  <si>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</si>
  <si>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</si>
  <si>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</si>
  <si>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</si>
  <si>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</si>
  <si>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</si>
  <si>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</si>
  <si>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</si>
  <si>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</si>
  <si>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</si>
  <si>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</si>
  <si>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</si>
  <si>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</si>
  <si>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</si>
  <si>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</si>
  <si>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</si>
  <si>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</si>
  <si>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</si>
  <si>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</si>
  <si>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</si>
  <si>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</si>
  <si>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</si>
  <si>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</si>
  <si>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</si>
  <si>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</si>
  <si>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</si>
  <si>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</si>
  <si>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</si>
  <si>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</si>
  <si>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</si>
  <si>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</si>
  <si>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</si>
  <si>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</si>
  <si>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</si>
  <si>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</si>
  <si>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</si>
  <si>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</si>
  <si>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</si>
  <si>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</si>
  <si>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</si>
  <si>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</si>
  <si>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</si>
  <si>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</si>
  <si>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</si>
  <si>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</si>
  <si>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</si>
  <si>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</si>
  <si>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</si>
  <si>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</si>
  <si>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</si>
  <si>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</si>
  <si>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</si>
  <si>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</si>
  <si>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</si>
  <si>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</si>
  <si>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</si>
  <si>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</si>
  <si>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</si>
  <si>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</si>
  <si>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</si>
  <si>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</si>
  <si>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</si>
  <si>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</si>
  <si>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</si>
  <si>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</si>
  <si>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</si>
  <si>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</si>
  <si>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</si>
  <si>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</si>
  <si>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</si>
  <si>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</si>
  <si>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</si>
  <si>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</si>
  <si>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</si>
  <si>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</si>
  <si>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</si>
  <si>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</si>
  <si>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</si>
  <si>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</si>
  <si>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</si>
  <si>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</si>
  <si>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</si>
  <si>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</si>
  <si>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</si>
  <si>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</si>
  <si>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</si>
  <si>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</si>
  <si>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</si>
  <si>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</si>
  <si>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</si>
  <si>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</si>
  <si>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</si>
  <si>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</si>
  <si>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</si>
  <si>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</si>
  <si>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</si>
  <si>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</si>
  <si>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</si>
  <si>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</si>
  <si>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</si>
  <si>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</si>
  <si>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</si>
  <si>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</si>
  <si>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</si>
  <si>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</si>
  <si>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</si>
  <si>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</si>
  <si>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</si>
  <si>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</si>
  <si>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</si>
  <si>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</si>
  <si>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</si>
  <si>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</si>
  <si>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</si>
  <si>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</si>
  <si>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</si>
  <si>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</si>
  <si>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</si>
  <si>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</si>
  <si>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</si>
  <si>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</si>
  <si>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</si>
  <si>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</si>
  <si>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</si>
  <si>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</si>
  <si>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</si>
  <si>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</si>
  <si>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</si>
  <si>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</si>
  <si>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</si>
  <si>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</si>
  <si>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</si>
  <si>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</si>
  <si>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</si>
  <si>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</si>
  <si>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</si>
  <si>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</si>
  <si>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</si>
  <si>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</si>
  <si>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</si>
  <si>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</si>
  <si>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</si>
  <si>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</si>
  <si>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</si>
  <si>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</si>
  <si>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</si>
  <si>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</si>
  <si>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</si>
  <si>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</si>
  <si>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</si>
  <si>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</si>
  <si>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</si>
  <si>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</si>
  <si>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</si>
  <si>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</si>
  <si>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</si>
  <si>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</si>
  <si>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</si>
  <si>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</si>
  <si>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</si>
  <si>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</si>
  <si>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</si>
  <si>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</si>
  <si>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</si>
  <si>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</si>
  <si>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</si>
  <si>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</si>
  <si>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</si>
  <si>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</si>
  <si>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</si>
  <si>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</si>
  <si>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</si>
  <si>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</si>
  <si>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</si>
  <si>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</si>
  <si>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</si>
  <si>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</si>
  <si>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</si>
  <si>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</si>
  <si>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</si>
  <si>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</si>
  <si>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</si>
  <si>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</si>
  <si>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</si>
  <si>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</si>
  <si>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</si>
  <si>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</si>
  <si>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</si>
  <si>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</si>
  <si>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</si>
  <si>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</si>
  <si>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</si>
  <si>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</si>
  <si>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</si>
  <si>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</si>
  <si>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</si>
  <si>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</si>
  <si>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</si>
  <si>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</si>
  <si>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</si>
  <si>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</si>
  <si>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</si>
  <si>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</si>
  <si>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</si>
  <si>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</si>
  <si>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</si>
  <si>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</si>
  <si>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</si>
  <si>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</si>
  <si>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</si>
  <si>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</si>
  <si>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</si>
  <si>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</si>
  <si>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</si>
  <si>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</si>
  <si>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</si>
  <si>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</si>
  <si>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</si>
  <si>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</si>
  <si>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</si>
  <si>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</si>
  <si>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</si>
  <si>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</si>
  <si>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</si>
  <si>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</si>
  <si>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</si>
  <si>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</si>
  <si>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</si>
  <si>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</si>
  <si>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</si>
  <si>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</si>
  <si>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</si>
  <si>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</si>
  <si>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</si>
  <si>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</si>
  <si>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</si>
  <si>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</si>
  <si>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</si>
  <si>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</si>
  <si>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</si>
  <si>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</si>
  <si>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</si>
  <si>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</si>
  <si>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</si>
  <si>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</si>
  <si>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</si>
  <si>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</si>
  <si>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</si>
  <si>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</si>
  <si>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</si>
  <si>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</si>
  <si>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</si>
  <si>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</si>
  <si>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</si>
  <si>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</si>
  <si>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</si>
  <si>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</si>
  <si>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</si>
  <si>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</si>
  <si>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</si>
  <si>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</si>
  <si>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</si>
  <si>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</si>
  <si>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</si>
  <si>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</si>
  <si>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</si>
  <si>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</si>
  <si>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</si>
  <si>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</si>
  <si>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</si>
  <si>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</si>
  <si>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</si>
  <si>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</si>
  <si>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</si>
  <si>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</si>
  <si>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</si>
  <si>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</si>
  <si>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</si>
  <si>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</si>
  <si>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</si>
  <si>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</si>
  <si>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</si>
  <si>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</si>
  <si>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</si>
  <si>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</si>
  <si>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</si>
  <si>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</si>
  <si>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</si>
  <si>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</si>
  <si>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</si>
  <si>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</si>
  <si>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</si>
  <si>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</si>
  <si>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</si>
  <si>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</si>
  <si>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</si>
  <si>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</si>
  <si>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</si>
  <si>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</si>
  <si>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</si>
  <si>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</si>
  <si>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</si>
  <si>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</si>
  <si>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</si>
  <si>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</si>
  <si>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</si>
  <si>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</si>
  <si>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</si>
  <si>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</si>
  <si>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</si>
  <si>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</si>
  <si>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</si>
  <si>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</si>
  <si>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</si>
  <si>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</si>
  <si>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</si>
  <si>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</si>
  <si>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</si>
  <si>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</si>
  <si>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</si>
  <si>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</si>
  <si>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</si>
  <si>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</si>
  <si>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</si>
  <si>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</si>
  <si>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</si>
  <si>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</si>
  <si>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</si>
  <si>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</si>
  <si>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</si>
  <si>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</si>
  <si>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</si>
  <si>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</si>
  <si>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</si>
  <si>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</si>
  <si>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</si>
  <si>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</si>
  <si>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</si>
  <si>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</si>
  <si>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</si>
  <si>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</si>
  <si>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</si>
  <si>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</si>
  <si>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</si>
  <si>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</si>
  <si>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</si>
  <si>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</si>
  <si>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</si>
  <si>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</si>
  <si>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</si>
  <si>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</si>
  <si>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</si>
  <si>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</si>
  <si>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</si>
  <si>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</si>
  <si>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</si>
  <si>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</si>
  <si>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</si>
  <si>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</si>
  <si>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</si>
  <si>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</si>
  <si>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</si>
  <si>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</si>
  <si>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</si>
  <si>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</si>
  <si>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</si>
  <si>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</si>
  <si>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</si>
  <si>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</si>
  <si>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</si>
  <si>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</si>
  <si>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</si>
  <si>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</si>
  <si>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</si>
  <si>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</si>
  <si>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</si>
  <si>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</si>
  <si>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</si>
  <si>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</si>
  <si>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</si>
  <si>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</si>
  <si>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</si>
  <si>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</si>
  <si>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</si>
  <si>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</si>
  <si>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</si>
  <si>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</si>
  <si>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</si>
  <si>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</si>
  <si>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</si>
  <si>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</si>
  <si>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</si>
  <si>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</si>
  <si>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</si>
  <si>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</si>
  <si>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</si>
  <si>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</si>
  <si>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</si>
  <si>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</si>
  <si>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</si>
  <si>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</si>
  <si>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</si>
  <si>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</si>
  <si>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</si>
  <si>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</si>
  <si>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</si>
  <si>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</si>
  <si>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</si>
  <si>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</si>
  <si>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</si>
  <si>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</si>
  <si>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</si>
  <si>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</si>
  <si>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</si>
  <si>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</si>
  <si>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</si>
  <si>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</si>
  <si>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</si>
  <si>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</si>
  <si>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</si>
  <si>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</si>
  <si>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</si>
  <si>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</si>
  <si>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</si>
  <si>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</si>
  <si>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</si>
  <si>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</si>
  <si>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</si>
  <si>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</si>
  <si>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</si>
  <si>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</si>
  <si>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</si>
  <si>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</si>
  <si>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</si>
  <si>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</si>
  <si>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</si>
  <si>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</si>
  <si>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</si>
  <si>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</si>
  <si>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</si>
  <si>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</si>
  <si>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</si>
  <si>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</si>
  <si>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</si>
  <si>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</si>
  <si>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</si>
  <si>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</si>
  <si>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</si>
  <si>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</si>
  <si>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</si>
  <si>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</si>
  <si>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</si>
  <si>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</si>
  <si>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</si>
  <si>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</si>
  <si>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</si>
  <si>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</si>
  <si>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</si>
  <si>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</si>
  <si>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</si>
  <si>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</si>
  <si>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</si>
  <si>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</si>
  <si>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</si>
  <si>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</si>
  <si>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</si>
  <si>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</si>
  <si>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</si>
  <si>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</si>
  <si>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</si>
  <si>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</si>
  <si>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</si>
  <si>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</si>
  <si>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</si>
  <si>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</si>
  <si>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</si>
  <si>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</si>
  <si>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</si>
  <si>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</si>
  <si>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</si>
  <si>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</si>
  <si>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</si>
  <si>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</si>
  <si>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</si>
  <si>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</si>
  <si>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</si>
  <si>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</si>
  <si>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</si>
  <si>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</si>
  <si>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</si>
  <si>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</si>
  <si>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</si>
  <si>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</si>
  <si>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</si>
  <si>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</si>
  <si>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</si>
  <si>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</si>
  <si>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</si>
  <si>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</si>
  <si>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</si>
  <si>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</si>
  <si>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</si>
  <si>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</si>
  <si>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</si>
  <si>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</si>
  <si>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</si>
  <si>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</si>
  <si>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</si>
  <si>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</si>
  <si>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</si>
  <si>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</si>
  <si>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</si>
  <si>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</si>
  <si>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</si>
  <si>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</si>
  <si>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</si>
  <si>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</si>
  <si>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</si>
  <si>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</si>
  <si>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</si>
  <si>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</si>
  <si>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</si>
  <si>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</si>
  <si>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</si>
  <si>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</si>
  <si>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</si>
  <si>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</si>
  <si>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</si>
  <si>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</si>
  <si>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</si>
  <si>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</si>
  <si>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</si>
  <si>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</si>
  <si>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</si>
  <si>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</si>
  <si>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</si>
  <si>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</si>
  <si>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</si>
  <si>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</si>
  <si>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</si>
  <si>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</si>
  <si>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</si>
  <si>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</si>
  <si>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</si>
  <si>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</si>
  <si>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</si>
  <si>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</si>
  <si>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</si>
  <si>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</si>
  <si>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</si>
  <si>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</si>
  <si>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</si>
  <si>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</si>
  <si>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</si>
  <si>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</si>
  <si>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</si>
  <si>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</si>
  <si>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</si>
  <si>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</si>
  <si>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</si>
  <si>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</si>
  <si>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</si>
  <si>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</si>
  <si>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</si>
  <si>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</si>
  <si>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</si>
  <si>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</si>
  <si>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</si>
  <si>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</si>
  <si>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</si>
  <si>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</si>
  <si>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</si>
  <si>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</si>
  <si>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</si>
  <si>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</si>
  <si>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</si>
  <si>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</si>
  <si>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</si>
  <si>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</si>
  <si>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</si>
  <si>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</si>
  <si>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</si>
  <si>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</si>
  <si>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</si>
  <si>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</si>
  <si>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</si>
  <si>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</si>
  <si>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</si>
  <si>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</si>
  <si>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</si>
  <si>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</si>
  <si>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</si>
  <si>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</si>
  <si>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</si>
  <si>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</si>
  <si>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</si>
  <si>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</si>
  <si>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</si>
  <si>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</si>
  <si>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</si>
  <si>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</si>
  <si>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</si>
  <si>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</si>
  <si>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</si>
  <si>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</si>
  <si>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</si>
  <si>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</si>
  <si>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</si>
  <si>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</si>
  <si>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</si>
  <si>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</si>
  <si>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</si>
  <si>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</si>
  <si>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</si>
  <si>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</si>
  <si>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</si>
  <si>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</si>
  <si>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</si>
  <si>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</si>
  <si>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</si>
  <si>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</si>
  <si>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</si>
  <si>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</si>
  <si>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</si>
  <si>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</si>
  <si>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</si>
  <si>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</si>
  <si>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</si>
  <si>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</si>
  <si>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</si>
  <si>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</si>
  <si>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</si>
  <si>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</si>
  <si>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</si>
  <si>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</si>
  <si>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</si>
  <si>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</si>
  <si>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</si>
  <si>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</si>
  <si>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</si>
  <si>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</si>
  <si>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</si>
  <si>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</si>
  <si>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</si>
  <si>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</si>
  <si>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</si>
  <si>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</si>
  <si>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</si>
  <si>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</si>
  <si>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</si>
  <si>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</si>
  <si>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</si>
  <si>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</si>
  <si>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</si>
  <si>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</si>
  <si>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</si>
  <si>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</si>
  <si>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</si>
  <si>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</si>
  <si>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</si>
  <si>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</si>
  <si>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</si>
  <si>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</si>
  <si>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</si>
  <si>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</si>
  <si>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</si>
  <si>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</si>
  <si>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</si>
  <si>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</si>
  <si>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</si>
  <si>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</si>
  <si>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</si>
  <si>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</si>
  <si>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</si>
  <si>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</si>
  <si>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</si>
  <si>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</si>
  <si>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</si>
  <si>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</si>
  <si>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</si>
  <si>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</si>
  <si>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</si>
  <si>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</si>
  <si>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</si>
  <si>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</si>
  <si>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</si>
  <si>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</si>
  <si>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</si>
  <si>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</si>
  <si>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</si>
  <si>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</si>
  <si>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</si>
  <si>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</si>
  <si>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</si>
  <si>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</si>
  <si>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</si>
  <si>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</si>
  <si>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</si>
  <si>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</si>
  <si>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</si>
  <si>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</si>
  <si>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</si>
  <si>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</si>
  <si>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</si>
  <si>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</si>
  <si>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</si>
  <si>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</si>
  <si>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</si>
  <si>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</si>
  <si>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</si>
  <si>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</si>
  <si>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</si>
  <si>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</si>
  <si>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</si>
  <si>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</si>
  <si>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</si>
  <si>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</si>
  <si>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</si>
  <si>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</si>
  <si>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</si>
  <si>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</si>
  <si>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</si>
  <si>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</si>
  <si>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</si>
  <si>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</si>
  <si>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</si>
  <si>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</si>
  <si>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</si>
  <si>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</si>
  <si>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</si>
  <si>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</si>
  <si>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</si>
  <si>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</si>
  <si>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</si>
  <si>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</si>
  <si>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</si>
  <si>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</si>
  <si>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</si>
  <si>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</si>
  <si>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</si>
  <si>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</si>
  <si>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</si>
  <si>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</si>
  <si>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</si>
  <si>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</si>
  <si>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</si>
  <si>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</si>
  <si>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</si>
  <si>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</si>
  <si>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</si>
  <si>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</si>
  <si>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</si>
  <si>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</si>
  <si>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</si>
  <si>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</si>
  <si>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</si>
  <si>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</si>
  <si>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</si>
  <si>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</si>
  <si>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</si>
  <si>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</si>
  <si>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</si>
  <si>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</si>
  <si>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</si>
  <si>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</si>
  <si>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</si>
  <si>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</si>
  <si>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</si>
  <si>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</si>
  <si>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</si>
  <si>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</si>
  <si>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</si>
  <si>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</si>
  <si>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</si>
  <si>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</si>
  <si>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</si>
  <si>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</si>
  <si>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</si>
  <si>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</si>
  <si>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</si>
  <si>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</si>
  <si>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</si>
  <si>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</si>
  <si>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</si>
  <si>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</si>
  <si>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</si>
  <si>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</si>
  <si>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</si>
  <si>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</si>
  <si>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</si>
  <si>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</si>
  <si>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</si>
  <si>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</si>
  <si>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</si>
  <si>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</si>
  <si>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</si>
  <si>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</si>
  <si>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</si>
  <si>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</si>
  <si>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</si>
  <si>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</si>
  <si>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</si>
  <si>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</si>
  <si>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</si>
  <si>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</si>
  <si>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</si>
  <si>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</si>
  <si>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</si>
  <si>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</si>
  <si>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</si>
  <si>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</si>
  <si>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</si>
  <si>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</si>
  <si>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</si>
  <si>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</si>
  <si>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</si>
  <si>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</si>
  <si>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</si>
  <si>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</si>
  <si>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</si>
  <si>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</si>
  <si>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</si>
  <si>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</si>
  <si>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</si>
  <si>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</si>
  <si>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</si>
  <si>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</si>
  <si>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</si>
  <si>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</si>
  <si>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</si>
  <si>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</si>
  <si>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</si>
  <si>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</si>
  <si>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</si>
  <si>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</si>
  <si>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</si>
  <si>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</si>
  <si>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</si>
  <si>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</si>
  <si>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</si>
  <si>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</si>
  <si>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</si>
  <si>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</si>
  <si>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</si>
  <si>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</si>
  <si>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</si>
  <si>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</si>
  <si>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</si>
  <si>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</si>
  <si>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</si>
  <si>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</si>
  <si>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</si>
  <si>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</si>
  <si>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</si>
  <si>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</si>
  <si>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</si>
  <si>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</si>
  <si>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</si>
  <si>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</si>
  <si>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</si>
  <si>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</si>
  <si>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</si>
  <si>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</si>
  <si>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</si>
  <si>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</si>
  <si>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</si>
  <si>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</si>
  <si>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</si>
  <si>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</si>
  <si>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</si>
  <si>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</si>
  <si>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</si>
  <si>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</si>
  <si>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</si>
  <si>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</si>
  <si>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</si>
  <si>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</si>
  <si>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</si>
  <si>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</si>
  <si>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</si>
  <si>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</si>
  <si>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</si>
  <si>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</si>
  <si>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</si>
  <si>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</si>
  <si>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</si>
  <si>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</si>
  <si>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</si>
  <si>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</si>
  <si>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</si>
  <si>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</si>
  <si>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</si>
  <si>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</si>
  <si>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</si>
  <si>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</si>
  <si>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</si>
  <si>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</si>
  <si>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</si>
  <si>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</si>
  <si>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</si>
  <si>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</si>
  <si>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</si>
  <si>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</si>
  <si>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</si>
  <si>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</si>
  <si>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</si>
  <si>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</si>
  <si>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</si>
  <si>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</si>
  <si>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</si>
  <si>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</si>
  <si>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</si>
  <si>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</si>
  <si>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</si>
  <si>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</si>
  <si>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</si>
  <si>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</si>
  <si>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</si>
  <si>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</si>
  <si>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</si>
  <si>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</si>
  <si>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</si>
  <si>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</si>
  <si>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</si>
  <si>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</si>
  <si>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</si>
  <si>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</si>
  <si>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</si>
  <si>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</si>
  <si>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</si>
  <si>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</si>
  <si>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</si>
  <si>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</si>
  <si>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</si>
  <si>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</si>
  <si>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</si>
  <si>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</si>
  <si>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</si>
  <si>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</si>
  <si>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</si>
  <si>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</si>
  <si>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</si>
  <si>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</si>
  <si>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</si>
  <si>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</si>
  <si>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</si>
  <si>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</si>
  <si>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</si>
  <si>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</si>
  <si>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</si>
  <si>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</si>
  <si>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</si>
  <si>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</si>
  <si>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</si>
  <si>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</si>
  <si>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</si>
  <si>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</si>
  <si>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</si>
  <si>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</si>
  <si>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</si>
  <si>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</si>
  <si>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</si>
  <si>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</si>
  <si>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</si>
  <si>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</si>
  <si>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</si>
  <si>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</si>
  <si>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</si>
  <si>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</si>
  <si>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</si>
  <si>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</si>
  <si>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</si>
  <si>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</si>
  <si>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</si>
  <si>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</si>
  <si>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</si>
  <si>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</si>
  <si>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</si>
  <si>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</si>
  <si>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</si>
  <si>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</si>
  <si>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</si>
  <si>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</si>
  <si>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</si>
  <si>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</si>
  <si>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</si>
  <si>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</si>
  <si>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</si>
  <si>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</si>
  <si>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</si>
  <si>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</si>
  <si>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</si>
  <si>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</si>
  <si>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</si>
  <si>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</si>
  <si>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</si>
  <si>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</si>
  <si>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</si>
  <si>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</si>
  <si>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</si>
  <si>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</si>
  <si>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</si>
  <si>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</si>
  <si>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</si>
  <si>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</si>
  <si>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</si>
  <si>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</si>
  <si>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</si>
  <si>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</si>
  <si>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</si>
  <si>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</si>
  <si>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</si>
  <si>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</si>
  <si>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</si>
  <si>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</si>
  <si>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</si>
  <si>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</si>
  <si>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</si>
  <si>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</si>
  <si>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</si>
  <si>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</si>
  <si>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</si>
  <si>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</si>
  <si>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</si>
  <si>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</si>
  <si>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</si>
  <si>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</si>
  <si>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</si>
  <si>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</si>
  <si>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</si>
  <si>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</si>
  <si>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</si>
  <si>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</si>
  <si>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</si>
  <si>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</si>
  <si>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</si>
  <si>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</si>
  <si>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</si>
  <si>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</si>
  <si>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</si>
  <si>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</si>
  <si>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</si>
  <si>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</si>
  <si>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</si>
  <si>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</si>
  <si>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</si>
  <si>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</si>
  <si>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</si>
  <si>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</si>
  <si>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</si>
  <si>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</si>
  <si>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</si>
  <si>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</si>
  <si>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</si>
  <si>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</si>
  <si>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</si>
  <si>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</si>
  <si>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</si>
  <si>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</si>
  <si>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</si>
  <si>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</si>
  <si>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</si>
  <si>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</si>
  <si>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</si>
  <si>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</si>
  <si>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</si>
  <si>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</si>
  <si>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</si>
  <si>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</si>
  <si>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</si>
  <si>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</si>
  <si>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</si>
  <si>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</si>
  <si>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</si>
  <si>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</si>
  <si>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</si>
  <si>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</si>
  <si>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</si>
  <si>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</si>
  <si>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</si>
  <si>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</si>
  <si>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</si>
  <si>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</si>
  <si>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</si>
  <si>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</si>
  <si>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</si>
  <si>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</si>
  <si>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</si>
  <si>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</si>
  <si>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</si>
  <si>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</si>
  <si>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</si>
  <si>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</si>
  <si>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</si>
  <si>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</si>
  <si>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</si>
  <si>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</si>
  <si>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</si>
  <si>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</si>
  <si>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</si>
  <si>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</si>
  <si>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</si>
  <si>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</si>
  <si>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</si>
  <si>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</si>
  <si>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</si>
  <si>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</si>
  <si>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</si>
  <si>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</si>
  <si>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</si>
  <si>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</si>
  <si>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</si>
  <si>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</si>
  <si>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</si>
  <si>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</si>
  <si>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</si>
  <si>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</si>
  <si>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</si>
  <si>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</si>
  <si>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</si>
  <si>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</si>
  <si>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</si>
  <si>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</si>
  <si>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</si>
  <si>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</si>
  <si>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</si>
  <si>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</si>
  <si>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</si>
  <si>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</si>
  <si>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</si>
  <si>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</si>
  <si>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</si>
  <si>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</si>
  <si>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</si>
  <si>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</si>
  <si>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</si>
  <si>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</si>
  <si>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</si>
  <si>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</si>
  <si>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</si>
  <si>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</si>
  <si>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</si>
  <si>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</si>
  <si>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</si>
  <si>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</si>
  <si>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</si>
  <si>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</si>
  <si>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</si>
  <si>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</si>
  <si>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</si>
  <si>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</si>
  <si>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</si>
  <si>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</si>
  <si>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</si>
  <si>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</si>
  <si>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</si>
  <si>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</si>
  <si>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</si>
  <si>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</si>
  <si>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</si>
  <si>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</si>
  <si>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</si>
  <si>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</si>
  <si>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</si>
  <si>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</si>
  <si>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</si>
  <si>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</si>
  <si>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</si>
  <si>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</si>
  <si>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</si>
  <si>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</si>
  <si>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</si>
  <si>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</si>
  <si>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</si>
  <si>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</si>
  <si>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</si>
  <si>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</si>
  <si>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</si>
  <si>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</si>
  <si>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</si>
  <si>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</si>
  <si>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</si>
  <si>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</si>
  <si>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</si>
  <si>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</si>
  <si>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</si>
  <si>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</si>
  <si>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</si>
  <si>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</si>
  <si>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</si>
  <si>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</si>
  <si>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</si>
  <si>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</si>
  <si>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</si>
  <si>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</si>
  <si>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</si>
  <si>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</si>
  <si>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</si>
  <si>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</si>
  <si>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</si>
  <si>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</si>
  <si>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</si>
  <si>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</si>
  <si>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</si>
  <si>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</si>
  <si>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</si>
  <si>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</si>
  <si>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</si>
  <si>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</si>
  <si>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</si>
  <si>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</si>
  <si>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</si>
  <si>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</si>
  <si>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</si>
  <si>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</si>
  <si>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</si>
  <si>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</si>
  <si>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</si>
  <si>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</si>
  <si>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</si>
  <si>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</si>
  <si>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</si>
  <si>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</si>
  <si>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</si>
  <si>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</si>
  <si>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</si>
  <si>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</si>
  <si>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</si>
  <si>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</si>
  <si>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</si>
  <si>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</si>
  <si>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</si>
  <si>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</si>
  <si>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</si>
  <si>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</si>
  <si>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</si>
  <si>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</si>
  <si>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</si>
  <si>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</si>
  <si>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</si>
  <si>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</si>
  <si>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</si>
  <si>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</si>
  <si>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</si>
  <si>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</si>
  <si>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</si>
  <si>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</si>
  <si>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</si>
  <si>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</si>
  <si>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</si>
  <si>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</si>
  <si>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</si>
  <si>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</si>
  <si>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</si>
  <si>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</si>
  <si>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</si>
  <si>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</si>
  <si>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</si>
  <si>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</si>
  <si>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</si>
  <si>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</si>
  <si>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</si>
  <si>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</si>
  <si>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</si>
  <si>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</si>
  <si>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</si>
  <si>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</si>
  <si>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</si>
  <si>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</si>
  <si>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</si>
  <si>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</si>
  <si>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</si>
  <si>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</si>
  <si>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</si>
  <si>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</si>
  <si>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</si>
  <si>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</si>
  <si>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</si>
  <si>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</si>
  <si>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</si>
  <si>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</si>
  <si>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</si>
  <si>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</si>
  <si>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</si>
  <si>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</si>
  <si>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</si>
  <si>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</si>
  <si>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</si>
  <si>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</si>
  <si>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</si>
  <si>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</si>
  <si>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</si>
  <si>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</si>
  <si>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</si>
  <si>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</si>
  <si>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</si>
  <si>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</si>
  <si>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</si>
  <si>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</si>
  <si>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</si>
  <si>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</si>
  <si>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</si>
  <si>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</si>
  <si>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</si>
  <si>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</si>
  <si>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</si>
  <si>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</si>
  <si>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</si>
  <si>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</si>
  <si>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</si>
  <si>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</si>
  <si>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</si>
  <si>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</si>
  <si>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</si>
  <si>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</si>
  <si>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</si>
  <si>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</si>
  <si>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</si>
  <si>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</si>
  <si>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</si>
  <si>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</si>
  <si>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</si>
  <si>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</si>
  <si>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</si>
  <si>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</si>
  <si>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</si>
  <si>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</si>
  <si>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</si>
  <si>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</si>
  <si>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</si>
  <si>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</si>
  <si>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</si>
  <si>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</si>
  <si>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</si>
  <si>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</si>
  <si>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</si>
  <si>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</si>
  <si>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</si>
  <si>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</si>
  <si>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</si>
  <si>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</si>
  <si>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</si>
  <si>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</si>
  <si>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</si>
  <si>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</si>
  <si>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</si>
  <si>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</si>
  <si>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</si>
  <si>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</si>
  <si>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</si>
  <si>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</si>
  <si>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</si>
  <si>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</si>
  <si>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</si>
  <si>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</si>
  <si>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</si>
  <si>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</si>
  <si>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</si>
  <si>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</si>
  <si>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</si>
  <si>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</si>
  <si>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</si>
  <si>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</si>
  <si>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</si>
  <si>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</si>
  <si>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</si>
  <si>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</si>
  <si>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</si>
  <si>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</si>
  <si>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</si>
  <si>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</si>
  <si>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</si>
  <si>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</si>
  <si>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</si>
  <si>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</si>
  <si>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</si>
  <si>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</si>
  <si>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</si>
  <si>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</si>
  <si>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</si>
  <si>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</si>
  <si>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</si>
  <si>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</si>
  <si>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</si>
  <si>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</si>
  <si>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</si>
  <si>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</si>
  <si>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</si>
  <si>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</si>
  <si>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</si>
  <si>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</si>
  <si>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</si>
  <si>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</si>
  <si>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</si>
  <si>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</si>
  <si>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</si>
  <si>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</si>
  <si>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</si>
  <si>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</si>
  <si>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</si>
  <si>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</si>
  <si>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</si>
  <si>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</si>
  <si>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</si>
  <si>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</si>
  <si>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</si>
  <si>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</si>
  <si>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</si>
  <si>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</si>
  <si>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</si>
  <si>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</si>
  <si>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</si>
  <si>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</si>
  <si>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</si>
  <si>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</si>
  <si>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</si>
  <si>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</si>
  <si>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</si>
  <si>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</si>
  <si>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</si>
  <si>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</si>
  <si>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</si>
  <si>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</si>
  <si>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</si>
  <si>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</si>
  <si>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</si>
  <si>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</si>
  <si>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</si>
  <si>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</si>
  <si>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</si>
  <si>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</si>
  <si>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</si>
  <si>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</si>
  <si>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</si>
  <si>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</si>
  <si>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</si>
  <si>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</si>
  <si>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</si>
  <si>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</si>
  <si>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</si>
  <si>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</si>
  <si>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</si>
  <si>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</si>
  <si>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</si>
  <si>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</si>
  <si>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</si>
  <si>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</si>
  <si>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</si>
  <si>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</si>
  <si>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</si>
  <si>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</si>
  <si>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</si>
  <si>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</si>
  <si>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</si>
  <si>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</si>
  <si>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</si>
  <si>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</si>
  <si>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</si>
  <si>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</si>
  <si>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</si>
  <si>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</si>
  <si>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</si>
  <si>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</si>
  <si>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</si>
  <si>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</si>
  <si>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</si>
  <si>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</si>
  <si>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</si>
  <si>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</si>
  <si>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</si>
  <si>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</si>
  <si>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</si>
  <si>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</si>
  <si>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</si>
  <si>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</si>
  <si>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</si>
  <si>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</si>
  <si>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</si>
  <si>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</si>
  <si>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</si>
  <si>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</si>
  <si>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</si>
  <si>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</si>
  <si>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</si>
  <si>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</si>
  <si>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</si>
  <si>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</si>
  <si>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</si>
  <si>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</si>
  <si>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</si>
  <si>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</si>
  <si>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</si>
  <si>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</si>
  <si>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</si>
  <si>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</si>
  <si>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</si>
  <si>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</si>
  <si>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</si>
  <si>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</si>
  <si>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</si>
  <si>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</si>
  <si>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</si>
  <si>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</si>
  <si>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</si>
  <si>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</si>
  <si>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</si>
  <si>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</si>
  <si>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</si>
  <si>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</si>
  <si>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</si>
  <si>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</si>
  <si>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</si>
  <si>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</si>
  <si>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</si>
  <si>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</si>
  <si>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</si>
  <si>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</si>
  <si>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</si>
  <si>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</si>
  <si>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</si>
  <si>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</si>
  <si>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</si>
  <si>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</si>
  <si>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</si>
  <si>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</si>
  <si>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</si>
  <si>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</si>
  <si>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</si>
  <si>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</si>
  <si>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</si>
  <si>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</si>
  <si>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</si>
  <si>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</si>
  <si>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</si>
  <si>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</si>
  <si>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</si>
  <si>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</si>
  <si>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</si>
  <si>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</si>
  <si>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</si>
  <si>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</si>
  <si>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</si>
  <si>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</si>
  <si>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</si>
  <si>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</si>
  <si>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</si>
  <si>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</si>
  <si>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</si>
  <si>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</si>
  <si>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</si>
  <si>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</si>
  <si>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</si>
  <si>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</si>
  <si>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</si>
  <si>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</si>
  <si>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</si>
  <si>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</si>
  <si>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</si>
  <si>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</si>
  <si>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</si>
  <si>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</si>
  <si>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</si>
  <si>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</si>
  <si>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</si>
  <si>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</si>
  <si>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</si>
  <si>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</si>
  <si>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</si>
  <si>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</si>
  <si>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</si>
  <si>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</si>
  <si>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</si>
  <si>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</si>
  <si>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</si>
  <si>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</si>
  <si>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</si>
  <si>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</si>
  <si>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</si>
  <si>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</si>
  <si>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</si>
  <si>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</si>
  <si>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</si>
  <si>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</si>
  <si>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</si>
  <si>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</si>
  <si>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</si>
  <si>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</si>
  <si>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</si>
  <si>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</si>
  <si>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</si>
  <si>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</si>
  <si>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</si>
  <si>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</si>
  <si>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</si>
  <si>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</si>
  <si>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</si>
  <si>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</si>
  <si>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</si>
  <si>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</si>
  <si>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</si>
  <si>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</si>
  <si>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</si>
  <si>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</si>
  <si>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</si>
  <si>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</si>
  <si>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</si>
  <si>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</si>
  <si>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</si>
  <si>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</si>
  <si>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</si>
  <si>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</si>
  <si>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</si>
  <si>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</si>
  <si>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</si>
  <si>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</si>
  <si>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</si>
  <si>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</si>
  <si>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</si>
  <si>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</si>
  <si>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</si>
  <si>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</si>
  <si>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</si>
  <si>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</si>
  <si>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</si>
  <si>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</si>
  <si>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</si>
  <si>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</si>
  <si>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</si>
  <si>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</si>
  <si>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</si>
  <si>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</si>
  <si>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</si>
  <si>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</si>
  <si>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</si>
  <si>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</si>
  <si>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</si>
  <si>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</si>
  <si>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</si>
  <si>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</si>
  <si>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</si>
  <si>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</si>
  <si>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</si>
  <si>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</si>
  <si>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</si>
  <si>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</si>
  <si>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</si>
  <si>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</si>
  <si>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</si>
  <si>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</si>
  <si>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</si>
  <si>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</si>
  <si>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</si>
  <si>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</si>
  <si>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</si>
  <si>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</si>
  <si>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</si>
  <si>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</si>
  <si>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</si>
  <si>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</si>
  <si>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</si>
  <si>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</si>
  <si>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</si>
  <si>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</si>
  <si>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</si>
  <si>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</si>
  <si>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</si>
  <si>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</si>
  <si>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</si>
  <si>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</si>
  <si>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</si>
  <si>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</si>
  <si>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</si>
  <si>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</si>
  <si>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</si>
  <si>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</si>
  <si>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</si>
  <si>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</si>
  <si>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</si>
  <si>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</si>
  <si>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</si>
  <si>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</si>
  <si>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</si>
  <si>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</si>
  <si>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</si>
  <si>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</si>
  <si>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</si>
  <si>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</si>
  <si>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</si>
  <si>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</si>
  <si>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</si>
  <si>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</si>
  <si>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</si>
  <si>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</si>
  <si>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</si>
  <si>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</si>
  <si>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</si>
  <si>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</si>
  <si>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</si>
  <si>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</si>
  <si>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</si>
  <si>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</si>
  <si>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</si>
  <si>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</si>
  <si>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</si>
  <si>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</si>
  <si>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</si>
  <si>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</si>
  <si>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</si>
  <si>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</si>
  <si>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</si>
  <si>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</si>
  <si>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</si>
  <si>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</si>
  <si>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</si>
  <si>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</si>
  <si>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</si>
  <si>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</si>
  <si>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</si>
  <si>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</si>
  <si>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</si>
  <si>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</si>
  <si>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</si>
  <si>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</si>
  <si>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</si>
  <si>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</si>
  <si>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</si>
  <si>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</si>
  <si>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</si>
  <si>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</si>
  <si>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</si>
  <si>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</si>
  <si>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</si>
  <si>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</si>
  <si>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</si>
  <si>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</si>
  <si>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</si>
  <si>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</si>
  <si>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</si>
  <si>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</si>
  <si>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</si>
  <si>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</si>
  <si>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</si>
  <si>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</si>
  <si>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</si>
  <si>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</si>
  <si>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</si>
  <si>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</si>
  <si>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</si>
  <si>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</si>
  <si>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</si>
  <si>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</si>
  <si>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</si>
  <si>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</si>
  <si>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</si>
  <si>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</si>
  <si>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</si>
  <si>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</si>
  <si>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</si>
  <si>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</si>
  <si>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</si>
  <si>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</si>
  <si>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</si>
  <si>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</si>
  <si>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</si>
  <si>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</si>
  <si>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</si>
  <si>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</si>
  <si>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</si>
  <si>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</si>
  <si>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</si>
  <si>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</si>
  <si>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</si>
  <si>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</si>
  <si>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</si>
  <si>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</si>
  <si>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</si>
  <si>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</si>
  <si>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</si>
  <si>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</si>
  <si>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</si>
  <si>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</si>
  <si>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</si>
  <si>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</si>
  <si>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</si>
  <si>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</si>
  <si>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</si>
  <si>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</si>
  <si>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</si>
  <si>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</si>
  <si>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</si>
  <si>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</si>
  <si>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</si>
  <si>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</si>
  <si>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</si>
  <si>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</si>
  <si>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</si>
  <si>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</si>
  <si>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</si>
  <si>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</si>
  <si>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</si>
  <si>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</si>
  <si>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</si>
  <si>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</si>
  <si>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</si>
  <si>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</si>
  <si>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</si>
  <si>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</si>
  <si>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</si>
  <si>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</si>
  <si>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</si>
  <si>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</si>
  <si>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</si>
  <si>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</si>
  <si>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</si>
  <si>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</si>
  <si>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</si>
  <si>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</si>
  <si>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</si>
  <si>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</si>
  <si>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</si>
  <si>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</si>
  <si>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</si>
  <si>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</si>
  <si>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</si>
  <si>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</si>
  <si>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</si>
  <si>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</si>
  <si>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</si>
  <si>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</si>
  <si>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</si>
  <si>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</si>
  <si>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</si>
  <si>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</si>
  <si>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</si>
  <si>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</si>
  <si>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</si>
  <si>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</si>
  <si>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</si>
  <si>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</si>
  <si>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</si>
  <si>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</si>
  <si>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</si>
  <si>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</si>
  <si>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</si>
  <si>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</si>
  <si>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</si>
  <si>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</si>
  <si>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</si>
  <si>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</si>
  <si>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</si>
  <si>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</si>
  <si>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</si>
  <si>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</si>
  <si>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</si>
  <si>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</si>
  <si>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</si>
  <si>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</si>
  <si>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</si>
  <si>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</si>
  <si>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</si>
  <si>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</si>
  <si>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</si>
  <si>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</si>
  <si>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</si>
  <si>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</si>
  <si>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</si>
  <si>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</si>
  <si>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</si>
  <si>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</si>
  <si>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</si>
  <si>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</si>
  <si>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</si>
  <si>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</si>
  <si>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</si>
  <si>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</si>
  <si>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</si>
  <si>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</si>
  <si>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</si>
  <si>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</si>
  <si>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</si>
  <si>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</si>
  <si>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</si>
  <si>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</si>
  <si>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</si>
  <si>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</si>
  <si>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</si>
  <si>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</si>
  <si>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</si>
  <si>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</si>
  <si>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</si>
  <si>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</si>
  <si>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</si>
  <si>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</si>
  <si>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</si>
  <si>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</si>
  <si>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</si>
  <si>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</si>
  <si>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</si>
  <si>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</si>
  <si>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</si>
  <si>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</si>
  <si>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</si>
  <si>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</si>
  <si>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</si>
  <si>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</si>
  <si>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</si>
  <si>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</si>
  <si>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</si>
  <si>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</si>
  <si>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</si>
  <si>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</si>
  <si>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</si>
  <si>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</si>
  <si>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</si>
  <si>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</si>
  <si>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</si>
  <si>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</si>
  <si>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</si>
  <si>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</si>
  <si>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</si>
  <si>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</si>
  <si>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</si>
  <si>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</si>
  <si>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</si>
  <si>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</si>
  <si>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</si>
  <si>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</si>
  <si>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</si>
  <si>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</si>
  <si>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</si>
  <si>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</si>
  <si>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</si>
  <si>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</si>
  <si>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</si>
  <si>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</si>
  <si>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</si>
  <si>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</si>
  <si>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</si>
  <si>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</si>
  <si>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</si>
  <si>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</si>
  <si>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</si>
  <si>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</si>
  <si>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</si>
  <si>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</si>
  <si>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</si>
  <si>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</si>
  <si>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</si>
  <si>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</si>
  <si>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</si>
  <si>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</si>
  <si>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</si>
  <si>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</si>
  <si>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</si>
  <si>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</si>
  <si>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</si>
  <si>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</si>
  <si>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</si>
  <si>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</si>
  <si>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</si>
  <si>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</si>
  <si>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</si>
  <si>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</si>
  <si>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</si>
  <si>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</si>
  <si>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</si>
  <si>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</si>
  <si>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</si>
  <si>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</si>
  <si>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</si>
  <si>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</si>
  <si>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</si>
  <si>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</si>
  <si>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</si>
  <si>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</si>
  <si>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</si>
  <si>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</si>
  <si>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</si>
  <si>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</si>
  <si>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</si>
  <si>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</si>
  <si>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</si>
  <si>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</si>
  <si>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</si>
  <si>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</si>
  <si>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</si>
  <si>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</si>
  <si>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</si>
  <si>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</si>
  <si>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</si>
  <si>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</si>
  <si>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</si>
  <si>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</si>
  <si>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</si>
  <si>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</si>
  <si>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</si>
  <si>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</si>
  <si>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</si>
  <si>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</si>
  <si>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</si>
  <si>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</si>
  <si>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</si>
  <si>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</si>
  <si>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</si>
  <si>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</si>
  <si>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</si>
  <si>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</si>
  <si>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</si>
  <si>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</si>
  <si>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</si>
  <si>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</si>
  <si>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</si>
  <si>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</si>
  <si>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</si>
  <si>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</si>
  <si>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</si>
  <si>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</si>
  <si>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</si>
  <si>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</si>
  <si>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</si>
  <si>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</si>
  <si>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</si>
  <si>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</si>
  <si>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</si>
  <si>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</si>
  <si>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</si>
  <si>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</si>
  <si>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</si>
  <si>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</si>
  <si>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</si>
  <si>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</si>
  <si>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</si>
  <si>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</si>
  <si>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</si>
  <si>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</si>
  <si>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</si>
  <si>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</si>
  <si>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</si>
  <si>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</si>
  <si>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</si>
  <si>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</si>
  <si>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</si>
  <si>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</si>
  <si>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</si>
  <si>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</si>
  <si>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</si>
  <si>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</si>
  <si>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</si>
  <si>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</si>
  <si>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</si>
  <si>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</si>
  <si>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</si>
  <si>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</si>
  <si>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</si>
  <si>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</si>
  <si>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</si>
  <si>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</si>
  <si>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</si>
  <si>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</si>
  <si>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</si>
  <si>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</si>
  <si>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</si>
  <si>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</si>
  <si>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</si>
  <si>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</si>
  <si>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</si>
  <si>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</si>
  <si>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</si>
  <si>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</si>
  <si>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</si>
  <si>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</si>
  <si>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</si>
  <si>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</si>
  <si>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</si>
  <si>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</si>
  <si>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</si>
  <si>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</si>
  <si>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</si>
  <si>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</si>
  <si>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</si>
  <si>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</si>
  <si>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</si>
  <si>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</si>
  <si>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</si>
  <si>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</si>
  <si>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</si>
  <si>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</si>
  <si>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</si>
  <si>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</si>
  <si>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</si>
  <si>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</si>
  <si>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</si>
  <si>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</si>
  <si>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</si>
  <si>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</si>
  <si>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</si>
  <si>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</si>
  <si>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</si>
  <si>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</si>
  <si>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</si>
  <si>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</si>
  <si>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</si>
  <si>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</si>
  <si>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</si>
  <si>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</si>
  <si>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</si>
  <si>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</si>
  <si>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</si>
  <si>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</si>
  <si>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</si>
  <si>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</si>
  <si>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</si>
  <si>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</si>
  <si>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</si>
  <si>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</si>
  <si>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</si>
  <si>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</si>
  <si>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</si>
  <si>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</si>
  <si>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</si>
  <si>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</si>
  <si>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</si>
  <si>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</si>
  <si>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</si>
  <si>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</si>
  <si>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</si>
  <si>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</si>
  <si>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</si>
  <si>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</si>
  <si>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</si>
  <si>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</si>
  <si>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</si>
  <si>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</si>
  <si>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</si>
  <si>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</si>
  <si>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</si>
  <si>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</si>
  <si>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</si>
  <si>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</si>
  <si>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</si>
  <si>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</si>
  <si>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</si>
  <si>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</si>
  <si>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</si>
  <si>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</si>
  <si>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</si>
  <si>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</si>
  <si>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</si>
  <si>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</si>
  <si>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</si>
  <si>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</si>
  <si>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</si>
  <si>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</si>
  <si>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</si>
  <si>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</si>
  <si>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</si>
  <si>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</si>
  <si>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</si>
  <si>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</si>
  <si>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</si>
  <si>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</si>
  <si>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</si>
  <si>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</si>
  <si>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</si>
  <si>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</si>
  <si>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</si>
  <si>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</si>
  <si>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</si>
  <si>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</si>
  <si>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</si>
  <si>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</si>
  <si>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</si>
  <si>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</si>
  <si>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</si>
  <si>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</si>
  <si>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</si>
  <si>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</si>
  <si>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</si>
  <si>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</si>
  <si>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</si>
  <si>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</si>
  <si>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</si>
  <si>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</si>
  <si>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</si>
  <si>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</si>
  <si>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</si>
  <si>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</si>
  <si>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</si>
  <si>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</si>
  <si>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</si>
  <si>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</si>
  <si>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</si>
  <si>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</si>
  <si>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</si>
  <si>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</si>
  <si>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</si>
  <si>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</si>
  <si>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</si>
  <si>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</si>
  <si>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</si>
  <si>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</si>
  <si>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</si>
  <si>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</si>
  <si>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</si>
  <si>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</si>
  <si>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</si>
  <si>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</si>
  <si>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</si>
  <si>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</si>
  <si>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</si>
  <si>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</si>
  <si>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</si>
  <si>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</si>
  <si>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</si>
  <si>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</si>
  <si>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</si>
  <si>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</si>
  <si>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</si>
  <si>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</si>
  <si>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</si>
  <si>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</si>
  <si>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</si>
  <si>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</si>
  <si>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</si>
  <si>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</si>
  <si>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</si>
  <si>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</si>
  <si>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</si>
  <si>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</si>
  <si>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</si>
  <si>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</si>
  <si>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</si>
  <si>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</si>
  <si>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</si>
  <si>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</si>
  <si>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</si>
  <si>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</si>
  <si>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</si>
  <si>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</si>
  <si>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</si>
  <si>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</si>
  <si>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</si>
  <si>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</si>
  <si>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</si>
  <si>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</si>
  <si>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</si>
  <si>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</si>
  <si>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</si>
  <si>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</si>
  <si>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</si>
  <si>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</si>
  <si>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</si>
  <si>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</si>
  <si>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</si>
  <si>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</si>
  <si>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</si>
  <si>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</si>
  <si>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</si>
  <si>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</si>
  <si>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</si>
  <si>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</si>
  <si>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</si>
  <si>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</si>
  <si>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</si>
  <si>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</si>
  <si>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</si>
  <si>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</si>
  <si>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</si>
  <si>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</si>
  <si>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</si>
  <si>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</si>
  <si>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</si>
  <si>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</si>
  <si>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</si>
  <si>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</si>
  <si>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</si>
  <si>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</si>
  <si>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</si>
  <si>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</si>
  <si>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</si>
  <si>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</si>
  <si>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</si>
  <si>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</si>
  <si>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</si>
  <si>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</si>
  <si>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</si>
  <si>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</si>
  <si>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</si>
  <si>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</si>
  <si>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</si>
  <si>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</si>
  <si>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</si>
  <si>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</si>
  <si>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</si>
  <si>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</si>
  <si>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</si>
  <si>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</si>
  <si>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</si>
  <si>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</si>
  <si>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</si>
  <si>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</si>
  <si>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</si>
  <si>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</si>
  <si>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</si>
  <si>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</si>
  <si>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</si>
  <si>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</si>
  <si>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</si>
  <si>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</si>
  <si>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</si>
  <si>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</si>
  <si>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</si>
  <si>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</si>
  <si>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</si>
  <si>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</si>
  <si>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</si>
  <si>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</si>
  <si>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</si>
  <si>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</si>
  <si>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</si>
  <si>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</si>
  <si>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</si>
  <si>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</si>
  <si>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</si>
  <si>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</si>
  <si>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</si>
  <si>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</si>
  <si>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</si>
  <si>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</si>
  <si>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</si>
  <si>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</si>
  <si>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</si>
  <si>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</si>
  <si>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</si>
  <si>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</si>
  <si>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</si>
  <si>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</si>
  <si>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</si>
  <si>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</si>
  <si>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</si>
  <si>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</si>
  <si>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</si>
  <si>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</si>
  <si>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</si>
  <si>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</si>
  <si>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</si>
  <si>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</si>
  <si>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</si>
  <si>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</si>
  <si>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</si>
  <si>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</si>
  <si>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</si>
  <si>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</si>
  <si>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</si>
  <si>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</si>
  <si>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</si>
  <si>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</si>
  <si>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</si>
  <si>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</si>
  <si>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</si>
  <si>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</si>
  <si>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</si>
  <si>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</si>
  <si>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</si>
  <si>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</si>
  <si>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</si>
  <si>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</si>
  <si>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</si>
  <si>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</si>
  <si>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</si>
  <si>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</si>
  <si>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</si>
  <si>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</si>
  <si>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</si>
  <si>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</si>
  <si>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</si>
  <si>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</si>
  <si>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</si>
  <si>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</si>
  <si>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</si>
  <si>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</si>
  <si>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</si>
  <si>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</si>
  <si>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</si>
  <si>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</si>
  <si>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</si>
  <si>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</si>
  <si>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</si>
  <si>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</si>
  <si>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</si>
  <si>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</si>
  <si>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</si>
  <si>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</si>
  <si>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</si>
  <si>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</si>
  <si>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</si>
  <si>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</si>
  <si>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</si>
  <si>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</si>
  <si>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</si>
  <si>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</si>
  <si>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</si>
  <si>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</si>
  <si>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</si>
  <si>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</si>
  <si>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</si>
  <si>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</si>
  <si>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</si>
  <si>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</si>
  <si>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</si>
  <si>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</si>
  <si>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</si>
  <si>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</si>
  <si>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</si>
  <si>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</si>
  <si>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</si>
  <si>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</si>
  <si>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</si>
  <si>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</si>
  <si>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</si>
  <si>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</si>
  <si>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</si>
  <si>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</si>
  <si>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</si>
  <si>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</si>
  <si>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</si>
  <si>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</si>
  <si>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</si>
  <si>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</si>
  <si>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</si>
  <si>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</si>
  <si>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</si>
  <si>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</si>
  <si>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</si>
  <si>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</si>
  <si>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</si>
  <si>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</si>
  <si>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</si>
  <si>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</si>
  <si>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</si>
  <si>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</si>
  <si>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</si>
  <si>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</si>
  <si>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</si>
  <si>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</si>
  <si>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</si>
  <si>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</si>
  <si>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</si>
  <si>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</si>
  <si>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</si>
  <si>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</si>
  <si>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</si>
  <si>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</si>
  <si>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</si>
  <si>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</si>
  <si>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</si>
  <si>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</si>
  <si>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</si>
  <si>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</si>
  <si>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</si>
  <si>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</si>
  <si>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</si>
  <si>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</si>
  <si>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</si>
  <si>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</si>
  <si>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</si>
  <si>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</si>
  <si>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</si>
  <si>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</si>
  <si>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</si>
  <si>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</si>
  <si>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</si>
  <si>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</si>
  <si>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</si>
  <si>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</si>
  <si>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</si>
  <si>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</si>
  <si>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</si>
  <si>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</si>
  <si>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</si>
  <si>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</si>
  <si>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</si>
  <si>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</si>
  <si>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</si>
  <si>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</si>
  <si>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</si>
  <si>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</si>
  <si>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</si>
  <si>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</si>
  <si>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</si>
  <si>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</si>
  <si>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</si>
  <si>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</si>
  <si>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</si>
  <si>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</si>
  <si>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</si>
  <si>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</si>
  <si>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</si>
  <si>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</si>
  <si>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</si>
  <si>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</si>
  <si>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</si>
  <si>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</si>
  <si>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</si>
  <si>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</si>
  <si>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</si>
  <si>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</si>
  <si>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</si>
  <si>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</si>
  <si>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</si>
  <si>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</si>
  <si>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</si>
  <si>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</si>
  <si>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</si>
  <si>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</si>
  <si>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</si>
  <si>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</si>
  <si>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</si>
  <si>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</si>
  <si>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</si>
  <si>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</si>
  <si>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</si>
  <si>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</si>
  <si>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</si>
  <si>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</si>
  <si>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</si>
  <si>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</si>
  <si>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</si>
  <si>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</si>
  <si>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</si>
  <si>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</si>
  <si>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</si>
  <si>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</si>
  <si>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</si>
  <si>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</si>
  <si>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</si>
  <si>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</si>
  <si>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</si>
  <si>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</si>
  <si>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</si>
  <si>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</si>
  <si>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</si>
  <si>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</si>
  <si>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</si>
  <si>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</si>
  <si>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</si>
  <si>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</si>
  <si>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</si>
  <si>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</si>
  <si>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</si>
  <si>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</si>
  <si>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</si>
  <si>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</si>
  <si>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</si>
  <si>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</si>
  <si>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</si>
  <si>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</si>
  <si>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</si>
  <si>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</si>
  <si>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</si>
  <si>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</si>
  <si>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</si>
  <si>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</si>
  <si>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</si>
  <si>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</si>
  <si>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</si>
  <si>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</si>
  <si>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</si>
  <si>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</si>
  <si>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</si>
  <si>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</si>
  <si>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</si>
  <si>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</si>
  <si>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</si>
  <si>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</si>
  <si>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</si>
  <si>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</si>
  <si>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</si>
  <si>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</si>
  <si>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</si>
  <si>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</si>
  <si>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</si>
  <si>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</si>
  <si>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</si>
  <si>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</si>
  <si>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</si>
  <si>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</si>
  <si>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</si>
  <si>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</si>
  <si>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</si>
  <si>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</si>
  <si>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</si>
  <si>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</si>
  <si>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</si>
  <si>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</si>
  <si>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</si>
  <si>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</si>
  <si>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</si>
  <si>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</si>
  <si>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</si>
  <si>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</si>
  <si>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</si>
  <si>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</si>
  <si>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</si>
  <si>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</si>
  <si>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</si>
  <si>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</si>
  <si>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</si>
  <si>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</si>
  <si>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</si>
  <si>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</si>
  <si>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</si>
  <si>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</si>
  <si>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</si>
  <si>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</si>
  <si>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</si>
  <si>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</si>
  <si>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</si>
  <si>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</si>
  <si>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</si>
  <si>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</si>
  <si>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</si>
  <si>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</si>
  <si>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</si>
  <si>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</si>
  <si>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</si>
  <si>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</si>
  <si>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</si>
  <si>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</si>
  <si>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</si>
  <si>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</si>
  <si>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</si>
  <si>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</si>
  <si>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</si>
  <si>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</si>
  <si>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</si>
  <si>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</si>
  <si>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</si>
  <si>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</si>
  <si>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</si>
  <si>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</si>
  <si>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</si>
  <si>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</si>
  <si>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</si>
  <si>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</si>
  <si>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</si>
  <si>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</si>
  <si>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</si>
  <si>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</si>
  <si>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</si>
  <si>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</si>
  <si>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</si>
  <si>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</si>
  <si>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</si>
  <si>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</si>
  <si>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</si>
  <si>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</si>
  <si>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</si>
  <si>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</si>
  <si>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</si>
  <si>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</si>
  <si>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</si>
  <si>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</si>
  <si>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</si>
  <si>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</si>
  <si>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</si>
  <si>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</si>
  <si>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</si>
  <si>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</si>
  <si>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</si>
  <si>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</si>
  <si>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</si>
  <si>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</si>
  <si>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</si>
  <si>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</si>
  <si>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</si>
  <si>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</si>
  <si>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</si>
  <si>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</si>
  <si>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</si>
  <si>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</si>
  <si>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</si>
  <si>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</si>
  <si>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</si>
  <si>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</si>
  <si>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</si>
  <si>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</si>
  <si>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</si>
  <si>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</si>
  <si>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</si>
  <si>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</si>
  <si>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</si>
  <si>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</si>
  <si>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</si>
  <si>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</si>
  <si>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</si>
  <si>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</si>
  <si>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</si>
  <si>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</si>
  <si>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</si>
  <si>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</si>
  <si>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</si>
  <si>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</si>
  <si>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</si>
  <si>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</si>
  <si>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</si>
  <si>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</si>
  <si>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</si>
  <si>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</si>
  <si>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</si>
  <si>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</si>
  <si>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</si>
  <si>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</si>
  <si>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</si>
  <si>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</si>
  <si>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</si>
  <si>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</si>
  <si>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</si>
  <si>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</si>
  <si>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</si>
  <si>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</si>
  <si>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</si>
  <si>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</si>
  <si>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</si>
  <si>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</si>
  <si>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</si>
  <si>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</si>
  <si>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</si>
  <si>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</si>
  <si>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</si>
  <si>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</si>
  <si>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</si>
  <si>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</si>
  <si>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</si>
  <si>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</si>
  <si>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</si>
  <si>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</si>
  <si>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</si>
  <si>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</si>
  <si>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</si>
  <si>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</si>
  <si>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</si>
  <si>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</si>
  <si>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</si>
  <si>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</si>
  <si>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</si>
  <si>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</si>
  <si>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</si>
  <si>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</si>
  <si>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</si>
  <si>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</si>
  <si>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</si>
  <si>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</si>
  <si>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</si>
  <si>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</si>
  <si>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</si>
  <si>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</si>
  <si>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</si>
  <si>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</si>
  <si>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</si>
  <si>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</si>
  <si>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</si>
  <si>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</si>
  <si>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</si>
  <si>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</si>
  <si>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</si>
  <si>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</si>
  <si>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</si>
  <si>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</si>
  <si>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</si>
  <si>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</si>
  <si>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</si>
  <si>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</si>
  <si>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</si>
  <si>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</si>
  <si>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</si>
  <si>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</si>
  <si>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</si>
  <si>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</si>
  <si>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</si>
  <si>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</si>
  <si>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</si>
  <si>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</si>
  <si>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</si>
  <si>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</si>
  <si>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</si>
  <si>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</si>
  <si>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</si>
  <si>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</si>
  <si>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</si>
  <si>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</si>
  <si>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</si>
  <si>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</si>
  <si>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</si>
  <si>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</si>
  <si>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</si>
  <si>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</si>
  <si>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</si>
  <si>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</si>
  <si>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</si>
  <si>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</si>
  <si>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</si>
  <si>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</si>
  <si>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</si>
  <si>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</si>
  <si>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</si>
  <si>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</si>
  <si>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</si>
  <si>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</si>
  <si>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</si>
  <si>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</si>
  <si>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</si>
  <si>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</si>
  <si>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</si>
  <si>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</si>
  <si>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</si>
  <si>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</si>
  <si>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</si>
  <si>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</si>
  <si>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</si>
  <si>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</si>
  <si>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</si>
  <si>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</si>
  <si>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</si>
  <si>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</si>
  <si>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</si>
  <si>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</si>
  <si>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</si>
  <si>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</si>
  <si>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</si>
  <si>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</si>
  <si>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</si>
  <si>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</si>
  <si>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</si>
  <si>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</si>
  <si>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</si>
  <si>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</si>
  <si>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</si>
  <si>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</si>
  <si>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</si>
  <si>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</si>
  <si>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</si>
  <si>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</si>
  <si>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</si>
  <si>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</si>
  <si>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</si>
  <si>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</si>
  <si>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</si>
  <si>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</si>
  <si>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</si>
  <si>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</si>
  <si>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</si>
  <si>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</si>
  <si>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</si>
  <si>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</si>
  <si>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</si>
  <si>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</si>
  <si>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</si>
  <si>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</si>
  <si>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</si>
  <si>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</si>
  <si>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</si>
  <si>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</si>
  <si>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</si>
  <si>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</si>
  <si>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</si>
  <si>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</si>
  <si>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</si>
  <si>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</si>
  <si>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</si>
  <si>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</si>
  <si>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</si>
  <si>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</si>
  <si>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</si>
  <si>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</si>
  <si>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</si>
  <si>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</si>
  <si>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</si>
  <si>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</si>
  <si>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</si>
  <si>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</si>
  <si>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</si>
  <si>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</si>
  <si>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</si>
  <si>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</si>
  <si>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</si>
  <si>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</si>
  <si>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</si>
  <si>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</si>
  <si>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</si>
  <si>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</si>
  <si>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</si>
  <si>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</si>
  <si>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</si>
  <si>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</si>
  <si>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</si>
  <si>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</si>
  <si>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</si>
  <si>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</si>
  <si>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</si>
  <si>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</si>
  <si>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</si>
  <si>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</si>
  <si>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</si>
  <si>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</si>
  <si>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</si>
  <si>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</si>
  <si>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</si>
  <si>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</si>
  <si>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</si>
  <si>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</si>
  <si>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</si>
  <si>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</si>
  <si>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</si>
  <si>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</si>
  <si>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</si>
  <si>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</si>
  <si>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</si>
  <si>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</si>
  <si>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</si>
  <si>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</si>
  <si>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</si>
  <si>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</si>
  <si>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</si>
  <si>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</si>
  <si>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</si>
  <si>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</si>
  <si>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</si>
  <si>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</si>
  <si>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</si>
  <si>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</si>
  <si>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</si>
  <si>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</si>
  <si>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</si>
  <si>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</si>
  <si>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</si>
  <si>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</si>
  <si>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</si>
  <si>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</si>
  <si>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</si>
  <si>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</si>
  <si>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</si>
  <si>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</si>
  <si>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</si>
  <si>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</si>
  <si>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</si>
  <si>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</si>
  <si>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</si>
  <si>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</si>
  <si>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</si>
  <si>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</si>
  <si>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</si>
  <si>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</si>
  <si>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</si>
  <si>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</si>
  <si>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</si>
  <si>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</si>
  <si>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</si>
  <si>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</si>
  <si>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</si>
  <si>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</si>
  <si>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</si>
  <si>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</si>
  <si>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</si>
  <si>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</si>
  <si>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</si>
  <si>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</si>
  <si>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</si>
  <si>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</si>
  <si>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</si>
  <si>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</si>
  <si>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</si>
  <si>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</si>
  <si>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</si>
  <si>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</si>
  <si>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</si>
  <si>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</si>
  <si>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</si>
  <si>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</si>
  <si>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</si>
  <si>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</si>
  <si>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</si>
  <si>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</si>
  <si>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</si>
  <si>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</si>
  <si>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</si>
  <si>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</si>
  <si>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</si>
  <si>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</si>
  <si>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</si>
  <si>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</si>
  <si>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</si>
  <si>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</si>
  <si>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</si>
  <si>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</si>
  <si>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</si>
  <si>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</si>
  <si>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</si>
  <si>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</si>
  <si>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</si>
  <si>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</si>
  <si>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</si>
  <si>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</si>
  <si>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</si>
  <si>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</si>
  <si>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</si>
  <si>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</si>
  <si>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</si>
  <si>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</si>
  <si>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</si>
  <si>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</si>
  <si>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</si>
  <si>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</si>
  <si>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</si>
  <si>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</si>
  <si>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</si>
  <si>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</si>
  <si>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</si>
  <si>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</si>
  <si>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</si>
  <si>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</si>
  <si>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</si>
  <si>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</si>
  <si>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</si>
  <si>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</si>
  <si>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</si>
  <si>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</si>
  <si>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</si>
  <si>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</si>
  <si>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</si>
  <si>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</si>
  <si>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</si>
  <si>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</si>
  <si>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</si>
  <si>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</si>
  <si>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</si>
  <si>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</si>
  <si>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</si>
  <si>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</si>
  <si>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</si>
  <si>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</si>
  <si>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</si>
  <si>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</si>
  <si>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</si>
  <si>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</si>
  <si>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</si>
  <si>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</si>
  <si>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</si>
  <si>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</si>
  <si>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</si>
  <si>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</si>
  <si>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</si>
  <si>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</si>
  <si>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</si>
  <si>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</si>
  <si>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</si>
  <si>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</si>
  <si>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</si>
  <si>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</si>
  <si>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</si>
  <si>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</si>
  <si>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</si>
  <si>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</si>
  <si>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</si>
  <si>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</si>
  <si>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</si>
  <si>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</si>
  <si>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</si>
  <si>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</si>
  <si>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</si>
  <si>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</si>
  <si>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</si>
  <si>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</si>
  <si>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</si>
  <si>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</si>
  <si>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</si>
  <si>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</si>
  <si>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</si>
  <si>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</si>
  <si>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</si>
  <si>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</si>
  <si>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</si>
  <si>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</si>
  <si>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</si>
  <si>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</si>
  <si>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</si>
  <si>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</si>
  <si>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</si>
  <si>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</si>
  <si>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</si>
  <si>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</si>
  <si>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</si>
  <si>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</si>
  <si>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</si>
  <si>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</si>
  <si>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</si>
  <si>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</si>
  <si>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</si>
  <si>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</si>
  <si>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</si>
  <si>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</si>
  <si>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</si>
  <si>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</si>
  <si>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</si>
  <si>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</si>
  <si>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</si>
  <si>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</si>
  <si>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</si>
  <si>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</si>
  <si>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</si>
  <si>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</si>
  <si>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</si>
  <si>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</si>
  <si>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</si>
  <si>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</si>
  <si>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</si>
  <si>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</si>
  <si>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</si>
  <si>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</si>
  <si>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</si>
  <si>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</si>
  <si>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</si>
  <si>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</si>
  <si>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</si>
  <si>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</si>
  <si>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</si>
  <si>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</si>
  <si>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</si>
  <si>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</si>
  <si>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</si>
  <si>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</si>
  <si>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</si>
  <si>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</si>
  <si>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</si>
  <si>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</si>
  <si>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</si>
  <si>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</si>
  <si>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</si>
  <si>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</si>
  <si>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</si>
  <si>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</si>
  <si>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</si>
  <si>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</si>
  <si>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</si>
  <si>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</si>
  <si>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</si>
  <si>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</si>
  <si>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</si>
  <si>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</si>
  <si>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</si>
  <si>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</si>
  <si>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</si>
  <si>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</si>
  <si>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</si>
  <si>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</si>
  <si>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</si>
  <si>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</si>
  <si>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</si>
  <si>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</si>
  <si>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</si>
  <si>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</si>
  <si>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</si>
  <si>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</si>
  <si>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</si>
  <si>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</si>
  <si>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</si>
  <si>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</si>
  <si>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</si>
  <si>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</si>
  <si>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</si>
  <si>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</si>
  <si>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</si>
  <si>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</si>
  <si>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</si>
  <si>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</si>
  <si>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</si>
  <si>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</si>
  <si>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</si>
  <si>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</si>
  <si>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</si>
  <si>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</si>
  <si>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</si>
  <si>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</si>
  <si>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</si>
  <si>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</si>
  <si>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</si>
  <si>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</si>
  <si>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</si>
  <si>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</si>
  <si>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</si>
  <si>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</si>
  <si>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</si>
  <si>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</si>
  <si>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</si>
  <si>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</si>
  <si>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</si>
  <si>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</si>
  <si>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</si>
  <si>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</si>
  <si>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</si>
  <si>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</si>
  <si>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</si>
  <si>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</si>
  <si>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</si>
  <si>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</si>
  <si>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</si>
  <si>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</si>
  <si>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</si>
  <si>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</si>
  <si>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</si>
  <si>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</si>
  <si>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</si>
  <si>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</si>
  <si>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</si>
  <si>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</si>
  <si>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</si>
  <si>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</si>
  <si>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</si>
  <si>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</si>
  <si>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</si>
  <si>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</si>
  <si>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</si>
  <si>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</si>
  <si>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</si>
  <si>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</si>
  <si>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</si>
  <si>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</si>
  <si>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</si>
  <si>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</si>
  <si>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</si>
  <si>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</si>
  <si>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</si>
  <si>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</si>
  <si>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</si>
  <si>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</si>
  <si>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</si>
  <si>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</si>
  <si>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</si>
  <si>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</si>
  <si>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</si>
  <si>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</si>
  <si>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</si>
  <si>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</si>
  <si>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</si>
  <si>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</si>
  <si>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</si>
  <si>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</si>
  <si>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</si>
  <si>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</si>
  <si>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</si>
  <si>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</si>
  <si>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</si>
  <si>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</si>
  <si>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</si>
  <si>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</si>
  <si>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</si>
  <si>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</si>
  <si>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</si>
  <si>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</si>
  <si>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</si>
  <si>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</si>
  <si>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</si>
  <si>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</si>
  <si>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</si>
  <si>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</si>
  <si>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</si>
  <si>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</si>
  <si>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</si>
  <si>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</si>
  <si>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</si>
  <si>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</si>
  <si>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</si>
  <si>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</si>
  <si>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</si>
  <si>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</si>
  <si>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</si>
  <si>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</si>
  <si>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</si>
  <si>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</si>
  <si>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</si>
  <si>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</si>
  <si>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</si>
  <si>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</si>
  <si>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</si>
  <si>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</si>
  <si>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</si>
  <si>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</si>
  <si>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</si>
  <si>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</si>
  <si>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</si>
  <si>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</si>
  <si>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</si>
  <si>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</si>
  <si>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</si>
  <si>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</si>
  <si>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</si>
  <si>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</si>
  <si>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</si>
  <si>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</si>
  <si>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</si>
  <si>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</si>
  <si>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</si>
  <si>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</si>
  <si>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</si>
  <si>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</si>
  <si>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</si>
  <si>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</si>
  <si>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</si>
  <si>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</si>
  <si>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</si>
  <si>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</si>
  <si>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</si>
  <si>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</si>
  <si>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</si>
  <si>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</si>
  <si>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</si>
  <si>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</si>
  <si>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</si>
  <si>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</si>
  <si>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</si>
  <si>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</si>
  <si>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</si>
  <si>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</si>
  <si>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</si>
  <si>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</si>
  <si>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</si>
  <si>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</si>
  <si>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</si>
  <si>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</si>
  <si>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</si>
  <si>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</si>
  <si>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</si>
  <si>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</si>
  <si>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</si>
  <si>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</si>
  <si>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</si>
  <si>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</si>
  <si>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</si>
  <si>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</si>
  <si>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</si>
  <si>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</si>
  <si>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</si>
  <si>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</si>
  <si>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</si>
  <si>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</si>
  <si>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</si>
  <si>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</si>
  <si>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</si>
  <si>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</si>
  <si>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</si>
  <si>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</si>
  <si>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</si>
  <si>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</si>
  <si>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</si>
  <si>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</si>
  <si>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</si>
  <si>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</si>
  <si>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</si>
  <si>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</si>
  <si>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</si>
  <si>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</si>
  <si>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</si>
  <si>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</si>
  <si>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</si>
  <si>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</si>
  <si>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</si>
  <si>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</si>
  <si>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</si>
  <si>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</si>
  <si>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</si>
  <si>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</si>
  <si>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</si>
  <si>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</si>
  <si>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</si>
  <si>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</si>
  <si>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</si>
  <si>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</si>
  <si>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</si>
  <si>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</si>
  <si>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</si>
  <si>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</si>
  <si>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</si>
  <si>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</si>
  <si>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</si>
  <si>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</si>
  <si>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</si>
  <si>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</si>
  <si>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</si>
  <si>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</si>
  <si>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</si>
  <si>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</si>
  <si>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</si>
  <si>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</si>
  <si>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</si>
  <si>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</si>
  <si>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</si>
  <si>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</si>
  <si>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</si>
  <si>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</si>
  <si>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</si>
  <si>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</si>
  <si>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</si>
  <si>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</si>
  <si>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</si>
  <si>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</si>
  <si>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</si>
  <si>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</si>
  <si>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</si>
  <si>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</si>
  <si>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</si>
  <si>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</si>
  <si>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</si>
  <si>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</si>
  <si>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</si>
  <si>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</si>
  <si>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</si>
  <si>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</si>
  <si>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</si>
  <si>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</si>
  <si>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</si>
  <si>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</si>
  <si>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</si>
  <si>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</si>
  <si>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</si>
  <si>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</si>
  <si>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</si>
  <si>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</si>
  <si>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</si>
  <si>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</si>
  <si>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</si>
  <si>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</si>
  <si>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</si>
  <si>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</si>
  <si>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</si>
  <si>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</si>
  <si>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</si>
  <si>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</si>
  <si>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</si>
  <si>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</si>
  <si>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</si>
  <si>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</si>
  <si>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</si>
  <si>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</si>
  <si>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</si>
  <si>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</si>
  <si>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</si>
  <si>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</si>
  <si>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</si>
  <si>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</si>
  <si>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</si>
  <si>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</si>
  <si>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</si>
  <si>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</si>
  <si>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</si>
  <si>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</si>
  <si>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</si>
  <si>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</si>
  <si>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</si>
  <si>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</si>
  <si>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</si>
  <si>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</si>
  <si>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</si>
  <si>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</si>
  <si>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</si>
  <si>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</si>
  <si>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</si>
  <si>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</si>
  <si>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</si>
  <si>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</si>
  <si>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</si>
  <si>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</si>
  <si>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</si>
  <si>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</si>
  <si>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</si>
  <si>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</si>
  <si>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</si>
  <si>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</si>
  <si>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</si>
  <si>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</si>
  <si>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</si>
  <si>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</si>
  <si>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</si>
  <si>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</si>
  <si>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</si>
  <si>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</si>
  <si>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</si>
  <si>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</si>
  <si>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</si>
  <si>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</si>
  <si>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</si>
  <si>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</si>
  <si>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</si>
  <si>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</si>
  <si>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</si>
  <si>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</si>
  <si>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</si>
  <si>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</si>
  <si>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</si>
  <si>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</si>
  <si>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</si>
  <si>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</si>
  <si>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</si>
  <si>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</si>
  <si>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</si>
  <si>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</si>
  <si>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</si>
  <si>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</si>
  <si>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</si>
  <si>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</si>
  <si>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</si>
  <si>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</si>
  <si>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</si>
  <si>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</si>
  <si>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</si>
  <si>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</si>
  <si>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</si>
  <si>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</si>
  <si>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</si>
  <si>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</si>
  <si>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</si>
  <si>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</si>
  <si>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</si>
  <si>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</si>
  <si>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</si>
  <si>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</si>
  <si>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</si>
  <si>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</si>
  <si>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</si>
  <si>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</si>
  <si>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</si>
  <si>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</si>
  <si>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</si>
  <si>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</si>
  <si>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</si>
  <si>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</si>
  <si>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</si>
  <si>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</si>
  <si>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</si>
  <si>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</si>
  <si>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</si>
  <si>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</si>
  <si>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</si>
  <si>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</si>
  <si>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</si>
  <si>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</si>
  <si>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</si>
  <si>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</si>
  <si>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</si>
  <si>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</si>
  <si>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</si>
  <si>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</si>
  <si>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</si>
  <si>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</si>
  <si>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</si>
  <si>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</si>
  <si>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</si>
  <si>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</si>
  <si>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</si>
  <si>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</si>
  <si>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</si>
  <si>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</si>
  <si>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</si>
  <si>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</si>
  <si>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</si>
  <si>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</si>
  <si>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</si>
  <si>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</si>
  <si>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</si>
  <si>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</si>
  <si>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</si>
  <si>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</si>
  <si>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</si>
  <si>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</si>
  <si>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</si>
  <si>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</si>
  <si>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</si>
  <si>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</si>
  <si>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</si>
  <si>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</si>
  <si>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</si>
  <si>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</si>
  <si>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</si>
  <si>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</si>
  <si>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</si>
  <si>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</si>
  <si>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</si>
  <si>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</si>
  <si>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</si>
  <si>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</si>
  <si>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</si>
  <si>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</si>
  <si>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</si>
  <si>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</si>
  <si>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</si>
  <si>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</si>
  <si>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</si>
  <si>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</si>
  <si>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</si>
  <si>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</si>
  <si>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</si>
  <si>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</si>
  <si>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</si>
  <si>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</si>
  <si>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</si>
  <si>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</si>
  <si>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</si>
  <si>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</si>
  <si>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</si>
  <si>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</si>
  <si>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</si>
  <si>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</si>
  <si>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</si>
  <si>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</si>
  <si>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</si>
  <si>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</si>
  <si>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</si>
  <si>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</si>
  <si>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</si>
  <si>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</si>
  <si>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</si>
  <si>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</si>
  <si>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</si>
  <si>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</si>
  <si>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</si>
  <si>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</si>
  <si>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</si>
  <si>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</si>
  <si>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</si>
  <si>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</si>
  <si>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</si>
  <si>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</si>
  <si>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</si>
  <si>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</si>
  <si>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</si>
  <si>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</si>
  <si>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</si>
  <si>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</si>
  <si>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</si>
  <si>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</si>
  <si>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</si>
  <si>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</si>
  <si>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</si>
  <si>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</si>
  <si>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</si>
  <si>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</si>
  <si>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</si>
  <si>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</si>
  <si>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</si>
  <si>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</si>
  <si>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</si>
  <si>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</si>
  <si>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</si>
  <si>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</si>
  <si>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</si>
  <si>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</si>
  <si>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</si>
  <si>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</si>
  <si>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</si>
  <si>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</si>
  <si>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</si>
  <si>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</si>
  <si>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</si>
  <si>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</si>
  <si>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</si>
  <si>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</si>
  <si>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</si>
  <si>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</si>
  <si>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</si>
  <si>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</si>
  <si>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</si>
  <si>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</si>
  <si>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</si>
  <si>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</si>
  <si>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</si>
  <si>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</si>
  <si>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</si>
  <si>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</si>
  <si>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</si>
  <si>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</si>
  <si>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</si>
  <si>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</si>
  <si>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</si>
  <si>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</si>
  <si>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</si>
  <si>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</si>
  <si>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</si>
  <si>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</si>
  <si>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</si>
  <si>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</si>
  <si>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</si>
  <si>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</si>
  <si>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</si>
  <si>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</si>
  <si>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</si>
  <si>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</si>
  <si>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</si>
  <si>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</si>
  <si>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</si>
  <si>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</si>
  <si>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</si>
  <si>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</si>
  <si>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</si>
  <si>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</si>
  <si>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</si>
  <si>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</si>
  <si>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</si>
  <si>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</si>
  <si>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</si>
  <si>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</si>
  <si>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</si>
  <si>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</si>
  <si>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</si>
  <si>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</si>
  <si>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</si>
  <si>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</si>
  <si>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</si>
  <si>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</si>
  <si>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</si>
  <si>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</si>
  <si>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</si>
  <si>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</si>
  <si>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</si>
  <si>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</si>
  <si>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</si>
  <si>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</si>
  <si>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</si>
  <si>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</si>
  <si>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</si>
  <si>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</si>
  <si>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</si>
  <si>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</si>
  <si>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</si>
  <si>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</si>
  <si>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</si>
  <si>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</si>
  <si>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</si>
  <si>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</si>
  <si>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</si>
  <si>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</si>
  <si>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</si>
  <si>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</si>
  <si>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</si>
  <si>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</si>
  <si>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</si>
  <si>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</si>
  <si>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</si>
  <si>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</si>
  <si>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</si>
  <si>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</si>
  <si>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</si>
  <si>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</si>
  <si>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</si>
  <si>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</si>
  <si>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</si>
  <si>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</si>
  <si>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</si>
  <si>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</si>
  <si>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</si>
  <si>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</si>
  <si>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</si>
  <si>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</si>
  <si>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</si>
  <si>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</si>
  <si>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</si>
  <si>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</si>
  <si>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</si>
  <si>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</si>
  <si>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</si>
  <si>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</si>
  <si>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</si>
  <si>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</si>
  <si>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</si>
  <si>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</si>
  <si>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</si>
  <si>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</si>
  <si>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</si>
  <si>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</si>
  <si>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</si>
  <si>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</si>
  <si>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</si>
  <si>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</si>
  <si>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</si>
  <si>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</si>
  <si>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</si>
  <si>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</si>
  <si>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</si>
  <si>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</si>
  <si>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</si>
  <si>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</si>
  <si>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</si>
  <si>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</si>
  <si>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</si>
  <si>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</si>
  <si>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</si>
  <si>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</si>
  <si>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</si>
  <si>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</si>
  <si>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</si>
  <si>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</si>
  <si>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</si>
  <si>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</si>
  <si>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</si>
  <si>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</si>
  <si>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</si>
  <si>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</si>
  <si>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</si>
  <si>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</si>
  <si>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</si>
  <si>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</si>
  <si>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</si>
  <si>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</si>
  <si>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</si>
  <si>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</si>
  <si>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</si>
  <si>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</si>
  <si>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</si>
  <si>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</si>
  <si>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</si>
  <si>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</si>
  <si>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</si>
  <si>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</si>
  <si>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</si>
  <si>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</si>
  <si>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</si>
  <si>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</si>
  <si>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</si>
  <si>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</si>
  <si>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</si>
  <si>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</si>
  <si>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</si>
  <si>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</si>
  <si>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</si>
  <si>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</si>
  <si>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</si>
  <si>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</si>
  <si>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</si>
  <si>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</si>
  <si>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</si>
  <si>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</si>
  <si>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</si>
  <si>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</si>
  <si>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</si>
  <si>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</si>
  <si>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</si>
  <si>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</si>
  <si>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</si>
  <si>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</si>
  <si>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</si>
  <si>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</si>
  <si>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</si>
  <si>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</si>
  <si>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</si>
  <si>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</si>
  <si>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</si>
  <si>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</si>
  <si>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</si>
  <si>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</si>
  <si>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</si>
  <si>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</si>
  <si>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</si>
  <si>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</si>
  <si>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</si>
  <si>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</si>
  <si>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</si>
  <si>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</si>
  <si>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</si>
  <si>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</si>
  <si>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</si>
  <si>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</si>
  <si>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</si>
  <si>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</si>
  <si>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</si>
  <si>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</si>
  <si>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</si>
  <si>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</si>
  <si>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</si>
  <si>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</si>
  <si>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</si>
  <si>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</si>
  <si>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</si>
  <si>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</si>
  <si>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</si>
  <si>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</si>
  <si>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</si>
  <si>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</si>
  <si>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</si>
  <si>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</si>
  <si>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</si>
  <si>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</si>
  <si>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</si>
  <si>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</si>
  <si>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</si>
  <si>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</si>
  <si>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</si>
  <si>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</si>
  <si>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</si>
  <si>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</si>
  <si>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</si>
  <si>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</si>
  <si>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</si>
  <si>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</si>
  <si>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</si>
  <si>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</si>
  <si>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</si>
  <si>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</si>
  <si>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</si>
  <si>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</si>
  <si>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</si>
  <si>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</si>
  <si>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</si>
  <si>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</si>
  <si>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</si>
  <si>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</si>
  <si>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</si>
  <si>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</si>
  <si>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</si>
  <si>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</si>
  <si>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</si>
  <si>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</si>
  <si>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</si>
  <si>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</si>
  <si>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</si>
  <si>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</si>
  <si>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</si>
  <si>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</si>
  <si>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</si>
  <si>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</si>
  <si>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</si>
  <si>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</si>
  <si>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</si>
  <si>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</si>
  <si>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</si>
  <si>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</si>
  <si>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</si>
  <si>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</si>
  <si>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</si>
  <si>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</si>
  <si>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</si>
  <si>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</si>
  <si>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</si>
  <si>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</si>
  <si>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</si>
  <si>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</si>
  <si>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</si>
  <si>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</si>
  <si>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</si>
  <si>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</si>
  <si>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</si>
  <si>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</si>
  <si>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</si>
  <si>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</si>
  <si>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</si>
  <si>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</si>
  <si>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</si>
  <si>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</si>
  <si>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</si>
  <si>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</si>
  <si>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</si>
  <si>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</si>
  <si>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</si>
  <si>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</si>
  <si>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</si>
  <si>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</si>
  <si>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</si>
  <si>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</si>
  <si>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</si>
  <si>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</si>
  <si>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</si>
  <si>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</si>
  <si>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</si>
  <si>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</si>
  <si>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</si>
  <si>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</si>
  <si>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</si>
  <si>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</si>
  <si>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</si>
  <si>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</si>
  <si>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</si>
  <si>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</si>
  <si>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</si>
  <si>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</si>
  <si>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</si>
  <si>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</si>
  <si>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</si>
  <si>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</si>
  <si>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</si>
  <si>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</si>
  <si>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</si>
  <si>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</si>
  <si>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</si>
  <si>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</si>
  <si>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</si>
  <si>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</si>
  <si>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</si>
  <si>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</si>
  <si>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</si>
  <si>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</si>
  <si>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</si>
  <si>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</si>
  <si>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</si>
  <si>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</si>
  <si>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</si>
  <si>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</si>
  <si>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</si>
  <si>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</si>
  <si>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</si>
  <si>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</si>
  <si>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</si>
  <si>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</si>
  <si>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</si>
  <si>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</si>
  <si>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</si>
  <si>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</si>
  <si>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</si>
  <si>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</si>
  <si>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</si>
  <si>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</si>
  <si>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</si>
  <si>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</si>
  <si>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</si>
  <si>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</si>
  <si>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</si>
  <si>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</si>
  <si>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</si>
  <si>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</si>
  <si>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</si>
  <si>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</si>
  <si>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</si>
  <si>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</si>
  <si>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</si>
  <si>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</si>
  <si>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</si>
  <si>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</si>
  <si>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</si>
  <si>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</si>
  <si>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</si>
  <si>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</si>
  <si>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</si>
  <si>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</si>
  <si>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</si>
  <si>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</si>
  <si>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</si>
  <si>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</si>
  <si>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</si>
  <si>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</si>
  <si>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</si>
  <si>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</si>
  <si>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</si>
  <si>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</si>
  <si>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</si>
  <si>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</si>
  <si>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</si>
  <si>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</si>
  <si>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</si>
  <si>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</si>
  <si>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</si>
  <si>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</si>
  <si>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</si>
  <si>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</si>
  <si>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</si>
  <si>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</si>
  <si>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</si>
  <si>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</si>
  <si>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</si>
  <si>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</si>
  <si>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</si>
  <si>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</si>
  <si>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</si>
  <si>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</si>
  <si>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</si>
  <si>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</si>
  <si>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</si>
  <si>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</si>
  <si>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</si>
  <si>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</si>
  <si>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</si>
  <si>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</si>
  <si>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</si>
  <si>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</si>
  <si>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</si>
  <si>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</si>
  <si>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</si>
  <si>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</si>
  <si>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</si>
  <si>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</si>
  <si>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</si>
  <si>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</si>
  <si>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</si>
  <si>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</si>
  <si>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</si>
  <si>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</si>
  <si>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</si>
  <si>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</si>
  <si>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</si>
  <si>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</si>
  <si>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</si>
  <si>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</si>
  <si>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</si>
  <si>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</si>
  <si>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</si>
  <si>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</si>
  <si>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</si>
  <si>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</si>
  <si>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</si>
  <si>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</si>
  <si>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</si>
  <si>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</si>
  <si>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</si>
  <si>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</si>
  <si>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</si>
  <si>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</si>
  <si>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</si>
  <si>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</si>
  <si>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</si>
  <si>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</si>
  <si>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</si>
  <si>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</si>
  <si>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</si>
  <si>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</si>
  <si>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</si>
  <si>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</si>
  <si>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</si>
  <si>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</si>
  <si>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</si>
  <si>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</si>
  <si>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</si>
  <si>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</si>
  <si>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</si>
  <si>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</si>
  <si>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</si>
  <si>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</si>
  <si>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</si>
  <si>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</si>
  <si>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</si>
  <si>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</si>
  <si>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</si>
  <si>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</si>
  <si>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</si>
  <si>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</si>
  <si>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</si>
  <si>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</si>
  <si>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</si>
  <si>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</si>
  <si>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</si>
  <si>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</si>
  <si>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</si>
  <si>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</si>
  <si>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</si>
  <si>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</si>
  <si>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</si>
  <si>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</si>
  <si>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</si>
  <si>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</si>
  <si>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</si>
  <si>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</si>
  <si>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</si>
  <si>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</si>
  <si>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</si>
  <si>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</si>
  <si>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</si>
  <si>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</si>
  <si>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</si>
  <si>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</si>
  <si>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</si>
  <si>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</si>
  <si>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</si>
  <si>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</si>
  <si>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</si>
  <si>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</si>
  <si>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</si>
  <si>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</si>
  <si>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</si>
  <si>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</si>
  <si>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</si>
  <si>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</si>
  <si>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</si>
  <si>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</si>
  <si>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</si>
  <si>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</si>
  <si>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</si>
  <si>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</si>
  <si>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</si>
  <si>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</si>
  <si>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</si>
  <si>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</si>
  <si>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</si>
  <si>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</si>
  <si>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</si>
  <si>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</si>
  <si>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</si>
  <si>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</si>
  <si>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</si>
  <si>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</si>
  <si>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</si>
  <si>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</si>
  <si>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</si>
  <si>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</si>
  <si>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</si>
  <si>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</si>
  <si>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</si>
  <si>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</si>
  <si>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</si>
  <si>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</si>
  <si>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</si>
  <si>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</si>
  <si>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</si>
  <si>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</si>
  <si>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</si>
  <si>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</si>
  <si>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</si>
  <si>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</si>
  <si>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</si>
  <si>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</si>
  <si>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</si>
  <si>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</si>
  <si>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</si>
  <si>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</si>
  <si>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</si>
  <si>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</si>
  <si>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</si>
  <si>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</si>
  <si>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</si>
  <si>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</si>
  <si>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</si>
  <si>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</si>
  <si>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</si>
  <si>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</si>
  <si>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</si>
  <si>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</si>
  <si>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</si>
  <si>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</si>
  <si>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</si>
  <si>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</si>
  <si>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</si>
  <si>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</si>
  <si>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</si>
  <si>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</si>
  <si>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</si>
  <si>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</si>
  <si>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</si>
  <si>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</si>
  <si>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</si>
  <si>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</si>
  <si>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</si>
  <si>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</si>
  <si>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</si>
  <si>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</si>
  <si>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</si>
  <si>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</si>
  <si>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</si>
  <si>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</si>
  <si>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</si>
  <si>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</si>
  <si>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</si>
  <si>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</si>
  <si>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</si>
  <si>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</si>
  <si>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</si>
  <si>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</si>
  <si>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</si>
  <si>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</si>
  <si>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</si>
  <si>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</si>
  <si>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</si>
  <si>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</si>
  <si>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</si>
  <si>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</si>
  <si>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</si>
  <si>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</si>
  <si>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</si>
  <si>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</si>
  <si>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</si>
  <si>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</si>
  <si>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</si>
  <si>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</si>
  <si>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</si>
  <si>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</si>
  <si>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</si>
  <si>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</si>
  <si>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</si>
  <si>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</si>
  <si>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</si>
  <si>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</si>
  <si>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</si>
  <si>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</si>
  <si>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</si>
  <si>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</si>
  <si>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</si>
  <si>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</si>
  <si>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</si>
  <si>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</si>
  <si>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</si>
  <si>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</si>
  <si>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</si>
  <si>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</si>
  <si>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</si>
  <si>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</si>
  <si>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</si>
  <si>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</si>
  <si>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</si>
  <si>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</si>
  <si>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</si>
  <si>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</si>
  <si>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</si>
  <si>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</si>
  <si>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</si>
  <si>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</si>
  <si>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</si>
  <si>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</si>
  <si>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</si>
  <si>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</si>
  <si>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</si>
  <si>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</si>
  <si>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</si>
  <si>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</si>
  <si>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</si>
  <si>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</si>
  <si>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</si>
  <si>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</si>
  <si>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</si>
  <si>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</si>
  <si>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</si>
  <si>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</si>
  <si>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</si>
  <si>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</si>
  <si>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</si>
  <si>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</si>
  <si>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</si>
  <si>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</si>
  <si>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</si>
  <si>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</si>
  <si>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</si>
  <si>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</si>
  <si>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</si>
  <si>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</si>
  <si>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</si>
  <si>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</si>
  <si>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</si>
  <si>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</si>
  <si>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</si>
  <si>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</si>
  <si>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</si>
  <si>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</si>
  <si>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</si>
  <si>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</si>
  <si>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</si>
  <si>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</si>
  <si>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</si>
  <si>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</si>
  <si>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</si>
  <si>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</si>
  <si>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</si>
  <si>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</si>
  <si>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</si>
  <si>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</si>
  <si>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</si>
  <si>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</si>
  <si>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</si>
  <si>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</si>
  <si>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</si>
  <si>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</si>
  <si>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</si>
  <si>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</si>
  <si>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</si>
  <si>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</si>
  <si>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</si>
  <si>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</si>
  <si>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</si>
  <si>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</si>
  <si>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</si>
  <si>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</si>
  <si>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</si>
  <si>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</si>
  <si>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</si>
  <si>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</si>
  <si>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</si>
  <si>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</si>
  <si>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</si>
  <si>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</si>
  <si>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</si>
  <si>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</si>
  <si>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</si>
  <si>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</si>
  <si>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</si>
  <si>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</si>
  <si>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</si>
  <si>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</si>
  <si>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</si>
  <si>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</si>
  <si>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</si>
  <si>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</si>
  <si>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</si>
  <si>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</si>
  <si>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</si>
  <si>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</si>
  <si>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</si>
  <si>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</si>
  <si>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</si>
  <si>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</si>
  <si>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</si>
  <si>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</si>
  <si>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</si>
  <si>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</si>
  <si>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</si>
  <si>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</si>
  <si>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</si>
  <si>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</si>
  <si>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</si>
  <si>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</si>
  <si>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</si>
  <si>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</si>
  <si>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</si>
  <si>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</si>
  <si>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</si>
  <si>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</si>
  <si>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</si>
  <si>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</si>
  <si>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</si>
  <si>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</si>
  <si>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</si>
  <si>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</si>
  <si>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</si>
  <si>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</si>
  <si>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</si>
  <si>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</si>
  <si>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</si>
  <si>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</si>
  <si>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</si>
  <si>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</si>
  <si>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</si>
  <si>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</si>
  <si>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</si>
  <si>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</si>
  <si>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</si>
  <si>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</si>
  <si>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</si>
  <si>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</si>
  <si>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</si>
  <si>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</si>
  <si>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</si>
  <si>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</si>
  <si>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</si>
  <si>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</si>
  <si>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</si>
  <si>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</si>
  <si>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</si>
  <si>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</si>
  <si>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</si>
  <si>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</si>
  <si>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</si>
  <si>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</si>
  <si>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</si>
  <si>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</si>
  <si>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</si>
  <si>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</si>
  <si>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</si>
  <si>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</si>
  <si>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</si>
  <si>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</si>
  <si>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</si>
  <si>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</si>
  <si>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</si>
  <si>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</si>
  <si>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</si>
  <si>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</si>
  <si>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</si>
  <si>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</si>
  <si>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</si>
  <si>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</si>
  <si>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</si>
  <si>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</si>
  <si>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</si>
  <si>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</si>
  <si>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</si>
  <si>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</si>
  <si>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</si>
  <si>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</si>
  <si>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</si>
  <si>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</si>
  <si>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</si>
  <si>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</si>
  <si>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</si>
  <si>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</si>
  <si>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</si>
  <si>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</si>
  <si>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</si>
  <si>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</si>
  <si>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</si>
  <si>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</si>
  <si>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</si>
  <si>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</si>
  <si>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</si>
  <si>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</si>
  <si>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</si>
  <si>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</si>
  <si>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</si>
  <si>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</si>
  <si>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</si>
  <si>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</si>
  <si>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</si>
  <si>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</si>
  <si>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</si>
  <si>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</si>
  <si>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</si>
  <si>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</si>
  <si>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</si>
  <si>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</si>
  <si>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</si>
  <si>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</si>
  <si>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</si>
  <si>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</si>
  <si>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</si>
  <si>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</si>
  <si>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</si>
  <si>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</si>
  <si>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</si>
  <si>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</si>
  <si>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</si>
  <si>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</si>
  <si>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</si>
  <si>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</si>
  <si>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</si>
  <si>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</si>
  <si>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</si>
  <si>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</si>
  <si>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</si>
  <si>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</si>
  <si>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</si>
  <si>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</si>
  <si>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</si>
  <si>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</si>
  <si>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</si>
  <si>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</si>
  <si>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</si>
  <si>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</si>
  <si>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</si>
  <si>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</si>
  <si>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</si>
  <si>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</si>
  <si>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</si>
  <si>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</si>
  <si>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</si>
  <si>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</si>
  <si>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</si>
  <si>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</si>
  <si>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</si>
  <si>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</si>
  <si>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</si>
  <si>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</si>
  <si>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</si>
  <si>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</si>
  <si>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</si>
  <si>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</si>
  <si>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</si>
  <si>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</si>
  <si>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</si>
  <si>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</si>
  <si>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</si>
  <si>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</si>
  <si>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</si>
  <si>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</si>
  <si>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</si>
  <si>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</si>
  <si>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</si>
  <si>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</si>
  <si>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</si>
  <si>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</si>
  <si>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</si>
  <si>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</si>
  <si>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</si>
  <si>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</si>
  <si>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</si>
  <si>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</si>
  <si>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</si>
  <si>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</si>
  <si>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</si>
  <si>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</si>
  <si>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</si>
  <si>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</si>
  <si>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</si>
  <si>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</si>
  <si>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</si>
  <si>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</si>
  <si>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</si>
  <si>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</si>
  <si>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</si>
  <si>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</si>
  <si>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</si>
  <si>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</si>
  <si>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</si>
  <si>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</si>
  <si>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</si>
  <si>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</si>
  <si>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</si>
  <si>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</si>
  <si>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</si>
  <si>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</si>
  <si>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</si>
  <si>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</si>
  <si>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</si>
  <si>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</si>
  <si>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</si>
  <si>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</si>
  <si>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</si>
  <si>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</si>
  <si>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</si>
  <si>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</si>
  <si>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</si>
  <si>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</si>
  <si>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</si>
  <si>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</si>
  <si>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</si>
  <si>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</si>
  <si>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</si>
  <si>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</si>
  <si>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</si>
  <si>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</si>
  <si>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</si>
  <si>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</si>
  <si>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</si>
  <si>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</si>
  <si>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</si>
  <si>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</si>
  <si>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</si>
  <si>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</si>
  <si>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</si>
  <si>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</si>
  <si>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</si>
  <si>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</si>
  <si>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</si>
  <si>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</si>
  <si>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</si>
  <si>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</si>
  <si>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</si>
  <si>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</si>
  <si>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</si>
  <si>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</si>
  <si>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</si>
  <si>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</si>
  <si>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</si>
  <si>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</si>
  <si>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</si>
  <si>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</si>
  <si>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</si>
  <si>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</si>
  <si>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</si>
  <si>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</si>
  <si>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</si>
  <si>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</si>
  <si>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</si>
  <si>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</si>
  <si>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</si>
  <si>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</si>
  <si>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</si>
  <si>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</si>
  <si>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</si>
  <si>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</si>
  <si>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</si>
  <si>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</si>
  <si>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</si>
  <si>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</si>
  <si>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</si>
  <si>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</si>
  <si>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</si>
  <si>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</si>
  <si>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</si>
  <si>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</si>
  <si>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</si>
  <si>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</si>
  <si>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</si>
  <si>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</si>
  <si>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</si>
  <si>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</si>
  <si>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</si>
  <si>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</si>
  <si>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</si>
  <si>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</si>
  <si>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</si>
  <si>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</si>
  <si>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</si>
  <si>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</si>
  <si>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</si>
  <si>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</si>
  <si>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</si>
  <si>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</si>
  <si>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</si>
  <si>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</si>
  <si>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</si>
  <si>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</si>
  <si>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</si>
  <si>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</si>
  <si>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</si>
  <si>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</si>
  <si>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</si>
  <si>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</si>
  <si>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</si>
  <si>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</si>
  <si>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</si>
  <si>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</si>
  <si>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</si>
  <si>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</si>
  <si>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</si>
  <si>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</si>
  <si>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</si>
  <si>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</si>
  <si>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</si>
  <si>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</si>
  <si>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</si>
  <si>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</si>
  <si>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</si>
  <si>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</si>
  <si>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</si>
  <si>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</si>
  <si>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</si>
  <si>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</si>
  <si>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</si>
  <si>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</si>
  <si>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</si>
  <si>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</si>
  <si>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</si>
  <si>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</si>
  <si>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</si>
  <si>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</si>
  <si>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</si>
  <si>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</si>
  <si>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</si>
  <si>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</si>
  <si>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</si>
  <si>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</si>
  <si>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</si>
  <si>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</si>
  <si>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</si>
  <si>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</si>
  <si>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</si>
  <si>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</si>
  <si>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</si>
  <si>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</si>
  <si>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</si>
  <si>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</si>
  <si>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</si>
  <si>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</si>
  <si>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</si>
  <si>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</si>
  <si>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</si>
  <si>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</si>
  <si>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</si>
  <si>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</si>
  <si>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</si>
  <si>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</si>
  <si>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</si>
  <si>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</si>
  <si>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</si>
  <si>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</si>
  <si>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</si>
  <si>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</si>
  <si>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</si>
  <si>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</si>
  <si>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</si>
  <si>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</si>
  <si>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</si>
  <si>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</si>
  <si>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</si>
  <si>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</si>
  <si>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</si>
  <si>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</si>
  <si>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</si>
  <si>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</si>
  <si>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</si>
  <si>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</si>
  <si>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</si>
  <si>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</si>
  <si>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</si>
  <si>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</si>
  <si>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</si>
  <si>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</si>
  <si>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</si>
  <si>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</si>
  <si>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</si>
  <si>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</si>
  <si>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</si>
  <si>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</si>
  <si>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</si>
  <si>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</si>
  <si>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</si>
  <si>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</si>
  <si>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</si>
  <si>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</si>
  <si>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</si>
  <si>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</si>
  <si>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</si>
  <si>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</si>
  <si>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</si>
  <si>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</si>
  <si>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</si>
  <si>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</si>
  <si>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</si>
  <si>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</si>
  <si>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</si>
  <si>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</si>
  <si>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</si>
  <si>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</si>
  <si>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</si>
  <si>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</si>
  <si>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</si>
  <si>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</si>
  <si>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</si>
  <si>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</si>
  <si>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</si>
  <si>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</si>
  <si>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</si>
  <si>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</si>
  <si>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</si>
  <si>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</si>
  <si>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</si>
  <si>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</si>
  <si>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</si>
  <si>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</si>
  <si>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</si>
  <si>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</si>
  <si>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</si>
  <si>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</si>
  <si>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</si>
  <si>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</si>
  <si>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</si>
  <si>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</si>
  <si>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</si>
  <si>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</si>
  <si>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</si>
  <si>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</si>
  <si>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</si>
  <si>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</si>
  <si>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</si>
  <si>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</si>
  <si>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</si>
  <si>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</si>
  <si>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</si>
  <si>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</si>
  <si>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</si>
  <si>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</si>
  <si>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</si>
  <si>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</si>
  <si>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</si>
  <si>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</si>
  <si>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</si>
  <si>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</si>
  <si>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</si>
  <si>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</si>
  <si>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</si>
  <si>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</si>
  <si>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</si>
  <si>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</si>
  <si>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</si>
  <si>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</si>
  <si>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</si>
  <si>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</si>
  <si>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</si>
  <si>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</si>
  <si>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</si>
  <si>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</si>
  <si>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</si>
  <si>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</si>
  <si>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</si>
  <si>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</si>
  <si>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</si>
  <si>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</si>
  <si>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</si>
  <si>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</si>
  <si>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</si>
  <si>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</si>
  <si>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</si>
  <si>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</si>
  <si>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</si>
  <si>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</si>
  <si>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</si>
  <si>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</si>
  <si>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</si>
  <si>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</si>
  <si>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</si>
  <si>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</si>
  <si>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</si>
  <si>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</si>
  <si>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</si>
  <si>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</si>
  <si>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</si>
  <si>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</si>
  <si>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</si>
  <si>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</si>
  <si>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</si>
  <si>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</si>
  <si>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</si>
  <si>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</si>
  <si>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</si>
  <si>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</si>
  <si>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</si>
  <si>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</si>
  <si>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</si>
  <si>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</si>
  <si>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</si>
  <si>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</si>
  <si>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</si>
  <si>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</si>
  <si>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</si>
  <si>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</si>
  <si>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</si>
  <si>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</si>
  <si>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</si>
  <si>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</si>
  <si>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</si>
  <si>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</si>
  <si>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</si>
  <si>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</si>
  <si>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</si>
  <si>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</si>
  <si>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</si>
  <si>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</si>
  <si>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</si>
  <si>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</si>
  <si>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</si>
  <si>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</si>
  <si>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</si>
  <si>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</si>
  <si>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</si>
  <si>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</si>
  <si>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</si>
  <si>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</si>
  <si>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</si>
  <si>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</si>
  <si>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</si>
  <si>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</si>
  <si>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</si>
  <si>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</si>
  <si>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</si>
  <si>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</si>
  <si>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</si>
  <si>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</si>
  <si>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</si>
  <si>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</si>
  <si>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</si>
  <si>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</si>
  <si>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</si>
  <si>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</si>
  <si>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</si>
  <si>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</si>
  <si>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</si>
  <si>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</si>
  <si>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</si>
  <si>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</si>
  <si>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</si>
  <si>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</si>
  <si>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</si>
  <si>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</si>
  <si>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</si>
  <si>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</si>
  <si>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</si>
  <si>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</si>
  <si>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</si>
  <si>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</si>
  <si>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</si>
  <si>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</si>
  <si>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</si>
  <si>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</si>
  <si>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</si>
  <si>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</si>
  <si>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</si>
  <si>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</si>
  <si>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</si>
  <si>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</si>
  <si>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</si>
  <si>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</si>
  <si>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</si>
  <si>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</si>
  <si>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</si>
  <si>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</si>
  <si>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</si>
  <si>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</si>
  <si>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</si>
  <si>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</si>
  <si>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</si>
  <si>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</si>
  <si>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</si>
  <si>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</si>
  <si>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</si>
  <si>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</si>
  <si>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</si>
  <si>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</si>
  <si>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</si>
  <si>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</si>
  <si>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</si>
  <si>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</si>
  <si>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</si>
  <si>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</si>
  <si>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</si>
  <si>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</si>
  <si>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</si>
  <si>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</si>
  <si>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</si>
  <si>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</si>
  <si>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</si>
  <si>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</si>
  <si>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</si>
  <si>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</si>
  <si>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</si>
  <si>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</si>
  <si>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</si>
  <si>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</si>
  <si>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</si>
  <si>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</si>
  <si>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</si>
  <si>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</si>
  <si>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</si>
  <si>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</si>
  <si>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</si>
  <si>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</si>
  <si>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</si>
  <si>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</si>
  <si>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</si>
  <si>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</si>
  <si>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</si>
  <si>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</si>
  <si>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</si>
  <si>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</si>
  <si>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</si>
  <si>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</si>
  <si>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</si>
  <si>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</si>
  <si>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</si>
  <si>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</si>
  <si>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</si>
  <si>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</si>
  <si>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</si>
  <si>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</si>
  <si>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</si>
  <si>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</si>
  <si>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</si>
  <si>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</si>
  <si>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</si>
  <si>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</si>
  <si>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</si>
  <si>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</si>
  <si>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</si>
  <si>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</si>
  <si>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</si>
  <si>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</si>
  <si>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</si>
  <si>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</si>
  <si>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</si>
  <si>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</si>
  <si>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</si>
  <si>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</si>
  <si>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</si>
  <si>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</si>
  <si>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</si>
  <si>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</si>
  <si>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</si>
  <si>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</si>
  <si>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</si>
  <si>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</si>
  <si>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</si>
  <si>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</si>
  <si>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</si>
  <si>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</si>
  <si>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</si>
  <si>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</si>
  <si>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</si>
  <si>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</si>
  <si>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</si>
  <si>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</si>
  <si>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</si>
  <si>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</si>
  <si>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</si>
  <si>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</si>
  <si>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</si>
  <si>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</si>
  <si>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</si>
  <si>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</si>
  <si>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</si>
  <si>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</si>
  <si>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</si>
  <si>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</si>
  <si>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</si>
  <si>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</si>
  <si>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</si>
  <si>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</si>
  <si>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</si>
  <si>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</si>
  <si>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</si>
  <si>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</si>
  <si>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</si>
  <si>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</si>
  <si>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</si>
  <si>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</si>
  <si>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</si>
  <si>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</si>
  <si>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</si>
  <si>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</si>
  <si>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</si>
  <si>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</si>
  <si>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</si>
  <si>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</si>
  <si>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</si>
  <si>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</si>
  <si>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</si>
  <si>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</si>
  <si>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</si>
  <si>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</si>
  <si>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</si>
  <si>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</si>
  <si>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</si>
  <si>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</si>
  <si>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</si>
  <si>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</si>
  <si>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</si>
  <si>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</si>
  <si>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</si>
  <si>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</si>
  <si>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</si>
  <si>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</si>
  <si>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</si>
  <si>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</si>
  <si>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</si>
  <si>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</si>
  <si>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</si>
  <si>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</si>
  <si>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</si>
  <si>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</si>
  <si>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</si>
  <si>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</si>
  <si>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</si>
  <si>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</si>
  <si>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</si>
  <si>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</si>
  <si>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</si>
  <si>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</si>
  <si>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</si>
  <si>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</si>
  <si>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</si>
  <si>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</si>
  <si>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</si>
  <si>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</si>
  <si>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</si>
  <si>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</si>
  <si>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</si>
  <si>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</si>
  <si>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</si>
  <si>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</si>
  <si>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</si>
  <si>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</si>
  <si>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</si>
  <si>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</si>
  <si>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</si>
  <si>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</si>
  <si>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</si>
  <si>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</si>
  <si>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</si>
  <si>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</si>
  <si>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</si>
  <si>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</si>
  <si>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</si>
  <si>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</si>
  <si>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</si>
  <si>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</si>
  <si>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</si>
  <si>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</si>
  <si>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</si>
  <si>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</si>
  <si>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</si>
  <si>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</si>
  <si>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</si>
  <si>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</si>
  <si>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</si>
  <si>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</si>
  <si>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</si>
  <si>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</si>
  <si>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</si>
  <si>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</si>
  <si>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</si>
  <si>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</si>
  <si>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</si>
  <si>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</si>
  <si>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</si>
  <si>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</si>
  <si>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</si>
  <si>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</si>
  <si>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</si>
  <si>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</si>
  <si>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</si>
  <si>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</si>
  <si>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</si>
  <si>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</si>
  <si>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</si>
  <si>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</si>
  <si>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</si>
  <si>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</si>
  <si>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</si>
  <si>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</si>
  <si>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</si>
  <si>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</si>
  <si>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</si>
  <si>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</si>
  <si>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</si>
  <si>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</si>
  <si>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</si>
  <si>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</si>
  <si>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</si>
  <si>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</si>
  <si>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</si>
  <si>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</si>
  <si>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</si>
  <si>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</si>
  <si>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</si>
  <si>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</si>
  <si>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</si>
  <si>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</si>
  <si>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</si>
  <si>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</si>
  <si>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</si>
  <si>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</si>
  <si>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</si>
  <si>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</si>
  <si>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</si>
  <si>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</si>
  <si>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</si>
  <si>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</si>
  <si>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</si>
  <si>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</si>
  <si>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</si>
  <si>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</si>
  <si>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</si>
  <si>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</si>
  <si>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</si>
  <si>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</si>
  <si>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</si>
  <si>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</si>
  <si>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</si>
  <si>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</si>
  <si>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</si>
  <si>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</si>
  <si>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</si>
  <si>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</si>
  <si>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</si>
  <si>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</si>
  <si>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</si>
  <si>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</si>
  <si>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</si>
  <si>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</si>
  <si>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</si>
  <si>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</si>
  <si>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</si>
  <si>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</si>
  <si>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</si>
  <si>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</si>
  <si>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</si>
  <si>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</si>
  <si>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</si>
  <si>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</si>
  <si>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</si>
  <si>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</si>
  <si>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</si>
  <si>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</si>
  <si>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</si>
  <si>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</si>
  <si>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</si>
  <si>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</si>
  <si>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</si>
  <si>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</si>
  <si>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</si>
  <si>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</si>
  <si>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</si>
  <si>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</si>
  <si>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</si>
  <si>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</si>
  <si>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</si>
  <si>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</si>
  <si>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</si>
  <si>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</si>
  <si>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</si>
  <si>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</si>
  <si>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</si>
  <si>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</si>
  <si>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</si>
  <si>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</si>
  <si>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</si>
  <si>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</si>
  <si>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</si>
  <si>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</si>
  <si>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</si>
  <si>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</si>
  <si>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</si>
  <si>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</si>
  <si>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</si>
  <si>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</si>
  <si>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</si>
  <si>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</si>
  <si>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</si>
  <si>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</si>
  <si>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</si>
  <si>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</si>
  <si>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</si>
  <si>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</si>
  <si>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</si>
  <si>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</si>
  <si>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</si>
  <si>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</si>
  <si>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</si>
  <si>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</si>
  <si>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</si>
  <si>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</si>
  <si>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</si>
  <si>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</si>
  <si>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</si>
  <si>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</si>
  <si>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</si>
  <si>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</si>
  <si>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</si>
  <si>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</si>
  <si>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</si>
  <si>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</si>
  <si>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</si>
  <si>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</si>
  <si>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</si>
  <si>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</si>
  <si>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</si>
  <si>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</si>
  <si>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</si>
  <si>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</si>
  <si>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</si>
  <si>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</si>
  <si>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</si>
  <si>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</si>
  <si>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</si>
  <si>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</si>
  <si>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</si>
  <si>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</si>
  <si>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</si>
  <si>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</si>
  <si>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</si>
  <si>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</si>
  <si>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</si>
  <si>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</si>
  <si>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</si>
  <si>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</si>
  <si>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</si>
  <si>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</si>
  <si>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</si>
  <si>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</si>
  <si>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</si>
  <si>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</si>
  <si>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</si>
  <si>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</si>
  <si>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</si>
  <si>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</si>
  <si>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</si>
  <si>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</si>
  <si>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</si>
  <si>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</si>
  <si>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</si>
  <si>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</si>
  <si>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</si>
  <si>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</si>
  <si>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</si>
  <si>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</si>
  <si>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</si>
  <si>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</si>
  <si>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</si>
  <si>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</si>
  <si>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</si>
  <si>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</si>
  <si>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</si>
  <si>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</si>
  <si>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</si>
  <si>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</si>
  <si>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</si>
  <si>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</si>
  <si>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</si>
  <si>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</si>
  <si>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</si>
  <si>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</si>
  <si>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</si>
  <si>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</si>
  <si>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</si>
  <si>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</si>
  <si>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</si>
  <si>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</si>
  <si>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</si>
  <si>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</si>
  <si>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</si>
  <si>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</si>
  <si>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</si>
  <si>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</si>
  <si>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</si>
  <si>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</si>
  <si>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</si>
  <si>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</si>
  <si>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</si>
  <si>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</si>
  <si>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</si>
  <si>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</si>
  <si>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</si>
  <si>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</si>
  <si>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</si>
  <si>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</si>
  <si>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</si>
  <si>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</si>
  <si>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</si>
  <si>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</si>
  <si>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</si>
  <si>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</si>
  <si>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</si>
  <si>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</si>
  <si>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</si>
  <si>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</si>
  <si>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</si>
  <si>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</si>
  <si>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</si>
  <si>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</si>
  <si>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</si>
  <si>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</si>
  <si>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</si>
  <si>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</si>
  <si>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</si>
  <si>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</si>
  <si>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</si>
  <si>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</si>
  <si>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</si>
  <si>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</si>
  <si>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</si>
  <si>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</si>
  <si>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</si>
  <si>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</si>
  <si>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</si>
  <si>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</si>
  <si>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</si>
  <si>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</si>
  <si>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</si>
  <si>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</si>
  <si>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</si>
  <si>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</si>
  <si>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</si>
  <si>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</si>
  <si>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</si>
  <si>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</si>
  <si>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</si>
  <si>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</si>
  <si>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</si>
  <si>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</si>
  <si>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</si>
  <si>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</si>
  <si>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</si>
  <si>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</si>
  <si>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</si>
  <si>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</si>
  <si>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</si>
  <si>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</si>
  <si>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</si>
  <si>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</si>
  <si>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</si>
  <si>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</si>
  <si>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</si>
  <si>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</si>
  <si>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</si>
  <si>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</si>
  <si>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</si>
  <si>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</si>
  <si>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</si>
  <si>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</si>
  <si>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</si>
  <si>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</si>
  <si>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</si>
  <si>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</si>
  <si>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</si>
  <si>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</si>
  <si>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</si>
  <si>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</si>
  <si>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</si>
  <si>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</si>
  <si>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</si>
  <si>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</si>
  <si>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</si>
  <si>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</si>
  <si>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</si>
  <si>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</si>
  <si>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</si>
  <si>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</si>
  <si>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</si>
  <si>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</si>
  <si>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</si>
  <si>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</si>
  <si>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</si>
  <si>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</si>
  <si>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</si>
  <si>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</si>
  <si>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</si>
  <si>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</si>
  <si>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</si>
  <si>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</si>
  <si>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</si>
  <si>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</si>
  <si>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</si>
  <si>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</si>
  <si>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</si>
  <si>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</si>
  <si>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</si>
  <si>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</si>
  <si>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</si>
  <si>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</si>
  <si>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</si>
  <si>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</si>
  <si>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</si>
  <si>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</si>
  <si>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</si>
  <si>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</si>
  <si>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</si>
  <si>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</si>
  <si>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</si>
  <si>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</si>
  <si>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</si>
  <si>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</si>
  <si>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</si>
  <si>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</si>
  <si>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</si>
  <si>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</si>
  <si>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</si>
  <si>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</si>
  <si>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</si>
  <si>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</si>
  <si>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</si>
  <si>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</si>
  <si>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</si>
  <si>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</si>
  <si>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</si>
  <si>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</si>
  <si>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</si>
  <si>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</si>
  <si>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</si>
  <si>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</si>
  <si>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</si>
  <si>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</si>
  <si>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</si>
  <si>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</si>
  <si>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</si>
  <si>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</si>
  <si>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</si>
  <si>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</si>
  <si>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</si>
  <si>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</si>
  <si>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</si>
  <si>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</si>
  <si>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</si>
  <si>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</si>
  <si>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</si>
  <si>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</si>
  <si>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</si>
  <si>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</si>
  <si>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</si>
  <si>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</si>
  <si>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</si>
  <si>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</si>
  <si>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</si>
  <si>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</si>
  <si>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</si>
  <si>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</si>
  <si>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</si>
  <si>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</si>
  <si>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</si>
  <si>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</si>
  <si>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</si>
  <si>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</si>
  <si>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</si>
  <si>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</si>
  <si>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</si>
  <si>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</si>
  <si>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</si>
  <si>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</si>
  <si>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</si>
  <si>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</si>
  <si>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</si>
  <si>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</si>
  <si>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</si>
  <si>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</si>
  <si>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</si>
  <si>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</si>
  <si>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</si>
  <si>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</si>
  <si>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</si>
  <si>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</si>
  <si>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</si>
  <si>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</si>
  <si>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</si>
  <si>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</si>
  <si>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</si>
  <si>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</si>
  <si>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</si>
  <si>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</si>
  <si>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</si>
  <si>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</si>
  <si>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</si>
  <si>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</si>
  <si>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</si>
  <si>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</si>
  <si>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</si>
  <si>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</si>
  <si>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</si>
  <si>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</si>
  <si>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</si>
  <si>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</si>
  <si>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</si>
  <si>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</si>
  <si>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</si>
  <si>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</si>
  <si>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</si>
  <si>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</si>
  <si>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</si>
  <si>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</si>
  <si>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</si>
  <si>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</si>
  <si>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</si>
  <si>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</si>
  <si>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</si>
  <si>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</si>
  <si>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</si>
  <si>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</si>
  <si>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</si>
  <si>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</si>
  <si>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</si>
  <si>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</si>
  <si>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</si>
  <si>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</si>
  <si>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</si>
  <si>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</si>
  <si>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</si>
  <si>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</si>
  <si>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</si>
  <si>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</si>
  <si>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</si>
  <si>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</si>
  <si>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</si>
  <si>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</si>
  <si>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</si>
  <si>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</si>
  <si>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</si>
  <si>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</si>
  <si>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</si>
  <si>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</si>
  <si>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</si>
  <si>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</si>
  <si>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</si>
  <si>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</si>
  <si>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</si>
  <si>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</si>
  <si>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</si>
  <si>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</si>
  <si>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</si>
  <si>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</si>
  <si>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</si>
  <si>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</si>
  <si>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</si>
  <si>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</si>
  <si>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</si>
  <si>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</si>
  <si>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</si>
  <si>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</si>
  <si>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</si>
  <si>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</si>
  <si>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</si>
  <si>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</si>
  <si>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</si>
  <si>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</si>
  <si>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</si>
  <si>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</si>
  <si>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</si>
  <si>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</si>
  <si>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</si>
  <si>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</si>
  <si>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</si>
  <si>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</si>
  <si>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</si>
  <si>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</si>
  <si>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</si>
  <si>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</si>
  <si>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</si>
  <si>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</si>
  <si>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</si>
  <si>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</si>
  <si>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</si>
  <si>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</si>
  <si>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</si>
  <si>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</si>
  <si>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</si>
  <si>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</si>
  <si>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</si>
  <si>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</si>
  <si>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</si>
  <si>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</si>
  <si>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</si>
  <si>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</si>
  <si>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</si>
  <si>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</si>
  <si>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</si>
  <si>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</si>
  <si>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</si>
  <si>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</si>
  <si>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</si>
  <si>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</si>
  <si>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</si>
  <si>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</si>
  <si>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</si>
  <si>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</si>
  <si>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</si>
  <si>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</si>
  <si>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</si>
  <si>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</si>
  <si>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</si>
  <si>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</si>
  <si>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</si>
  <si>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</si>
  <si>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</si>
  <si>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</si>
  <si>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</si>
  <si>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</si>
  <si>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</si>
  <si>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</si>
  <si>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</si>
  <si>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</si>
  <si>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</si>
  <si>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</si>
  <si>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</si>
  <si>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</si>
  <si>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</si>
  <si>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</si>
  <si>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</si>
  <si>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</si>
  <si>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</si>
  <si>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</si>
  <si>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</si>
  <si>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</si>
  <si>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</si>
  <si>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</si>
  <si>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</si>
  <si>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</si>
  <si>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</si>
  <si>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</si>
  <si>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</si>
  <si>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</si>
  <si>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</si>
  <si>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</si>
  <si>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</si>
  <si>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</si>
  <si>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</si>
  <si>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</si>
  <si>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</si>
  <si>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</si>
  <si>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</si>
  <si>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</si>
  <si>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</si>
  <si>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</si>
  <si>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</si>
  <si>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</si>
  <si>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</si>
  <si>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</si>
  <si>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</si>
  <si>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</si>
  <si>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</si>
  <si>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</si>
  <si>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</si>
  <si>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</si>
  <si>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</si>
  <si>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</si>
  <si>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</si>
  <si>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</si>
  <si>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</si>
  <si>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</si>
  <si>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</si>
  <si>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</si>
  <si>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</si>
  <si>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</si>
  <si>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</si>
  <si>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</si>
  <si>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</si>
  <si>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</si>
  <si>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</si>
  <si>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</si>
  <si>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</si>
  <si>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</si>
  <si>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</si>
  <si>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</si>
  <si>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</si>
  <si>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</si>
  <si>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</si>
  <si>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</si>
  <si>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</si>
  <si>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</si>
  <si>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</si>
  <si>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</si>
  <si>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</si>
  <si>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</si>
  <si>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</si>
  <si>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</si>
  <si>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</si>
  <si>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</si>
  <si>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</si>
  <si>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</si>
  <si>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</si>
  <si>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</si>
  <si>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</si>
  <si>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</si>
  <si>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</si>
  <si>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</si>
  <si>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</si>
  <si>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</si>
  <si>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</si>
  <si>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</si>
  <si>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</si>
  <si>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</si>
  <si>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</si>
  <si>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</si>
  <si>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</si>
  <si>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</si>
  <si>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</si>
  <si>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</si>
  <si>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</si>
  <si>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</si>
  <si>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</si>
  <si>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</si>
  <si>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</si>
  <si>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</si>
  <si>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</si>
  <si>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</si>
  <si>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</si>
  <si>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</si>
  <si>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</si>
  <si>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</si>
  <si>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</si>
  <si>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</si>
  <si>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</si>
  <si>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</si>
  <si>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</si>
  <si>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</si>
  <si>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</si>
  <si>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</si>
  <si>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</si>
  <si>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</si>
  <si>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</si>
  <si>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</si>
  <si>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</si>
  <si>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</si>
  <si>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</si>
  <si>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</si>
  <si>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</si>
  <si>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</si>
  <si>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</si>
  <si>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</si>
  <si>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</si>
  <si>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</si>
  <si>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</si>
  <si>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</si>
  <si>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</si>
  <si>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</si>
  <si>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</si>
  <si>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</si>
  <si>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</si>
  <si>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</si>
  <si>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</si>
  <si>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</si>
  <si>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</si>
  <si>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</si>
  <si>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</si>
  <si>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</si>
  <si>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</si>
  <si>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</si>
  <si>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</si>
  <si>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</si>
  <si>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</si>
  <si>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</si>
  <si>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</si>
  <si>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</si>
  <si>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</si>
  <si>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</si>
  <si>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</si>
  <si>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</si>
  <si>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</si>
  <si>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</si>
  <si>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</si>
  <si>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</si>
  <si>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</si>
  <si>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</si>
  <si>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</si>
  <si>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</si>
  <si>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</si>
  <si>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</si>
  <si>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</si>
  <si>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</si>
  <si>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</si>
  <si>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</si>
  <si>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</si>
  <si>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</si>
  <si>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</si>
  <si>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</si>
  <si>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</si>
  <si>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</si>
  <si>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</si>
  <si>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</si>
  <si>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</si>
  <si>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</si>
  <si>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</si>
  <si>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</si>
  <si>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</si>
  <si>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</si>
  <si>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</si>
  <si>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</si>
  <si>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</si>
  <si>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</si>
  <si>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</si>
  <si>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</si>
  <si>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</si>
  <si>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</si>
  <si>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</si>
  <si>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</si>
  <si>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</si>
  <si>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</si>
  <si>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</si>
  <si>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</si>
  <si>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</si>
  <si>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</si>
  <si>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</si>
  <si>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</si>
  <si>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</si>
  <si>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</si>
  <si>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</si>
  <si>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</si>
  <si>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</si>
  <si>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</si>
  <si>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</si>
  <si>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</si>
  <si>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</si>
  <si>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</si>
  <si>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</si>
  <si>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</si>
  <si>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</si>
  <si>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</si>
  <si>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</si>
  <si>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</si>
  <si>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</si>
  <si>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</si>
  <si>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</si>
  <si>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</si>
  <si>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</si>
  <si>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</si>
  <si>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</si>
  <si>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</si>
  <si>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</si>
  <si>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</si>
  <si>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</si>
  <si>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</si>
  <si>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</si>
  <si>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</si>
  <si>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</si>
  <si>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</si>
  <si>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</si>
  <si>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</si>
  <si>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</si>
  <si>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</si>
  <si>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</si>
  <si>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</si>
  <si>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</si>
  <si>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</si>
  <si>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</si>
  <si>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</si>
  <si>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</si>
  <si>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</si>
  <si>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</si>
  <si>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</si>
  <si>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</si>
  <si>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</si>
  <si>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</si>
  <si>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</si>
  <si>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</si>
  <si>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</si>
  <si>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</si>
  <si>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</si>
  <si>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</si>
  <si>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</si>
  <si>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</si>
  <si>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</si>
  <si>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</si>
  <si>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</si>
  <si>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</si>
  <si>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</si>
  <si>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</si>
  <si>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</si>
  <si>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</si>
  <si>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</si>
  <si>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</si>
  <si>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</si>
  <si>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</si>
  <si>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</si>
  <si>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</si>
  <si>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</si>
  <si>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</si>
  <si>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</si>
  <si>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</si>
  <si>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</si>
  <si>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</si>
  <si>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</si>
  <si>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</si>
  <si>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</si>
  <si>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</si>
  <si>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</si>
  <si>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</si>
  <si>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</si>
  <si>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</si>
  <si>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</si>
  <si>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</si>
  <si>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</si>
  <si>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</si>
  <si>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</si>
  <si>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</si>
  <si>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</si>
  <si>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</si>
  <si>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</si>
  <si>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</si>
  <si>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</si>
  <si>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</si>
  <si>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</si>
  <si>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</si>
  <si>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</si>
  <si>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</si>
  <si>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</si>
  <si>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</si>
  <si>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</si>
  <si>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</si>
  <si>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</si>
  <si>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</si>
  <si>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</si>
  <si>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</si>
  <si>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</si>
  <si>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</si>
  <si>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</si>
  <si>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</si>
  <si>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</si>
  <si>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</si>
  <si>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</si>
  <si>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</si>
  <si>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</si>
  <si>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</si>
  <si>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</si>
  <si>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</si>
  <si>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</si>
  <si>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</si>
  <si>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</si>
  <si>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</si>
  <si>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</si>
  <si>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</si>
  <si>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</si>
  <si>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</si>
  <si>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</si>
  <si>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</si>
  <si>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</si>
  <si>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</si>
  <si>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</si>
  <si>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</si>
  <si>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</si>
  <si>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</si>
  <si>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</si>
  <si>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</si>
  <si>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</si>
  <si>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</si>
  <si>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</si>
  <si>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</si>
  <si>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</si>
  <si>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</si>
  <si>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</si>
  <si>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</si>
  <si>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</si>
  <si>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</si>
  <si>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</si>
  <si>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</si>
  <si>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</si>
  <si>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</si>
  <si>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</si>
  <si>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</si>
  <si>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</si>
  <si>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</si>
  <si>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</si>
  <si>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</si>
  <si>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</si>
  <si>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</si>
  <si>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</si>
  <si>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</si>
  <si>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</si>
  <si>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</si>
  <si>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</si>
  <si>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</si>
  <si>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</si>
  <si>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</si>
  <si>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</si>
  <si>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</si>
  <si>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</si>
  <si>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</si>
  <si>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</si>
  <si>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</si>
  <si>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</si>
  <si>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</si>
  <si>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</si>
  <si>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</si>
  <si>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</si>
  <si>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</si>
  <si>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</si>
  <si>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</si>
  <si>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</si>
  <si>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</si>
  <si>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</si>
  <si>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</si>
  <si>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</si>
  <si>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</si>
  <si>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</si>
  <si>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</si>
  <si>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</si>
  <si>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</si>
  <si>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</si>
  <si>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</si>
  <si>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</si>
  <si>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</si>
  <si>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</si>
  <si>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</si>
  <si>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</si>
  <si>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</si>
  <si>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</si>
  <si>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</si>
  <si>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</si>
  <si>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</si>
  <si>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</si>
  <si>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</si>
  <si>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</si>
  <si>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</si>
  <si>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</si>
  <si>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</si>
  <si>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</si>
  <si>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</si>
  <si>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</si>
  <si>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</si>
  <si>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</si>
  <si>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</si>
  <si>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</si>
  <si>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</si>
  <si>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</si>
  <si>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</si>
  <si>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</si>
  <si>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</si>
  <si>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</si>
  <si>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</si>
  <si>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</si>
  <si>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</si>
  <si>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</si>
  <si>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</si>
  <si>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</si>
  <si>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</si>
  <si>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</si>
  <si>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</si>
  <si>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</si>
  <si>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</si>
  <si>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</si>
  <si>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</si>
  <si>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</si>
  <si>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</si>
  <si>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</si>
  <si>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</si>
  <si>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</si>
  <si>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</si>
  <si>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</si>
  <si>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</si>
  <si>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</si>
  <si>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</si>
  <si>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</si>
  <si>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</si>
  <si>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</si>
  <si>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</si>
  <si>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</si>
  <si>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</si>
  <si>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</si>
  <si>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</si>
  <si>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</si>
  <si>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</si>
  <si>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</si>
  <si>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</si>
  <si>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</si>
  <si>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</si>
  <si>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</si>
  <si>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</si>
  <si>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</si>
  <si>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</si>
  <si>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</si>
  <si>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</si>
  <si>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</si>
  <si>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</si>
  <si>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</si>
  <si>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</si>
  <si>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</si>
  <si>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</si>
  <si>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</si>
  <si>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</si>
  <si>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</si>
  <si>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</si>
  <si>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</si>
  <si>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</si>
  <si>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</si>
  <si>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</si>
  <si>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</si>
  <si>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</si>
  <si>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</si>
  <si>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</si>
  <si>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</si>
  <si>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</si>
  <si>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</si>
  <si>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</si>
  <si>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</si>
  <si>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</si>
  <si>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</si>
  <si>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</si>
  <si>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</si>
  <si>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</si>
  <si>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</si>
  <si>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</si>
  <si>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</si>
  <si>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</si>
  <si>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</si>
  <si>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</si>
  <si>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</si>
  <si>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</si>
  <si>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</si>
  <si>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</si>
  <si>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</si>
  <si>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</si>
  <si>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</si>
  <si>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</si>
  <si>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</si>
  <si>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</si>
  <si>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</si>
  <si>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</si>
  <si>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</si>
  <si>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</si>
  <si>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</si>
  <si>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</si>
  <si>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</si>
  <si>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</si>
  <si>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</si>
  <si>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</si>
  <si>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</si>
  <si>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</si>
  <si>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</si>
  <si>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</si>
  <si>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</si>
  <si>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</si>
  <si>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</si>
  <si>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</si>
  <si>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</si>
  <si>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</si>
  <si>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</si>
  <si>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</si>
  <si>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</si>
  <si>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</si>
  <si>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</si>
  <si>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</si>
  <si>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</si>
  <si>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</si>
  <si>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</si>
  <si>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</si>
  <si>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</si>
  <si>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</si>
  <si>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</si>
  <si>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</si>
  <si>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</si>
  <si>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</si>
  <si>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</si>
  <si>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</si>
  <si>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</si>
  <si>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</si>
  <si>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</si>
  <si>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</si>
  <si>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</si>
  <si>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</si>
  <si>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</si>
  <si>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</si>
  <si>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</si>
  <si>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</si>
  <si>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</si>
  <si>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</si>
  <si>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</si>
  <si>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</si>
  <si>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</si>
  <si>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</si>
  <si>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</si>
  <si>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</si>
  <si>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</si>
  <si>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</si>
  <si>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</si>
  <si>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</si>
  <si>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</si>
  <si>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</si>
  <si>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</si>
  <si>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</si>
  <si>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</si>
  <si>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</si>
  <si>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</si>
  <si>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</si>
  <si>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</si>
  <si>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</si>
  <si>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</si>
  <si>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</si>
  <si>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</si>
  <si>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</si>
  <si>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</si>
  <si>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</si>
  <si>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</si>
  <si>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</si>
  <si>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</si>
  <si>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</si>
  <si>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</si>
  <si>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</si>
  <si>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</si>
  <si>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</si>
  <si>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</si>
  <si>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</si>
  <si>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</si>
  <si>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</si>
  <si>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</si>
  <si>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</si>
  <si>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</si>
  <si>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</si>
  <si>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</si>
  <si>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</si>
  <si>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</si>
  <si>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</si>
  <si>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</si>
  <si>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</si>
  <si>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</si>
  <si>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</si>
  <si>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</si>
  <si>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</si>
  <si>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</si>
  <si>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</si>
  <si>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</si>
  <si>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</si>
  <si>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</si>
  <si>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</si>
  <si>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</si>
  <si>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</si>
  <si>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</si>
  <si>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</si>
  <si>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</si>
  <si>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</si>
  <si>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</si>
  <si>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</si>
  <si>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</si>
  <si>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</si>
  <si>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</si>
  <si>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</si>
  <si>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</si>
  <si>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</si>
  <si>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</si>
  <si>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</si>
  <si>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</si>
  <si>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</si>
  <si>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</si>
  <si>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</si>
  <si>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</si>
  <si>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</si>
  <si>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</si>
  <si>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</si>
  <si>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</si>
  <si>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</si>
  <si>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</si>
  <si>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</si>
  <si>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</si>
  <si>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</si>
  <si>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</si>
  <si>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</si>
  <si>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</si>
  <si>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</si>
  <si>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</si>
  <si>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</si>
  <si>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</si>
  <si>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</si>
  <si>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</si>
  <si>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</si>
  <si>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</si>
  <si>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</si>
  <si>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</si>
  <si>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</si>
  <si>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</si>
  <si>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</si>
  <si>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</si>
  <si>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</si>
  <si>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</si>
  <si>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</si>
  <si>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</si>
  <si>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</si>
  <si>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</si>
  <si>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</si>
  <si>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</si>
  <si>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</si>
  <si>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</si>
  <si>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</si>
  <si>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</si>
  <si>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</si>
  <si>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</si>
  <si>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</si>
  <si>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</si>
  <si>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</si>
  <si>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</si>
  <si>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</si>
  <si>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</si>
  <si>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</si>
  <si>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</si>
  <si>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</si>
  <si>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</si>
  <si>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</si>
  <si>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</si>
  <si>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</si>
  <si>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</si>
  <si>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</si>
  <si>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</si>
  <si>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</si>
  <si>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</si>
  <si>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</si>
  <si>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</si>
  <si>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</si>
  <si>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</si>
  <si>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</si>
  <si>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</si>
  <si>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</si>
  <si>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</si>
  <si>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</si>
  <si>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</si>
  <si>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</si>
  <si>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</si>
  <si>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</si>
  <si>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</si>
  <si>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</si>
  <si>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</si>
  <si>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</si>
  <si>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</si>
  <si>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</si>
  <si>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</si>
  <si>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</si>
  <si>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</si>
  <si>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</si>
  <si>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</si>
  <si>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</si>
  <si>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</si>
  <si>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</si>
  <si>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</si>
  <si>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</si>
  <si>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</si>
  <si>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</si>
  <si>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</si>
  <si>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</si>
  <si>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</si>
  <si>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</si>
  <si>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</si>
  <si>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</si>
  <si>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</si>
  <si>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</si>
  <si>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</si>
  <si>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</si>
  <si>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</si>
  <si>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</si>
  <si>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</si>
  <si>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</si>
  <si>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</si>
  <si>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</si>
  <si>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</si>
  <si>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</si>
  <si>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</si>
  <si>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</si>
  <si>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</si>
  <si>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</si>
  <si>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</si>
  <si>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</si>
  <si>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</si>
  <si>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</si>
  <si>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</si>
  <si>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</si>
  <si>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</si>
  <si>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</si>
  <si>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</si>
  <si>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</si>
  <si>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</si>
  <si>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</si>
  <si>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</si>
  <si>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</si>
  <si>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</si>
  <si>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</si>
  <si>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</si>
  <si>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</si>
  <si>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</si>
  <si>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</si>
  <si>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</si>
  <si>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</si>
  <si>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</si>
  <si>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</si>
  <si>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</si>
  <si>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</si>
  <si>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</si>
  <si>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</si>
  <si>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</si>
  <si>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</si>
  <si>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</si>
  <si>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</si>
  <si>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</si>
  <si>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</si>
  <si>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</si>
  <si>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</si>
  <si>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</si>
  <si>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</si>
  <si>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</si>
  <si>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</si>
  <si>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</si>
  <si>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</si>
  <si>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</si>
  <si>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</si>
  <si>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</si>
  <si>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</si>
  <si>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</si>
  <si>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</si>
  <si>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</si>
  <si>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</si>
  <si>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</si>
  <si>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</si>
  <si>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</si>
  <si>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</si>
  <si>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</si>
  <si>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</si>
  <si>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</si>
  <si>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</si>
  <si>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</si>
  <si>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</si>
  <si>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</si>
  <si>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</si>
  <si>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</si>
  <si>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</si>
  <si>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</si>
  <si>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</si>
  <si>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</si>
  <si>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</si>
  <si>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</si>
  <si>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</si>
  <si>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</si>
  <si>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</si>
  <si>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</si>
  <si>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</si>
  <si>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</si>
  <si>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</si>
  <si>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</si>
  <si>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</si>
  <si>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</si>
  <si>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</si>
  <si>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</si>
  <si>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</si>
  <si>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</si>
  <si>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</si>
  <si>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</si>
  <si>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</si>
  <si>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</si>
  <si>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</si>
  <si>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</si>
  <si>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</si>
  <si>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</si>
  <si>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</si>
  <si>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</si>
  <si>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</si>
  <si>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</si>
  <si>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</si>
  <si>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</si>
  <si>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</si>
  <si>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</si>
  <si>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</si>
  <si>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</si>
  <si>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</si>
  <si>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</si>
  <si>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</si>
  <si>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</si>
  <si>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</si>
  <si>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</si>
  <si>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</si>
  <si>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</si>
  <si>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</si>
  <si>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</si>
  <si>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</si>
  <si>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</si>
  <si>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</si>
  <si>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</si>
  <si>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</si>
  <si>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</si>
  <si>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</si>
  <si>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</si>
  <si>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</si>
  <si>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</si>
  <si>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</si>
  <si>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</si>
  <si>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</si>
  <si>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</si>
  <si>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</si>
  <si>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</si>
  <si>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</si>
  <si>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</si>
  <si>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</si>
  <si>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</si>
  <si>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</si>
  <si>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</si>
  <si>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</si>
  <si>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</si>
  <si>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</si>
  <si>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</si>
  <si>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</si>
  <si>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</si>
  <si>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</si>
  <si>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</si>
  <si>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</si>
  <si>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</si>
  <si>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</si>
  <si>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</si>
  <si>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</si>
  <si>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</si>
  <si>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</si>
  <si>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</si>
  <si>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</si>
  <si>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</si>
  <si>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</si>
  <si>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</si>
  <si>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</si>
  <si>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</si>
  <si>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</si>
  <si>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</si>
  <si>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</si>
  <si>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</si>
  <si>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</si>
  <si>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</si>
  <si>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</si>
  <si>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</si>
  <si>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</si>
  <si>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</si>
  <si>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</si>
  <si>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</si>
  <si>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</si>
  <si>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</si>
  <si>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</si>
  <si>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</si>
  <si>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</si>
  <si>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</si>
  <si>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</si>
  <si>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</si>
  <si>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</si>
  <si>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</si>
  <si>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</si>
  <si>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</si>
  <si>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</si>
  <si>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</si>
  <si>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</si>
  <si>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</si>
  <si>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</si>
  <si>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</si>
  <si>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</si>
  <si>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</si>
  <si>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</si>
  <si>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</si>
  <si>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</si>
  <si>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</si>
  <si>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</si>
  <si>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</si>
  <si>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</si>
  <si>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</si>
  <si>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</si>
  <si>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</si>
  <si>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</si>
  <si>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</si>
  <si>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</si>
  <si>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</si>
  <si>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</si>
  <si>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</si>
  <si>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</si>
  <si>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</si>
  <si>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</si>
  <si>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</si>
  <si>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</si>
  <si>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</si>
  <si>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</si>
  <si>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</si>
  <si>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</si>
  <si>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</si>
  <si>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</si>
  <si>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</si>
  <si>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</si>
  <si>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</si>
  <si>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</si>
  <si>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</si>
  <si>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</si>
  <si>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</si>
  <si>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</si>
  <si>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</si>
  <si>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</si>
  <si>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</si>
  <si>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</si>
  <si>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</si>
  <si>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</si>
  <si>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</si>
  <si>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</si>
  <si>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</si>
  <si>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</si>
  <si>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</si>
  <si>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</si>
  <si>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</si>
  <si>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</si>
  <si>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</si>
  <si>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</si>
  <si>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</si>
  <si>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</si>
  <si>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</si>
  <si>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</si>
  <si>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</si>
  <si>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</si>
  <si>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</si>
  <si>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</si>
  <si>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</si>
  <si>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</si>
  <si>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</si>
  <si>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</si>
  <si>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</si>
  <si>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</si>
  <si>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</si>
  <si>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</si>
  <si>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</si>
  <si>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</si>
  <si>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</si>
  <si>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</si>
  <si>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</si>
  <si>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</si>
  <si>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</si>
  <si>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</si>
  <si>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</si>
  <si>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</si>
  <si>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</si>
  <si>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</si>
  <si>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</si>
  <si>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</si>
  <si>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</si>
  <si>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</si>
  <si>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</si>
  <si>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</si>
  <si>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</si>
  <si>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</si>
  <si>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</si>
  <si>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</si>
  <si>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</si>
  <si>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</si>
  <si>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</si>
  <si>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</si>
  <si>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</si>
  <si>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</si>
  <si>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</si>
  <si>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</si>
  <si>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</si>
  <si>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</si>
  <si>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</si>
  <si>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</si>
  <si>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</si>
  <si>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</si>
  <si>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</si>
  <si>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</si>
  <si>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</si>
  <si>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</si>
  <si>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</si>
  <si>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</si>
  <si>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</si>
  <si>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</si>
  <si>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</si>
  <si>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</si>
  <si>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</si>
  <si>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</si>
  <si>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</si>
  <si>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</si>
  <si>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</si>
  <si>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</si>
  <si>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</si>
  <si>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</si>
  <si>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</si>
  <si>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</si>
  <si>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</si>
  <si>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</si>
  <si>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</si>
  <si>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</si>
  <si>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</si>
  <si>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</si>
  <si>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</si>
  <si>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</si>
  <si>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</si>
  <si>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</si>
  <si>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</si>
  <si>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</si>
  <si>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</si>
  <si>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</si>
  <si>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</si>
  <si>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</si>
  <si>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</si>
  <si>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</si>
  <si>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</si>
  <si>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</si>
  <si>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</si>
  <si>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</si>
  <si>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</si>
  <si>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</si>
  <si>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</si>
  <si>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</si>
  <si>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</si>
  <si>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</si>
  <si>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</si>
  <si>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</si>
  <si>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</si>
  <si>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</si>
  <si>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</si>
  <si>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</si>
  <si>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</si>
  <si>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</si>
  <si>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</si>
  <si>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</si>
  <si>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</si>
  <si>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</si>
  <si>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</si>
  <si>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</si>
  <si>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</si>
  <si>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</si>
  <si>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</si>
  <si>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</si>
  <si>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</si>
  <si>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</si>
  <si>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</si>
  <si>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</si>
  <si>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</si>
  <si>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</si>
  <si>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</si>
  <si>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</si>
  <si>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</si>
  <si>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</si>
  <si>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</si>
  <si>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</si>
  <si>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</si>
  <si>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</si>
  <si>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</si>
  <si>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</si>
  <si>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</si>
  <si>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</si>
  <si>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</si>
  <si>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</si>
  <si>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</si>
  <si>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</si>
  <si>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</si>
  <si>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</si>
  <si>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</si>
  <si>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</si>
  <si>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</si>
  <si>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</si>
  <si>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</si>
  <si>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</si>
  <si>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</si>
  <si>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</si>
  <si>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</si>
  <si>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</si>
  <si>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</si>
  <si>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</si>
  <si>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</si>
  <si>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</si>
  <si>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</si>
  <si>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</si>
  <si>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</si>
  <si>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</si>
  <si>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</si>
  <si>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</si>
  <si>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</si>
  <si>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</si>
  <si>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</si>
  <si>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</si>
  <si>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</si>
  <si>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</si>
  <si>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</si>
  <si>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</si>
  <si>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</si>
  <si>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</si>
  <si>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</si>
  <si>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</si>
  <si>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</si>
  <si>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</si>
  <si>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</si>
  <si>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</si>
  <si>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</si>
  <si>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</si>
  <si>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</si>
  <si>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</si>
  <si>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</si>
  <si>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</si>
  <si>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</si>
  <si>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</si>
  <si>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</si>
  <si>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</si>
  <si>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</si>
  <si>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</si>
  <si>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</si>
  <si>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</si>
  <si>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</si>
  <si>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</si>
  <si>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</si>
  <si>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</si>
  <si>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</si>
  <si>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</si>
  <si>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</si>
  <si>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</si>
  <si>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</si>
  <si>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</si>
  <si>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</si>
  <si>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</si>
  <si>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</si>
  <si>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</si>
  <si>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</si>
  <si>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</si>
  <si>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</si>
  <si>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</si>
  <si>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</si>
  <si>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</si>
  <si>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</si>
  <si>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</si>
  <si>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</si>
  <si>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</si>
  <si>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</si>
  <si>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</si>
  <si>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</si>
  <si>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</si>
  <si>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</si>
  <si>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</si>
  <si>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</si>
  <si>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</si>
  <si>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</si>
  <si>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</si>
  <si>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</si>
  <si>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</si>
  <si>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</si>
  <si>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</si>
  <si>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</si>
  <si>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</si>
  <si>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</si>
  <si>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</si>
  <si>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</si>
  <si>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</si>
  <si>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</si>
  <si>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</si>
  <si>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</si>
  <si>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</si>
  <si>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</si>
  <si>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</si>
  <si>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</si>
  <si>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</si>
  <si>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</si>
  <si>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</si>
  <si>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</si>
  <si>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</si>
  <si>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</si>
  <si>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</si>
  <si>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</si>
  <si>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</si>
  <si>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</si>
  <si>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</si>
  <si>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</si>
  <si>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</si>
  <si>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</si>
  <si>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</si>
  <si>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</si>
  <si>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</si>
  <si>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</si>
  <si>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</si>
  <si>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</si>
  <si>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</si>
  <si>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</si>
  <si>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</si>
  <si>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</si>
  <si>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</si>
  <si>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</si>
  <si>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</si>
  <si>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</si>
  <si>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</si>
  <si>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</si>
  <si>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</si>
  <si>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</si>
  <si>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</si>
  <si>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</si>
  <si>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</si>
  <si>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</si>
  <si>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</si>
  <si>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</si>
  <si>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</si>
  <si>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</si>
  <si>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</si>
  <si>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</si>
  <si>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</si>
  <si>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</si>
  <si>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</si>
  <si>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</si>
  <si>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</si>
  <si>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</si>
  <si>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</si>
  <si>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</si>
  <si>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</si>
  <si>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</si>
  <si>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</si>
  <si>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</si>
  <si>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</si>
  <si>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</si>
  <si>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</si>
  <si>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</si>
  <si>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</si>
  <si>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</si>
  <si>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</si>
  <si>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</si>
  <si>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</si>
  <si>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</si>
  <si>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</si>
  <si>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</si>
  <si>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</si>
  <si>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</si>
  <si>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</si>
  <si>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</si>
  <si>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</si>
  <si>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</si>
  <si>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</si>
  <si>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</si>
  <si>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</si>
  <si>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</si>
  <si>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</si>
  <si>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</si>
  <si>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</si>
  <si>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</si>
  <si>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</si>
  <si>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</si>
  <si>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</si>
  <si>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</si>
  <si>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</si>
  <si>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</si>
  <si>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</si>
  <si>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</si>
  <si>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</si>
  <si>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</si>
  <si>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</si>
  <si>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</si>
  <si>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</si>
  <si>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</si>
  <si>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</si>
  <si>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</si>
  <si>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</si>
  <si>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</si>
  <si>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</si>
  <si>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</si>
  <si>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</si>
  <si>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</si>
  <si>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</si>
  <si>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</si>
  <si>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</si>
  <si>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</si>
  <si>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</si>
  <si>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</si>
  <si>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</si>
  <si>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</si>
  <si>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</si>
  <si>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</si>
  <si>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</si>
  <si>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</si>
  <si>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</si>
  <si>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</si>
  <si>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</si>
  <si>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</si>
  <si>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</si>
  <si>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</si>
  <si>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</si>
  <si>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</si>
  <si>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</si>
  <si>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</si>
  <si>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</si>
  <si>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</si>
  <si>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</si>
  <si>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</si>
  <si>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</si>
  <si>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</si>
  <si>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</si>
  <si>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</si>
  <si>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</si>
  <si>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</si>
  <si>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</si>
  <si>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</si>
  <si>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</si>
  <si>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</si>
  <si>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</si>
  <si>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</si>
  <si>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</si>
  <si>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</si>
  <si>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</si>
  <si>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</si>
  <si>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</si>
  <si>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</si>
  <si>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</si>
  <si>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</si>
  <si>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</si>
  <si>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</si>
  <si>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</si>
  <si>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</si>
  <si>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</si>
  <si>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</si>
  <si>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</si>
  <si>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</si>
  <si>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</si>
  <si>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</si>
  <si>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</si>
  <si>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</si>
  <si>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</si>
  <si>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</si>
  <si>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</si>
  <si>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</si>
  <si>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</si>
  <si>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</si>
  <si>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</si>
  <si>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</si>
  <si>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</si>
  <si>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</si>
  <si>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</si>
  <si>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</si>
  <si>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</si>
  <si>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</si>
  <si>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</si>
  <si>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</si>
  <si>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</si>
  <si>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</si>
  <si>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</si>
  <si>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</si>
  <si>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</si>
  <si>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</si>
  <si>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</si>
  <si>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</si>
  <si>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</si>
  <si>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</si>
  <si>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</si>
  <si>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</si>
  <si>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</si>
  <si>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</si>
  <si>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</si>
  <si>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</si>
  <si>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</si>
  <si>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</si>
  <si>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</si>
  <si>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</si>
  <si>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</si>
  <si>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</si>
  <si>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</si>
  <si>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</si>
  <si>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</si>
  <si>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</si>
  <si>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</si>
  <si>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</si>
  <si>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</si>
  <si>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</si>
  <si>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</si>
  <si>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</si>
  <si>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</si>
  <si>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</si>
  <si>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</si>
  <si>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</si>
  <si>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</si>
  <si>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</si>
  <si>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</si>
  <si>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</si>
  <si>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</si>
  <si>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</si>
  <si>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</si>
  <si>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</si>
  <si>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</si>
  <si>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</si>
  <si>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</si>
  <si>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</si>
  <si>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</si>
  <si>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</si>
  <si>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</si>
  <si>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</si>
  <si>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</si>
  <si>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</si>
  <si>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</si>
  <si>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</si>
  <si>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</si>
  <si>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</si>
  <si>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</si>
  <si>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</si>
  <si>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</si>
  <si>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</si>
  <si>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</si>
  <si>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</si>
  <si>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</si>
  <si>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</si>
  <si>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</si>
  <si>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</si>
  <si>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</si>
  <si>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</si>
  <si>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</si>
  <si>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</si>
  <si>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</si>
  <si>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</si>
  <si>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</si>
  <si>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</si>
  <si>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</si>
  <si>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</si>
  <si>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</si>
  <si>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</si>
  <si>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</si>
  <si>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</si>
  <si>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</si>
  <si>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</si>
  <si>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</si>
  <si>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</si>
  <si>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</si>
  <si>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</si>
  <si>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</si>
  <si>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</si>
  <si>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</si>
  <si>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</si>
  <si>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</si>
  <si>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</si>
  <si>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</si>
  <si>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</si>
  <si>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</si>
  <si>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</si>
  <si>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</si>
  <si>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</si>
  <si>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</si>
  <si>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</si>
  <si>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</si>
  <si>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</si>
  <si>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</si>
  <si>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</si>
  <si>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</si>
  <si>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</si>
  <si>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</si>
  <si>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</si>
  <si>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</si>
  <si>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</si>
  <si>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</si>
  <si>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</si>
  <si>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</si>
  <si>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</si>
  <si>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</si>
  <si>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</si>
  <si>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</si>
  <si>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</si>
  <si>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</si>
  <si>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</si>
  <si>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</si>
  <si>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</si>
  <si>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</si>
  <si>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</si>
  <si>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</si>
  <si>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</si>
  <si>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</si>
  <si>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</si>
  <si>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</si>
  <si>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</si>
  <si>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</si>
  <si>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</si>
  <si>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</si>
  <si>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</si>
  <si>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</si>
  <si>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</si>
  <si>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</si>
  <si>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</si>
  <si>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</si>
  <si>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</si>
  <si>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</si>
  <si>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</si>
  <si>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</si>
  <si>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</si>
  <si>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</si>
  <si>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</si>
  <si>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</si>
  <si>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</si>
  <si>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</si>
  <si>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</si>
  <si>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</si>
  <si>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</si>
  <si>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</si>
  <si>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</si>
  <si>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</si>
  <si>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</si>
  <si>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</si>
  <si>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</si>
  <si>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</si>
  <si>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</si>
  <si>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</si>
  <si>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</si>
  <si>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</si>
  <si>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</si>
  <si>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</si>
  <si>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</si>
  <si>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</si>
  <si>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</si>
  <si>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</si>
  <si>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</si>
  <si>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</si>
  <si>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</si>
  <si>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</si>
  <si>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</si>
  <si>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</si>
  <si>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</si>
  <si>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</si>
  <si>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</si>
  <si>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</si>
  <si>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</si>
  <si>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</si>
  <si>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</si>
  <si>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</si>
  <si>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</si>
  <si>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</si>
  <si>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</si>
  <si>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</si>
  <si>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</si>
  <si>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</si>
  <si>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</si>
  <si>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</si>
  <si>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</si>
  <si>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</si>
  <si>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</si>
  <si>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</si>
  <si>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</si>
  <si>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</si>
  <si>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</si>
  <si>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</si>
  <si>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</si>
  <si>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</si>
  <si>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</si>
  <si>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</si>
  <si>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</si>
  <si>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</si>
  <si>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</si>
  <si>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</si>
  <si>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</si>
  <si>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</si>
  <si>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</si>
  <si>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</si>
  <si>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</si>
  <si>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</si>
  <si>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</si>
  <si>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</si>
  <si>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</si>
  <si>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</si>
  <si>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</si>
  <si>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</si>
  <si>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</si>
  <si>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</si>
  <si>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</si>
  <si>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</si>
  <si>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</si>
  <si>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</si>
  <si>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</si>
  <si>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</si>
  <si>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</si>
  <si>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</si>
  <si>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</si>
  <si>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</si>
  <si>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</si>
  <si>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</si>
  <si>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</si>
  <si>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</si>
  <si>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</si>
  <si>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</si>
  <si>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</si>
  <si>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</si>
  <si>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</si>
  <si>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</si>
  <si>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</si>
  <si>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</si>
  <si>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</si>
  <si>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</si>
  <si>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</si>
  <si>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</si>
  <si>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</si>
  <si>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</si>
  <si>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</si>
  <si>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</si>
  <si>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</si>
  <si>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</si>
  <si>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</si>
  <si>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</si>
  <si>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</si>
  <si>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</si>
  <si>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</si>
  <si>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</si>
  <si>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</si>
  <si>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</si>
  <si>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</si>
  <si>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</si>
  <si>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</si>
  <si>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</si>
  <si>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</si>
  <si>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</si>
  <si>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</si>
  <si>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</si>
  <si>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</si>
  <si>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</si>
  <si>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</si>
  <si>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</si>
  <si>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</si>
  <si>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</si>
  <si>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</si>
  <si>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</si>
  <si>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</si>
  <si>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</si>
  <si>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</si>
  <si>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</si>
  <si>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</si>
  <si>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</si>
  <si>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</si>
  <si>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</si>
  <si>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</si>
  <si>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</si>
  <si>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</si>
  <si>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</si>
  <si>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</si>
  <si>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</si>
  <si>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</si>
  <si>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</si>
  <si>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</si>
  <si>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</si>
  <si>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</si>
  <si>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</si>
  <si>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</si>
  <si>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</si>
  <si>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</si>
  <si>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</si>
  <si>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</si>
  <si>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</si>
  <si>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</si>
  <si>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</si>
  <si>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</si>
  <si>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</si>
  <si>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</si>
  <si>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</si>
  <si>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</si>
  <si>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</si>
  <si>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</si>
  <si>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</si>
  <si>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</si>
  <si>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</si>
  <si>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</si>
  <si>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</si>
  <si>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</si>
  <si>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</si>
  <si>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</si>
  <si>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</si>
  <si>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</si>
  <si>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</si>
  <si>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</si>
  <si>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</si>
  <si>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</si>
  <si>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</si>
  <si>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</si>
  <si>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</si>
  <si>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</si>
  <si>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</si>
  <si>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</si>
  <si>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</si>
  <si>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</si>
  <si>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</si>
  <si>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</si>
  <si>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</si>
  <si>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</si>
  <si>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</si>
  <si>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</si>
  <si>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</si>
  <si>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</si>
  <si>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</si>
  <si>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</si>
  <si>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</si>
  <si>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</si>
  <si>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</si>
  <si>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</si>
  <si>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</si>
  <si>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</si>
  <si>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</si>
  <si>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</si>
  <si>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</si>
  <si>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</si>
  <si>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</si>
  <si>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</si>
  <si>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</si>
  <si>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</si>
  <si>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</si>
  <si>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</si>
  <si>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</si>
  <si>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</si>
  <si>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</si>
  <si>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</si>
  <si>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</si>
  <si>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</si>
  <si>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</si>
  <si>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</si>
  <si>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</si>
  <si>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</si>
  <si>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</si>
  <si>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</si>
  <si>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</si>
  <si>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</si>
  <si>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</si>
  <si>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</si>
  <si>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</si>
  <si>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</si>
  <si>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</si>
  <si>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</si>
  <si>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</si>
  <si>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</si>
  <si>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</si>
  <si>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</si>
  <si>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</si>
  <si>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</si>
  <si>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</si>
  <si>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</si>
  <si>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</si>
  <si>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</si>
  <si>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</si>
  <si>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</si>
  <si>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</si>
  <si>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</si>
  <si>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</si>
  <si>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</si>
  <si>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</si>
  <si>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</si>
  <si>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</si>
  <si>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</si>
  <si>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</si>
  <si>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</si>
  <si>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</si>
  <si>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</si>
  <si>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</si>
  <si>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</si>
  <si>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</si>
  <si>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</si>
  <si>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</si>
  <si>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</si>
  <si>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</si>
  <si>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</si>
  <si>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</si>
  <si>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</si>
  <si>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</si>
  <si>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</si>
  <si>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</si>
  <si>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</si>
  <si>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</si>
  <si>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</si>
  <si>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</si>
  <si>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</si>
  <si>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</si>
  <si>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</si>
  <si>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</si>
  <si>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</si>
  <si>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</si>
  <si>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</si>
  <si>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</si>
  <si>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</si>
  <si>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</si>
  <si>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</si>
  <si>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</si>
  <si>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</si>
  <si>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</si>
  <si>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</si>
  <si>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</si>
  <si>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</si>
  <si>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</si>
  <si>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</si>
  <si>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</si>
  <si>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</si>
  <si>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</si>
  <si>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</si>
  <si>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</si>
  <si>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</si>
  <si>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</si>
  <si>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</si>
  <si>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</si>
  <si>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</si>
  <si>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</si>
  <si>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</si>
  <si>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</si>
  <si>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</si>
  <si>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</si>
  <si>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</si>
  <si>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</si>
  <si>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</si>
  <si>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</si>
  <si>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</si>
  <si>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</si>
  <si>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</si>
  <si>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</si>
  <si>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</si>
  <si>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</si>
  <si>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</si>
  <si>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</si>
  <si>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</si>
  <si>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</si>
  <si>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</si>
  <si>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</si>
  <si>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</si>
  <si>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</si>
  <si>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</si>
  <si>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</si>
  <si>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</si>
  <si>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</si>
  <si>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</si>
  <si>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</si>
  <si>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</si>
  <si>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</si>
  <si>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</si>
  <si>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</si>
  <si>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</si>
  <si>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</si>
  <si>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</si>
  <si>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</si>
  <si>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</si>
  <si>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</si>
  <si>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</si>
  <si>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</si>
  <si>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</si>
  <si>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</si>
  <si>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</si>
  <si>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</si>
  <si>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</si>
  <si>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</si>
  <si>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</si>
  <si>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</si>
  <si>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</si>
  <si>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</si>
  <si>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</si>
  <si>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</si>
  <si>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</si>
  <si>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</si>
  <si>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</si>
  <si>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</si>
  <si>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</si>
  <si>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</si>
  <si>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</si>
  <si>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</si>
  <si>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</si>
  <si>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</si>
  <si>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</si>
  <si>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</si>
  <si>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</si>
  <si>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</si>
  <si>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</si>
  <si>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</si>
  <si>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</si>
  <si>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</si>
  <si>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</si>
  <si>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</si>
  <si>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</si>
  <si>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</si>
  <si>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</si>
  <si>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</si>
  <si>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</si>
  <si>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</si>
  <si>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</si>
  <si>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</si>
  <si>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</si>
  <si>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</si>
  <si>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</si>
  <si>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</si>
  <si>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</si>
  <si>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</si>
  <si>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</si>
  <si>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</si>
  <si>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</si>
  <si>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</si>
  <si>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</si>
  <si>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</si>
  <si>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</si>
  <si>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</si>
  <si>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</si>
  <si>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</si>
  <si>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</si>
  <si>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</si>
  <si>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</si>
  <si>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</si>
  <si>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</si>
  <si>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</si>
  <si>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</si>
  <si>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</si>
  <si>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</si>
  <si>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</si>
  <si>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</si>
  <si>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</si>
  <si>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</si>
  <si>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</si>
  <si>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</si>
  <si>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</si>
  <si>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</si>
  <si>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</si>
  <si>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</si>
  <si>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</si>
  <si>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</si>
  <si>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</si>
  <si>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</si>
  <si>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</si>
  <si>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</si>
  <si>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</si>
  <si>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</si>
  <si>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</si>
  <si>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</si>
  <si>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</si>
  <si>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</si>
  <si>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</si>
  <si>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</si>
  <si>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</si>
  <si>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</si>
  <si>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</si>
  <si>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</si>
  <si>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</si>
  <si>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</si>
  <si>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</si>
  <si>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</si>
  <si>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</si>
  <si>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</si>
  <si>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</si>
  <si>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</si>
  <si>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</si>
  <si>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</si>
  <si>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</si>
  <si>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</si>
  <si>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</si>
  <si>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</si>
  <si>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</si>
  <si>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</si>
  <si>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</si>
  <si>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</si>
  <si>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</si>
  <si>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</si>
  <si>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</si>
  <si>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</si>
  <si>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</si>
  <si>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</si>
  <si>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</si>
  <si>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</si>
  <si>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</si>
  <si>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</si>
  <si>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</si>
  <si>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</si>
  <si>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</si>
  <si>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</si>
  <si>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</si>
  <si>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</si>
  <si>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</si>
  <si>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</si>
  <si>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</si>
  <si>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</si>
  <si>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</si>
  <si>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</si>
  <si>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</si>
  <si>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</si>
  <si>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</si>
  <si>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</si>
  <si>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</si>
  <si>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</si>
  <si>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</si>
  <si>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</si>
  <si>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</si>
  <si>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</si>
  <si>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</si>
  <si>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</si>
  <si>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</si>
  <si>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</si>
  <si>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</si>
  <si>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</si>
  <si>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</si>
  <si>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</si>
  <si>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</si>
  <si>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</si>
  <si>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</si>
  <si>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</si>
  <si>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</si>
  <si>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</si>
  <si>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</si>
  <si>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</si>
  <si>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</si>
  <si>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</si>
  <si>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</si>
  <si>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</si>
  <si>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</si>
  <si>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</si>
  <si>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</si>
  <si>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</si>
  <si>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</si>
  <si>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</si>
  <si>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</si>
  <si>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</si>
  <si>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</si>
  <si>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</si>
  <si>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</si>
  <si>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</si>
  <si>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</si>
  <si>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</si>
  <si>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</si>
  <si>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</si>
  <si>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</si>
  <si>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</si>
  <si>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</si>
  <si>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</si>
  <si>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</si>
  <si>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</si>
  <si>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</si>
  <si>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</si>
  <si>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</si>
  <si>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</si>
  <si>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</si>
  <si>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</si>
  <si>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</si>
  <si>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</si>
  <si>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</si>
  <si>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</si>
  <si>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</si>
  <si>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</si>
  <si>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</si>
  <si>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</si>
  <si>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</si>
  <si>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</si>
  <si>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</si>
  <si>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</si>
  <si>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</si>
  <si>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</si>
  <si>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</si>
  <si>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</si>
  <si>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</si>
  <si>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</si>
  <si>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</si>
  <si>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</si>
  <si>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</si>
  <si>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</si>
  <si>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</si>
  <si>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</si>
  <si>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</si>
  <si>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</si>
  <si>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</si>
  <si>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</si>
  <si>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</si>
  <si>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</si>
  <si>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</si>
  <si>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</si>
  <si>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</si>
  <si>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</si>
  <si>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</si>
  <si>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</si>
  <si>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</si>
  <si>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</si>
  <si>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</si>
  <si>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</si>
  <si>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</si>
  <si>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</si>
  <si>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</si>
  <si>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</si>
  <si>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</si>
  <si>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</si>
  <si>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</si>
  <si>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</si>
  <si>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</si>
  <si>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</si>
  <si>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</si>
  <si>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</si>
  <si>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</si>
  <si>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</si>
  <si>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</si>
  <si>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</si>
  <si>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</si>
  <si>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</si>
  <si>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</si>
  <si>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</si>
  <si>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</si>
  <si>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</si>
  <si>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</si>
  <si>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</si>
  <si>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</si>
  <si>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</si>
  <si>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</si>
  <si>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</si>
  <si>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</si>
  <si>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</si>
  <si>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</si>
  <si>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</si>
  <si>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</si>
  <si>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</si>
  <si>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</si>
  <si>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</si>
  <si>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</si>
  <si>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</si>
  <si>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</si>
  <si>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</si>
  <si>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</si>
  <si>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</si>
  <si>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</si>
  <si>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</si>
  <si>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</si>
  <si>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</si>
  <si>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</si>
  <si>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</si>
  <si>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</si>
  <si>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</si>
  <si>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</si>
  <si>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</si>
  <si>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</si>
  <si>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</si>
  <si>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</si>
  <si>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</si>
  <si>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</si>
  <si>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</si>
  <si>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</si>
  <si>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</si>
  <si>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</si>
  <si>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</si>
  <si>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</si>
  <si>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</si>
  <si>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</si>
  <si>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</si>
  <si>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</si>
  <si>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</si>
  <si>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</si>
  <si>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</si>
  <si>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</si>
  <si>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</si>
  <si>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</si>
  <si>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</si>
  <si>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</si>
  <si>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</si>
  <si>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</si>
  <si>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</si>
  <si>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</si>
  <si>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</si>
  <si>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</si>
  <si>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</si>
  <si>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</si>
  <si>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</si>
  <si>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</si>
  <si>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</si>
  <si>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</si>
  <si>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</si>
  <si>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</si>
  <si>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</si>
  <si>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</si>
  <si>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</si>
  <si>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</si>
  <si>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</si>
  <si>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</si>
  <si>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</si>
  <si>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</si>
  <si>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</si>
  <si>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</si>
  <si>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</si>
  <si>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</si>
  <si>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</si>
  <si>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</si>
  <si>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</si>
  <si>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</si>
  <si>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</si>
  <si>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</si>
  <si>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</si>
  <si>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</si>
  <si>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</si>
  <si>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</si>
  <si>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</si>
  <si>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</si>
  <si>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</si>
  <si>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</si>
  <si>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</si>
  <si>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</si>
  <si>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</si>
  <si>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</si>
  <si>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</si>
  <si>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</si>
  <si>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</si>
  <si>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</si>
  <si>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</si>
  <si>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</si>
  <si>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</si>
  <si>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</si>
  <si>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</si>
  <si>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</si>
  <si>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</si>
  <si>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</si>
  <si>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</si>
  <si>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</si>
  <si>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</si>
  <si>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</si>
  <si>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</si>
  <si>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</si>
  <si>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</si>
  <si>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</si>
  <si>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</si>
  <si>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</si>
  <si>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</si>
  <si>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</si>
  <si>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</si>
  <si>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</si>
  <si>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</si>
  <si>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</si>
  <si>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</si>
  <si>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</si>
  <si>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</si>
  <si>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</si>
  <si>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</si>
  <si>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</si>
  <si>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</si>
  <si>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</si>
  <si>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</si>
  <si>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</si>
  <si>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</si>
  <si>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</si>
  <si>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</si>
  <si>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</si>
  <si>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</si>
  <si>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</si>
  <si>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</si>
  <si>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</si>
  <si>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</si>
  <si>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</si>
  <si>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</si>
  <si>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</si>
  <si>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</si>
  <si>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</si>
  <si>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</si>
  <si>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</si>
  <si>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</si>
  <si>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</si>
  <si>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</si>
  <si>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</si>
  <si>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</si>
  <si>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</si>
  <si>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</si>
  <si>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</si>
  <si>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</si>
  <si>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</si>
  <si>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</si>
  <si>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</si>
  <si>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</si>
  <si>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</si>
  <si>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</si>
  <si>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</si>
  <si>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</si>
  <si>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</si>
  <si>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</si>
  <si>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</si>
  <si>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</si>
  <si>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</si>
  <si>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</si>
  <si>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</si>
  <si>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</si>
  <si>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</si>
  <si>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</si>
  <si>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</si>
  <si>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</si>
  <si>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</si>
  <si>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</si>
  <si>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</si>
  <si>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</si>
  <si>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</si>
  <si>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</si>
  <si>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</si>
  <si>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</si>
  <si>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</si>
  <si>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</si>
  <si>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</si>
  <si>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</si>
  <si>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</si>
  <si>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</si>
  <si>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</si>
  <si>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</si>
  <si>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</si>
  <si>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</si>
  <si>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</si>
  <si>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</si>
  <si>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</si>
  <si>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</si>
  <si>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</si>
  <si>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</si>
  <si>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</si>
  <si>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</si>
  <si>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</si>
  <si>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</si>
  <si>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</si>
  <si>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</si>
  <si>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</si>
  <si>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</si>
  <si>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</si>
  <si>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</si>
  <si>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</si>
  <si>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</si>
  <si>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</si>
  <si>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</si>
  <si>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</si>
  <si>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</si>
  <si>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</si>
  <si>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</si>
  <si>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</si>
  <si>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</si>
  <si>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</si>
  <si>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</si>
  <si>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</si>
  <si>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</si>
  <si>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</si>
  <si>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</si>
  <si>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</si>
  <si>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</si>
  <si>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</si>
  <si>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</si>
  <si>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</si>
  <si>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</si>
  <si>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</si>
  <si>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</si>
  <si>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</si>
  <si>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</si>
  <si>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</si>
  <si>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</si>
  <si>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</si>
  <si>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</si>
  <si>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</si>
  <si>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</si>
  <si>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</si>
  <si>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</si>
  <si>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</si>
  <si>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</si>
  <si>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</si>
  <si>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</si>
  <si>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</si>
  <si>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</si>
  <si>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</si>
  <si>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</si>
  <si>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</si>
  <si>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</si>
  <si>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</si>
  <si>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</si>
  <si>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</si>
  <si>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</si>
  <si>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</si>
  <si>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</si>
  <si>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</si>
  <si>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</si>
  <si>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</si>
  <si>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</si>
  <si>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</si>
  <si>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</si>
  <si>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</si>
  <si>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</si>
  <si>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</si>
  <si>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</si>
  <si>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</si>
  <si>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</si>
  <si>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</si>
  <si>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</si>
  <si>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</si>
  <si>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</si>
  <si>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</si>
  <si>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</si>
  <si>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</si>
  <si>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</si>
  <si>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</si>
  <si>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</si>
  <si>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</si>
  <si>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</si>
  <si>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</si>
  <si>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</si>
  <si>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</si>
  <si>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</si>
  <si>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</si>
  <si>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</si>
  <si>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</si>
  <si>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</si>
  <si>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</si>
  <si>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</si>
  <si>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</si>
  <si>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</si>
  <si>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</si>
  <si>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</si>
  <si>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</si>
  <si>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</si>
  <si>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</si>
  <si>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</si>
  <si>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</si>
  <si>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</si>
  <si>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</si>
  <si>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</si>
  <si>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</si>
  <si>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</si>
  <si>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</si>
  <si>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</si>
  <si>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</si>
  <si>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</si>
  <si>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</si>
  <si>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</si>
  <si>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</si>
  <si>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</si>
  <si>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</si>
  <si>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</si>
  <si>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</si>
  <si>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</si>
  <si>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</si>
  <si>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</si>
  <si>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</si>
  <si>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</si>
  <si>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</si>
  <si>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</si>
  <si>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</si>
  <si>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</si>
  <si>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</si>
  <si>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</si>
  <si>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</si>
  <si>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</si>
  <si>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</si>
  <si>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</si>
  <si>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</si>
  <si>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</si>
  <si>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</si>
  <si>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</si>
  <si>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</si>
  <si>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</si>
  <si>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</si>
  <si>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</si>
  <si>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</si>
  <si>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</si>
  <si>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</si>
  <si>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</si>
  <si>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</si>
  <si>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</si>
  <si>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</si>
  <si>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</si>
  <si>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</si>
  <si>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</si>
  <si>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</si>
  <si>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</si>
  <si>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</si>
  <si>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</si>
  <si>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</si>
  <si>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</si>
  <si>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</si>
  <si>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</si>
  <si>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</si>
  <si>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</si>
  <si>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</si>
  <si>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</si>
  <si>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</si>
  <si>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</si>
  <si>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</si>
  <si>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</si>
  <si>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</si>
  <si>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</si>
  <si>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</si>
  <si>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</si>
  <si>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</si>
  <si>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</si>
  <si>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</si>
  <si>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</si>
  <si>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</si>
  <si>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</si>
  <si>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</si>
  <si>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</si>
  <si>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</si>
  <si>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</si>
  <si>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</si>
  <si>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</si>
  <si>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</si>
  <si>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</si>
  <si>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</si>
  <si>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</si>
  <si>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</si>
  <si>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</si>
  <si>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</si>
  <si>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</si>
  <si>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</si>
  <si>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</si>
  <si>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</si>
  <si>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</si>
  <si>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</si>
  <si>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</si>
  <si>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</si>
  <si>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</si>
  <si>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</si>
  <si>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</si>
  <si>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</si>
  <si>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</si>
  <si>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</si>
  <si>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</si>
  <si>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</si>
  <si>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</si>
  <si>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</si>
  <si>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</si>
  <si>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</si>
  <si>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</si>
  <si>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</si>
  <si>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</si>
  <si>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</si>
  <si>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</si>
  <si>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</si>
  <si>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</si>
  <si>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</si>
  <si>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</si>
  <si>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</si>
  <si>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</si>
  <si>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</si>
  <si>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</si>
  <si>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</si>
  <si>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</si>
  <si>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</si>
  <si>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</si>
  <si>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</si>
  <si>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</si>
  <si>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</si>
  <si>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</si>
  <si>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</si>
  <si>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</si>
  <si>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</si>
  <si>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</si>
  <si>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</si>
  <si>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</si>
  <si>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</si>
  <si>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</si>
  <si>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</si>
  <si>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</si>
  <si>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</si>
  <si>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</si>
  <si>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</si>
  <si>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</si>
  <si>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</si>
  <si>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</si>
  <si>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</si>
  <si>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</si>
  <si>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</si>
  <si>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</si>
  <si>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</si>
  <si>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</si>
  <si>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</si>
  <si>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</si>
  <si>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</si>
  <si>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</si>
  <si>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</si>
  <si>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</si>
  <si>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</si>
  <si>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</si>
  <si>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</si>
  <si>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</si>
  <si>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</si>
  <si>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</si>
  <si>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</si>
  <si>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</si>
  <si>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</si>
  <si>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</si>
  <si>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</si>
  <si>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</si>
  <si>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</si>
  <si>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</si>
  <si>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</si>
  <si>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</si>
  <si>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</si>
  <si>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</si>
  <si>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</si>
  <si>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</si>
  <si>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</si>
  <si>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</si>
  <si>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</si>
  <si>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</si>
  <si>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</si>
  <si>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</si>
  <si>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</si>
  <si>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</si>
  <si>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</si>
  <si>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</si>
  <si>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</si>
  <si>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</si>
  <si>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</si>
  <si>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</si>
  <si>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</si>
  <si>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</si>
  <si>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</si>
  <si>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</si>
  <si>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</si>
  <si>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</si>
  <si>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</si>
  <si>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</si>
  <si>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</si>
  <si>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</si>
  <si>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</si>
  <si>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</si>
  <si>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</si>
  <si>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</si>
  <si>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</si>
  <si>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</si>
  <si>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</si>
  <si>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</si>
  <si>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</si>
  <si>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</si>
  <si>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</si>
  <si>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</si>
  <si>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</si>
  <si>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</si>
  <si>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</si>
  <si>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</si>
  <si>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</si>
  <si>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</si>
  <si>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</si>
  <si>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</si>
  <si>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</si>
  <si>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</si>
  <si>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</si>
  <si>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</si>
  <si>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</si>
  <si>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</si>
  <si>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</si>
  <si>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</si>
  <si>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</si>
  <si>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</si>
  <si>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</si>
  <si>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</si>
  <si>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</si>
  <si>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</si>
  <si>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</si>
  <si>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</si>
  <si>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</si>
  <si>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</si>
  <si>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</si>
  <si>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</si>
  <si>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</si>
  <si>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</si>
  <si>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</si>
  <si>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</si>
  <si>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</si>
  <si>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</si>
  <si>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</si>
  <si>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</si>
  <si>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</si>
  <si>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</si>
  <si>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</si>
  <si>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</si>
  <si>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</si>
  <si>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</si>
  <si>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</si>
  <si>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</si>
  <si>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</si>
  <si>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</si>
  <si>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</si>
  <si>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</si>
  <si>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</si>
  <si>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</si>
  <si>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</si>
  <si>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</si>
  <si>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</si>
  <si>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</si>
  <si>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</si>
  <si>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</si>
  <si>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</si>
  <si>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</si>
  <si>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</si>
  <si>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</si>
  <si>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</si>
  <si>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</si>
  <si>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</si>
  <si>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</si>
  <si>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</si>
  <si>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</si>
  <si>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</si>
  <si>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</si>
  <si>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</si>
  <si>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</si>
  <si>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</si>
  <si>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</si>
  <si>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</si>
  <si>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</si>
  <si>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</si>
  <si>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</si>
  <si>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</si>
  <si>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</si>
  <si>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</si>
  <si>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</si>
  <si>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</si>
  <si>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</si>
  <si>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</si>
  <si>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</si>
  <si>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</si>
  <si>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</si>
  <si>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</si>
  <si>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</si>
  <si>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</si>
  <si>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</si>
  <si>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</si>
  <si>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</si>
  <si>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</si>
  <si>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</si>
  <si>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</si>
  <si>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</si>
  <si>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</si>
  <si>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</si>
  <si>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</si>
  <si>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</si>
  <si>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</si>
  <si>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</si>
  <si>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</si>
  <si>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</si>
  <si>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</si>
  <si>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</si>
  <si>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</si>
  <si>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</si>
  <si>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</si>
  <si>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</si>
  <si>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</si>
  <si>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</si>
  <si>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</si>
  <si>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</si>
  <si>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</si>
  <si>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</si>
  <si>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</si>
  <si>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</si>
  <si>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</si>
  <si>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</si>
  <si>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</si>
  <si>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</si>
  <si>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</si>
  <si>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</si>
  <si>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</si>
  <si>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</si>
  <si>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</si>
  <si>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</si>
  <si>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</si>
  <si>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</si>
  <si>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</si>
  <si>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</si>
  <si>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</si>
  <si>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</si>
  <si>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</si>
  <si>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</si>
  <si>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</si>
  <si>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</si>
  <si>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</si>
  <si>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</si>
  <si>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</si>
  <si>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</si>
  <si>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</si>
  <si>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</si>
  <si>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</si>
  <si>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</si>
  <si>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</si>
  <si>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</si>
  <si>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</si>
  <si>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</si>
  <si>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</si>
  <si>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</si>
  <si>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</si>
  <si>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</si>
  <si>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</si>
  <si>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</si>
  <si>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</si>
  <si>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</si>
  <si>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</si>
  <si>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</si>
  <si>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</si>
  <si>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</si>
  <si>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</si>
  <si>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</si>
  <si>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</si>
  <si>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</si>
  <si>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</si>
  <si>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</si>
  <si>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</si>
  <si>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</si>
  <si>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</si>
  <si>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</si>
  <si>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</si>
  <si>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</si>
  <si>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</si>
  <si>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</si>
  <si>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</si>
  <si>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</si>
  <si>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</si>
  <si>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</si>
  <si>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</si>
  <si>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</si>
  <si>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</si>
  <si>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</si>
  <si>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</si>
  <si>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</si>
  <si>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</si>
  <si>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</si>
  <si>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</si>
  <si>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</si>
  <si>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</si>
  <si>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</si>
  <si>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</si>
  <si>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</si>
  <si>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</si>
  <si>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</si>
  <si>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</si>
  <si>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</si>
  <si>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</si>
  <si>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</si>
  <si>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</si>
  <si>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</si>
  <si>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</si>
  <si>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</si>
  <si>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</si>
  <si>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</si>
  <si>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</si>
  <si>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</si>
  <si>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</si>
  <si>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</si>
  <si>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</si>
  <si>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</si>
  <si>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</si>
  <si>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</si>
  <si>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</si>
  <si>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</si>
  <si>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</si>
  <si>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</si>
  <si>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</si>
  <si>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</si>
  <si>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</si>
  <si>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</si>
  <si>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</si>
  <si>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</si>
  <si>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</si>
  <si>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</si>
  <si>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</si>
  <si>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</si>
  <si>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</si>
  <si>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</si>
  <si>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</si>
  <si>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</si>
  <si>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</si>
  <si>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</si>
  <si>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</si>
  <si>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</si>
  <si>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</si>
  <si>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</si>
  <si>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</si>
  <si>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</si>
  <si>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</si>
  <si>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</si>
  <si>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</si>
  <si>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</si>
  <si>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</si>
  <si>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</si>
  <si>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</si>
  <si>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</si>
  <si>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</si>
  <si>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</si>
  <si>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</si>
  <si>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</si>
  <si>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</si>
  <si>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</si>
  <si>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</si>
  <si>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</si>
  <si>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</si>
  <si>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</si>
  <si>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</si>
  <si>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</si>
  <si>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</si>
  <si>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</si>
  <si>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</si>
  <si>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</si>
  <si>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</si>
  <si>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</si>
  <si>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</si>
  <si>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</si>
  <si>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</si>
  <si>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</si>
  <si>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</si>
  <si>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</si>
  <si>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</si>
  <si>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</si>
  <si>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</si>
  <si>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</si>
  <si>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</si>
  <si>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</si>
  <si>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</si>
  <si>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</si>
  <si>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</si>
  <si>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</si>
  <si>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</si>
  <si>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</si>
  <si>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</si>
  <si>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</si>
  <si>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</si>
  <si>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</si>
  <si>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</si>
  <si>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</si>
  <si>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</si>
  <si>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</si>
  <si>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</si>
  <si>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</si>
  <si>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</si>
  <si>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</si>
  <si>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</si>
  <si>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</si>
  <si>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</si>
  <si>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</si>
  <si>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</si>
  <si>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</si>
  <si>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</si>
  <si>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</si>
  <si>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</si>
  <si>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</si>
  <si>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</si>
  <si>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</si>
  <si>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</si>
  <si>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</si>
  <si>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</si>
  <si>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</si>
  <si>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</si>
  <si>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</si>
  <si>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</si>
  <si>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</si>
  <si>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</si>
  <si>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</si>
  <si>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</si>
  <si>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</si>
  <si>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</si>
  <si>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</si>
  <si>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</si>
  <si>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</si>
  <si>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</si>
  <si>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</si>
  <si>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</si>
  <si>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</si>
  <si>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</si>
  <si>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</si>
  <si>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</si>
  <si>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</si>
  <si>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</si>
  <si>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</si>
  <si>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</si>
  <si>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</si>
  <si>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</si>
  <si>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</si>
  <si>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</si>
  <si>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</si>
  <si>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</si>
  <si>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</si>
  <si>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</si>
  <si>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</si>
  <si>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</si>
  <si>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</si>
  <si>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</si>
  <si>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</si>
  <si>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</si>
  <si>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</si>
  <si>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</si>
  <si>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</si>
  <si>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</si>
  <si>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</si>
  <si>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</si>
  <si>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</si>
  <si>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</si>
  <si>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</si>
  <si>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</si>
  <si>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</si>
  <si>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</si>
  <si>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</si>
  <si>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</si>
  <si>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</si>
  <si>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</si>
  <si>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</si>
  <si>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</si>
  <si>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</si>
  <si>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</si>
  <si>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</si>
  <si>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</si>
  <si>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</si>
  <si>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</si>
  <si>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</si>
  <si>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</si>
  <si>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</si>
  <si>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</si>
  <si>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</si>
  <si>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</si>
  <si>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</si>
  <si>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</si>
  <si>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</si>
  <si>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</si>
  <si>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</si>
  <si>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</si>
  <si>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</si>
  <si>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</si>
  <si>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</si>
  <si>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</si>
  <si>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</si>
  <si>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</si>
  <si>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</si>
  <si>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</si>
  <si>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</si>
  <si>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</si>
  <si>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</si>
  <si>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</si>
  <si>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</si>
  <si>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</si>
  <si>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</si>
  <si>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</si>
  <si>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</si>
  <si>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</si>
  <si>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</si>
  <si>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</si>
  <si>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</si>
  <si>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</si>
  <si>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</si>
  <si>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</si>
  <si>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</si>
  <si>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</si>
  <si>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</si>
  <si>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</si>
  <si>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</si>
  <si>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</si>
  <si>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</si>
  <si>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</si>
  <si>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</si>
  <si>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</si>
  <si>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</si>
  <si>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</si>
  <si>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</si>
  <si>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</si>
  <si>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</si>
  <si>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</si>
  <si>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</si>
  <si>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</si>
  <si>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</si>
  <si>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</si>
  <si>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</si>
  <si>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</si>
  <si>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</si>
  <si>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</si>
  <si>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</si>
  <si>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</si>
  <si>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</si>
  <si>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</si>
  <si>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</si>
  <si>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</si>
  <si>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</si>
  <si>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</si>
  <si>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</si>
  <si>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</si>
  <si>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</si>
  <si>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</si>
  <si>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</si>
  <si>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</si>
  <si>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</si>
  <si>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</si>
  <si>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</si>
  <si>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</si>
  <si>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</si>
  <si>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</si>
  <si>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</si>
  <si>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</si>
  <si>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</si>
  <si>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</si>
  <si>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</si>
  <si>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</si>
  <si>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</si>
  <si>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</si>
  <si>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</si>
  <si>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</si>
  <si>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</si>
  <si>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</si>
  <si>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</si>
  <si>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</si>
  <si>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</si>
  <si>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</si>
  <si>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</si>
  <si>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</si>
  <si>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</si>
  <si>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</si>
  <si>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</si>
  <si>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</si>
  <si>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</si>
  <si>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</si>
  <si>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</si>
  <si>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</si>
  <si>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</si>
  <si>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</si>
  <si>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</si>
  <si>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</si>
  <si>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</si>
  <si>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</si>
  <si>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</si>
  <si>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</si>
  <si>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</si>
  <si>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</si>
  <si>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</si>
  <si>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</si>
  <si>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</si>
  <si>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</si>
  <si>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</si>
  <si>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</si>
  <si>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</si>
  <si>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</si>
  <si>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</si>
  <si>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</si>
  <si>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</si>
  <si>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</si>
  <si>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</si>
  <si>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</si>
  <si>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</si>
  <si>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</si>
  <si>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</si>
  <si>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</si>
  <si>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</si>
  <si>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</si>
  <si>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</si>
  <si>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</si>
  <si>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</si>
  <si>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</si>
  <si>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</si>
  <si>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</si>
  <si>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</si>
  <si>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</si>
  <si>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</si>
  <si>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</si>
  <si>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</si>
  <si>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</si>
  <si>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</si>
  <si>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</si>
  <si>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</si>
  <si>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</si>
  <si>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</si>
  <si>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</si>
  <si>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</si>
  <si>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</si>
  <si>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</si>
  <si>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</si>
  <si>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</si>
  <si>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</si>
  <si>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</si>
  <si>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</si>
  <si>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</si>
  <si>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</si>
  <si>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</si>
  <si>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</si>
  <si>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</si>
  <si>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</si>
  <si>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</si>
  <si>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</si>
  <si>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</si>
  <si>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</si>
  <si>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</si>
  <si>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</si>
  <si>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</si>
  <si>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</si>
  <si>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</si>
  <si>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</si>
  <si>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</si>
  <si>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</si>
  <si>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</si>
  <si>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</si>
  <si>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</si>
  <si>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</si>
  <si>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</si>
  <si>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</si>
  <si>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</si>
  <si>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</si>
  <si>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</si>
  <si>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</si>
  <si>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</si>
  <si>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</si>
  <si>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</si>
  <si>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</si>
  <si>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</si>
  <si>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</si>
  <si>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</si>
  <si>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</si>
  <si>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</si>
  <si>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</si>
  <si>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</si>
  <si>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</si>
  <si>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</si>
  <si>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</si>
  <si>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</si>
  <si>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</si>
  <si>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</si>
  <si>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</si>
  <si>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</si>
  <si>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</si>
  <si>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</si>
  <si>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</si>
  <si>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</si>
  <si>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</si>
  <si>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</si>
  <si>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</si>
  <si>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</si>
  <si>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</si>
  <si>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</si>
  <si>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</si>
  <si>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</si>
  <si>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</si>
  <si>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</si>
  <si>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</si>
  <si>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</si>
  <si>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</si>
  <si>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</si>
  <si>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</si>
  <si>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</si>
  <si>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</si>
  <si>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</si>
  <si>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</si>
  <si>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</si>
  <si>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</si>
  <si>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</si>
  <si>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</si>
  <si>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</si>
  <si>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</si>
  <si>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</si>
  <si>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</si>
  <si>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</si>
  <si>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</si>
  <si>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</si>
  <si>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</si>
  <si>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</si>
  <si>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</si>
  <si>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</si>
  <si>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</si>
  <si>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</si>
  <si>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</si>
  <si>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</si>
  <si>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</si>
  <si>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</si>
  <si>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</si>
  <si>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</si>
  <si>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</si>
  <si>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</si>
  <si>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</si>
  <si>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</si>
  <si>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</si>
  <si>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</si>
  <si>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</si>
  <si>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</si>
  <si>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</si>
  <si>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</si>
  <si>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</si>
  <si>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</si>
  <si>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</si>
  <si>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</si>
  <si>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</si>
  <si>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</si>
  <si>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</si>
  <si>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</si>
  <si>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</si>
  <si>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</si>
  <si>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</si>
  <si>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</si>
  <si>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</si>
  <si>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</si>
  <si>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</si>
  <si>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</si>
  <si>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</si>
  <si>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</si>
  <si>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</si>
  <si>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</si>
  <si>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</si>
  <si>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</si>
  <si>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</si>
  <si>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</si>
  <si>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</si>
  <si>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</si>
  <si>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</si>
  <si>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</si>
  <si>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</si>
  <si>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</si>
  <si>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</si>
  <si>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</si>
  <si>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</si>
  <si>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</si>
  <si>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</si>
  <si>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</si>
  <si>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</si>
  <si>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</si>
  <si>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</si>
  <si>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</si>
  <si>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</si>
  <si>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</si>
  <si>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</si>
  <si>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</si>
  <si>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</si>
  <si>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</si>
  <si>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</si>
  <si>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</si>
  <si>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</si>
  <si>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</si>
  <si>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</si>
  <si>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</si>
  <si>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</si>
  <si>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</si>
  <si>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</si>
  <si>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</si>
  <si>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</si>
  <si>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</si>
  <si>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</si>
  <si>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</si>
  <si>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</si>
  <si>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</si>
  <si>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</si>
  <si>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</si>
  <si>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</si>
  <si>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</si>
  <si>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</si>
  <si>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</si>
  <si>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</si>
  <si>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</si>
  <si>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</si>
  <si>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</si>
  <si>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</si>
  <si>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</si>
  <si>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</si>
  <si>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</si>
  <si>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</si>
  <si>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</si>
  <si>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</si>
  <si>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</si>
  <si>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</si>
  <si>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</si>
  <si>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</si>
  <si>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</si>
  <si>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</si>
  <si>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</si>
  <si>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</si>
  <si>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</si>
  <si>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</si>
  <si>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</si>
  <si>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</si>
  <si>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</si>
  <si>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</si>
  <si>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</si>
  <si>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</si>
  <si>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</si>
  <si>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</si>
  <si>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</si>
  <si>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</si>
  <si>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</si>
  <si>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</si>
  <si>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</si>
  <si>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</si>
  <si>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</si>
  <si>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</si>
  <si>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</si>
  <si>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</si>
  <si>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</si>
  <si>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</si>
  <si>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</si>
  <si>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</si>
  <si>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</si>
  <si>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</si>
  <si>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</si>
  <si>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</si>
  <si>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</si>
  <si>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</si>
  <si>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</si>
  <si>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</si>
  <si>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</si>
  <si>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</si>
  <si>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</si>
  <si>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</si>
  <si>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</si>
  <si>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</si>
  <si>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</si>
  <si>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</si>
  <si>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</si>
  <si>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</si>
  <si>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</si>
  <si>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</si>
  <si>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</si>
  <si>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</si>
  <si>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</si>
  <si>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</si>
  <si>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</si>
  <si>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</si>
  <si>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</si>
  <si>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</si>
  <si>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</si>
  <si>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</si>
  <si>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</si>
  <si>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</si>
  <si>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</si>
  <si>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</si>
  <si>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</si>
  <si>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</si>
  <si>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</si>
  <si>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</si>
  <si>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</si>
  <si>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</si>
  <si>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</si>
  <si>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</si>
  <si>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</si>
  <si>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</si>
  <si>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</si>
  <si>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</si>
  <si>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</si>
  <si>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</si>
  <si>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</si>
  <si>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</si>
  <si>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</si>
  <si>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</si>
  <si>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</si>
  <si>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</si>
  <si>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</si>
  <si>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</si>
  <si>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</si>
  <si>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</si>
  <si>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</si>
  <si>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</si>
  <si>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</si>
  <si>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</si>
  <si>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</si>
  <si>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</si>
  <si>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</si>
  <si>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</si>
  <si>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</si>
  <si>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</si>
  <si>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</si>
  <si>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</si>
  <si>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</si>
  <si>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</si>
  <si>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</si>
  <si>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</si>
  <si>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</si>
  <si>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</si>
  <si>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</si>
  <si>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</si>
  <si>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</si>
  <si>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</si>
  <si>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</si>
  <si>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</si>
  <si>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</si>
  <si>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</si>
  <si>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</si>
  <si>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</si>
  <si>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</si>
  <si>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</si>
  <si>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</si>
  <si>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</si>
  <si>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</si>
  <si>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</si>
  <si>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</si>
  <si>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</si>
  <si>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</si>
  <si>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</si>
  <si>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</si>
  <si>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</si>
  <si>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</si>
  <si>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</si>
  <si>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</si>
  <si>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</si>
  <si>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</si>
  <si>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</si>
  <si>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</si>
  <si>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</si>
  <si>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</si>
  <si>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</si>
  <si>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</si>
  <si>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</si>
  <si>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</si>
  <si>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</si>
  <si>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</si>
  <si>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</si>
  <si>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</si>
  <si>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</si>
  <si>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</si>
  <si>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</si>
  <si>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</si>
  <si>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</si>
  <si>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</si>
  <si>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</si>
  <si>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</si>
  <si>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</si>
  <si>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</si>
  <si>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</si>
  <si>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</si>
  <si>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</si>
  <si>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</si>
  <si>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</si>
  <si>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</si>
  <si>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</si>
  <si>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</si>
  <si>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</si>
  <si>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</si>
  <si>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</si>
  <si>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</si>
  <si>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</si>
  <si>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</si>
  <si>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</si>
  <si>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</si>
  <si>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</si>
  <si>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</si>
  <si>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</si>
  <si>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</si>
  <si>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</si>
  <si>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</si>
  <si>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</si>
  <si>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</si>
  <si>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</si>
  <si>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</si>
  <si>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</si>
  <si>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</si>
  <si>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</si>
  <si>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</si>
  <si>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</si>
  <si>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</si>
  <si>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</si>
  <si>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</si>
  <si>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</si>
  <si>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</si>
  <si>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</si>
  <si>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</si>
  <si>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</si>
  <si>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</si>
  <si>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</si>
  <si>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</si>
  <si>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</si>
  <si>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</si>
  <si>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</si>
  <si>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</si>
  <si>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</si>
  <si>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</si>
  <si>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</si>
  <si>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</si>
  <si>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</si>
  <si>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</si>
  <si>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</si>
  <si>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</si>
  <si>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</si>
  <si>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</si>
  <si>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</si>
  <si>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</si>
  <si>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</si>
  <si>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</si>
  <si>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</si>
  <si>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</si>
  <si>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</si>
  <si>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</si>
  <si>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</si>
  <si>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</si>
  <si>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</si>
  <si>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</si>
  <si>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</si>
  <si>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</si>
  <si>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</si>
  <si>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</si>
  <si>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</si>
  <si>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</si>
  <si>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</si>
  <si>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</si>
  <si>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</si>
  <si>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</si>
  <si>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</si>
  <si>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</si>
  <si>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</si>
  <si>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</si>
  <si>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</si>
  <si>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</si>
  <si>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</si>
  <si>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</si>
  <si>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</si>
  <si>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</si>
  <si>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</si>
  <si>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</si>
  <si>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</si>
  <si>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</si>
  <si>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</si>
  <si>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</si>
  <si>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</si>
  <si>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</si>
  <si>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</si>
  <si>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</si>
  <si>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</si>
  <si>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</si>
  <si>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</si>
  <si>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</si>
  <si>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</si>
  <si>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</si>
  <si>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</si>
  <si>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</si>
  <si>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</si>
  <si>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</si>
  <si>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</si>
  <si>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</si>
  <si>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</si>
  <si>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</si>
  <si>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</si>
  <si>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</si>
  <si>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</si>
  <si>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</si>
  <si>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</si>
  <si>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</si>
  <si>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</si>
  <si>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</si>
  <si>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</si>
  <si>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</si>
  <si>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</si>
  <si>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</si>
  <si>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</si>
  <si>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</si>
  <si>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</si>
  <si>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</si>
  <si>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</si>
  <si>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</si>
  <si>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</si>
  <si>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</si>
  <si>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</si>
  <si>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</si>
  <si>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</si>
  <si>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</si>
  <si>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</si>
  <si>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</si>
  <si>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</si>
  <si>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</si>
  <si>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</si>
  <si>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</si>
  <si>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</si>
  <si>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</si>
  <si>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</si>
  <si>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</si>
  <si>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</si>
  <si>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</si>
  <si>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</si>
  <si>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</si>
  <si>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</si>
  <si>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</si>
  <si>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</si>
  <si>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</si>
  <si>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</si>
  <si>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</si>
  <si>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</si>
  <si>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</si>
  <si>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</si>
  <si>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</si>
  <si>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</si>
  <si>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</si>
  <si>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</si>
  <si>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</si>
  <si>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</si>
  <si>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</si>
  <si>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</si>
  <si>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</si>
  <si>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</si>
  <si>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</si>
  <si>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</si>
  <si>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</si>
  <si>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</si>
  <si>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</si>
  <si>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</si>
  <si>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</si>
  <si>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</si>
  <si>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</si>
  <si>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</si>
  <si>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</si>
  <si>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</si>
  <si>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</si>
  <si>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</si>
  <si>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</si>
  <si>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</si>
  <si>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</si>
  <si>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</si>
  <si>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</si>
  <si>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</si>
  <si>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</si>
  <si>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</si>
  <si>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</si>
  <si>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</si>
  <si>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</si>
  <si>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</si>
  <si>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</si>
  <si>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</si>
  <si>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</si>
  <si>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</si>
  <si>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</si>
  <si>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</si>
  <si>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</si>
  <si>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</si>
  <si>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</si>
  <si>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</si>
  <si>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</si>
  <si>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</si>
  <si>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</si>
  <si>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</si>
  <si>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</si>
  <si>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</si>
  <si>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</si>
  <si>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</si>
  <si>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</si>
  <si>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</si>
  <si>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</si>
  <si>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</si>
  <si>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</si>
  <si>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</si>
  <si>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</si>
  <si>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</si>
  <si>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</si>
  <si>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</si>
  <si>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</si>
  <si>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</si>
  <si>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</si>
  <si>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</si>
  <si>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</si>
  <si>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</si>
  <si>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</si>
  <si>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</si>
  <si>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</si>
  <si>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</si>
  <si>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</si>
  <si>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</si>
  <si>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</si>
  <si>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</si>
  <si>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</si>
  <si>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</si>
  <si>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</si>
  <si>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</si>
  <si>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</si>
  <si>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</si>
  <si>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</si>
  <si>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</si>
  <si>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</si>
  <si>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</si>
  <si>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</si>
  <si>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</si>
  <si>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</si>
  <si>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</si>
  <si>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</si>
  <si>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</si>
  <si>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</si>
  <si>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</si>
  <si>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</si>
  <si>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</si>
  <si>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</si>
  <si>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</si>
  <si>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</si>
  <si>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</si>
  <si>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</si>
  <si>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</si>
  <si>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</si>
  <si>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</si>
  <si>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</si>
  <si>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</si>
  <si>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</si>
  <si>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</si>
  <si>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</si>
  <si>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</si>
  <si>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</si>
  <si>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</si>
  <si>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</si>
  <si>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</si>
  <si>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</si>
  <si>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</si>
  <si>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</si>
  <si>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</si>
  <si>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</si>
  <si>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</si>
  <si>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</si>
  <si>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</si>
  <si>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</si>
  <si>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</si>
  <si>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</si>
  <si>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</si>
  <si>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</si>
  <si>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</si>
  <si>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</si>
  <si>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</si>
  <si>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</si>
  <si>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</si>
  <si>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</si>
  <si>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</si>
  <si>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</si>
  <si>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</si>
  <si>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</si>
  <si>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</si>
  <si>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</si>
  <si>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</si>
  <si>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</si>
  <si>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</si>
  <si>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</si>
  <si>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</si>
  <si>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</si>
  <si>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</si>
  <si>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</si>
  <si>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</si>
  <si>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</si>
  <si>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</si>
  <si>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</si>
  <si>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</si>
  <si>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</si>
  <si>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</si>
  <si>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</si>
  <si>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</si>
  <si>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</si>
  <si>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</si>
  <si>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</si>
  <si>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</si>
  <si>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</si>
  <si>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</si>
  <si>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</si>
  <si>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</si>
  <si>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</si>
  <si>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</si>
  <si>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</si>
  <si>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</si>
  <si>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</si>
  <si>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</si>
  <si>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</si>
  <si>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</si>
  <si>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</si>
  <si>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</si>
  <si>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</si>
  <si>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</si>
  <si>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</si>
  <si>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</si>
  <si>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</si>
  <si>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</si>
  <si>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</si>
  <si>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</si>
  <si>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</si>
  <si>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</si>
  <si>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</si>
  <si>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</si>
  <si>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</si>
  <si>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</si>
  <si>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</si>
  <si>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</si>
  <si>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</si>
  <si>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</si>
  <si>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</si>
  <si>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</si>
  <si>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</si>
  <si>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</si>
  <si>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</si>
  <si>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</si>
  <si>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</si>
  <si>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</si>
  <si>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</si>
  <si>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</si>
  <si>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</si>
  <si>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</si>
  <si>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</si>
  <si>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</si>
  <si>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</si>
  <si>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</si>
  <si>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</si>
  <si>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</si>
  <si>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</si>
  <si>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</si>
  <si>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</si>
  <si>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</si>
  <si>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</si>
  <si>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</si>
  <si>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</si>
  <si>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</si>
  <si>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</si>
  <si>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</si>
  <si>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</si>
  <si>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</si>
  <si>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</si>
  <si>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</si>
  <si>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</si>
  <si>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</si>
  <si>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</si>
  <si>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</si>
  <si>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</si>
  <si>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</si>
  <si>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</si>
  <si>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</si>
  <si>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</si>
  <si>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</si>
  <si>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</si>
  <si>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</si>
  <si>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</si>
  <si>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</si>
  <si>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</si>
  <si>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</si>
  <si>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</si>
  <si>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</si>
  <si>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</si>
  <si>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</si>
  <si>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</si>
  <si>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</si>
  <si>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</si>
  <si>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</si>
  <si>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</si>
  <si>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</si>
  <si>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</si>
  <si>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</si>
  <si>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</si>
  <si>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</si>
  <si>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</si>
  <si>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</si>
  <si>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</si>
  <si>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</si>
  <si>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</si>
  <si>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</si>
  <si>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</si>
  <si>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</si>
  <si>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</si>
  <si>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</si>
  <si>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</si>
  <si>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</si>
  <si>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</si>
  <si>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</si>
  <si>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</si>
  <si>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</si>
  <si>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</si>
  <si>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</si>
  <si>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</si>
  <si>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</si>
  <si>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</si>
  <si>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</si>
  <si>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</si>
  <si>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</si>
  <si>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</si>
  <si>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</si>
  <si>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</si>
  <si>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</si>
  <si>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</si>
  <si>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</si>
  <si>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</si>
  <si>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</si>
  <si>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</si>
  <si>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</si>
  <si>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</si>
  <si>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</si>
  <si>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</si>
  <si>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</si>
  <si>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</si>
  <si>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</si>
  <si>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</si>
  <si>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</si>
  <si>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</si>
  <si>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</si>
  <si>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</si>
  <si>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</si>
  <si>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</si>
  <si>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</si>
  <si>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</si>
  <si>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</si>
  <si>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</si>
  <si>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</si>
  <si>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</si>
  <si>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</si>
  <si>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</si>
  <si>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</si>
  <si>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</si>
  <si>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</si>
  <si>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</si>
  <si>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</si>
  <si>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</si>
  <si>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</si>
  <si>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</si>
  <si>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</si>
  <si>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</si>
  <si>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</si>
  <si>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</si>
  <si>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</si>
  <si>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</si>
  <si>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</si>
  <si>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</si>
  <si>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</si>
  <si>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</si>
  <si>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</si>
  <si>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</si>
  <si>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</si>
  <si>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</si>
  <si>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</si>
  <si>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</si>
  <si>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</si>
  <si>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</si>
  <si>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</si>
  <si>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</si>
  <si>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</si>
  <si>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</si>
  <si>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</si>
  <si>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</si>
  <si>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</si>
  <si>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</si>
  <si>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</si>
  <si>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</si>
  <si>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</si>
  <si>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</si>
  <si>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</si>
  <si>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</si>
  <si>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</si>
  <si>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</si>
  <si>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</si>
  <si>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</si>
  <si>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</si>
  <si>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</si>
  <si>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</si>
  <si>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</si>
  <si>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</si>
  <si>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</si>
  <si>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</si>
  <si>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</si>
  <si>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</si>
  <si>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</si>
  <si>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</si>
  <si>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</si>
  <si>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</si>
  <si>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</si>
  <si>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</si>
  <si>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</si>
  <si>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</si>
  <si>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</si>
  <si>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</si>
  <si>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</si>
  <si>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</si>
  <si>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</si>
  <si>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</si>
  <si>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</si>
  <si>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</si>
  <si>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</si>
  <si>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</si>
  <si>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</si>
  <si>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</si>
  <si>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</si>
  <si>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</si>
  <si>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</si>
  <si>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</si>
  <si>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</si>
  <si>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</si>
  <si>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</si>
  <si>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</si>
  <si>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</si>
  <si>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</si>
  <si>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</si>
  <si>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</si>
  <si>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</si>
  <si>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</si>
  <si>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</si>
  <si>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</si>
  <si>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</si>
  <si>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</si>
  <si>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</si>
  <si>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</si>
  <si>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</si>
  <si>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</si>
  <si>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</si>
  <si>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</si>
  <si>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</si>
  <si>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</si>
  <si>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</si>
  <si>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</si>
  <si>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</si>
  <si>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</si>
  <si>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</si>
  <si>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</si>
  <si>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</si>
  <si>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</si>
  <si>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</si>
  <si>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</si>
  <si>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</si>
  <si>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</si>
  <si>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</si>
  <si>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</si>
  <si>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</si>
  <si>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</si>
  <si>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</si>
  <si>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</si>
  <si>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</si>
  <si>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</si>
  <si>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</si>
  <si>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</si>
  <si>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</si>
  <si>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</si>
  <si>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</si>
  <si>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</si>
  <si>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</si>
  <si>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</si>
  <si>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</si>
  <si>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</si>
  <si>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</si>
  <si>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</si>
  <si>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</si>
  <si>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</si>
  <si>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</si>
  <si>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</si>
  <si>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</si>
  <si>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</si>
  <si>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</si>
  <si>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</si>
  <si>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</si>
  <si>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</si>
  <si>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</si>
  <si>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</si>
  <si>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</si>
  <si>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</si>
  <si>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</si>
  <si>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</si>
  <si>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</si>
  <si>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</si>
  <si>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</si>
  <si>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</si>
  <si>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</si>
  <si>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</si>
  <si>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</si>
  <si>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</si>
  <si>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</si>
  <si>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</si>
  <si>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</si>
  <si>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</si>
  <si>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</si>
  <si>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</si>
  <si>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</si>
  <si>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</si>
  <si>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</si>
  <si>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</si>
  <si>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</si>
  <si>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</si>
  <si>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</si>
  <si>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</si>
  <si>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</si>
  <si>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</si>
  <si>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</si>
  <si>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</si>
  <si>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</si>
  <si>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</si>
  <si>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</si>
  <si>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</si>
  <si>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</si>
  <si>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</si>
  <si>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</si>
  <si>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</si>
  <si>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</si>
  <si>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</si>
  <si>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</si>
  <si>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</si>
  <si>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</si>
  <si>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</si>
  <si>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</si>
  <si>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</si>
  <si>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</si>
  <si>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</si>
  <si>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</si>
  <si>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</si>
  <si>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</si>
  <si>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</si>
  <si>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</si>
  <si>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</si>
  <si>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</si>
  <si>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</si>
  <si>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</si>
  <si>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</si>
  <si>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</si>
  <si>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</si>
  <si>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</si>
  <si>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</si>
  <si>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</si>
  <si>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</si>
  <si>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</si>
  <si>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</si>
  <si>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</si>
  <si>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</si>
  <si>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</si>
  <si>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</si>
  <si>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</si>
  <si>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</si>
  <si>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</si>
  <si>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</si>
  <si>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</si>
  <si>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</si>
  <si>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</si>
  <si>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</si>
  <si>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</si>
  <si>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</si>
  <si>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</si>
  <si>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</si>
  <si>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</si>
  <si>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</si>
  <si>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</si>
  <si>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</si>
  <si>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</si>
  <si>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</si>
  <si>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</si>
  <si>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</si>
  <si>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</si>
  <si>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</si>
  <si>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</si>
  <si>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</si>
  <si>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</si>
  <si>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</si>
  <si>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</si>
  <si>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</si>
  <si>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</si>
  <si>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</si>
  <si>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</si>
  <si>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</si>
  <si>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</si>
  <si>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</si>
  <si>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</si>
  <si>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</si>
  <si>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</si>
  <si>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</si>
  <si>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</si>
  <si>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</si>
  <si>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</si>
  <si>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</si>
  <si>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</si>
  <si>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</si>
  <si>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</si>
  <si>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</si>
  <si>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</si>
  <si>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</si>
  <si>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</si>
  <si>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</si>
  <si>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</si>
  <si>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</si>
  <si>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</si>
  <si>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</si>
  <si>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</si>
  <si>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</si>
  <si>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</si>
  <si>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</si>
  <si>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</si>
  <si>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</si>
  <si>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</si>
  <si>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</si>
  <si>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</si>
  <si>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</si>
  <si>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</si>
  <si>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</si>
  <si>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</si>
  <si>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</si>
  <si>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</si>
  <si>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</si>
  <si>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</si>
  <si>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</si>
  <si>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</si>
  <si>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</si>
  <si>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</si>
  <si>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</si>
  <si>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</si>
  <si>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</si>
  <si>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</si>
  <si>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</si>
  <si>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</si>
  <si>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</si>
  <si>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</si>
  <si>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</si>
  <si>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</si>
  <si>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</si>
  <si>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</si>
  <si>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</si>
  <si>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</si>
  <si>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</si>
  <si>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</si>
  <si>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</si>
  <si>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</si>
  <si>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</si>
  <si>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</si>
  <si>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</si>
  <si>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</si>
  <si>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</si>
  <si>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</si>
  <si>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</si>
  <si>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</si>
  <si>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</si>
  <si>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</si>
  <si>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</si>
  <si>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</si>
  <si>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</si>
  <si>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</si>
  <si>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</si>
  <si>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</si>
  <si>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</si>
  <si>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</si>
  <si>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</si>
  <si>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</si>
  <si>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</si>
  <si>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</si>
  <si>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</si>
  <si>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</si>
  <si>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</si>
  <si>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</si>
  <si>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</si>
  <si>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</si>
  <si>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</si>
  <si>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</si>
  <si>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</si>
  <si>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</si>
  <si>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</si>
  <si>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</si>
  <si>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</si>
  <si>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</si>
  <si>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</si>
  <si>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</si>
  <si>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</si>
  <si>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</si>
  <si>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</si>
  <si>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</si>
  <si>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</si>
  <si>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</si>
  <si>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</si>
  <si>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</si>
  <si>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</si>
  <si>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</si>
  <si>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</si>
  <si>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</si>
  <si>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</si>
  <si>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</si>
  <si>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</si>
  <si>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</si>
  <si>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</si>
  <si>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</si>
  <si>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</si>
  <si>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</si>
  <si>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</si>
  <si>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</si>
  <si>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</si>
  <si>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</si>
  <si>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</si>
  <si>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</si>
  <si>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</si>
  <si>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</si>
  <si>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</si>
  <si>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</si>
  <si>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</si>
  <si>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</si>
  <si>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</si>
  <si>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</si>
  <si>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</si>
  <si>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</si>
  <si>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</si>
  <si>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</si>
  <si>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</si>
  <si>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</si>
  <si>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</si>
  <si>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</si>
  <si>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</si>
  <si>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</si>
  <si>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</si>
  <si>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</si>
  <si>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</si>
  <si>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</si>
  <si>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</si>
  <si>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</si>
  <si>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</si>
  <si>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</si>
  <si>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</si>
  <si>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</si>
  <si>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</si>
  <si>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</si>
  <si>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</si>
  <si>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</si>
  <si>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</si>
  <si>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</si>
  <si>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</si>
  <si>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</si>
  <si>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</si>
  <si>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</si>
  <si>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</si>
  <si>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</si>
  <si>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</si>
  <si>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</si>
  <si>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</si>
  <si>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</si>
  <si>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</si>
  <si>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</si>
  <si>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</si>
  <si>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</si>
  <si>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</si>
  <si>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</si>
  <si>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</si>
  <si>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</si>
  <si>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</si>
  <si>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</si>
  <si>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</si>
  <si>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</si>
  <si>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</si>
  <si>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</si>
  <si>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</si>
  <si>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</si>
  <si>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</si>
  <si>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</si>
  <si>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</si>
  <si>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</si>
  <si>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</si>
  <si>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</si>
  <si>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</si>
  <si>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</si>
  <si>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</si>
  <si>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</si>
  <si>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</si>
  <si>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</si>
  <si>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</si>
  <si>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</si>
  <si>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</si>
  <si>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</si>
  <si>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</si>
  <si>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</si>
  <si>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</si>
  <si>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</si>
  <si>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</si>
  <si>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</si>
  <si>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</si>
  <si>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</si>
  <si>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</si>
  <si>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</si>
  <si>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</si>
  <si>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</si>
  <si>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</si>
  <si>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</si>
  <si>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</si>
  <si>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</si>
  <si>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</si>
  <si>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</si>
  <si>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</si>
  <si>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</si>
  <si>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</si>
  <si>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</si>
  <si>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</si>
  <si>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</si>
  <si>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</si>
  <si>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</si>
  <si>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</si>
  <si>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</si>
  <si>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</si>
  <si>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</si>
  <si>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</si>
  <si>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</si>
  <si>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</si>
  <si>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</si>
  <si>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</si>
  <si>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</si>
  <si>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</si>
  <si>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</si>
  <si>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</si>
  <si>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</si>
  <si>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</si>
  <si>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</si>
  <si>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</si>
  <si>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</si>
  <si>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</si>
  <si>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</si>
  <si>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</si>
  <si>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</si>
  <si>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</si>
  <si>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</si>
  <si>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</si>
  <si>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</si>
  <si>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</si>
  <si>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</si>
  <si>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</si>
  <si>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</si>
  <si>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</si>
  <si>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</si>
  <si>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</si>
  <si>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</si>
  <si>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</si>
  <si>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</si>
  <si>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</si>
  <si>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</si>
  <si>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</si>
  <si>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</si>
  <si>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</si>
  <si>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</si>
  <si>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</si>
  <si>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</si>
  <si>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</si>
  <si>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</si>
  <si>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</si>
  <si>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</si>
  <si>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</si>
  <si>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</si>
  <si>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</si>
  <si>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</si>
  <si>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</si>
  <si>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</si>
  <si>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</si>
  <si>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</si>
  <si>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</si>
  <si>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</si>
  <si>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</si>
  <si>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</si>
  <si>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</si>
  <si>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</si>
  <si>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</si>
  <si>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</si>
  <si>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</si>
  <si>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</si>
  <si>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</si>
  <si>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</si>
  <si>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</si>
  <si>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</si>
  <si>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</si>
  <si>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</si>
  <si>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</si>
  <si>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</si>
  <si>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</si>
  <si>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</si>
  <si>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</si>
  <si>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</si>
  <si>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</si>
  <si>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</si>
  <si>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</si>
  <si>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</si>
  <si>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</si>
  <si>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</si>
  <si>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</si>
  <si>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</si>
  <si>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</si>
  <si>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</si>
  <si>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</si>
  <si>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</si>
  <si>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</si>
  <si>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</si>
  <si>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</si>
  <si>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</si>
  <si>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</si>
  <si>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</si>
  <si>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</si>
  <si>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</si>
  <si>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</si>
  <si>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</si>
  <si>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</si>
  <si>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</si>
  <si>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</si>
  <si>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</si>
  <si>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</si>
  <si>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</si>
  <si>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</si>
  <si>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</si>
  <si>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</si>
  <si>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</si>
  <si>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</si>
  <si>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</si>
  <si>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</si>
  <si>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</si>
  <si>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</si>
  <si>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</si>
  <si>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</si>
  <si>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</si>
  <si>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</si>
  <si>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</si>
  <si>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</si>
  <si>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</si>
  <si>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</si>
  <si>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</si>
  <si>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</si>
  <si>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</si>
  <si>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</si>
  <si>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</si>
  <si>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</si>
  <si>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</si>
  <si>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</si>
  <si>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</si>
  <si>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</si>
  <si>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</si>
  <si>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</si>
  <si>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</si>
  <si>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</si>
  <si>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</si>
  <si>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</si>
  <si>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</si>
  <si>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</si>
  <si>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</si>
  <si>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</si>
  <si>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</si>
  <si>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</si>
  <si>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</si>
  <si>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</si>
  <si>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</si>
  <si>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</si>
  <si>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</si>
  <si>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</si>
  <si>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</si>
  <si>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</si>
  <si>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</si>
  <si>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</si>
  <si>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</si>
  <si>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</si>
  <si>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</si>
  <si>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</si>
  <si>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</si>
  <si>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</si>
  <si>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</si>
  <si>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</si>
  <si>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</si>
  <si>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</si>
  <si>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</si>
  <si>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</si>
  <si>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</si>
  <si>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</si>
  <si>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</si>
  <si>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</si>
  <si>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</si>
  <si>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</si>
  <si>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</si>
  <si>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</si>
  <si>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</si>
  <si>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</si>
  <si>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</si>
  <si>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</si>
  <si>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</si>
  <si>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</si>
  <si>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</si>
  <si>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</si>
  <si>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</si>
  <si>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</si>
  <si>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</si>
  <si>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</si>
  <si>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</si>
  <si>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</si>
  <si>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</si>
  <si>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</si>
  <si>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</si>
  <si>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</si>
  <si>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</si>
  <si>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</si>
  <si>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</si>
  <si>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</si>
  <si>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</si>
  <si>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</si>
  <si>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</si>
  <si>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</si>
  <si>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</si>
  <si>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</si>
  <si>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</si>
  <si>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</si>
  <si>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</si>
  <si>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</si>
  <si>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</si>
  <si>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</si>
  <si>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</si>
  <si>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</si>
  <si>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</si>
  <si>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</si>
  <si>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</si>
  <si>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</si>
  <si>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</si>
  <si>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</si>
  <si>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</si>
  <si>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</si>
  <si>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</si>
  <si>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</si>
  <si>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</si>
  <si>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</si>
  <si>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</si>
  <si>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</si>
  <si>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</si>
  <si>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</si>
  <si>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</si>
  <si>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</si>
  <si>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</si>
  <si>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</si>
  <si>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</si>
  <si>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</si>
  <si>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</si>
  <si>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</si>
  <si>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</si>
  <si>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</si>
  <si>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</si>
  <si>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</si>
  <si>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</si>
  <si>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</si>
  <si>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</si>
  <si>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</si>
  <si>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</si>
  <si>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</si>
  <si>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</si>
  <si>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</si>
  <si>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</si>
  <si>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</si>
  <si>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</si>
  <si>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</si>
  <si>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</si>
  <si>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</si>
  <si>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</si>
  <si>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</si>
  <si>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</si>
  <si>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</si>
  <si>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</si>
  <si>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</si>
  <si>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</si>
  <si>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</si>
  <si>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</si>
  <si>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</si>
  <si>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</si>
  <si>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</si>
  <si>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</si>
  <si>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</si>
  <si>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</si>
  <si>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</si>
  <si>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</si>
  <si>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</si>
  <si>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</si>
  <si>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</si>
  <si>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</si>
  <si>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</si>
  <si>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</si>
  <si>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</si>
  <si>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</si>
  <si>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</si>
  <si>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</si>
  <si>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</si>
  <si>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</si>
  <si>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</si>
  <si>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</si>
  <si>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</si>
  <si>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</si>
  <si>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</si>
  <si>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</si>
  <si>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</si>
  <si>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</si>
  <si>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</si>
  <si>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</si>
  <si>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</si>
  <si>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</si>
  <si>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</si>
  <si>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</si>
  <si>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</si>
  <si>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</si>
  <si>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</si>
  <si>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</si>
  <si>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</si>
  <si>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</si>
  <si>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</si>
  <si>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</si>
  <si>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</si>
  <si>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</si>
  <si>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</si>
  <si>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</si>
  <si>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</si>
  <si>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</si>
  <si>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</si>
  <si>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</si>
  <si>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</si>
  <si>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</si>
  <si>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</si>
  <si>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</si>
  <si>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</si>
  <si>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</si>
  <si>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</si>
  <si>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</si>
  <si>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</si>
  <si>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</si>
  <si>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</si>
  <si>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</si>
  <si>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</si>
  <si>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</si>
  <si>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</si>
  <si>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</si>
  <si>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</si>
  <si>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</si>
  <si>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</si>
  <si>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</si>
  <si>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</si>
  <si>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</si>
  <si>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</si>
  <si>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</si>
  <si>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</si>
  <si>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</si>
  <si>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</si>
  <si>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</si>
  <si>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</si>
  <si>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</si>
  <si>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</si>
  <si>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</si>
  <si>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</si>
  <si>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</si>
  <si>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</si>
  <si>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</si>
  <si>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</si>
  <si>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</si>
  <si>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</si>
  <si>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</si>
  <si>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</si>
  <si>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</si>
  <si>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</si>
  <si>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</si>
  <si>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</si>
  <si>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</si>
  <si>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</si>
  <si>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</si>
  <si>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</si>
  <si>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</si>
  <si>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</si>
  <si>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</si>
  <si>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</si>
  <si>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</si>
  <si>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</si>
  <si>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</si>
  <si>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</si>
  <si>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</si>
  <si>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</si>
  <si>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</si>
  <si>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</si>
  <si>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</si>
  <si>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</si>
  <si>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</si>
  <si>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</si>
  <si>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</si>
  <si>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</si>
  <si>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</si>
  <si>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</si>
  <si>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</si>
  <si>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</si>
  <si>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</si>
  <si>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</si>
  <si>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</si>
  <si>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</si>
  <si>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</si>
  <si>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</si>
  <si>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</si>
  <si>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</si>
  <si>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</si>
  <si>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</si>
  <si>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</si>
  <si>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</si>
  <si>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</si>
  <si>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</si>
  <si>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</si>
  <si>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</si>
  <si>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</si>
  <si>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</si>
  <si>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</si>
  <si>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</si>
  <si>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</si>
  <si>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</si>
  <si>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</si>
  <si>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</si>
  <si>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</si>
  <si>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</si>
  <si>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</si>
  <si>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</si>
  <si>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</si>
  <si>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</si>
  <si>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</si>
  <si>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</si>
  <si>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</si>
  <si>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</si>
  <si>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</si>
  <si>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</si>
  <si>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</si>
  <si>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</si>
  <si>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</si>
  <si>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</si>
  <si>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</si>
  <si>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</si>
  <si>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</si>
  <si>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</si>
  <si>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</si>
  <si>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</si>
  <si>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</si>
  <si>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</si>
  <si>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</si>
  <si>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</si>
  <si>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</si>
  <si>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</si>
  <si>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</si>
  <si>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</si>
  <si>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</si>
  <si>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</si>
  <si>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</si>
  <si>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</si>
  <si>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</si>
  <si>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</si>
  <si>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</si>
  <si>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</si>
  <si>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</si>
  <si>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</si>
  <si>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</si>
  <si>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</si>
  <si>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</si>
  <si>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</si>
  <si>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</si>
  <si>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</si>
  <si>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</si>
  <si>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</si>
  <si>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</si>
  <si>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</si>
  <si>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</si>
  <si>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</si>
  <si>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</si>
  <si>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</si>
  <si>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</si>
  <si>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</si>
  <si>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</si>
  <si>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</si>
  <si>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</si>
  <si>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</si>
  <si>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</si>
  <si>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</si>
  <si>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</si>
  <si>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</si>
  <si>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</si>
  <si>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</si>
  <si>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</si>
  <si>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</si>
  <si>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</si>
  <si>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</si>
  <si>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</si>
  <si>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</si>
  <si>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</si>
  <si>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</si>
  <si>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</si>
  <si>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</si>
  <si>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</si>
  <si>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</si>
  <si>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</si>
  <si>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</si>
  <si>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</si>
  <si>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</si>
  <si>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</si>
  <si>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</si>
  <si>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</si>
  <si>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</si>
  <si>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</si>
  <si>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</si>
  <si>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</si>
  <si>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</si>
  <si>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</si>
  <si>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</si>
  <si>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</si>
  <si>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</si>
  <si>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</si>
  <si>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</si>
  <si>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</si>
  <si>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</si>
  <si>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</si>
  <si>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</si>
  <si>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</si>
  <si>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</si>
  <si>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</si>
  <si>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</si>
  <si>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</si>
  <si>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</si>
  <si>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</si>
  <si>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</si>
  <si>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</si>
  <si>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</si>
  <si>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</si>
  <si>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</si>
  <si>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</si>
  <si>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</si>
  <si>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</si>
  <si>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</si>
  <si>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</si>
  <si>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</si>
  <si>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</si>
  <si>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</si>
  <si>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</si>
  <si>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</si>
  <si>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</si>
  <si>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</si>
  <si>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</si>
  <si>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</si>
  <si>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</si>
  <si>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</si>
  <si>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</si>
  <si>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</si>
  <si>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</si>
  <si>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</si>
  <si>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</si>
  <si>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</si>
  <si>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</si>
  <si>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</si>
  <si>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</si>
  <si>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</si>
  <si>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</si>
  <si>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</si>
  <si>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</si>
  <si>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</si>
  <si>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</si>
  <si>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</si>
  <si>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</si>
  <si>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</si>
  <si>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</si>
  <si>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</si>
  <si>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</si>
  <si>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</si>
  <si>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</si>
  <si>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</si>
  <si>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</si>
  <si>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</si>
  <si>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</si>
  <si>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</si>
  <si>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</si>
  <si>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</si>
  <si>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</si>
  <si>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</si>
  <si>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</si>
  <si>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</si>
  <si>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</si>
  <si>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</si>
  <si>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</si>
  <si>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</si>
  <si>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</si>
  <si>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</si>
  <si>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</si>
  <si>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</si>
  <si>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</si>
  <si>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</si>
  <si>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</si>
  <si>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</si>
  <si>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</si>
  <si>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</si>
  <si>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</si>
  <si>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</si>
  <si>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</si>
  <si>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</si>
  <si>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</si>
  <si>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</si>
  <si>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</si>
  <si>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</si>
  <si>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</si>
  <si>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</si>
  <si>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</si>
  <si>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</si>
  <si>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</si>
  <si>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</si>
  <si>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</si>
  <si>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</si>
  <si>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</si>
  <si>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</si>
  <si>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</si>
  <si>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</si>
  <si>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</si>
  <si>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</si>
  <si>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</si>
  <si>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</si>
  <si>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</si>
  <si>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</si>
  <si>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</si>
  <si>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</si>
  <si>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</si>
  <si>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</si>
  <si>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</si>
  <si>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</si>
  <si>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</si>
  <si>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</si>
  <si>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</si>
  <si>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</si>
  <si>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</si>
  <si>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</si>
  <si>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</si>
  <si>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</si>
  <si>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</si>
  <si>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</si>
  <si>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</si>
  <si>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</si>
  <si>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</si>
  <si>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</si>
  <si>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</si>
  <si>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</si>
  <si>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</si>
  <si>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</si>
  <si>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</si>
  <si>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</si>
  <si>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</si>
  <si>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</si>
  <si>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</si>
  <si>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</si>
  <si>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</si>
  <si>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</si>
  <si>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</si>
  <si>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</si>
  <si>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</si>
  <si>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</si>
  <si>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</si>
  <si>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</si>
  <si>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</si>
  <si>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</si>
  <si>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</si>
  <si>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</si>
  <si>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</si>
  <si>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</si>
  <si>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</si>
  <si>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</si>
  <si>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</si>
  <si>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</si>
  <si>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</si>
  <si>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</si>
  <si>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</si>
  <si>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</si>
  <si>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</si>
  <si>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</si>
  <si>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</si>
  <si>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</si>
  <si>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</si>
  <si>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</si>
  <si>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</si>
  <si>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</si>
  <si>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</si>
  <si>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</si>
  <si>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</si>
  <si>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</si>
  <si>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</si>
  <si>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</si>
  <si>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</si>
  <si>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</si>
  <si>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</si>
  <si>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</si>
  <si>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</si>
  <si>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</si>
  <si>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</si>
  <si>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</si>
  <si>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</si>
  <si>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</si>
  <si>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</si>
  <si>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</si>
  <si>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</si>
  <si>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</si>
  <si>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</si>
  <si>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</si>
  <si>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</si>
  <si>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</si>
  <si>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</si>
  <si>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</si>
  <si>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</si>
  <si>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</si>
  <si>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</si>
  <si>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</si>
  <si>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</si>
  <si>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</si>
  <si>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</si>
  <si>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</si>
  <si>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</si>
  <si>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</si>
  <si>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</si>
  <si>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</si>
  <si>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</si>
  <si>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</si>
  <si>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</si>
  <si>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</si>
  <si>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</si>
  <si>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</si>
  <si>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</si>
  <si>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</si>
  <si>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</si>
  <si>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</si>
  <si>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</si>
  <si>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</si>
  <si>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</si>
  <si>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</si>
  <si>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</si>
  <si>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</si>
  <si>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</si>
  <si>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</si>
  <si>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</si>
  <si>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</si>
  <si>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</si>
  <si>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</si>
  <si>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</si>
  <si>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</si>
  <si>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</si>
  <si>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</si>
  <si>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</si>
  <si>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</si>
  <si>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</si>
  <si>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</si>
  <si>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</si>
  <si>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</si>
  <si>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</si>
  <si>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</si>
  <si>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</si>
  <si>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</si>
  <si>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</si>
  <si>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</si>
  <si>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</si>
  <si>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</si>
  <si>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</si>
  <si>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</si>
  <si>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</si>
  <si>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</si>
  <si>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</si>
  <si>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</si>
  <si>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</si>
  <si>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</si>
  <si>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</si>
  <si>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</si>
  <si>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</si>
  <si>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</si>
  <si>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</si>
  <si>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</si>
  <si>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</si>
  <si>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</si>
  <si>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</si>
  <si>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</si>
  <si>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</si>
  <si>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</si>
  <si>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</si>
  <si>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</si>
  <si>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</si>
  <si>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</si>
  <si>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</si>
  <si>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</si>
  <si>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</si>
  <si>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</si>
  <si>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</si>
  <si>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</si>
  <si>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</si>
  <si>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</si>
  <si>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</si>
  <si>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</si>
  <si>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</si>
  <si>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</si>
  <si>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</si>
  <si>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</si>
  <si>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</si>
  <si>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</si>
  <si>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</si>
  <si>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</si>
  <si>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</si>
  <si>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</si>
  <si>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</si>
  <si>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</si>
  <si>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</si>
  <si>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</si>
  <si>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</si>
  <si>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</si>
  <si>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</si>
  <si>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</si>
  <si>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</si>
  <si>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</si>
  <si>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</si>
  <si>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</si>
  <si>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</si>
  <si>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</si>
  <si>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</si>
  <si>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</si>
  <si>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</si>
  <si>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</si>
  <si>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</si>
  <si>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</si>
  <si>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</si>
  <si>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</si>
  <si>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</si>
  <si>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</si>
  <si>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</si>
  <si>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</si>
  <si>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</si>
  <si>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</si>
  <si>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</si>
  <si>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</si>
  <si>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</si>
  <si>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</si>
  <si>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</si>
  <si>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</si>
  <si>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</si>
  <si>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</si>
  <si>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</si>
  <si>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</si>
  <si>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</si>
  <si>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</si>
  <si>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</si>
  <si>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</si>
  <si>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</si>
  <si>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</si>
  <si>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</si>
  <si>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</si>
  <si>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</si>
  <si>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</si>
  <si>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</si>
  <si>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</si>
  <si>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</si>
  <si>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</si>
  <si>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</si>
  <si>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</si>
  <si>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</si>
  <si>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</si>
  <si>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</si>
  <si>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</si>
  <si>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</si>
  <si>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</si>
  <si>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</si>
  <si>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</si>
  <si>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</si>
  <si>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</si>
  <si>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</si>
  <si>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</si>
  <si>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</si>
  <si>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</si>
  <si>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</si>
  <si>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</si>
  <si>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</si>
  <si>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</si>
  <si>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</si>
  <si>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</si>
  <si>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</si>
  <si>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</si>
  <si>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</si>
  <si>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</si>
  <si>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</si>
  <si>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</si>
  <si>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</si>
  <si>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</si>
  <si>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</si>
  <si>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</si>
  <si>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</si>
  <si>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</si>
  <si>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</si>
  <si>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</si>
  <si>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</si>
  <si>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</si>
  <si>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</si>
  <si>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</si>
  <si>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</si>
  <si>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</si>
  <si>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</si>
  <si>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</si>
  <si>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</si>
  <si>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</si>
  <si>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</si>
  <si>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</si>
  <si>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</si>
  <si>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</si>
  <si>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</si>
  <si>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</si>
  <si>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</si>
  <si>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</si>
  <si>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</si>
  <si>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</si>
  <si>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</si>
  <si>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</si>
  <si>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</si>
  <si>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</si>
  <si>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</si>
  <si>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</si>
  <si>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</si>
  <si>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</si>
  <si>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</si>
  <si>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</si>
  <si>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</si>
  <si>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</si>
  <si>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</si>
  <si>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</si>
  <si>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</si>
  <si>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</si>
  <si>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</si>
  <si>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</si>
  <si>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</si>
  <si>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</si>
  <si>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</si>
  <si>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</si>
  <si>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</si>
  <si>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</si>
  <si>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</si>
  <si>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</si>
  <si>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</si>
  <si>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</si>
  <si>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</si>
  <si>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</si>
  <si>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</si>
  <si>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</si>
  <si>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</si>
  <si>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</si>
  <si>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</si>
  <si>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</si>
  <si>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</si>
  <si>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</si>
  <si>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</si>
  <si>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</si>
  <si>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</si>
  <si>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</si>
  <si>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</si>
  <si>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</si>
  <si>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</si>
  <si>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</si>
  <si>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</si>
  <si>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</si>
  <si>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</si>
  <si>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</si>
  <si>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</si>
  <si>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</si>
  <si>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</si>
  <si>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</si>
  <si>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</si>
  <si>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</si>
  <si>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</si>
  <si>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</si>
  <si>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</si>
  <si>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</si>
  <si>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</si>
  <si>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</si>
  <si>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</si>
  <si>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</si>
  <si>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</si>
  <si>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</si>
  <si>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</si>
  <si>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</si>
  <si>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</si>
  <si>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</si>
  <si>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</si>
  <si>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</si>
  <si>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</si>
  <si>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</si>
  <si>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</si>
  <si>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</si>
  <si>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</si>
  <si>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</si>
  <si>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</si>
  <si>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</si>
  <si>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</si>
  <si>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</si>
  <si>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</si>
  <si>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</si>
  <si>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</si>
  <si>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</si>
  <si>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</si>
  <si>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</si>
  <si>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</si>
  <si>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</si>
  <si>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</si>
  <si>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</si>
  <si>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</si>
  <si>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</si>
  <si>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</si>
  <si>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</si>
  <si>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</si>
  <si>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</si>
  <si>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</si>
  <si>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</si>
  <si>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</si>
  <si>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</si>
  <si>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</si>
  <si>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</si>
  <si>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</si>
  <si>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</si>
  <si>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</si>
  <si>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</si>
  <si>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</si>
  <si>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</si>
  <si>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</si>
  <si>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</si>
  <si>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</si>
  <si>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</si>
  <si>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</si>
  <si>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</si>
  <si>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</si>
  <si>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</si>
  <si>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</si>
  <si>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</si>
  <si>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</si>
  <si>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</si>
  <si>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</si>
  <si>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</si>
  <si>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</si>
  <si>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</si>
  <si>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</si>
  <si>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</si>
  <si>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</si>
  <si>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</si>
  <si>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</si>
  <si>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</si>
  <si>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</si>
  <si>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</si>
  <si>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</si>
  <si>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</si>
  <si>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</si>
  <si>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</si>
  <si>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</si>
  <si>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</si>
  <si>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</si>
  <si>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</si>
  <si>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</si>
  <si>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</si>
  <si>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</si>
  <si>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</si>
  <si>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</si>
  <si>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</si>
  <si>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</si>
  <si>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</si>
  <si>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</si>
  <si>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</si>
  <si>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</si>
  <si>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</si>
  <si>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</si>
  <si>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</si>
  <si>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</si>
  <si>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</si>
  <si>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</si>
  <si>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</si>
  <si>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</si>
  <si>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</si>
  <si>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</si>
  <si>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</si>
  <si>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</si>
  <si>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</si>
  <si>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</si>
  <si>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</si>
  <si>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</si>
  <si>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</si>
  <si>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</si>
  <si>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</si>
  <si>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</si>
  <si>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</si>
  <si>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</si>
  <si>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</si>
  <si>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</si>
  <si>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</si>
  <si>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</si>
  <si>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</si>
  <si>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</si>
  <si>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</si>
  <si>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</si>
  <si>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</si>
  <si>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</si>
  <si>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</si>
  <si>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</si>
  <si>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</si>
  <si>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</si>
  <si>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</si>
  <si>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</si>
  <si>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</si>
  <si>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</si>
  <si>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</si>
  <si>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</si>
  <si>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</si>
  <si>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</si>
  <si>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</si>
  <si>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</si>
  <si>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</si>
  <si>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</si>
  <si>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</si>
  <si>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</si>
  <si>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</si>
  <si>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</si>
  <si>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</si>
  <si>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</si>
  <si>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</si>
  <si>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</si>
  <si>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</si>
  <si>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</si>
  <si>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</si>
  <si>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</si>
  <si>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</si>
  <si>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</si>
  <si>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</si>
  <si>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</si>
  <si>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</si>
  <si>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</si>
  <si>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</si>
  <si>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</si>
  <si>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</si>
  <si>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</si>
  <si>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</si>
  <si>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</si>
  <si>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</si>
  <si>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</si>
  <si>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</si>
  <si>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</si>
  <si>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</si>
  <si>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</si>
  <si>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</si>
  <si>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</si>
  <si>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</si>
  <si>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</si>
  <si>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</si>
  <si>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</si>
  <si>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</si>
  <si>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</si>
  <si>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</si>
  <si>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</si>
  <si>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</si>
  <si>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</si>
  <si>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</si>
  <si>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</si>
  <si>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</si>
  <si>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</si>
  <si>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</si>
  <si>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</si>
  <si>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</si>
  <si>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</si>
  <si>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</si>
  <si>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</si>
  <si>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</si>
  <si>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</si>
  <si>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</si>
  <si>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</si>
  <si>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</si>
  <si>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</si>
  <si>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</si>
  <si>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</si>
  <si>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</si>
  <si>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</si>
  <si>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</si>
  <si>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</si>
  <si>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</si>
  <si>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</si>
  <si>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</si>
  <si>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</si>
  <si>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</si>
  <si>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</si>
  <si>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</si>
  <si>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</si>
  <si>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</si>
  <si>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</si>
  <si>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</si>
  <si>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</si>
  <si>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</si>
  <si>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</si>
  <si>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</si>
  <si>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</si>
  <si>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</si>
  <si>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</si>
  <si>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</si>
  <si>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</si>
  <si>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</si>
  <si>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</si>
  <si>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</si>
  <si>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</si>
  <si>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</si>
  <si>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</si>
  <si>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</si>
  <si>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</si>
  <si>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</si>
  <si>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</si>
  <si>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</si>
  <si>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</si>
  <si>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</si>
  <si>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</si>
  <si>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</si>
  <si>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</si>
  <si>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</si>
  <si>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</si>
  <si>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</si>
  <si>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</si>
  <si>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</si>
  <si>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</si>
  <si>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</si>
  <si>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</si>
  <si>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</si>
  <si>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</si>
  <si>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</si>
  <si>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</si>
  <si>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</si>
  <si>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</si>
  <si>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</si>
  <si>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</si>
  <si>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</si>
  <si>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</si>
  <si>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</si>
  <si>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</si>
  <si>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</si>
  <si>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</si>
  <si>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</si>
  <si>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</si>
  <si>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</si>
  <si>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</si>
  <si>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</si>
  <si>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</si>
  <si>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</si>
  <si>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</si>
  <si>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</si>
  <si>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</si>
  <si>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</si>
  <si>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</si>
  <si>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</si>
  <si>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</si>
  <si>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</si>
  <si>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</si>
  <si>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</si>
  <si>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</si>
  <si>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</si>
  <si>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</si>
  <si>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</si>
  <si>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</si>
  <si>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</si>
  <si>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</si>
  <si>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</si>
  <si>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</si>
  <si>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</si>
  <si>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</si>
  <si>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</si>
  <si>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</si>
  <si>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</si>
  <si>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</si>
  <si>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</si>
  <si>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</si>
  <si>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</si>
  <si>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</si>
  <si>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</si>
  <si>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</si>
  <si>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</si>
  <si>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</si>
  <si>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</si>
  <si>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</si>
  <si>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</si>
  <si>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</si>
  <si>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</si>
  <si>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</si>
  <si>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</si>
  <si>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</si>
  <si>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</si>
  <si>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</si>
  <si>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</si>
  <si>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</si>
  <si>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</si>
  <si>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</si>
  <si>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</si>
  <si>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</si>
  <si>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</si>
  <si>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</si>
  <si>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</si>
  <si>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</si>
  <si>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</si>
  <si>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</si>
  <si>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</si>
  <si>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</si>
  <si>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</si>
  <si>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</si>
  <si>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</si>
  <si>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</si>
  <si>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</si>
  <si>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</si>
  <si>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</si>
  <si>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</si>
  <si>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</si>
  <si>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</si>
  <si>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</si>
  <si>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</si>
  <si>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</si>
  <si>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</si>
  <si>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</si>
  <si>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</si>
  <si>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</si>
  <si>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</si>
  <si>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</si>
  <si>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</si>
  <si>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</si>
  <si>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</si>
  <si>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</si>
  <si>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</si>
  <si>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</si>
  <si>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</si>
  <si>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</si>
  <si>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</si>
  <si>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</si>
  <si>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</si>
  <si>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</si>
  <si>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</si>
  <si>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</si>
  <si>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</si>
  <si>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</si>
  <si>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</si>
  <si>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</si>
  <si>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</si>
  <si>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</si>
  <si>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</si>
  <si>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</si>
  <si>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</si>
  <si>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</si>
  <si>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</si>
  <si>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</si>
  <si>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</si>
  <si>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</si>
  <si>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</si>
  <si>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</si>
  <si>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</si>
  <si>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</si>
  <si>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</si>
  <si>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</si>
  <si>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</si>
  <si>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</si>
  <si>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</si>
  <si>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</si>
  <si>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</si>
  <si>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</si>
  <si>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</si>
  <si>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</si>
  <si>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</si>
  <si>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</si>
  <si>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</si>
  <si>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</si>
  <si>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</si>
  <si>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</si>
  <si>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</si>
  <si>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</si>
  <si>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</si>
  <si>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</si>
  <si>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</si>
  <si>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</si>
  <si>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</si>
  <si>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</si>
  <si>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</si>
  <si>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</si>
  <si>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</si>
  <si>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</si>
  <si>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</si>
  <si>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</si>
  <si>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</si>
  <si>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</si>
  <si>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</si>
  <si>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</si>
  <si>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</si>
  <si>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</si>
  <si>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</si>
  <si>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</si>
  <si>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</si>
  <si>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</si>
  <si>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</si>
  <si>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</si>
  <si>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</si>
  <si>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</si>
  <si>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</si>
  <si>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</si>
  <si>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</si>
  <si>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</si>
  <si>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</si>
  <si>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</si>
  <si>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</si>
  <si>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</si>
  <si>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</si>
  <si>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</si>
  <si>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</si>
  <si>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</si>
  <si>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</si>
  <si>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</si>
  <si>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</si>
  <si>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</si>
  <si>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</si>
  <si>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</si>
  <si>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</si>
  <si>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</si>
  <si>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</si>
  <si>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</si>
  <si>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</si>
  <si>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</si>
  <si>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</si>
  <si>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</si>
  <si>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</si>
  <si>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</si>
  <si>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</si>
  <si>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</si>
  <si>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</si>
  <si>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</si>
  <si>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</si>
  <si>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</si>
  <si>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</si>
  <si>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</si>
  <si>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</si>
  <si>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</si>
  <si>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</si>
  <si>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</si>
  <si>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</si>
  <si>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</si>
  <si>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</si>
  <si>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</si>
  <si>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</si>
  <si>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</si>
  <si>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</si>
  <si>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</si>
  <si>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</si>
  <si>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</si>
  <si>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</si>
  <si>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</si>
  <si>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</si>
  <si>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</si>
  <si>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</si>
  <si>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</si>
  <si>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</si>
  <si>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</si>
  <si>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</si>
  <si>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</si>
  <si>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</si>
  <si>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</si>
  <si>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</si>
  <si>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</si>
  <si>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</si>
  <si>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</si>
  <si>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</si>
  <si>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</si>
  <si>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</si>
  <si>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</si>
  <si>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</si>
  <si>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</si>
  <si>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</si>
  <si>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</si>
  <si>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</si>
  <si>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</si>
  <si>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</si>
  <si>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</si>
  <si>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</si>
  <si>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</si>
  <si>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</si>
  <si>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</si>
  <si>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</si>
  <si>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</si>
  <si>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</si>
  <si>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</si>
  <si>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</si>
  <si>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</si>
  <si>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</si>
  <si>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</si>
  <si>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</si>
  <si>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</si>
  <si>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</si>
  <si>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</si>
  <si>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</si>
  <si>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</si>
  <si>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</si>
  <si>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</si>
  <si>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</si>
  <si>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</si>
  <si>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</si>
  <si>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</si>
  <si>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</si>
  <si>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</si>
  <si>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</si>
  <si>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</si>
  <si>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</si>
  <si>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</si>
  <si>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</si>
  <si>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</si>
  <si>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</si>
  <si>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</si>
  <si>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</si>
  <si>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</si>
  <si>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</si>
  <si>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</si>
  <si>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</si>
  <si>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</si>
  <si>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</si>
  <si>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</si>
  <si>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</si>
  <si>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</si>
  <si>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</si>
  <si>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</si>
  <si>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</si>
  <si>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</si>
  <si>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</si>
  <si>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</si>
  <si>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</si>
  <si>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</si>
  <si>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</si>
  <si>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</si>
  <si>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</si>
  <si>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</si>
  <si>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</si>
  <si>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</si>
  <si>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</si>
  <si>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</si>
  <si>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</si>
  <si>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</si>
  <si>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</si>
  <si>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</si>
  <si>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</si>
  <si>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</si>
  <si>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</si>
  <si>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</si>
  <si>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</si>
  <si>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</si>
  <si>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</si>
  <si>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</si>
  <si>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</si>
  <si>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</si>
  <si>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</si>
  <si>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</si>
  <si>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</si>
  <si>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</si>
  <si>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</si>
  <si>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</si>
  <si>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</si>
  <si>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</si>
  <si>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</si>
  <si>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</si>
  <si>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</si>
  <si>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</si>
  <si>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</si>
  <si>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</si>
  <si>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</si>
  <si>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</si>
  <si>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</si>
  <si>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</si>
  <si>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</si>
  <si>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</si>
  <si>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</si>
  <si>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</si>
  <si>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</si>
  <si>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</si>
  <si>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</si>
  <si>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</si>
  <si>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</si>
  <si>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</si>
  <si>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</si>
  <si>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</si>
  <si>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</si>
  <si>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</si>
  <si>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</si>
  <si>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</si>
  <si>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</si>
  <si>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</si>
  <si>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</si>
  <si>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</si>
  <si>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</si>
  <si>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</si>
  <si>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</si>
  <si>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</si>
  <si>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</si>
  <si>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</si>
  <si>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</si>
  <si>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</si>
  <si>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</si>
  <si>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</si>
  <si>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</si>
  <si>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</si>
  <si>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</si>
  <si>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</si>
  <si>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</si>
  <si>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</si>
  <si>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</si>
  <si>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</si>
  <si>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</si>
  <si>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</si>
  <si>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</si>
  <si>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</si>
  <si>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</si>
  <si>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</si>
  <si>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</si>
  <si>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</si>
  <si>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</si>
  <si>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</si>
  <si>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</si>
  <si>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</si>
  <si>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</si>
  <si>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</si>
  <si>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</si>
  <si>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</si>
  <si>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</si>
  <si>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</si>
  <si>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</si>
  <si>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</si>
  <si>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</si>
  <si>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</si>
  <si>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</si>
  <si>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</si>
  <si>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</si>
  <si>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</si>
  <si>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</si>
  <si>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</si>
  <si>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</si>
  <si>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</si>
  <si>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</si>
  <si>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</si>
  <si>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</si>
  <si>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</si>
  <si>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</si>
  <si>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</si>
  <si>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</si>
  <si>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</si>
  <si>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</si>
  <si>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</si>
  <si>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</si>
  <si>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</si>
  <si>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</si>
  <si>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</si>
  <si>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</si>
  <si>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</si>
  <si>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</si>
  <si>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</si>
  <si>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</si>
  <si>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</si>
  <si>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</si>
  <si>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</si>
  <si>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</si>
  <si>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</si>
  <si>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</si>
  <si>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</si>
  <si>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</si>
  <si>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</si>
  <si>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</si>
  <si>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</si>
  <si>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</si>
  <si>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</si>
  <si>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</si>
  <si>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</si>
  <si>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</si>
  <si>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</si>
  <si>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</si>
  <si>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</si>
  <si>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</si>
  <si>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</si>
  <si>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</si>
  <si>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</si>
  <si>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</si>
  <si>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</si>
  <si>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</si>
  <si>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</si>
  <si>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</si>
  <si>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</si>
  <si>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</si>
  <si>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</si>
  <si>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</si>
  <si>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</si>
  <si>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</si>
  <si>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</si>
  <si>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</si>
  <si>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</si>
  <si>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</si>
  <si>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</si>
  <si>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</si>
  <si>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</si>
  <si>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</si>
  <si>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</si>
  <si>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</si>
  <si>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</si>
  <si>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</si>
  <si>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</si>
  <si>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</si>
  <si>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</si>
  <si>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</si>
  <si>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</si>
  <si>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</si>
  <si>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</si>
  <si>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</si>
  <si>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</si>
  <si>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</si>
  <si>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</si>
  <si>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</si>
  <si>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</si>
  <si>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</si>
  <si>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</si>
  <si>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</si>
  <si>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</si>
  <si>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</si>
  <si>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</si>
  <si>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</si>
  <si>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</si>
  <si>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</si>
  <si>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</si>
  <si>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</si>
  <si>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</si>
  <si>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</si>
  <si>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</si>
  <si>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</si>
  <si>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</si>
  <si>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</si>
  <si>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</si>
  <si>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</si>
  <si>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</si>
  <si>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</si>
  <si>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</si>
  <si>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</si>
  <si>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</si>
  <si>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</si>
  <si>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</si>
  <si>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</si>
  <si>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</si>
  <si>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</si>
  <si>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</si>
  <si>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</si>
  <si>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</si>
  <si>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</si>
  <si>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</si>
  <si>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</si>
  <si>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</si>
  <si>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</si>
  <si>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</si>
  <si>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</si>
  <si>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</si>
  <si>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</si>
  <si>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</si>
  <si>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</si>
  <si>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</si>
  <si>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</si>
  <si>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</si>
  <si>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</si>
  <si>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</si>
  <si>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</si>
  <si>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</si>
  <si>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</si>
  <si>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</si>
  <si>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</si>
  <si>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</si>
  <si>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</si>
  <si>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</si>
  <si>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</si>
  <si>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</si>
  <si>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</si>
  <si>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</si>
  <si>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</si>
  <si>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</si>
  <si>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</si>
  <si>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</si>
  <si>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</si>
  <si>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</si>
  <si>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</si>
  <si>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</si>
  <si>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</si>
  <si>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</si>
  <si>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</si>
  <si>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</si>
  <si>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</si>
  <si>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</si>
  <si>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</si>
  <si>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</si>
  <si>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</si>
  <si>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</si>
  <si>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</si>
  <si>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</si>
  <si>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</si>
  <si>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</si>
  <si>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</si>
  <si>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</si>
  <si>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</si>
  <si>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</si>
  <si>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</si>
  <si>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</si>
  <si>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</si>
  <si>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</si>
  <si>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</si>
  <si>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</si>
  <si>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</si>
  <si>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</si>
  <si>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</si>
  <si>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</si>
  <si>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</si>
  <si>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</si>
  <si>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</si>
  <si>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</si>
  <si>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</si>
  <si>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</si>
  <si>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</si>
  <si>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</si>
  <si>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</si>
  <si>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</si>
  <si>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</si>
  <si>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</si>
  <si>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</si>
  <si>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</si>
  <si>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</si>
  <si>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</si>
  <si>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</si>
  <si>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</si>
  <si>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</si>
  <si>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</si>
  <si>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</si>
  <si>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</si>
  <si>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</si>
  <si>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</si>
  <si>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</si>
  <si>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</si>
  <si>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</si>
  <si>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</si>
  <si>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</si>
  <si>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</si>
  <si>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</si>
  <si>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</si>
  <si>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</si>
  <si>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</si>
  <si>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</si>
  <si>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</si>
  <si>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</si>
  <si>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</si>
  <si>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</si>
  <si>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</si>
  <si>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</si>
  <si>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</si>
  <si>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</si>
  <si>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</si>
  <si>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</si>
  <si>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</si>
  <si>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</si>
  <si>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</si>
  <si>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</si>
  <si>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</si>
  <si>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</si>
  <si>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</si>
  <si>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</si>
  <si>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</si>
  <si>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</si>
  <si>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</si>
  <si>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</si>
  <si>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</si>
  <si>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</si>
  <si>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</si>
  <si>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</si>
  <si>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</si>
  <si>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</si>
  <si>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</si>
  <si>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</si>
  <si>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</si>
  <si>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</si>
  <si>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</si>
  <si>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</si>
  <si>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</si>
  <si>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</si>
  <si>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</si>
  <si>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</si>
  <si>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</si>
  <si>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</si>
  <si>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</si>
  <si>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</si>
  <si>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</si>
  <si>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</si>
  <si>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</si>
  <si>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</si>
  <si>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</si>
  <si>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</si>
  <si>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</si>
  <si>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</si>
  <si>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</si>
  <si>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</si>
  <si>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</si>
  <si>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</si>
  <si>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</si>
  <si>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</si>
  <si>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</si>
  <si>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</si>
  <si>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</si>
  <si>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</si>
  <si>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</si>
  <si>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</si>
  <si>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</si>
  <si>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</si>
  <si>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</si>
  <si>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</si>
  <si>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</si>
  <si>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</si>
  <si>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</si>
  <si>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</si>
  <si>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</si>
  <si>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</si>
  <si>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</si>
  <si>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</si>
  <si>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</si>
  <si>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</si>
  <si>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</si>
  <si>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</si>
  <si>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</si>
  <si>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</si>
  <si>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</si>
  <si>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</si>
  <si>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</si>
  <si>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</si>
  <si>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</si>
  <si>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</si>
  <si>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</si>
  <si>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</si>
  <si>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</si>
  <si>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</si>
  <si>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</si>
  <si>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</si>
  <si>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</si>
  <si>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</si>
  <si>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</si>
  <si>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</si>
  <si>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</si>
  <si>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</si>
  <si>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</si>
  <si>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</si>
  <si>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</si>
  <si>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</si>
  <si>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</si>
  <si>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</si>
  <si>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</si>
  <si>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</si>
  <si>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</si>
  <si>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</si>
  <si>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</si>
  <si>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</si>
  <si>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</si>
  <si>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</si>
  <si>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</si>
  <si>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</si>
  <si>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</si>
  <si>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</si>
  <si>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</si>
  <si>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</si>
  <si>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</si>
  <si>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</si>
  <si>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</si>
  <si>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</si>
  <si>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</si>
  <si>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</si>
  <si>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</si>
  <si>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</si>
  <si>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</si>
  <si>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</si>
  <si>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</si>
  <si>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</si>
  <si>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</si>
  <si>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</si>
  <si>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</si>
  <si>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</si>
  <si>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</si>
  <si>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</si>
  <si>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</si>
  <si>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</si>
  <si>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</si>
  <si>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</si>
  <si>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</si>
  <si>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</si>
  <si>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</si>
  <si>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</si>
  <si>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</si>
  <si>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</si>
  <si>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</si>
  <si>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</si>
  <si>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</si>
  <si>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</si>
  <si>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</si>
  <si>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</si>
  <si>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</si>
  <si>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</si>
  <si>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</si>
  <si>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</si>
  <si>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</si>
  <si>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</si>
  <si>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</si>
  <si>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</si>
  <si>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</si>
  <si>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</si>
  <si>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</si>
  <si>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</si>
  <si>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</si>
  <si>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</si>
  <si>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</si>
  <si>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</si>
  <si>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</si>
  <si>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</si>
  <si>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</si>
  <si>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</si>
  <si>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</si>
  <si>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</si>
  <si>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</si>
  <si>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</si>
  <si>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</si>
  <si>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</si>
  <si>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</si>
  <si>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</si>
  <si>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</si>
  <si>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</si>
  <si>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</si>
  <si>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</si>
  <si>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</si>
  <si>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</si>
  <si>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</si>
  <si>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</si>
  <si>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</si>
  <si>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</si>
  <si>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</si>
  <si>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</si>
  <si>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</si>
  <si>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</si>
  <si>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</si>
  <si>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</si>
  <si>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</si>
  <si>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</si>
  <si>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</si>
  <si>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</si>
  <si>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</si>
  <si>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</si>
  <si>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</si>
  <si>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</si>
  <si>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</si>
  <si>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</si>
  <si>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</si>
  <si>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</si>
  <si>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</si>
  <si>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</si>
  <si>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</si>
  <si>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</si>
  <si>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</si>
  <si>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</si>
  <si>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</si>
  <si>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</si>
  <si>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</si>
  <si>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</si>
  <si>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</si>
  <si>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</si>
  <si>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</si>
  <si>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</si>
  <si>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</si>
  <si>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</si>
  <si>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</si>
  <si>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</si>
  <si>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</si>
  <si>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</si>
  <si>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</si>
  <si>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</si>
  <si>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</si>
  <si>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</si>
  <si>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</si>
  <si>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</si>
  <si>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</si>
  <si>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</si>
  <si>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</si>
  <si>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</si>
  <si>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</si>
  <si>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</si>
  <si>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</si>
  <si>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</si>
  <si>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</si>
  <si>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</si>
  <si>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</si>
  <si>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</si>
  <si>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</si>
  <si>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</si>
  <si>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</si>
  <si>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</si>
  <si>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</si>
  <si>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</si>
  <si>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</si>
  <si>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</si>
  <si>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</si>
  <si>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</si>
  <si>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</si>
  <si>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</si>
  <si>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</si>
  <si>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</si>
  <si>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</si>
  <si>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</si>
  <si>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</si>
  <si>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</si>
  <si>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</si>
  <si>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</si>
  <si>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</si>
  <si>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</si>
  <si>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</si>
  <si>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</si>
  <si>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</si>
  <si>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</si>
  <si>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</si>
  <si>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</si>
  <si>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</si>
  <si>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</si>
  <si>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</si>
  <si>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</si>
  <si>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</si>
  <si>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</si>
  <si>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</si>
  <si>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</si>
  <si>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</si>
  <si>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</si>
  <si>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</si>
  <si>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</si>
  <si>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</si>
  <si>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</si>
  <si>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</si>
  <si>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</si>
  <si>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</si>
  <si>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</si>
  <si>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</si>
  <si>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</si>
  <si>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</si>
  <si>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</si>
  <si>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</si>
  <si>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</si>
  <si>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</si>
  <si>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</si>
  <si>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</si>
  <si>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</si>
  <si>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</si>
  <si>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</si>
  <si>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</si>
  <si>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</si>
  <si>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</si>
  <si>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</si>
  <si>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</si>
  <si>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</si>
  <si>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</si>
  <si>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</si>
  <si>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</si>
  <si>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</si>
  <si>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</si>
  <si>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</si>
  <si>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</si>
  <si>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</si>
  <si>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</si>
  <si>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</si>
  <si>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</si>
  <si>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</si>
  <si>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</si>
  <si>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</si>
  <si>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</si>
  <si>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</si>
  <si>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</si>
  <si>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</si>
  <si>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</si>
  <si>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</si>
  <si>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</si>
  <si>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</si>
  <si>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</si>
  <si>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</si>
  <si>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</si>
  <si>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</si>
  <si>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</si>
  <si>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</si>
  <si>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</si>
  <si>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</si>
  <si>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</si>
  <si>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</si>
  <si>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</si>
  <si>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</si>
  <si>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</si>
  <si>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</si>
  <si>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</si>
  <si>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</si>
  <si>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</si>
  <si>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</si>
  <si>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</si>
  <si>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</si>
  <si>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</si>
  <si>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</si>
  <si>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</si>
  <si>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</si>
  <si>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</si>
  <si>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</si>
  <si>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</si>
  <si>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</si>
  <si>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</si>
  <si>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</si>
  <si>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</si>
  <si>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</si>
  <si>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</si>
  <si>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</si>
  <si>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</si>
  <si>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</si>
  <si>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</si>
  <si>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</si>
  <si>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</si>
  <si>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</si>
  <si>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</si>
  <si>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</si>
  <si>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</si>
  <si>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</si>
  <si>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</si>
  <si>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</si>
  <si>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</si>
  <si>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</si>
  <si>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</si>
  <si>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</si>
  <si>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</si>
  <si>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</si>
  <si>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</si>
  <si>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</si>
  <si>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</si>
  <si>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</si>
  <si>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</si>
  <si>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</si>
  <si>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</si>
  <si>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</si>
  <si>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</si>
  <si>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</si>
  <si>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</si>
  <si>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</si>
  <si>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</si>
  <si>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</si>
  <si>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</si>
  <si>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</si>
  <si>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</si>
  <si>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</si>
  <si>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</si>
  <si>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</si>
  <si>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</si>
  <si>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</si>
  <si>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</si>
  <si>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</si>
  <si>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</si>
  <si>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</si>
  <si>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</si>
  <si>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</si>
  <si>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</si>
  <si>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</si>
  <si>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</si>
  <si>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</si>
  <si>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</si>
  <si>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</si>
  <si>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</si>
  <si>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</si>
  <si>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</si>
  <si>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</si>
  <si>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</si>
  <si>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</si>
  <si>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</si>
  <si>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</si>
  <si>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</si>
  <si>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</si>
  <si>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</si>
  <si>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</si>
  <si>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</si>
  <si>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</si>
  <si>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</si>
  <si>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</si>
  <si>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</si>
  <si>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</si>
  <si>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</si>
  <si>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</si>
  <si>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</si>
  <si>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</si>
  <si>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</si>
  <si>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</si>
  <si>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</si>
  <si>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</si>
  <si>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</si>
  <si>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</si>
  <si>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</si>
  <si>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</si>
  <si>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</si>
  <si>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</si>
  <si>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</si>
  <si>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</si>
  <si>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</si>
  <si>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</si>
  <si>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</si>
  <si>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</si>
  <si>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</si>
  <si>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</si>
  <si>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</si>
  <si>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</si>
  <si>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</si>
  <si>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</si>
  <si>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</si>
  <si>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</si>
  <si>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</si>
  <si>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</si>
  <si>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</si>
  <si>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</si>
  <si>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</si>
  <si>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</si>
  <si>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</si>
  <si>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</si>
  <si>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</si>
  <si>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</si>
  <si>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</si>
  <si>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</si>
  <si>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</si>
  <si>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</si>
  <si>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</si>
  <si>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</si>
  <si>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</si>
  <si>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</si>
  <si>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</si>
  <si>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</si>
  <si>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</si>
  <si>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</si>
  <si>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</si>
  <si>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</si>
  <si>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</si>
  <si>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</si>
  <si>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</si>
  <si>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</si>
  <si>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</si>
  <si>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</si>
  <si>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</si>
  <si>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</si>
  <si>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</si>
  <si>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</si>
  <si>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</si>
  <si>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</si>
  <si>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</si>
  <si>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</si>
  <si>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</si>
  <si>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</si>
  <si>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</si>
  <si>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</si>
  <si>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</si>
  <si>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</si>
  <si>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</si>
  <si>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</si>
  <si>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</si>
  <si>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</si>
  <si>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</si>
  <si>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</si>
  <si>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</si>
  <si>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</si>
  <si>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</si>
  <si>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</si>
  <si>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</si>
  <si>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</si>
  <si>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</si>
  <si>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</si>
  <si>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</si>
  <si>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</si>
  <si>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</si>
  <si>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</si>
  <si>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</si>
  <si>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</si>
  <si>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</si>
  <si>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</si>
  <si>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</si>
  <si>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</si>
  <si>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</si>
  <si>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</si>
  <si>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</si>
  <si>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</si>
  <si>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</si>
  <si>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</si>
  <si>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</si>
  <si>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</si>
  <si>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</si>
  <si>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</si>
  <si>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</si>
  <si>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</si>
  <si>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</si>
  <si>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</si>
  <si>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</si>
  <si>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</si>
  <si>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</si>
  <si>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</si>
  <si>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</si>
  <si>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</si>
  <si>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</si>
  <si>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</si>
  <si>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</si>
  <si>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</si>
  <si>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</si>
  <si>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</si>
  <si>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</si>
  <si>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</si>
  <si>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</si>
  <si>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</si>
  <si>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</si>
  <si>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</si>
  <si>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</si>
  <si>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</si>
  <si>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</si>
  <si>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</si>
  <si>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</si>
  <si>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</si>
  <si>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</si>
  <si>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</si>
  <si>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</si>
  <si>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</si>
  <si>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</si>
  <si>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</si>
  <si>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</si>
  <si>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</si>
  <si>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</si>
  <si>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</si>
  <si>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</si>
  <si>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</si>
  <si>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</si>
  <si>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</si>
  <si>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</si>
  <si>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</si>
  <si>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</si>
  <si>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</si>
  <si>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</si>
  <si>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</si>
  <si>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</si>
  <si>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</si>
  <si>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</si>
  <si>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</si>
  <si>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</si>
  <si>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</si>
  <si>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</si>
  <si>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</si>
  <si>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</si>
  <si>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</si>
  <si>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</si>
  <si>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</si>
  <si>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</si>
  <si>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</si>
  <si>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</si>
  <si>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</si>
  <si>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</si>
  <si>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</si>
  <si>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</si>
  <si>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</si>
  <si>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</si>
  <si>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</si>
  <si>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</si>
  <si>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</si>
  <si>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</si>
  <si>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</si>
  <si>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</si>
  <si>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</si>
  <si>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</si>
  <si>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</si>
  <si>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</si>
  <si>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</si>
  <si>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</si>
  <si>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</si>
  <si>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</si>
  <si>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</si>
  <si>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</si>
  <si>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</si>
  <si>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</si>
  <si>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</si>
  <si>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</si>
  <si>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</si>
  <si>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</si>
  <si>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</si>
  <si>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</si>
  <si>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</si>
  <si>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</si>
  <si>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</si>
  <si>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</si>
  <si>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</si>
  <si>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</si>
  <si>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</si>
  <si>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</si>
  <si>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</si>
  <si>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</si>
  <si>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</si>
  <si>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</si>
  <si>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</si>
  <si>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</si>
  <si>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</si>
  <si>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</si>
  <si>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</si>
  <si>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</si>
  <si>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</si>
  <si>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</si>
  <si>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</si>
  <si>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</si>
  <si>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</si>
  <si>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</si>
  <si>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</si>
  <si>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</si>
  <si>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</si>
  <si>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</si>
  <si>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</si>
  <si>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</si>
  <si>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</si>
  <si>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</si>
  <si>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</si>
  <si>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</si>
  <si>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</si>
  <si>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</si>
  <si>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</si>
  <si>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</si>
  <si>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</si>
  <si>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</si>
  <si>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</si>
  <si>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</si>
  <si>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</si>
  <si>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</si>
  <si>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</si>
  <si>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</si>
  <si>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</si>
  <si>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</si>
  <si>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</si>
  <si>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</si>
  <si>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</si>
  <si>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</si>
  <si>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</si>
  <si>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</si>
  <si>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</si>
  <si>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</si>
  <si>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</si>
  <si>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</si>
  <si>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</si>
  <si>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</si>
  <si>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</si>
  <si>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</si>
  <si>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</si>
  <si>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</si>
  <si>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</si>
  <si>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</si>
  <si>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</si>
  <si>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</si>
  <si>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</si>
  <si>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</si>
  <si>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</si>
  <si>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</si>
  <si>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</si>
  <si>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</si>
  <si>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</si>
  <si>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</si>
  <si>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</si>
  <si>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</si>
  <si>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</si>
  <si>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</si>
  <si>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</si>
  <si>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</si>
  <si>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</si>
  <si>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</si>
  <si>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</si>
  <si>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</si>
  <si>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</si>
  <si>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</si>
  <si>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</si>
  <si>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</si>
  <si>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</si>
  <si>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</si>
  <si>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</si>
  <si>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</si>
  <si>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</si>
  <si>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</si>
  <si>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</si>
  <si>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</si>
  <si>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</si>
  <si>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</si>
  <si>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</si>
  <si>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</si>
  <si>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</si>
  <si>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</si>
  <si>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</si>
  <si>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</si>
  <si>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</si>
  <si>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</si>
  <si>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</si>
  <si>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</si>
  <si>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</si>
  <si>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</si>
  <si>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</si>
  <si>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</si>
  <si>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</si>
  <si>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</si>
  <si>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</si>
  <si>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</si>
  <si>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</si>
  <si>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</si>
  <si>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</si>
  <si>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</si>
  <si>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</si>
  <si>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</si>
  <si>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</si>
  <si>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</si>
  <si>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</si>
  <si>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</si>
  <si>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</si>
  <si>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</si>
  <si>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</si>
  <si>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</si>
  <si>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</si>
  <si>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</si>
  <si>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</si>
  <si>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</si>
  <si>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</si>
  <si>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</si>
  <si>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</si>
  <si>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</si>
  <si>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</si>
  <si>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</si>
  <si>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</si>
  <si>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</si>
  <si>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</si>
  <si>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</si>
  <si>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</si>
  <si>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</si>
  <si>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</si>
  <si>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</si>
  <si>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</si>
  <si>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</si>
  <si>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</si>
  <si>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</si>
  <si>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</si>
  <si>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</si>
  <si>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</si>
  <si>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</si>
  <si>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</si>
  <si>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</si>
  <si>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</si>
  <si>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</si>
  <si>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</si>
  <si>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</si>
  <si>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</si>
  <si>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</si>
  <si>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</si>
  <si>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</si>
  <si>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</si>
  <si>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</si>
  <si>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</si>
  <si>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</si>
  <si>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</si>
  <si>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</si>
  <si>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</si>
  <si>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</si>
  <si>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</si>
  <si>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</si>
  <si>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</si>
  <si>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</si>
  <si>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</si>
  <si>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</si>
  <si>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</si>
  <si>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</si>
  <si>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</si>
  <si>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</si>
  <si>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</si>
  <si>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</si>
  <si>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</si>
  <si>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</si>
  <si>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</si>
  <si>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</si>
  <si>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</si>
  <si>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</si>
  <si>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</si>
  <si>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</si>
  <si>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</si>
  <si>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</si>
  <si>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</si>
  <si>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</si>
  <si>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</si>
  <si>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</si>
  <si>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</si>
  <si>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</si>
  <si>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</si>
  <si>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</si>
  <si>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</si>
  <si>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</si>
  <si>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</si>
  <si>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</si>
  <si>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</si>
  <si>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</si>
  <si>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</si>
  <si>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</si>
  <si>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</si>
  <si>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</si>
  <si>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</si>
  <si>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</si>
  <si>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</si>
  <si>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</si>
  <si>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</si>
  <si>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</si>
  <si>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</si>
  <si>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</si>
  <si>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</si>
  <si>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</si>
  <si>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</si>
  <si>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</si>
  <si>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</si>
  <si>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</si>
  <si>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</si>
  <si>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</si>
  <si>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</si>
  <si>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</si>
  <si>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</si>
  <si>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</si>
  <si>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</si>
  <si>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</si>
  <si>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</si>
  <si>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</si>
  <si>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</si>
  <si>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</si>
  <si>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</si>
  <si>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</si>
  <si>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</si>
  <si>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</si>
  <si>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</si>
  <si>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</si>
  <si>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</si>
  <si>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</si>
  <si>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</si>
  <si>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</si>
  <si>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</si>
  <si>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</si>
  <si>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</si>
  <si>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</si>
  <si>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</si>
  <si>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</si>
  <si>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</si>
  <si>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</si>
  <si>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</si>
  <si>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</si>
  <si>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</si>
  <si>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</si>
  <si>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</si>
  <si>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</si>
  <si>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</si>
  <si>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</si>
  <si>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</si>
  <si>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</si>
  <si>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</si>
  <si>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</si>
  <si>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</si>
  <si>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</si>
  <si>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</si>
  <si>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</si>
  <si>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</si>
  <si>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</si>
  <si>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</si>
  <si>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</si>
  <si>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</si>
  <si>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</si>
  <si>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</si>
  <si>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</si>
  <si>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</si>
  <si>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</si>
  <si>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</si>
  <si>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</si>
  <si>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</si>
  <si>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</si>
  <si>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</si>
  <si>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</si>
  <si>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</si>
  <si>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</si>
  <si>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</si>
  <si>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</si>
  <si>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</si>
  <si>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</si>
  <si>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</si>
  <si>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</si>
  <si>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</si>
  <si>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</si>
  <si>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</si>
  <si>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</si>
  <si>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</si>
  <si>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</si>
  <si>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</si>
  <si>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</si>
  <si>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</si>
  <si>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</si>
  <si>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</si>
  <si>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</si>
  <si>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</si>
  <si>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</si>
  <si>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</si>
  <si>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</si>
  <si>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</si>
  <si>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</si>
  <si>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</si>
  <si>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</si>
  <si>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</si>
  <si>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</si>
  <si>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</si>
  <si>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</si>
  <si>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</si>
  <si>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</si>
  <si>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</si>
  <si>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</si>
  <si>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</si>
  <si>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</si>
  <si>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</si>
  <si>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</si>
  <si>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</si>
  <si>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</si>
  <si>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</si>
  <si>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</si>
  <si>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</si>
  <si>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</si>
  <si>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</si>
  <si>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</si>
  <si>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</si>
  <si>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</si>
  <si>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</si>
  <si>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</si>
  <si>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</si>
  <si>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</si>
  <si>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</si>
  <si>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</si>
  <si>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</si>
  <si>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</si>
  <si>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</si>
  <si>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</si>
  <si>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</si>
  <si>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</si>
  <si>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</si>
  <si>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</si>
  <si>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</si>
  <si>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</si>
  <si>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</si>
  <si>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</si>
  <si>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</si>
  <si>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</si>
  <si>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</si>
  <si>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</si>
  <si>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</si>
  <si>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</si>
  <si>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</si>
  <si>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</si>
  <si>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</si>
  <si>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</si>
  <si>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</si>
  <si>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</si>
  <si>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</si>
  <si>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</si>
  <si>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</si>
  <si>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</si>
  <si>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</si>
  <si>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</si>
  <si>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</si>
  <si>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</si>
  <si>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</si>
  <si>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</si>
  <si>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</si>
  <si>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</si>
  <si>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</si>
  <si>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</si>
  <si>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</si>
  <si>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</si>
  <si>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</si>
  <si>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</si>
  <si>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</si>
  <si>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</si>
  <si>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</si>
  <si>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</si>
  <si>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</si>
  <si>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</si>
  <si>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</si>
  <si>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</si>
  <si>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</si>
  <si>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</si>
  <si>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</si>
  <si>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</si>
  <si>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</si>
  <si>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</si>
  <si>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</si>
  <si>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</si>
  <si>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</si>
  <si>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</si>
  <si>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</si>
  <si>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</si>
  <si>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</si>
  <si>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</si>
  <si>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</si>
  <si>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</si>
  <si>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</si>
  <si>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</si>
  <si>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</si>
  <si>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</si>
  <si>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</si>
  <si>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</si>
  <si>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</si>
  <si>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</si>
  <si>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</si>
  <si>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</si>
  <si>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</si>
  <si>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</si>
  <si>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</si>
  <si>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</si>
  <si>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</si>
  <si>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</si>
  <si>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</si>
  <si>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</si>
  <si>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</si>
  <si>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</si>
  <si>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</si>
  <si>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</si>
  <si>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</si>
  <si>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</si>
  <si>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</si>
  <si>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</si>
  <si>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</si>
  <si>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</si>
  <si>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</si>
  <si>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</si>
  <si>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</si>
  <si>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</si>
  <si>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</si>
  <si>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</si>
  <si>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</si>
  <si>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</si>
  <si>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</si>
  <si>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</si>
  <si>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</si>
  <si>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</si>
  <si>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</si>
  <si>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</si>
  <si>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</si>
  <si>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</si>
  <si>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</si>
  <si>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</si>
  <si>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</si>
  <si>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</si>
  <si>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</si>
  <si>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</si>
  <si>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</si>
  <si>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</si>
  <si>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</si>
  <si>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</si>
  <si>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</si>
  <si>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</si>
  <si>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</si>
  <si>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</si>
  <si>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</si>
  <si>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</si>
  <si>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</si>
  <si>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</si>
  <si>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</si>
  <si>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</si>
  <si>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</si>
  <si>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</si>
  <si>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</si>
  <si>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</si>
  <si>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</si>
  <si>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</si>
  <si>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</si>
  <si>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</si>
  <si>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</si>
  <si>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</si>
  <si>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</si>
  <si>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</si>
  <si>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</si>
  <si>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</si>
  <si>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</si>
  <si>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</si>
  <si>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</si>
  <si>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</si>
  <si>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</si>
  <si>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</si>
  <si>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</si>
  <si>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</si>
  <si>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</si>
  <si>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</si>
  <si>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</si>
  <si>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</si>
  <si>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</si>
  <si>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</si>
  <si>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</si>
  <si>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</si>
  <si>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</si>
  <si>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</si>
  <si>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</si>
  <si>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</si>
  <si>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</si>
  <si>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</si>
  <si>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</si>
  <si>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</si>
  <si>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</si>
  <si>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</si>
  <si>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</si>
  <si>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</si>
  <si>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</si>
  <si>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</si>
  <si>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</si>
  <si>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</si>
  <si>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</si>
  <si>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</si>
  <si>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</si>
  <si>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</si>
  <si>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</si>
  <si>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</si>
  <si>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</si>
  <si>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</si>
  <si>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</si>
  <si>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</si>
  <si>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</si>
  <si>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</si>
  <si>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</si>
  <si>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</si>
  <si>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</si>
  <si>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</si>
  <si>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</si>
  <si>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</si>
  <si>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</si>
  <si>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</si>
  <si>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</si>
  <si>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</si>
  <si>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</si>
  <si>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</si>
  <si>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</si>
  <si>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</si>
  <si>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</si>
  <si>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</si>
  <si>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</si>
  <si>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</si>
  <si>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</si>
  <si>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</si>
  <si>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</si>
  <si>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</si>
  <si>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</si>
  <si>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</si>
  <si>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</si>
  <si>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</si>
  <si>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</si>
  <si>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</si>
  <si>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</si>
  <si>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</si>
  <si>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</si>
  <si>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</si>
  <si>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</si>
  <si>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</si>
  <si>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</si>
  <si>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</si>
  <si>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</si>
  <si>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</si>
  <si>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</si>
  <si>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</si>
  <si>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</si>
  <si>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</si>
  <si>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</si>
  <si>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</si>
  <si>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</si>
  <si>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</si>
  <si>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</si>
  <si>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</si>
  <si>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</si>
  <si>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</si>
  <si>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</si>
  <si>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</si>
  <si>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</si>
  <si>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</si>
  <si>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</si>
  <si>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</si>
  <si>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</si>
  <si>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</si>
  <si>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</si>
  <si>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</si>
  <si>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</si>
  <si>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</si>
  <si>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</si>
  <si>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</si>
  <si>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</si>
  <si>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</si>
  <si>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</si>
  <si>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</si>
  <si>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</si>
  <si>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</si>
  <si>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</si>
  <si>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</si>
  <si>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</si>
  <si>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</si>
  <si>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</si>
  <si>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</si>
  <si>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</si>
  <si>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</si>
  <si>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</si>
  <si>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</si>
  <si>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</si>
  <si>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</si>
  <si>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</si>
  <si>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</si>
  <si>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</si>
  <si>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</si>
  <si>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</si>
  <si>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</si>
  <si>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</si>
  <si>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</si>
  <si>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</si>
  <si>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</si>
  <si>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</si>
  <si>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</si>
  <si>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</si>
  <si>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</si>
  <si>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</si>
  <si>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</si>
  <si>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</si>
  <si>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</si>
  <si>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</si>
  <si>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</si>
  <si>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</si>
  <si>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</si>
  <si>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</si>
  <si>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</si>
  <si>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</si>
  <si>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</si>
  <si>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</si>
  <si>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</si>
  <si>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</si>
  <si>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</si>
  <si>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</si>
  <si>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</si>
  <si>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</si>
  <si>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</si>
  <si>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</si>
  <si>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</si>
  <si>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</si>
  <si>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</si>
  <si>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</si>
  <si>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</si>
  <si>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</si>
  <si>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</si>
  <si>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</si>
  <si>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</si>
  <si>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</si>
  <si>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</si>
  <si>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</si>
  <si>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</si>
  <si>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</si>
  <si>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</si>
  <si>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</si>
  <si>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</si>
  <si>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</si>
  <si>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</si>
  <si>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</si>
  <si>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</si>
  <si>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</si>
  <si>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</si>
  <si>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</si>
  <si>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</si>
  <si>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</si>
  <si>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</si>
  <si>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</si>
  <si>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</si>
  <si>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</si>
  <si>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</si>
  <si>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</si>
  <si>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</si>
  <si>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</si>
  <si>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</si>
  <si>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</si>
  <si>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</si>
  <si>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</si>
  <si>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</si>
  <si>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</si>
  <si>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</si>
  <si>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</si>
  <si>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</si>
  <si>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</si>
  <si>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</si>
  <si>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</si>
  <si>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</si>
  <si>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</si>
  <si>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</si>
  <si>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</si>
  <si>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</si>
  <si>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</si>
  <si>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</si>
  <si>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</si>
  <si>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</si>
  <si>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</si>
  <si>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</si>
  <si>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</si>
  <si>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</si>
  <si>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</si>
  <si>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</si>
  <si>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</si>
  <si>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</si>
  <si>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</si>
  <si>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</si>
  <si>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</si>
  <si>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</si>
  <si>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</si>
  <si>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</si>
  <si>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</si>
  <si>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</si>
  <si>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</si>
  <si>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</si>
  <si>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</si>
  <si>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</si>
  <si>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</si>
  <si>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</si>
  <si>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</si>
  <si>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</si>
  <si>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</si>
  <si>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</si>
  <si>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</si>
  <si>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</si>
  <si>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</si>
  <si>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</si>
  <si>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</si>
  <si>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</si>
  <si>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</si>
  <si>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</si>
  <si>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</si>
  <si>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</si>
  <si>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</si>
  <si>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</si>
  <si>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</si>
  <si>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</si>
  <si>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</si>
  <si>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</si>
  <si>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</si>
  <si>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</si>
  <si>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</si>
  <si>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</si>
  <si>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</si>
  <si>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</si>
  <si>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</si>
  <si>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</si>
  <si>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</si>
  <si>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</si>
  <si>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</si>
  <si>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</si>
  <si>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</si>
  <si>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</si>
  <si>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</si>
  <si>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</si>
  <si>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</si>
  <si>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</si>
  <si>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</si>
  <si>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</si>
  <si>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</si>
  <si>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</si>
  <si>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</si>
  <si>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</si>
  <si>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</si>
  <si>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</si>
  <si>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</si>
  <si>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</si>
  <si>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</si>
  <si>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</si>
  <si>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</si>
  <si>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</si>
  <si>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</si>
  <si>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</si>
  <si>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</si>
  <si>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</si>
  <si>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</si>
  <si>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</si>
  <si>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</si>
  <si>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</si>
  <si>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</si>
  <si>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</si>
  <si>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</si>
  <si>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</si>
  <si>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</si>
  <si>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</si>
  <si>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</si>
  <si>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</si>
  <si>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</si>
  <si>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</si>
  <si>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</si>
  <si>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</si>
  <si>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</si>
  <si>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</si>
  <si>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</si>
  <si>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</si>
  <si>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</si>
  <si>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</si>
  <si>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</si>
  <si>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</si>
  <si>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</si>
  <si>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</si>
  <si>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</si>
  <si>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</si>
  <si>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</si>
  <si>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</si>
  <si>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</si>
  <si>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</si>
  <si>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</si>
  <si>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</si>
  <si>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</si>
  <si>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</si>
  <si>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</si>
  <si>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</si>
  <si>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</si>
  <si>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</si>
  <si>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</si>
  <si>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</si>
  <si>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</si>
  <si>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</si>
  <si>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</si>
  <si>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</si>
  <si>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</si>
  <si>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</si>
  <si>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</si>
  <si>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</si>
  <si>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</si>
  <si>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</si>
  <si>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</si>
  <si>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</si>
  <si>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</si>
  <si>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</si>
  <si>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</si>
  <si>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</si>
  <si>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</si>
  <si>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</si>
  <si>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</si>
  <si>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</si>
  <si>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</si>
  <si>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</si>
  <si>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</si>
  <si>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</si>
  <si>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</si>
  <si>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</si>
  <si>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</si>
  <si>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</si>
  <si>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</si>
  <si>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</si>
  <si>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</si>
  <si>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</si>
  <si>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</si>
  <si>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</si>
  <si>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</si>
  <si>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</si>
  <si>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</si>
  <si>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</si>
  <si>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</si>
  <si>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</si>
  <si>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</si>
  <si>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</si>
  <si>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</si>
  <si>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</si>
  <si>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</si>
  <si>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</si>
  <si>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</si>
  <si>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</si>
  <si>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</si>
  <si>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</si>
  <si>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</si>
  <si>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</si>
  <si>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</si>
  <si>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</si>
  <si>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</si>
  <si>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</si>
  <si>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</si>
  <si>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</si>
  <si>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</si>
  <si>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</si>
  <si>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</si>
  <si>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</si>
  <si>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</si>
  <si>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</si>
  <si>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</si>
  <si>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</si>
  <si>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</si>
  <si>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</si>
  <si>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</si>
  <si>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</si>
  <si>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</si>
  <si>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</si>
  <si>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</si>
  <si>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</si>
  <si>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</si>
  <si>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</si>
  <si>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</si>
  <si>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</si>
  <si>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</si>
  <si>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</si>
  <si>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</si>
  <si>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</si>
  <si>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</si>
  <si>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</si>
  <si>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</si>
  <si>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</si>
  <si>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</si>
  <si>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</si>
  <si>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</si>
  <si>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</si>
  <si>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</si>
  <si>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</si>
  <si>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</si>
  <si>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</si>
  <si>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</si>
  <si>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</si>
  <si>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</si>
  <si>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</si>
  <si>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</si>
  <si>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</si>
  <si>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</si>
  <si>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</si>
  <si>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</si>
  <si>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</si>
  <si>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</si>
  <si>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</si>
  <si>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</si>
  <si>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</si>
  <si>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</si>
  <si>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</si>
  <si>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</si>
  <si>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</si>
  <si>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</si>
  <si>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</si>
  <si>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</si>
  <si>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</si>
  <si>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</si>
  <si>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</si>
  <si>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</si>
  <si>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</si>
  <si>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</si>
  <si>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</si>
  <si>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</si>
  <si>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</si>
  <si>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</si>
  <si>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</si>
  <si>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</si>
  <si>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</si>
  <si>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</si>
  <si>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</si>
  <si>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</si>
  <si>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</si>
  <si>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</si>
  <si>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</si>
  <si>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</si>
  <si>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</si>
  <si>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</si>
  <si>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</si>
  <si>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</si>
  <si>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</si>
  <si>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</si>
  <si>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</si>
  <si>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</si>
  <si>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</si>
  <si>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</si>
  <si>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</si>
  <si>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</si>
  <si>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</si>
  <si>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</si>
  <si>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</si>
  <si>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</si>
  <si>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</si>
  <si>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</si>
  <si>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</si>
  <si>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</si>
  <si>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</si>
  <si>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</si>
  <si>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</si>
  <si>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</si>
  <si>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</si>
  <si>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</si>
  <si>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</si>
  <si>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</si>
  <si>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</si>
  <si>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</si>
  <si>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</si>
  <si>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</si>
  <si>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</si>
  <si>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</si>
  <si>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</si>
  <si>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</si>
  <si>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</si>
  <si>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</si>
  <si>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</si>
  <si>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</si>
  <si>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</si>
  <si>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</si>
  <si>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</si>
  <si>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</si>
  <si>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</si>
  <si>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</si>
  <si>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</si>
  <si>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</si>
  <si>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</si>
  <si>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</si>
  <si>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</si>
  <si>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</si>
  <si>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</si>
  <si>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</si>
  <si>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</si>
  <si>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</si>
  <si>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</si>
  <si>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</si>
  <si>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</si>
  <si>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</si>
  <si>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</si>
  <si>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</si>
  <si>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</si>
  <si>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</si>
  <si>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</si>
  <si>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</si>
  <si>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</si>
  <si>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</si>
  <si>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</si>
  <si>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</si>
  <si>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</si>
  <si>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</si>
  <si>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</si>
  <si>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</si>
  <si>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</si>
  <si>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</si>
  <si>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</si>
  <si>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</si>
  <si>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</si>
  <si>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</si>
  <si>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</si>
  <si>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</si>
  <si>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</si>
  <si>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</si>
  <si>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</si>
  <si>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</si>
  <si>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</si>
  <si>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</si>
  <si>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</si>
  <si>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</si>
  <si>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</si>
  <si>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</si>
  <si>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</si>
  <si>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</si>
  <si>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</si>
  <si>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</si>
  <si>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</si>
  <si>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</si>
  <si>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</si>
  <si>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</si>
  <si>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</si>
  <si>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</si>
  <si>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</si>
  <si>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</si>
  <si>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</si>
  <si>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</si>
  <si>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</si>
  <si>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</si>
  <si>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</si>
  <si>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</si>
  <si>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</si>
  <si>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</si>
  <si>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</si>
  <si>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</si>
  <si>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</si>
  <si>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</si>
  <si>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</si>
  <si>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</si>
  <si>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</si>
  <si>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</si>
  <si>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</si>
  <si>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</si>
  <si>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</si>
  <si>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</si>
  <si>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</si>
  <si>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</si>
  <si>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</si>
  <si>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</si>
  <si>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</si>
  <si>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</si>
  <si>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</si>
  <si>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</si>
  <si>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</si>
  <si>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</si>
  <si>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</si>
  <si>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</si>
  <si>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</si>
  <si>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</si>
  <si>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</si>
  <si>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</si>
  <si>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</si>
  <si>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</si>
  <si>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</si>
  <si>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</si>
  <si>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</si>
  <si>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</si>
  <si>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</si>
  <si>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</si>
  <si>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</si>
  <si>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</si>
  <si>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</si>
  <si>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</si>
  <si>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</si>
  <si>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</si>
  <si>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</si>
  <si>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</si>
  <si>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</si>
  <si>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</si>
  <si>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</si>
  <si>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</si>
  <si>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</si>
  <si>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</si>
  <si>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</si>
  <si>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</si>
  <si>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</si>
  <si>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</si>
  <si>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</si>
  <si>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</si>
  <si>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</si>
  <si>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</si>
  <si>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</si>
  <si>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</si>
  <si>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</si>
  <si>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</si>
  <si>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</si>
  <si>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</si>
  <si>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</si>
  <si>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</si>
  <si>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</si>
  <si>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</si>
  <si>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</si>
  <si>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</si>
  <si>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</si>
  <si>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</si>
  <si>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</si>
  <si>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</si>
  <si>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</si>
  <si>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</si>
  <si>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</si>
  <si>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</si>
  <si>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</si>
  <si>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</si>
  <si>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</si>
  <si>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</si>
  <si>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</si>
  <si>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</si>
  <si>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</si>
  <si>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</si>
  <si>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</si>
  <si>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</si>
  <si>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</si>
  <si>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</si>
  <si>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</si>
  <si>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</si>
  <si>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</si>
  <si>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</si>
  <si>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</si>
  <si>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</si>
  <si>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</si>
  <si>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</si>
  <si>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</si>
  <si>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</si>
  <si>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</si>
  <si>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</si>
  <si>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</si>
  <si>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</si>
  <si>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</si>
  <si>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</si>
  <si>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</si>
  <si>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</si>
  <si>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</si>
  <si>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</si>
  <si>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</si>
  <si>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</si>
  <si>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</si>
  <si>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</si>
  <si>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</si>
  <si>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</si>
  <si>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</si>
  <si>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</si>
  <si>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</si>
  <si>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</si>
  <si>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</si>
  <si>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</si>
  <si>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</si>
  <si>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</si>
  <si>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</si>
  <si>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</si>
  <si>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</si>
  <si>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</si>
  <si>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</si>
  <si>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</si>
  <si>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</si>
  <si>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</si>
  <si>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</si>
  <si>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</si>
  <si>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</si>
  <si>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</si>
  <si>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</si>
  <si>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</si>
  <si>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</si>
  <si>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</si>
  <si>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</si>
  <si>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</si>
  <si>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</si>
  <si>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</si>
  <si>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</si>
  <si>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</si>
  <si>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</si>
  <si>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</si>
  <si>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</si>
  <si>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</si>
  <si>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</si>
  <si>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</si>
  <si>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</si>
  <si>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</si>
  <si>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</si>
  <si>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</si>
  <si>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</si>
  <si>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</si>
  <si>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</si>
  <si>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</si>
  <si>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</si>
  <si>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</si>
  <si>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</si>
  <si>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</si>
  <si>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</si>
  <si>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</si>
  <si>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</si>
  <si>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</si>
  <si>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</si>
  <si>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</si>
  <si>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</si>
  <si>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</si>
  <si>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</si>
  <si>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</si>
  <si>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</si>
  <si>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</si>
  <si>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</si>
  <si>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</si>
  <si>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</si>
  <si>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</si>
  <si>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</si>
  <si>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</si>
  <si>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</si>
  <si>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</si>
  <si>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</si>
  <si>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</si>
  <si>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</si>
  <si>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</si>
  <si>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</si>
  <si>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</si>
  <si>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</si>
  <si>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</si>
  <si>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</si>
  <si>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</si>
  <si>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</si>
  <si>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</si>
  <si>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</si>
  <si>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</si>
  <si>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</si>
  <si>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</si>
  <si>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</si>
  <si>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</si>
  <si>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</si>
  <si>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</si>
  <si>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</si>
  <si>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</si>
  <si>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</si>
  <si>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</si>
  <si>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</si>
  <si>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</si>
  <si>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</si>
  <si>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</si>
  <si>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</si>
  <si>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</si>
  <si>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</si>
  <si>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</si>
  <si>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</si>
  <si>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</si>
  <si>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</si>
  <si>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</si>
  <si>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</si>
  <si>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</si>
  <si>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</si>
  <si>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</si>
  <si>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</si>
  <si>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</si>
  <si>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</si>
  <si>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</si>
  <si>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</si>
  <si>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</si>
  <si>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</si>
  <si>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</si>
  <si>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</si>
  <si>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</si>
  <si>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</si>
  <si>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</si>
  <si>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</si>
  <si>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</si>
  <si>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</si>
  <si>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</si>
  <si>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</si>
  <si>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</si>
  <si>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</si>
  <si>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</si>
  <si>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</si>
  <si>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</si>
  <si>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</si>
  <si>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</si>
  <si>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</si>
  <si>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</si>
  <si>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</si>
  <si>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</si>
  <si>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</si>
  <si>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</si>
  <si>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</si>
  <si>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</si>
  <si>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</si>
  <si>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</si>
  <si>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</si>
  <si>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</si>
  <si>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</si>
  <si>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</si>
  <si>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</si>
  <si>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</si>
  <si>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</si>
  <si>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</si>
  <si>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</si>
  <si>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</si>
  <si>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</si>
  <si>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</si>
  <si>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</si>
  <si>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</si>
  <si>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</si>
  <si>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</si>
  <si>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</si>
  <si>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</si>
  <si>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</si>
  <si>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</si>
  <si>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</si>
  <si>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</si>
  <si>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</si>
  <si>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</si>
  <si>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</si>
  <si>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</si>
  <si>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</si>
  <si>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</si>
  <si>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</si>
  <si>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</si>
  <si>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</si>
  <si>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</si>
  <si>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</si>
  <si>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</si>
  <si>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</si>
  <si>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</si>
  <si>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</si>
  <si>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</si>
  <si>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</si>
  <si>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</si>
  <si>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</si>
  <si>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</si>
  <si>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</si>
  <si>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</si>
  <si>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</si>
  <si>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</si>
  <si>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</si>
  <si>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</si>
  <si>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</si>
  <si>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</si>
  <si>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</si>
  <si>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</si>
  <si>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</si>
  <si>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</si>
  <si>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</si>
  <si>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</si>
  <si>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</si>
  <si>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</si>
  <si>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</si>
  <si>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</si>
  <si>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</si>
  <si>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</si>
  <si>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</si>
  <si>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</si>
  <si>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</si>
  <si>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</si>
  <si>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</si>
  <si>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</si>
  <si>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</si>
  <si>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</si>
  <si>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</si>
  <si>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</si>
  <si>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</si>
  <si>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</si>
  <si>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</si>
  <si>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</si>
  <si>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</si>
  <si>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</si>
  <si>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</si>
  <si>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</si>
  <si>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</si>
  <si>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</si>
  <si>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</si>
  <si>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</si>
  <si>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</si>
  <si>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</si>
  <si>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</si>
  <si>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</si>
  <si>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</si>
  <si>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</si>
  <si>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</si>
  <si>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</si>
  <si>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</si>
  <si>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</si>
  <si>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</si>
  <si>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</si>
  <si>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</si>
  <si>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</si>
  <si>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</si>
  <si>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</si>
  <si>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</si>
  <si>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</si>
  <si>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</si>
  <si>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</si>
  <si>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</si>
  <si>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</si>
  <si>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</si>
  <si>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</si>
  <si>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</si>
  <si>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</si>
  <si>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</si>
  <si>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</si>
  <si>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</si>
  <si>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</si>
  <si>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</si>
  <si>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</si>
  <si>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</si>
  <si>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</si>
  <si>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</si>
  <si>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</si>
  <si>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</si>
  <si>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</si>
  <si>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</si>
  <si>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</si>
  <si>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</si>
  <si>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</si>
  <si>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</si>
  <si>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</si>
  <si>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</si>
  <si>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</si>
  <si>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</si>
  <si>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</si>
  <si>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</si>
  <si>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</si>
  <si>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</si>
  <si>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</si>
  <si>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</si>
  <si>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</si>
  <si>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</si>
  <si>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</si>
  <si>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</si>
  <si>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</si>
  <si>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</si>
  <si>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</si>
  <si>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</si>
  <si>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</si>
  <si>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</si>
  <si>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</si>
  <si>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</si>
  <si>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</si>
  <si>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</si>
  <si>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</si>
  <si>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</si>
  <si>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</si>
  <si>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</si>
  <si>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</si>
  <si>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</si>
  <si>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</si>
  <si>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</si>
  <si>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</si>
  <si>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</si>
  <si>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</si>
  <si>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</si>
  <si>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</si>
  <si>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</si>
  <si>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</si>
  <si>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</si>
  <si>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</si>
  <si>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</si>
  <si>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</si>
  <si>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</si>
  <si>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</si>
  <si>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</si>
  <si>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</si>
  <si>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</si>
  <si>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</si>
  <si>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</si>
  <si>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</si>
  <si>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</si>
  <si>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</si>
  <si>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</si>
  <si>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</si>
  <si>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</si>
  <si>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</si>
  <si>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</si>
  <si>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</si>
  <si>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</si>
  <si>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</si>
  <si>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</si>
  <si>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</si>
  <si>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</si>
  <si>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</si>
  <si>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</si>
  <si>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</si>
  <si>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</si>
  <si>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</si>
  <si>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</si>
  <si>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</si>
  <si>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</si>
  <si>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</si>
  <si>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</si>
  <si>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</si>
  <si>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</si>
  <si>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</si>
  <si>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</si>
  <si>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</si>
  <si>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</si>
  <si>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</si>
  <si>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</si>
  <si>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</si>
  <si>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</si>
  <si>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</si>
  <si>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</si>
  <si>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</si>
  <si>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</si>
  <si>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</si>
  <si>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</si>
  <si>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</si>
  <si>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</si>
  <si>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</si>
  <si>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</si>
  <si>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</si>
  <si>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</si>
  <si>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</si>
  <si>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</si>
  <si>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</si>
  <si>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</si>
  <si>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</si>
  <si>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</si>
  <si>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</si>
  <si>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</si>
  <si>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</si>
  <si>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</si>
  <si>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</si>
  <si>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</si>
  <si>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</si>
  <si>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</si>
  <si>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</si>
  <si>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</si>
  <si>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</si>
  <si>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</si>
  <si>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</si>
  <si>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</si>
  <si>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</si>
  <si>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</si>
  <si>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</si>
  <si>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</si>
  <si>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</si>
  <si>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</si>
  <si>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</si>
  <si>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</si>
  <si>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</si>
  <si>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</si>
  <si>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</si>
  <si>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</si>
  <si>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</si>
  <si>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</si>
  <si>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</si>
  <si>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</si>
  <si>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</si>
  <si>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</si>
  <si>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</si>
  <si>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</si>
  <si>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</si>
  <si>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</si>
  <si>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</si>
  <si>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</si>
  <si>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</si>
  <si>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</si>
  <si>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</si>
  <si>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</si>
  <si>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</si>
  <si>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</si>
  <si>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</si>
  <si>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</si>
  <si>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</si>
  <si>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</si>
  <si>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</si>
  <si>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</si>
  <si>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</si>
  <si>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</si>
  <si>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</si>
  <si>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</si>
  <si>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</si>
  <si>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</si>
  <si>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</si>
  <si>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</si>
  <si>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</si>
  <si>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</si>
  <si>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</si>
  <si>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</si>
  <si>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</si>
  <si>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</si>
  <si>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</si>
  <si>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</si>
  <si>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</si>
  <si>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</si>
  <si>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</si>
  <si>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</si>
  <si>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</si>
  <si>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</si>
  <si>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</si>
  <si>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</si>
  <si>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</si>
  <si>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</si>
  <si>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</si>
  <si>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</si>
  <si>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</si>
  <si>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</si>
  <si>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</si>
  <si>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</si>
  <si>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</si>
  <si>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</si>
  <si>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</si>
  <si>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</si>
  <si>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</si>
  <si>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</si>
  <si>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</si>
  <si>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</si>
  <si>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</si>
  <si>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</si>
  <si>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</si>
  <si>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</si>
  <si>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</si>
  <si>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</si>
  <si>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</si>
  <si>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</si>
  <si>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</si>
  <si>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</si>
  <si>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</si>
  <si>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</si>
  <si>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</si>
  <si>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</si>
  <si>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</si>
  <si>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</si>
  <si>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</si>
  <si>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</si>
  <si>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</si>
  <si>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</si>
  <si>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</si>
  <si>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</si>
  <si>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</si>
  <si>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</si>
  <si>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</si>
  <si>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</si>
  <si>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</si>
  <si>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</si>
  <si>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</si>
  <si>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</si>
  <si>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</si>
  <si>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</si>
  <si>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</si>
  <si>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</si>
  <si>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</si>
  <si>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</si>
  <si>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</si>
  <si>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</si>
  <si>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</si>
  <si>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</si>
  <si>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</si>
  <si>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</si>
  <si>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</si>
  <si>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</si>
  <si>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</si>
  <si>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</si>
  <si>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</si>
  <si>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</si>
  <si>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</si>
  <si>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</si>
  <si>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</si>
  <si>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</si>
  <si>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</si>
  <si>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</si>
  <si>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</si>
  <si>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</si>
  <si>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</si>
  <si>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</si>
  <si>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</si>
  <si>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</si>
  <si>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</si>
  <si>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</si>
  <si>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</si>
  <si>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</si>
  <si>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</si>
  <si>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</si>
  <si>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</si>
  <si>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</si>
  <si>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</si>
  <si>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</si>
  <si>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</si>
  <si>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</si>
  <si>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</si>
  <si>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</si>
  <si>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</si>
  <si>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</si>
  <si>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</si>
  <si>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</si>
  <si>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</si>
  <si>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</si>
  <si>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</si>
  <si>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</si>
  <si>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</si>
  <si>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</si>
  <si>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</si>
  <si>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</si>
  <si>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</si>
  <si>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</si>
  <si>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</si>
  <si>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</si>
  <si>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</si>
  <si>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</si>
  <si>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</si>
  <si>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</si>
  <si>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</si>
  <si>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</si>
  <si>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</si>
  <si>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</si>
  <si>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</si>
  <si>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</si>
  <si>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</si>
  <si>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</si>
  <si>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</si>
  <si>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</si>
  <si>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</si>
  <si>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</si>
  <si>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</si>
  <si>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</si>
  <si>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</si>
  <si>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</si>
  <si>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</si>
  <si>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</si>
  <si>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</si>
  <si>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</si>
  <si>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</si>
  <si>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</si>
  <si>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</si>
  <si>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</si>
  <si>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</si>
  <si>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</si>
  <si>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</si>
  <si>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</si>
  <si>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</si>
  <si>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</si>
  <si>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</si>
  <si>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</si>
  <si>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</si>
  <si>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</si>
  <si>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</si>
  <si>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</si>
  <si>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</si>
  <si>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</si>
  <si>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</si>
  <si>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</si>
  <si>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</si>
  <si>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</si>
  <si>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</si>
  <si>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</si>
  <si>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</si>
  <si>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</si>
  <si>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</si>
  <si>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</si>
  <si>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</si>
  <si>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</si>
  <si>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</si>
  <si>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</si>
  <si>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</si>
  <si>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</si>
  <si>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</si>
  <si>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</si>
  <si>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</si>
  <si>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</si>
  <si>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</si>
  <si>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</si>
  <si>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</si>
  <si>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</si>
  <si>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</si>
  <si>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</si>
  <si>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</si>
  <si>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</si>
  <si>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</si>
  <si>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</si>
  <si>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</si>
  <si>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</si>
  <si>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</si>
  <si>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</si>
  <si>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</si>
  <si>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</si>
  <si>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</si>
  <si>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</si>
  <si>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</si>
  <si>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</si>
  <si>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</si>
  <si>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</si>
  <si>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</si>
  <si>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</si>
  <si>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</si>
  <si>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</si>
  <si>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</si>
  <si>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</si>
  <si>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</si>
  <si>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</si>
  <si>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</si>
  <si>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</si>
  <si>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</si>
  <si>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</si>
  <si>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</si>
  <si>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</si>
  <si>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</si>
  <si>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</si>
  <si>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</si>
  <si>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</si>
  <si>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</si>
  <si>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</si>
  <si>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</si>
  <si>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</si>
  <si>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</si>
  <si>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</si>
  <si>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</si>
  <si>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</si>
  <si>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</si>
  <si>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</si>
  <si>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</si>
  <si>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</si>
  <si>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</si>
  <si>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</si>
  <si>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</si>
  <si>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</si>
  <si>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</si>
  <si>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</si>
  <si>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</si>
  <si>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</si>
  <si>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</si>
  <si>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</si>
  <si>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</si>
  <si>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</si>
  <si>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</si>
  <si>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</si>
  <si>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</si>
  <si>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</si>
  <si>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</si>
  <si>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</si>
  <si>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</si>
  <si>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</si>
  <si>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</si>
  <si>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</si>
  <si>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</si>
  <si>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</si>
  <si>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</si>
  <si>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</si>
  <si>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</si>
  <si>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</si>
  <si>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</si>
  <si>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</si>
  <si>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</si>
  <si>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</si>
  <si>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</si>
  <si>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</si>
  <si>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</si>
  <si>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</si>
  <si>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</si>
  <si>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</si>
  <si>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</si>
  <si>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</si>
  <si>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</si>
  <si>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</si>
  <si>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</si>
  <si>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</si>
  <si>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</si>
  <si>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</si>
  <si>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</si>
  <si>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</si>
  <si>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</si>
  <si>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</si>
  <si>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</si>
  <si>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</si>
  <si>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</si>
  <si>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</si>
  <si>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</si>
  <si>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</si>
  <si>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</si>
  <si>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</si>
  <si>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</si>
  <si>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</si>
  <si>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</si>
  <si>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</si>
  <si>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</si>
  <si>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</si>
  <si>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</si>
  <si>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</si>
  <si>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</si>
  <si>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</si>
  <si>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</si>
  <si>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</si>
  <si>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</si>
  <si>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</si>
  <si>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</si>
  <si>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</si>
  <si>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</si>
  <si>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</si>
  <si>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</si>
  <si>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</si>
  <si>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</si>
  <si>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</si>
  <si>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</si>
  <si>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</si>
  <si>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</si>
  <si>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</si>
  <si>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</si>
  <si>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</si>
  <si>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</si>
  <si>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</si>
  <si>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</si>
  <si>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</si>
  <si>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</si>
  <si>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</si>
  <si>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</si>
  <si>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</si>
  <si>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</si>
  <si>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</si>
  <si>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</si>
  <si>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</si>
  <si>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</si>
  <si>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</si>
  <si>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</si>
  <si>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</si>
  <si>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</si>
  <si>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</si>
  <si>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</si>
  <si>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</si>
  <si>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</si>
  <si>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</si>
  <si>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</si>
  <si>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</si>
  <si>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</si>
  <si>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</si>
  <si>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</si>
  <si>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</si>
  <si>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</si>
  <si>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</si>
  <si>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</si>
  <si>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</si>
  <si>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</si>
  <si>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</si>
  <si>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</si>
  <si>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</si>
  <si>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</si>
  <si>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</si>
  <si>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</si>
  <si>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</si>
  <si>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</si>
  <si>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</si>
  <si>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</si>
  <si>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</si>
  <si>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</si>
  <si>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</si>
  <si>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</si>
  <si>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</si>
  <si>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</si>
  <si>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</si>
  <si>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</si>
  <si>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</si>
  <si>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</si>
  <si>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</si>
  <si>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</si>
  <si>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</si>
  <si>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</si>
  <si>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</si>
  <si>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</si>
  <si>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</si>
  <si>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</si>
  <si>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</si>
  <si>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</si>
  <si>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</si>
  <si>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</si>
  <si>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</si>
  <si>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</si>
  <si>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</si>
  <si>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</si>
  <si>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</si>
  <si>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</si>
  <si>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</si>
  <si>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</si>
  <si>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</si>
  <si>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</si>
  <si>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</si>
  <si>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</si>
  <si>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</si>
  <si>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</si>
  <si>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</si>
  <si>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</si>
  <si>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</si>
  <si>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</si>
  <si>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</si>
  <si>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</si>
  <si>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</si>
  <si>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</si>
  <si>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</si>
  <si>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</si>
  <si>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</si>
  <si>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</si>
  <si>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</si>
  <si>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</si>
  <si>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</si>
  <si>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</si>
  <si>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</si>
  <si>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</si>
  <si>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</si>
  <si>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</si>
  <si>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</si>
  <si>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</si>
  <si>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</si>
  <si>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</si>
  <si>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</si>
  <si>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</si>
  <si>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</si>
  <si>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</si>
  <si>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</si>
  <si>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</si>
  <si>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</si>
  <si>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</si>
  <si>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</si>
  <si>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</si>
  <si>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</si>
  <si>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</si>
  <si>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</si>
  <si>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</si>
  <si>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</si>
  <si>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</si>
  <si>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</si>
  <si>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</si>
  <si>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</si>
  <si>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</si>
  <si>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</si>
  <si>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</si>
  <si>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</si>
  <si>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</si>
  <si>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</si>
  <si>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</si>
  <si>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</si>
  <si>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</si>
  <si>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</si>
  <si>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</si>
  <si>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</si>
  <si>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</si>
  <si>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</si>
  <si>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</si>
  <si>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</si>
  <si>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</si>
  <si>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</si>
  <si>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</si>
  <si>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</si>
  <si>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</si>
  <si>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</si>
  <si>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</si>
  <si>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</si>
  <si>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</si>
  <si>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</si>
  <si>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</si>
  <si>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</si>
  <si>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</si>
  <si>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</si>
  <si>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</si>
  <si>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</si>
  <si>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</si>
  <si>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</si>
  <si>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</si>
  <si>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</si>
  <si>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</si>
  <si>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</si>
  <si>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</si>
  <si>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</si>
  <si>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</si>
  <si>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</si>
  <si>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</si>
  <si>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</si>
  <si>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</si>
  <si>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</si>
  <si>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</si>
  <si>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</si>
  <si>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</si>
  <si>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</si>
  <si>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</si>
  <si>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</si>
  <si>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</si>
  <si>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</si>
  <si>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</si>
  <si>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</si>
  <si>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</si>
  <si>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</si>
  <si>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</si>
  <si>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</si>
  <si>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</si>
  <si>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</si>
  <si>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</si>
  <si>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</si>
  <si>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</si>
  <si>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</si>
  <si>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</si>
  <si>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</si>
  <si>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</si>
  <si>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</si>
  <si>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</si>
  <si>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</si>
  <si>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</si>
  <si>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</si>
  <si>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</si>
  <si>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</si>
  <si>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</si>
  <si>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</si>
  <si>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</si>
  <si>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</si>
  <si>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</si>
  <si>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</si>
  <si>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</si>
  <si>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</si>
  <si>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</si>
  <si>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</si>
  <si>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</si>
  <si>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</si>
  <si>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</si>
  <si>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</si>
  <si>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</si>
  <si>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</si>
  <si>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</si>
  <si>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</si>
  <si>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</si>
  <si>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</si>
  <si>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</si>
  <si>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</si>
  <si>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</si>
  <si>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</si>
  <si>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</si>
  <si>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</si>
  <si>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</si>
  <si>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</si>
  <si>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</si>
  <si>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</si>
  <si>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</si>
  <si>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</si>
  <si>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</si>
  <si>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</si>
  <si>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</si>
  <si>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</si>
  <si>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</si>
  <si>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</si>
  <si>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</si>
  <si>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</si>
  <si>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</si>
  <si>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</si>
  <si>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</si>
  <si>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</si>
  <si>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</si>
  <si>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</si>
  <si>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</si>
  <si>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</si>
  <si>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</si>
  <si>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</si>
  <si>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</si>
  <si>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</si>
  <si>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</si>
  <si>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</si>
  <si>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</si>
  <si>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</si>
  <si>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</si>
  <si>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</si>
  <si>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</si>
  <si>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</si>
  <si>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</si>
  <si>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</si>
  <si>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</si>
  <si>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</si>
  <si>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</si>
  <si>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</si>
  <si>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</si>
  <si>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</si>
  <si>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</si>
  <si>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</si>
  <si>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</si>
  <si>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</si>
  <si>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</si>
  <si>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</si>
  <si>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</si>
  <si>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</si>
  <si>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</si>
  <si>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</si>
  <si>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</si>
  <si>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</si>
  <si>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</si>
  <si>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</si>
  <si>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</si>
  <si>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</si>
  <si>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</si>
  <si>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</si>
  <si>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</si>
  <si>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</si>
  <si>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</si>
  <si>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</si>
  <si>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</si>
  <si>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</si>
  <si>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</si>
  <si>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</si>
  <si>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</si>
  <si>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</si>
  <si>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</si>
  <si>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</si>
  <si>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</si>
  <si>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</si>
  <si>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</si>
  <si>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</si>
  <si>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</si>
  <si>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</si>
  <si>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</si>
  <si>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</si>
  <si>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</si>
  <si>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</si>
  <si>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</si>
  <si>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</si>
  <si>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</si>
  <si>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</si>
  <si>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</si>
  <si>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</si>
  <si>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</si>
  <si>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</si>
  <si>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</si>
  <si>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</si>
  <si>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</si>
  <si>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</si>
  <si>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</si>
  <si>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</si>
  <si>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</si>
  <si>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</si>
  <si>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</si>
  <si>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</si>
  <si>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</si>
  <si>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</si>
  <si>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</si>
  <si>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</si>
  <si>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</si>
  <si>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</si>
  <si>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</si>
  <si>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</si>
  <si>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</si>
  <si>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</si>
  <si>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</si>
  <si>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</si>
  <si>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</si>
  <si>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</si>
  <si>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</si>
  <si>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</si>
  <si>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</si>
  <si>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</si>
  <si>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</si>
  <si>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</si>
  <si>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</si>
  <si>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</si>
  <si>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</si>
  <si>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</si>
  <si>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</si>
  <si>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</si>
  <si>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</si>
  <si>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</si>
  <si>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</si>
  <si>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</si>
  <si>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</si>
  <si>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</si>
  <si>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</si>
  <si>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</si>
  <si>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</si>
  <si>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</si>
  <si>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</si>
  <si>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</si>
  <si>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</si>
  <si>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</si>
  <si>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</si>
  <si>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</si>
  <si>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</si>
  <si>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</si>
  <si>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</si>
  <si>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</si>
  <si>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</si>
  <si>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</si>
  <si>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</si>
  <si>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</si>
  <si>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</si>
  <si>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</si>
  <si>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</si>
  <si>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</si>
  <si>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</si>
  <si>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</si>
  <si>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</si>
  <si>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</si>
  <si>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</si>
  <si>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</si>
  <si>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</si>
  <si>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</si>
  <si>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</si>
  <si>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</si>
  <si>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</si>
  <si>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</si>
  <si>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</si>
  <si>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</si>
  <si>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</si>
  <si>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</si>
  <si>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</si>
  <si>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</si>
  <si>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</si>
  <si>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</si>
  <si>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</si>
  <si>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</si>
  <si>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</si>
  <si>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</si>
  <si>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</si>
  <si>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</si>
  <si>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</si>
  <si>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</si>
  <si>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</si>
  <si>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</si>
  <si>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</si>
  <si>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</si>
  <si>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</si>
  <si>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</si>
  <si>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</si>
  <si>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</si>
  <si>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</si>
  <si>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</si>
  <si>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</si>
  <si>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</si>
  <si>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</si>
  <si>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</si>
  <si>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</si>
  <si>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</si>
  <si>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</si>
  <si>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</si>
  <si>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</si>
  <si>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</si>
  <si>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</si>
  <si>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</si>
  <si>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</si>
  <si>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</si>
  <si>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</si>
  <si>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</si>
  <si>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</si>
  <si>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</si>
  <si>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</si>
  <si>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</si>
  <si>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</si>
  <si>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</si>
  <si>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</si>
  <si>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</si>
  <si>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</si>
  <si>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</si>
  <si>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</si>
  <si>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</si>
  <si>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</si>
  <si>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</si>
  <si>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</si>
  <si>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</si>
  <si>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</si>
  <si>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</si>
  <si>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</si>
  <si>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</si>
  <si>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</si>
  <si>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</si>
  <si>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</si>
  <si>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</si>
  <si>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</si>
  <si>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</si>
  <si>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</si>
  <si>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</si>
  <si>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</si>
  <si>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</si>
  <si>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</si>
  <si>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</si>
  <si>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</si>
  <si>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</si>
  <si>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</si>
  <si>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</si>
  <si>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</si>
  <si>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</si>
  <si>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</si>
  <si>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</si>
  <si>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</si>
  <si>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</si>
  <si>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</si>
  <si>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</si>
  <si>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</si>
  <si>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</si>
  <si>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</si>
  <si>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</si>
  <si>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</si>
  <si>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</si>
  <si>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</si>
  <si>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</si>
  <si>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</si>
  <si>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</si>
  <si>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</si>
  <si>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</si>
  <si>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</si>
  <si>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</si>
  <si>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</si>
  <si>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</si>
  <si>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</si>
  <si>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</si>
  <si>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</si>
  <si>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</si>
  <si>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</si>
  <si>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</si>
  <si>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</si>
  <si>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</si>
  <si>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</si>
  <si>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</si>
  <si>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</si>
  <si>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</si>
  <si>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</si>
  <si>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</si>
  <si>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</si>
  <si>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</si>
  <si>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</si>
  <si>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</si>
  <si>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</si>
  <si>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</si>
  <si>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</si>
  <si>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</si>
  <si>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</si>
  <si>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</si>
  <si>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</si>
  <si>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</si>
  <si>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</si>
  <si>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</si>
  <si>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</si>
  <si>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</si>
  <si>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</si>
  <si>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</si>
  <si>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</si>
  <si>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</si>
  <si>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</si>
  <si>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</si>
  <si>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</si>
  <si>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</si>
  <si>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</si>
  <si>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</si>
  <si>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</si>
  <si>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</si>
  <si>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</si>
  <si>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</si>
  <si>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</si>
  <si>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</si>
  <si>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</si>
  <si>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</si>
  <si>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</si>
  <si>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</si>
  <si>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</si>
  <si>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</si>
  <si>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</si>
  <si>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</si>
  <si>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</si>
  <si>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</si>
  <si>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</si>
  <si>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</si>
  <si>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</si>
  <si>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</si>
  <si>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</si>
  <si>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</si>
  <si>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</si>
  <si>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</si>
  <si>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</si>
  <si>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</si>
  <si>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</si>
  <si>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</si>
  <si>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</si>
  <si>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</si>
  <si>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</si>
  <si>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</si>
  <si>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</si>
  <si>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</si>
  <si>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</si>
  <si>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</si>
  <si>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</si>
  <si>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</si>
  <si>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</si>
  <si>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</si>
  <si>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</si>
  <si>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</si>
  <si>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</si>
  <si>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</si>
  <si>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</si>
  <si>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</si>
  <si>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</si>
  <si>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</si>
  <si>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</si>
  <si>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</si>
  <si>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</si>
  <si>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</si>
  <si>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</si>
  <si>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</si>
  <si>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</si>
  <si>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</si>
  <si>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</si>
  <si>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</si>
  <si>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</si>
  <si>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</si>
  <si>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</si>
  <si>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</si>
  <si>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</si>
  <si>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</si>
  <si>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</si>
  <si>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</si>
  <si>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</si>
  <si>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</si>
  <si>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</si>
  <si>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</si>
  <si>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</si>
  <si>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</si>
  <si>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</si>
  <si>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</si>
  <si>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</si>
  <si>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</si>
  <si>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</si>
  <si>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</si>
  <si>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</si>
  <si>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</si>
  <si>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</si>
  <si>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</si>
  <si>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</si>
  <si>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</si>
  <si>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</si>
  <si>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</si>
  <si>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</si>
  <si>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</si>
  <si>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</si>
  <si>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</si>
  <si>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</si>
  <si>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</si>
  <si>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</si>
  <si>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</si>
  <si>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</si>
  <si>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</si>
  <si>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</si>
  <si>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</si>
  <si>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</si>
  <si>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</si>
  <si>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</si>
  <si>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</si>
  <si>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</si>
  <si>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</si>
  <si>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</si>
  <si>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</si>
  <si>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</si>
  <si>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</si>
  <si>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</si>
  <si>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</si>
  <si>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</si>
  <si>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</si>
  <si>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</si>
  <si>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</si>
  <si>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</si>
  <si>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</si>
  <si>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</si>
  <si>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</si>
  <si>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</si>
  <si>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</si>
  <si>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</si>
  <si>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</si>
  <si>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</si>
  <si>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</si>
  <si>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</si>
  <si>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</si>
  <si>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</si>
  <si>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</si>
  <si>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</si>
  <si>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</si>
  <si>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</si>
  <si>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</si>
  <si>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</si>
  <si>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</si>
  <si>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</si>
  <si>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</si>
  <si>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</si>
  <si>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</si>
  <si>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</si>
  <si>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</si>
  <si>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</si>
  <si>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</si>
  <si>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</si>
  <si>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</si>
  <si>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</si>
  <si>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</si>
  <si>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</si>
  <si>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</si>
  <si>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</si>
  <si>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</si>
  <si>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</si>
  <si>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</si>
  <si>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</si>
  <si>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</si>
  <si>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</si>
  <si>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</si>
  <si>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</si>
  <si>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</si>
  <si>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</si>
  <si>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</si>
  <si>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</si>
  <si>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</si>
  <si>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</si>
  <si>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</si>
  <si>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</si>
  <si>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</si>
  <si>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</si>
  <si>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</si>
  <si>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</si>
  <si>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</si>
  <si>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</si>
  <si>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</si>
  <si>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</si>
  <si>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</si>
  <si>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</si>
  <si>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</si>
  <si>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</si>
  <si>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</si>
  <si>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</si>
  <si>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</si>
  <si>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</si>
  <si>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</si>
  <si>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</si>
  <si>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</si>
  <si>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</si>
  <si>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</si>
  <si>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</si>
  <si>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</si>
  <si>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</si>
  <si>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</si>
  <si>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</si>
  <si>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</si>
  <si>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</si>
  <si>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</si>
  <si>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</si>
  <si>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</si>
  <si>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</si>
  <si>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</si>
  <si>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</si>
  <si>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</si>
  <si>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</si>
  <si>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</si>
  <si>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</si>
  <si>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</si>
  <si>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</si>
  <si>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</si>
  <si>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</si>
  <si>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</si>
  <si>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</si>
  <si>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</si>
  <si>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</si>
  <si>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</si>
  <si>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</si>
  <si>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</si>
  <si>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</si>
  <si>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</si>
  <si>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</si>
  <si>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</si>
  <si>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</si>
  <si>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</si>
  <si>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</si>
  <si>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</si>
  <si>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</si>
  <si>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</si>
  <si>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</si>
  <si>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</si>
  <si>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</si>
  <si>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</si>
  <si>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</si>
  <si>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</si>
  <si>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</si>
  <si>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</si>
  <si>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</si>
  <si>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</si>
  <si>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</si>
  <si>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</si>
  <si>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</si>
  <si>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</si>
  <si>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</si>
  <si>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</si>
  <si>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</si>
  <si>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</si>
  <si>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</si>
  <si>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</si>
  <si>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</si>
  <si>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</si>
  <si>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</si>
  <si>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</si>
  <si>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</si>
  <si>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</si>
  <si>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</si>
  <si>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</si>
  <si>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</si>
  <si>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</si>
  <si>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</si>
  <si>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</si>
  <si>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</si>
  <si>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</si>
  <si>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</si>
  <si>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</si>
  <si>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</si>
  <si>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</si>
  <si>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</si>
  <si>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</si>
  <si>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</si>
  <si>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</si>
  <si>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</si>
  <si>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</si>
  <si>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</si>
  <si>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</si>
  <si>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</si>
  <si>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</si>
  <si>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</si>
  <si>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</si>
  <si>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</si>
  <si>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</si>
  <si>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</si>
  <si>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</si>
  <si>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</si>
  <si>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</si>
  <si>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</si>
  <si>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</si>
  <si>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</si>
  <si>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</si>
  <si>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</si>
  <si>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</si>
  <si>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</si>
  <si>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</si>
  <si>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</si>
  <si>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</si>
  <si>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</si>
  <si>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</si>
  <si>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</si>
  <si>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</si>
  <si>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</si>
  <si>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</si>
  <si>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</si>
  <si>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</si>
  <si>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</si>
  <si>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</si>
  <si>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</si>
  <si>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</si>
  <si>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</si>
  <si>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</si>
  <si>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</si>
  <si>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</si>
  <si>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</si>
  <si>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</si>
  <si>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</si>
  <si>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</si>
  <si>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</si>
  <si>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</si>
  <si>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</si>
  <si>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</si>
  <si>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</si>
  <si>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</si>
  <si>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</si>
  <si>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</si>
  <si>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</si>
  <si>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</si>
  <si>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</si>
  <si>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</si>
  <si>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</si>
  <si>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</si>
  <si>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</si>
  <si>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</si>
  <si>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</si>
  <si>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</si>
  <si>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</si>
  <si>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</si>
  <si>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</si>
  <si>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</si>
  <si>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</si>
  <si>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</si>
  <si>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</si>
  <si>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</si>
  <si>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</si>
  <si>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</si>
  <si>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</si>
  <si>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</si>
  <si>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</si>
  <si>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</si>
  <si>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</si>
  <si>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</si>
  <si>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</si>
  <si>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</si>
  <si>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</si>
  <si>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</si>
  <si>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</si>
  <si>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</si>
  <si>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</si>
  <si>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</si>
  <si>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</si>
  <si>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</si>
  <si>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</si>
  <si>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</si>
  <si>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</si>
  <si>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</si>
  <si>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</si>
  <si>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</si>
  <si>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</si>
  <si>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</si>
  <si>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</si>
  <si>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</si>
  <si>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</si>
  <si>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</si>
  <si>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</si>
  <si>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</si>
  <si>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</si>
  <si>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</si>
  <si>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</si>
  <si>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</si>
  <si>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</si>
  <si>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</si>
  <si>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</si>
  <si>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</si>
  <si>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</si>
  <si>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</si>
  <si>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</si>
  <si>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</si>
  <si>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</si>
  <si>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</si>
  <si>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</si>
  <si>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</si>
  <si>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</si>
  <si>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</si>
  <si>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</si>
  <si>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</si>
  <si>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</si>
  <si>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</si>
  <si>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</si>
  <si>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</si>
  <si>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</si>
  <si>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</si>
  <si>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</si>
  <si>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</si>
  <si>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</si>
  <si>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</si>
  <si>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</si>
  <si>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</si>
  <si>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</si>
  <si>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</si>
  <si>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</si>
  <si>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</si>
  <si>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</si>
  <si>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</si>
  <si>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</si>
  <si>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</si>
  <si>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</si>
  <si>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</si>
  <si>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</si>
  <si>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</si>
  <si>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</si>
  <si>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</si>
  <si>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</si>
  <si>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</si>
  <si>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</si>
  <si>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</si>
  <si>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</si>
  <si>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</si>
  <si>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</si>
  <si>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</si>
  <si>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</si>
  <si>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</si>
  <si>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</si>
  <si>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</si>
  <si>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</si>
  <si>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</si>
  <si>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</si>
  <si>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</si>
  <si>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</si>
  <si>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</si>
  <si>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</si>
  <si>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</si>
  <si>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</si>
  <si>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</si>
  <si>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</si>
  <si>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</si>
  <si>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</si>
  <si>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</si>
  <si>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</si>
  <si>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</si>
  <si>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</si>
  <si>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</si>
  <si>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</si>
  <si>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</si>
  <si>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</si>
  <si>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</si>
  <si>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</si>
  <si>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</si>
  <si>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</si>
  <si>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</si>
  <si>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</si>
  <si>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</si>
  <si>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</si>
  <si>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</si>
  <si>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</si>
  <si>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</si>
  <si>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</si>
  <si>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</si>
  <si>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</si>
  <si>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</si>
  <si>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</si>
  <si>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</si>
  <si>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</si>
  <si>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</si>
  <si>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</si>
  <si>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</si>
  <si>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</si>
  <si>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</si>
  <si>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</si>
  <si>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</si>
  <si>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</si>
  <si>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</si>
  <si>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</si>
  <si>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</si>
  <si>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</si>
  <si>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</si>
  <si>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</si>
  <si>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</si>
  <si>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</si>
  <si>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</si>
  <si>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</si>
  <si>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</si>
  <si>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</si>
  <si>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</si>
  <si>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</si>
  <si>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</si>
  <si>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</si>
  <si>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</si>
  <si>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</si>
  <si>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</si>
  <si>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</si>
  <si>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</si>
  <si>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</si>
  <si>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</si>
  <si>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</si>
  <si>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</si>
  <si>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</si>
  <si>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</si>
  <si>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</si>
  <si>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</si>
  <si>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</si>
  <si>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</si>
  <si>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</si>
  <si>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</si>
  <si>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</si>
  <si>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</si>
  <si>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</si>
  <si>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</si>
  <si>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</si>
  <si>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</si>
  <si>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</si>
  <si>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</si>
  <si>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</si>
  <si>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</si>
  <si>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</si>
  <si>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</si>
  <si>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</si>
  <si>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</si>
  <si>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</si>
  <si>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</si>
  <si>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</si>
  <si>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</si>
  <si>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</si>
  <si>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</si>
  <si>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</si>
  <si>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</si>
  <si>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</si>
  <si>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</si>
  <si>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</si>
  <si>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</si>
  <si>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</si>
  <si>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</si>
  <si>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</si>
  <si>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</si>
  <si>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</si>
  <si>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</si>
  <si>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</si>
  <si>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</si>
  <si>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</si>
  <si>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</si>
  <si>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</si>
  <si>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</si>
  <si>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</si>
  <si>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</si>
  <si>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</si>
  <si>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</si>
  <si>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</si>
  <si>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</si>
  <si>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</si>
  <si>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</si>
  <si>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</si>
  <si>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</si>
  <si>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</si>
  <si>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</si>
  <si>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</si>
  <si>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</si>
  <si>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</si>
  <si>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</si>
  <si>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</si>
  <si>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</si>
  <si>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</si>
  <si>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</si>
  <si>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</si>
  <si>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</si>
  <si>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</si>
  <si>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</si>
  <si>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</si>
  <si>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</si>
  <si>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</si>
  <si>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</si>
  <si>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</si>
  <si>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</si>
  <si>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</si>
  <si>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</si>
  <si>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</si>
  <si>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</si>
  <si>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</si>
  <si>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</si>
  <si>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</si>
  <si>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</si>
  <si>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</si>
  <si>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</si>
  <si>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</si>
  <si>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</si>
  <si>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</si>
  <si>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</si>
  <si>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</si>
  <si>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</si>
  <si>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</si>
  <si>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</si>
  <si>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</si>
  <si>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</si>
  <si>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</si>
  <si>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</si>
  <si>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</si>
  <si>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</si>
  <si>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</si>
  <si>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</si>
  <si>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</si>
  <si>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</si>
  <si>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</si>
  <si>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</si>
  <si>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</si>
  <si>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</si>
  <si>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</si>
  <si>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</si>
  <si>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</si>
  <si>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</si>
  <si>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</si>
  <si>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</si>
  <si>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</si>
  <si>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</si>
  <si>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</si>
  <si>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</si>
  <si>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</si>
  <si>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</si>
  <si>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</si>
  <si>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</si>
  <si>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</si>
  <si>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</si>
  <si>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</si>
  <si>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</si>
  <si>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</si>
  <si>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</si>
  <si>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</si>
  <si>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</si>
  <si>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</si>
  <si>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</si>
  <si>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</si>
  <si>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</si>
  <si>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</si>
  <si>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</si>
  <si>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</si>
  <si>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</si>
  <si>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</si>
  <si>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</si>
  <si>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</si>
  <si>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</si>
  <si>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</si>
  <si>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</si>
  <si>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</si>
  <si>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</si>
  <si>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</si>
  <si>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</si>
  <si>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</si>
  <si>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</si>
  <si>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</si>
  <si>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</si>
  <si>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</si>
  <si>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</si>
  <si>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</si>
  <si>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</si>
  <si>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</si>
  <si>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</si>
  <si>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</si>
  <si>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</si>
  <si>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</si>
  <si>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</si>
  <si>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</si>
  <si>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</si>
  <si>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</si>
  <si>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</si>
  <si>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</si>
  <si>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</si>
  <si>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</si>
  <si>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</si>
  <si>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</si>
  <si>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</si>
  <si>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</si>
  <si>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</si>
  <si>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</si>
  <si>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</si>
  <si>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</si>
  <si>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</si>
  <si>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</si>
  <si>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</si>
  <si>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</si>
  <si>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</si>
  <si>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</si>
  <si>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</si>
  <si>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</si>
  <si>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</si>
  <si>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</si>
  <si>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</si>
  <si>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</si>
  <si>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</si>
  <si>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</si>
  <si>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</si>
  <si>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</si>
  <si>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</si>
  <si>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</si>
  <si>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</si>
  <si>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</si>
  <si>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</si>
  <si>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</si>
  <si>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</si>
  <si>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</si>
  <si>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</si>
  <si>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</si>
  <si>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</si>
  <si>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</si>
  <si>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</si>
  <si>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</si>
  <si>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</si>
  <si>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</si>
  <si>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</si>
  <si>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</si>
  <si>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</si>
  <si>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</si>
  <si>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</si>
  <si>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</si>
  <si>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</si>
  <si>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</si>
  <si>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</si>
  <si>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</si>
  <si>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</si>
  <si>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</si>
  <si>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</si>
  <si>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</si>
  <si>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</si>
  <si>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</si>
  <si>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</si>
  <si>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</si>
  <si>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</si>
  <si>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</si>
  <si>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</si>
  <si>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</si>
  <si>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</si>
  <si>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</si>
  <si>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</si>
  <si>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</si>
  <si>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</si>
  <si>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</si>
  <si>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</si>
  <si>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</si>
  <si>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</si>
  <si>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</si>
  <si>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</si>
  <si>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</si>
  <si>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</si>
  <si>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</si>
  <si>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</si>
  <si>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</si>
  <si>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</si>
  <si>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</si>
  <si>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</si>
  <si>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</si>
  <si>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</si>
  <si>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</si>
  <si>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</si>
  <si>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</si>
  <si>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</si>
  <si>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</si>
  <si>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</si>
  <si>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</si>
  <si>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</si>
  <si>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</si>
  <si>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</si>
  <si>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</si>
  <si>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</si>
  <si>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</si>
  <si>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</si>
  <si>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</si>
  <si>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</si>
  <si>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</si>
  <si>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</si>
  <si>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</si>
  <si>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</si>
  <si>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</si>
  <si>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</si>
  <si>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</si>
  <si>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</si>
  <si>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</si>
  <si>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</si>
  <si>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</si>
  <si>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</si>
  <si>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</si>
  <si>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</si>
  <si>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</si>
  <si>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</si>
  <si>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</si>
  <si>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</si>
  <si>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</si>
  <si>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</si>
  <si>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</si>
  <si>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</si>
  <si>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</si>
  <si>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</si>
  <si>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</si>
  <si>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</si>
  <si>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</si>
  <si>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</si>
  <si>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</si>
  <si>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</si>
  <si>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</si>
  <si>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</si>
  <si>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</si>
  <si>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</si>
  <si>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</si>
  <si>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</si>
  <si>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</si>
  <si>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</si>
  <si>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</si>
  <si>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</si>
  <si>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</si>
  <si>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</si>
  <si>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</si>
  <si>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</si>
  <si>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</si>
  <si>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</si>
  <si>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</si>
  <si>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</si>
  <si>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</si>
  <si>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</si>
  <si>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</si>
  <si>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</si>
  <si>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</si>
  <si>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</si>
  <si>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</si>
  <si>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</si>
  <si>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</si>
  <si>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</si>
  <si>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</si>
  <si>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</si>
  <si>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</si>
  <si>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</si>
  <si>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</si>
  <si>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</si>
  <si>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</si>
  <si>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</si>
  <si>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</si>
  <si>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</si>
  <si>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</si>
  <si>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</si>
  <si>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</si>
  <si>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</si>
  <si>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</si>
  <si>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</si>
  <si>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</si>
  <si>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</si>
  <si>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</si>
  <si>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</si>
  <si>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</si>
  <si>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</si>
  <si>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</si>
  <si>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</si>
  <si>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</si>
  <si>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</si>
  <si>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</si>
  <si>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</si>
  <si>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</si>
  <si>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</si>
  <si>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</si>
  <si>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</si>
  <si>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</si>
  <si>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</si>
  <si>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</si>
  <si>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</si>
  <si>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</si>
  <si>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</si>
  <si>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</si>
  <si>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</si>
  <si>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</si>
  <si>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</si>
  <si>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</si>
  <si>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</si>
  <si>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</si>
  <si>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</si>
  <si>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</si>
  <si>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</si>
  <si>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</si>
  <si>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</si>
  <si>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</si>
  <si>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</si>
  <si>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</si>
  <si>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</si>
  <si>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</si>
  <si>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</si>
  <si>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</si>
  <si>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</si>
  <si>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</si>
  <si>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</si>
  <si>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</si>
  <si>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</si>
  <si>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</si>
  <si>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</si>
  <si>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</si>
  <si>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</si>
  <si>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</si>
  <si>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</si>
  <si>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</si>
  <si>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</si>
  <si>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</si>
  <si>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</si>
  <si>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</si>
  <si>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</si>
  <si>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</si>
  <si>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</si>
  <si>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</si>
  <si>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</si>
  <si>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</si>
  <si>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</si>
  <si>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</si>
  <si>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</si>
  <si>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</si>
  <si>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</si>
  <si>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</si>
  <si>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</si>
  <si>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</si>
  <si>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</si>
  <si>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</si>
  <si>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</si>
  <si>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</si>
  <si>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</si>
  <si>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</si>
  <si>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</si>
  <si>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</si>
  <si>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</si>
  <si>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</si>
  <si>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</si>
  <si>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</si>
  <si>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</si>
  <si>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</si>
  <si>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</si>
  <si>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</si>
  <si>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</si>
  <si>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</si>
  <si>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</si>
  <si>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</si>
  <si>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</si>
  <si>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</si>
  <si>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</si>
  <si>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</si>
  <si>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</si>
  <si>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</si>
  <si>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</si>
  <si>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</si>
  <si>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</si>
  <si>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</si>
  <si>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</si>
  <si>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</si>
  <si>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</si>
  <si>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</si>
  <si>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</si>
  <si>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</si>
  <si>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</si>
  <si>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</si>
  <si>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</si>
  <si>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</si>
  <si>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</si>
  <si>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</si>
  <si>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</si>
  <si>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</si>
  <si>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</si>
  <si>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</si>
  <si>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</si>
  <si>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</si>
  <si>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</si>
  <si>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</si>
  <si>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</si>
  <si>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</si>
  <si>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</si>
  <si>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</si>
  <si>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</si>
  <si>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</si>
  <si>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</si>
  <si>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</si>
  <si>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</si>
  <si>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</si>
  <si>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</si>
  <si>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</si>
  <si>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</si>
  <si>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</si>
  <si>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</si>
  <si>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</si>
  <si>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</si>
  <si>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</si>
  <si>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</si>
  <si>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</si>
  <si>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</si>
  <si>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</si>
  <si>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</si>
  <si>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</si>
  <si>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</si>
  <si>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</si>
  <si>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</si>
  <si>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</si>
  <si>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</si>
  <si>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</si>
  <si>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</si>
  <si>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</si>
  <si>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</si>
  <si>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</si>
  <si>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</si>
  <si>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</si>
  <si>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</si>
  <si>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</si>
  <si>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</si>
  <si>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</si>
  <si>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</si>
  <si>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</si>
  <si>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</si>
  <si>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</si>
  <si>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</si>
  <si>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</si>
  <si>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</si>
  <si>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</si>
  <si>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</si>
  <si>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</si>
  <si>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</si>
  <si>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</si>
  <si>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</si>
  <si>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</si>
  <si>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</si>
  <si>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</si>
  <si>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</si>
  <si>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</si>
  <si>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</si>
  <si>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</si>
  <si>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</si>
  <si>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</si>
  <si>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</si>
  <si>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</si>
  <si>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</si>
  <si>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</si>
  <si>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</si>
  <si>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</si>
  <si>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</si>
  <si>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</si>
  <si>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</si>
  <si>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</si>
  <si>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</si>
  <si>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</si>
  <si>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</si>
  <si>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</si>
  <si>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</si>
  <si>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</si>
  <si>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</si>
  <si>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</si>
  <si>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</si>
  <si>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</si>
  <si>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</si>
  <si>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</si>
  <si>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</si>
  <si>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</si>
  <si>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</si>
  <si>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</si>
  <si>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</si>
  <si>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</si>
  <si>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</si>
  <si>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</si>
  <si>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</si>
  <si>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</si>
  <si>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</si>
  <si>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</si>
  <si>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</si>
  <si>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</si>
  <si>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</si>
  <si>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</si>
  <si>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</si>
  <si>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</si>
  <si>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</si>
  <si>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</si>
  <si>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</si>
  <si>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</si>
  <si>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</si>
  <si>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</si>
  <si>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</si>
  <si>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</si>
  <si>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</si>
  <si>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</si>
  <si>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</si>
  <si>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</si>
  <si>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</si>
  <si>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</si>
  <si>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</si>
  <si>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</si>
  <si>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</si>
  <si>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</si>
  <si>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</si>
  <si>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</si>
  <si>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</si>
  <si>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</si>
  <si>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</si>
  <si>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</si>
  <si>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</si>
  <si>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</si>
  <si>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</si>
  <si>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</si>
  <si>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</si>
  <si>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</si>
  <si>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</si>
  <si>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</si>
  <si>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</si>
  <si>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</si>
  <si>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</si>
  <si>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</si>
  <si>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</si>
  <si>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</si>
  <si>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</si>
  <si>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</si>
  <si>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</si>
  <si>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</si>
  <si>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</si>
  <si>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</si>
  <si>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</si>
  <si>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</si>
  <si>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</si>
  <si>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</si>
  <si>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</si>
  <si>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</si>
  <si>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</si>
  <si>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</si>
  <si>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</si>
  <si>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</si>
  <si>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</si>
  <si>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</si>
  <si>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</si>
  <si>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</si>
  <si>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</si>
  <si>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</si>
  <si>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</si>
  <si>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</si>
  <si>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</si>
  <si>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</si>
  <si>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</si>
  <si>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</si>
  <si>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</si>
  <si>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</si>
  <si>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</si>
  <si>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</si>
  <si>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</si>
  <si>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</si>
  <si>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</si>
  <si>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</si>
  <si>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</si>
  <si>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</si>
  <si>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</si>
  <si>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</si>
  <si>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</si>
  <si>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</si>
  <si>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</si>
  <si>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</si>
  <si>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</si>
  <si>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</si>
  <si>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</si>
  <si>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</si>
  <si>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</si>
  <si>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</si>
  <si>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</si>
  <si>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</si>
  <si>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</si>
  <si>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</si>
  <si>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</si>
  <si>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</si>
  <si>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</si>
  <si>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</si>
  <si>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</si>
  <si>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</si>
  <si>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</si>
  <si>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</si>
  <si>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</si>
  <si>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</si>
  <si>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</si>
  <si>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</si>
  <si>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</si>
  <si>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</si>
  <si>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</si>
  <si>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</si>
  <si>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</si>
  <si>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</si>
  <si>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</si>
  <si>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</si>
  <si>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</si>
  <si>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</si>
  <si>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</si>
  <si>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</si>
  <si>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</si>
  <si>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</si>
  <si>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</si>
  <si>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</si>
  <si>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</si>
  <si>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</si>
  <si>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</si>
  <si>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</si>
  <si>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</si>
  <si>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</si>
  <si>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</si>
  <si>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</si>
  <si>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</si>
  <si>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</si>
  <si>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</si>
  <si>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</si>
  <si>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</si>
  <si>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</si>
  <si>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</si>
  <si>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</si>
  <si>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</si>
  <si>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</si>
  <si>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</si>
  <si>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</si>
  <si>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</si>
  <si>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</si>
  <si>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</si>
  <si>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</si>
  <si>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</si>
  <si>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</si>
  <si>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</si>
  <si>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</si>
  <si>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</si>
  <si>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</si>
  <si>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</si>
  <si>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</si>
  <si>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</si>
  <si>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</si>
  <si>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</si>
  <si>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</si>
  <si>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</si>
  <si>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</si>
  <si>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</si>
  <si>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</si>
  <si>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</si>
  <si>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</si>
  <si>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</si>
  <si>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</si>
  <si>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</si>
  <si>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</si>
  <si>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</si>
  <si>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</si>
  <si>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</si>
  <si>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</si>
  <si>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</si>
  <si>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</si>
  <si>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</si>
  <si>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</si>
  <si>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</si>
  <si>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</si>
  <si>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</si>
  <si>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</si>
  <si>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</si>
  <si>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</si>
  <si>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</si>
  <si>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</si>
  <si>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</si>
  <si>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</si>
  <si>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</si>
  <si>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</si>
  <si>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</si>
  <si>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</si>
  <si>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</si>
  <si>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</si>
  <si>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</si>
  <si>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</si>
  <si>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</si>
  <si>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</si>
  <si>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</si>
  <si>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</si>
  <si>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</si>
  <si>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</si>
  <si>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</si>
  <si>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</si>
  <si>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</si>
  <si>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</si>
  <si>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</si>
  <si>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</si>
  <si>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</si>
  <si>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</si>
  <si>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</si>
  <si>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</si>
  <si>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</si>
  <si>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</si>
  <si>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</si>
  <si>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</si>
  <si>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</si>
  <si>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</si>
  <si>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</si>
  <si>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</si>
  <si>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</si>
  <si>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</si>
  <si>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</si>
  <si>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</si>
  <si>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</si>
  <si>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</si>
  <si>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</si>
  <si>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</si>
  <si>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</si>
  <si>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</si>
  <si>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</si>
  <si>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</si>
  <si>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</si>
  <si>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</si>
  <si>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</si>
  <si>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</si>
  <si>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</si>
  <si>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</si>
  <si>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</si>
  <si>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</si>
  <si>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</si>
  <si>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</si>
  <si>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</si>
  <si>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</si>
  <si>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</si>
  <si>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</si>
  <si>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</si>
  <si>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</si>
  <si>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</si>
  <si>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</si>
  <si>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</si>
  <si>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</si>
  <si>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</si>
  <si>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</si>
  <si>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</si>
  <si>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</si>
  <si>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</si>
  <si>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</si>
  <si>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</si>
  <si>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</si>
  <si>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</si>
  <si>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</si>
  <si>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</si>
  <si>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</si>
  <si>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</si>
  <si>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</si>
  <si>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</si>
  <si>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</si>
  <si>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</si>
  <si>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</si>
  <si>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</si>
  <si>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</si>
  <si>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</si>
  <si>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</si>
  <si>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</si>
  <si>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</si>
  <si>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</si>
  <si>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</si>
  <si>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</si>
  <si>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</si>
  <si>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</si>
  <si>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</si>
  <si>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</si>
  <si>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</si>
  <si>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</si>
  <si>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</si>
  <si>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</si>
  <si>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</si>
  <si>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</si>
  <si>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</si>
  <si>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</si>
  <si>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</si>
  <si>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</si>
  <si>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</si>
  <si>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</si>
  <si>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</si>
  <si>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</si>
  <si>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</si>
  <si>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</si>
  <si>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</si>
  <si>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</si>
  <si>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</si>
  <si>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</si>
  <si>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</si>
  <si>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</si>
  <si>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</si>
  <si>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</si>
  <si>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</si>
  <si>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</si>
  <si>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</si>
  <si>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</si>
  <si>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</si>
  <si>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</si>
  <si>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</si>
  <si>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</si>
  <si>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</si>
  <si>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</si>
  <si>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</si>
  <si>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</si>
  <si>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</si>
  <si>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</si>
  <si>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</si>
  <si>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</si>
  <si>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</si>
  <si>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</si>
  <si>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</si>
  <si>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</si>
  <si>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</si>
  <si>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</si>
  <si>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</si>
  <si>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</si>
  <si>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</si>
  <si>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</si>
  <si>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</si>
  <si>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</si>
  <si>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</si>
  <si>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</si>
  <si>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</si>
  <si>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</si>
  <si>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</si>
  <si>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</si>
  <si>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</si>
  <si>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</si>
  <si>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</si>
  <si>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</si>
  <si>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</si>
  <si>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</si>
  <si>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</si>
  <si>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</si>
  <si>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</si>
  <si>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</si>
  <si>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</si>
  <si>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</si>
  <si>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</si>
  <si>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</si>
  <si>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</si>
  <si>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</si>
  <si>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</si>
  <si>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</si>
  <si>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</si>
  <si>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</si>
  <si>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</si>
  <si>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</si>
  <si>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</si>
  <si>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</si>
  <si>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</si>
  <si>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</si>
  <si>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</si>
  <si>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</si>
  <si>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</si>
  <si>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</si>
  <si>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</si>
  <si>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</si>
  <si>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</si>
  <si>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</si>
  <si>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</si>
  <si>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</si>
  <si>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</si>
  <si>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</si>
  <si>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</si>
  <si>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</si>
  <si>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</si>
  <si>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</si>
  <si>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</si>
  <si>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</si>
  <si>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</si>
  <si>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</si>
  <si>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</si>
  <si>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</si>
  <si>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</si>
  <si>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</si>
  <si>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</si>
  <si>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</si>
  <si>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</si>
  <si>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</si>
  <si>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</si>
  <si>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</si>
  <si>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</si>
  <si>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</si>
  <si>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</si>
  <si>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</si>
  <si>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</si>
  <si>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</si>
  <si>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</si>
  <si>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</si>
  <si>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</si>
  <si>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</si>
  <si>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</si>
  <si>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</si>
  <si>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</si>
  <si>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</si>
  <si>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</si>
  <si>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</si>
  <si>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</si>
  <si>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</si>
  <si>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</si>
  <si>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</si>
  <si>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</si>
  <si>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</si>
  <si>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</si>
  <si>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</si>
  <si>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</si>
  <si>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</si>
  <si>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</si>
  <si>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</si>
  <si>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</si>
  <si>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</si>
  <si>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</si>
  <si>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</si>
  <si>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</si>
  <si>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</si>
  <si>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</si>
  <si>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</si>
  <si>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</si>
  <si>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</si>
  <si>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</si>
  <si>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</si>
  <si>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</si>
  <si>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</si>
  <si>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</si>
  <si>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</si>
  <si>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</si>
  <si>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</si>
  <si>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</si>
  <si>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</si>
  <si>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</si>
  <si>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</si>
  <si>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</si>
  <si>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</si>
  <si>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</si>
  <si>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</si>
  <si>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</si>
  <si>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</si>
  <si>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</si>
  <si>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</si>
  <si>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</si>
  <si>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</si>
  <si>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</si>
  <si>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</si>
  <si>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</si>
  <si>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</si>
  <si>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</si>
  <si>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</si>
  <si>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</si>
  <si>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</si>
  <si>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</si>
  <si>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</si>
  <si>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</si>
  <si>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</si>
  <si>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</si>
  <si>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</si>
  <si>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</si>
  <si>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</si>
  <si>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</si>
  <si>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</si>
  <si>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</si>
  <si>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</si>
  <si>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</si>
  <si>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</si>
  <si>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</si>
  <si>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</si>
  <si>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</si>
  <si>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</si>
  <si>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</si>
  <si>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</si>
  <si>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</si>
  <si>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</si>
  <si>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</si>
  <si>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</si>
  <si>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</si>
  <si>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</si>
  <si>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</si>
  <si>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</si>
  <si>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</si>
  <si>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</si>
  <si>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</si>
  <si>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</si>
  <si>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</si>
  <si>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</si>
  <si>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</si>
  <si>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</si>
  <si>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</si>
  <si>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</si>
  <si>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</si>
  <si>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</si>
  <si>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</si>
  <si>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</si>
  <si>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</si>
  <si>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</si>
  <si>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</si>
  <si>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</si>
  <si>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</si>
  <si>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</si>
  <si>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</si>
  <si>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</si>
  <si>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</si>
  <si>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</si>
  <si>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</si>
  <si>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</si>
  <si>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</si>
  <si>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</si>
  <si>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</si>
  <si>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</si>
  <si>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</si>
  <si>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</si>
  <si>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</si>
  <si>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</si>
  <si>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</si>
  <si>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</si>
  <si>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</si>
  <si>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</si>
  <si>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</si>
  <si>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</si>
  <si>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</si>
  <si>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</si>
  <si>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</si>
  <si>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</si>
  <si>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</si>
  <si>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</si>
  <si>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</si>
  <si>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</si>
  <si>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</si>
  <si>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</si>
  <si>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</si>
  <si>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</si>
  <si>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</si>
  <si>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</si>
  <si>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</si>
  <si>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</si>
  <si>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</si>
  <si>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</si>
  <si>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</si>
  <si>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</si>
  <si>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</si>
  <si>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</si>
  <si>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</si>
  <si>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</si>
  <si>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</si>
  <si>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</si>
  <si>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</si>
  <si>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</si>
  <si>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</si>
  <si>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</si>
  <si>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</si>
  <si>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</si>
  <si>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</si>
  <si>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</si>
  <si>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</si>
  <si>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</si>
  <si>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</si>
  <si>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</si>
  <si>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</si>
  <si>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</si>
  <si>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</si>
  <si>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</si>
  <si>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</si>
  <si>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</si>
  <si>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</si>
  <si>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</si>
  <si>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</si>
  <si>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</si>
  <si>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</si>
  <si>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</si>
  <si>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</si>
  <si>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</si>
  <si>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</si>
  <si>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</si>
  <si>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</si>
  <si>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</si>
  <si>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</si>
  <si>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</si>
  <si>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</si>
  <si>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</si>
  <si>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</si>
  <si>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</si>
  <si>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</si>
  <si>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</si>
  <si>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</si>
  <si>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</si>
  <si>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</si>
  <si>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</si>
  <si>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</si>
  <si>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</si>
  <si>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</si>
  <si>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</si>
  <si>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</si>
  <si>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</si>
  <si>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</si>
  <si>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</si>
  <si>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</si>
  <si>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</si>
  <si>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</si>
  <si>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</si>
  <si>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</si>
  <si>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</si>
  <si>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</si>
  <si>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</si>
  <si>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</si>
  <si>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</si>
  <si>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</si>
  <si>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</si>
  <si>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</si>
  <si>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</si>
  <si>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</si>
  <si>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</si>
  <si>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</si>
  <si>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</si>
  <si>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</si>
  <si>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</si>
  <si>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</si>
  <si>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</si>
  <si>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</si>
  <si>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</si>
  <si>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</si>
  <si>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</si>
  <si>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</si>
  <si>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</si>
  <si>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</si>
  <si>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</si>
  <si>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</si>
  <si>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</si>
  <si>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</si>
  <si>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</si>
  <si>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</si>
  <si>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</si>
  <si>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</si>
  <si>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</si>
  <si>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</si>
  <si>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</si>
  <si>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</si>
  <si>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</si>
  <si>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</si>
  <si>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</si>
  <si>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</si>
  <si>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</si>
  <si>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</si>
  <si>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</si>
  <si>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</si>
  <si>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</si>
  <si>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</si>
  <si>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</si>
  <si>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</si>
  <si>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</si>
  <si>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</si>
  <si>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</si>
  <si>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</si>
  <si>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</si>
  <si>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</si>
  <si>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</si>
  <si>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</si>
  <si>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</si>
  <si>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</si>
  <si>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</si>
  <si>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</si>
  <si>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</si>
  <si>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</si>
  <si>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</si>
  <si>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</si>
  <si>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</si>
  <si>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</si>
  <si>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</si>
  <si>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</si>
  <si>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</si>
  <si>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</si>
  <si>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</si>
  <si>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</si>
  <si>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</si>
  <si>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</si>
  <si>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</si>
  <si>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</si>
  <si>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</si>
  <si>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</si>
  <si>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</si>
  <si>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</si>
  <si>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</si>
  <si>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</si>
  <si>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</si>
  <si>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</si>
  <si>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</si>
  <si>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</si>
  <si>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</si>
  <si>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</si>
  <si>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</si>
  <si>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</si>
  <si>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</si>
  <si>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</si>
  <si>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</si>
  <si>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</si>
  <si>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</si>
  <si>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</si>
  <si>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</si>
  <si>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</si>
  <si>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</si>
  <si>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</si>
  <si>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</si>
  <si>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</si>
  <si>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</si>
  <si>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</si>
  <si>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</si>
  <si>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</si>
  <si>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</si>
  <si>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</si>
  <si>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</si>
  <si>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</si>
  <si>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</si>
  <si>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</si>
  <si>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</si>
  <si>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</si>
  <si>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</si>
  <si>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</si>
  <si>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</si>
  <si>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</si>
  <si>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</si>
  <si>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</si>
  <si>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</si>
  <si>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</si>
  <si>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</si>
  <si>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</si>
  <si>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</si>
  <si>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</si>
  <si>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</si>
  <si>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</si>
  <si>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</si>
  <si>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</si>
  <si>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</si>
  <si>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</si>
  <si>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</si>
  <si>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</si>
  <si>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</si>
  <si>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</si>
  <si>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</si>
  <si>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</si>
  <si>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</si>
  <si>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</si>
  <si>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</si>
  <si>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</si>
  <si>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</si>
  <si>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</si>
  <si>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</si>
  <si>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</si>
  <si>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</si>
  <si>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</si>
  <si>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</si>
  <si>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</si>
  <si>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</si>
  <si>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</si>
  <si>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</si>
  <si>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</si>
  <si>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</si>
  <si>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</si>
  <si>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</si>
  <si>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</si>
  <si>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</si>
  <si>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</si>
  <si>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</si>
  <si>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</si>
  <si>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</si>
  <si>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</si>
  <si>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</si>
  <si>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</si>
  <si>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</si>
  <si>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</si>
  <si>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</si>
  <si>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</si>
  <si>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</si>
  <si>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</si>
  <si>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</si>
  <si>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</si>
  <si>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</si>
  <si>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</si>
  <si>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</si>
  <si>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</si>
  <si>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</si>
  <si>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</si>
  <si>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</si>
  <si>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</si>
  <si>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</si>
  <si>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</si>
  <si>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</si>
  <si>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</si>
  <si>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</si>
  <si>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</si>
  <si>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</si>
  <si>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</si>
  <si>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</si>
  <si>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</si>
  <si>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</si>
  <si>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</si>
  <si>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</si>
  <si>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</si>
  <si>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</si>
  <si>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</si>
  <si>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</si>
  <si>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</si>
  <si>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</si>
  <si>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</si>
  <si>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</si>
  <si>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</si>
  <si>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</si>
  <si>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</si>
  <si>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</si>
  <si>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</si>
  <si>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</si>
  <si>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</si>
  <si>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</si>
  <si>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</si>
  <si>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</si>
  <si>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</si>
  <si>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</si>
  <si>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</si>
  <si>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</si>
  <si>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</si>
  <si>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</si>
  <si>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</si>
  <si>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</si>
  <si>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</si>
  <si>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</si>
  <si>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</si>
  <si>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</si>
  <si>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</si>
  <si>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</si>
  <si>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</si>
  <si>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</si>
  <si>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</si>
  <si>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</si>
  <si>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</si>
  <si>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</si>
  <si>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</si>
  <si>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</si>
  <si>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</si>
  <si>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</si>
  <si>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</si>
  <si>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</si>
  <si>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</si>
  <si>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</si>
  <si>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</si>
  <si>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</si>
  <si>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</si>
  <si>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</si>
  <si>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</si>
  <si>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</si>
  <si>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</si>
  <si>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</si>
  <si>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</si>
  <si>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</si>
  <si>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</si>
  <si>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</si>
  <si>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</si>
  <si>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</si>
  <si>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</si>
  <si>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</si>
  <si>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</si>
  <si>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</si>
  <si>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</si>
  <si>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</si>
  <si>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</si>
  <si>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</si>
  <si>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</si>
  <si>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</si>
  <si>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</si>
  <si>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</si>
  <si>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</si>
  <si>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</si>
  <si>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</si>
  <si>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</si>
  <si>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</si>
  <si>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</si>
  <si>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</si>
  <si>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</si>
  <si>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</si>
  <si>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</si>
  <si>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</si>
  <si>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</si>
  <si>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</si>
  <si>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</si>
  <si>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</si>
  <si>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</si>
  <si>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</si>
  <si>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</si>
  <si>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</si>
  <si>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</si>
  <si>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</si>
  <si>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</si>
  <si>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</si>
  <si>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</si>
  <si>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</si>
  <si>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</si>
  <si>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</si>
  <si>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</si>
  <si>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</si>
  <si>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</si>
  <si>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</si>
  <si>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</si>
  <si>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</si>
  <si>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</si>
  <si>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</si>
  <si>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</si>
  <si>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</si>
  <si>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</si>
  <si>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</si>
  <si>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</si>
  <si>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</si>
  <si>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</si>
  <si>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</si>
  <si>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</si>
  <si>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</si>
  <si>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</si>
  <si>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</si>
  <si>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</si>
  <si>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</si>
  <si>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</si>
  <si>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</si>
  <si>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</si>
  <si>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</si>
  <si>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</si>
  <si>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</si>
  <si>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</si>
  <si>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</si>
  <si>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</si>
  <si>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</si>
  <si>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</si>
  <si>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</si>
  <si>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</si>
  <si>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</si>
  <si>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</si>
  <si>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</si>
  <si>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</si>
  <si>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</si>
  <si>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</si>
  <si>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</si>
  <si>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</si>
  <si>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</si>
  <si>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</si>
  <si>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</si>
  <si>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</si>
  <si>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</si>
  <si>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</si>
  <si>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</si>
  <si>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</si>
  <si>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</si>
  <si>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</si>
  <si>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</si>
  <si>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</si>
  <si>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</si>
  <si>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</si>
  <si>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</si>
  <si>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</si>
  <si>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</si>
  <si>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</si>
  <si>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</si>
  <si>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</si>
  <si>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</si>
  <si>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</si>
  <si>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</si>
  <si>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</si>
  <si>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</si>
  <si>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</si>
  <si>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</si>
  <si>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</si>
  <si>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</si>
  <si>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</si>
  <si>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</si>
  <si>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</si>
  <si>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</si>
  <si>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</si>
  <si>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</si>
  <si>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</si>
  <si>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</si>
  <si>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</si>
  <si>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</si>
  <si>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</si>
  <si>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</si>
  <si>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</si>
  <si>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</si>
  <si>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</si>
  <si>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</si>
  <si>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</si>
  <si>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</si>
  <si>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</si>
  <si>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</si>
  <si>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</si>
  <si>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</si>
  <si>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</si>
  <si>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</si>
  <si>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</si>
  <si>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</si>
  <si>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</si>
  <si>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</si>
  <si>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</si>
  <si>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</si>
  <si>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</si>
  <si>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</si>
  <si>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</si>
  <si>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</si>
  <si>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</si>
  <si>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</si>
  <si>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</si>
  <si>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</si>
  <si>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</si>
  <si>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</si>
  <si>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</si>
  <si>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</si>
  <si>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</si>
  <si>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</si>
  <si>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</si>
  <si>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</si>
  <si>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</si>
  <si>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</si>
  <si>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</si>
  <si>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</si>
  <si>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</si>
  <si>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</si>
  <si>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</si>
  <si>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</si>
  <si>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</si>
  <si>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</si>
  <si>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</si>
  <si>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</si>
  <si>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</si>
  <si>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</si>
  <si>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</si>
  <si>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</si>
  <si>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</si>
  <si>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</si>
  <si>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</si>
  <si>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</si>
  <si>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</si>
  <si>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</si>
  <si>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</si>
  <si>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</si>
  <si>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</si>
  <si>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</si>
  <si>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</si>
  <si>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</si>
  <si>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</si>
  <si>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</si>
  <si>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</si>
  <si>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</si>
  <si>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</si>
  <si>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</si>
  <si>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</si>
  <si>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</si>
  <si>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</si>
  <si>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</si>
  <si>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</si>
  <si>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</si>
  <si>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</si>
  <si>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</si>
  <si>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</si>
  <si>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</si>
  <si>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</si>
  <si>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</si>
  <si>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</si>
  <si>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</si>
  <si>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</si>
  <si>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</si>
  <si>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</si>
  <si>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</si>
  <si>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</si>
  <si>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</si>
  <si>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</si>
  <si>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</si>
  <si>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</si>
  <si>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</si>
  <si>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</si>
  <si>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</si>
  <si>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</si>
  <si>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</si>
  <si>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</si>
  <si>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</si>
  <si>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</si>
  <si>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</si>
  <si>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</si>
  <si>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</si>
  <si>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</si>
  <si>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</si>
  <si>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</si>
  <si>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</si>
  <si>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</si>
  <si>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</si>
  <si>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</si>
  <si>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</si>
  <si>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</si>
  <si>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</si>
  <si>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</si>
  <si>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</si>
  <si>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</si>
  <si>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</si>
  <si>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</si>
  <si>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</si>
  <si>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</si>
  <si>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</si>
  <si>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</si>
  <si>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</si>
  <si>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</si>
  <si>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</si>
  <si>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</si>
  <si>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</si>
  <si>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</si>
  <si>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</si>
  <si>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</si>
  <si>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</si>
  <si>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</si>
  <si>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</si>
  <si>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</si>
  <si>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</si>
  <si>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</si>
  <si>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</si>
  <si>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</si>
  <si>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</si>
  <si>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</si>
  <si>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</si>
  <si>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</si>
  <si>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</si>
  <si>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</si>
  <si>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</si>
  <si>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</si>
  <si>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</si>
  <si>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</si>
  <si>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</si>
  <si>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</si>
  <si>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</si>
  <si>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</si>
  <si>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</si>
  <si>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</si>
  <si>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</si>
  <si>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</si>
  <si>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</si>
  <si>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</si>
  <si>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</si>
  <si>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</si>
  <si>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</si>
  <si>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</si>
  <si>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</si>
  <si>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</si>
  <si>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</si>
  <si>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</si>
  <si>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</si>
  <si>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</si>
  <si>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</si>
  <si>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</si>
  <si>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</si>
  <si>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</si>
  <si>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</si>
  <si>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</si>
  <si>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</si>
  <si>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</si>
  <si>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</si>
  <si>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</si>
  <si>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</si>
  <si>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</si>
  <si>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</si>
  <si>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</si>
  <si>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</si>
  <si>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</si>
  <si>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</si>
  <si>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</si>
  <si>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</si>
  <si>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</si>
  <si>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</si>
  <si>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</si>
  <si>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</si>
  <si>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</si>
  <si>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</si>
  <si>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</si>
  <si>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</si>
  <si>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</si>
  <si>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</si>
  <si>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</si>
  <si>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</si>
  <si>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</si>
  <si>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</si>
  <si>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</si>
  <si>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</si>
  <si>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</si>
  <si>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</si>
  <si>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</si>
  <si>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</si>
  <si>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</si>
  <si>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</si>
  <si>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</si>
  <si>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</si>
  <si>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</si>
  <si>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</si>
  <si>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</si>
  <si>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</si>
  <si>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</si>
  <si>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</si>
  <si>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</si>
  <si>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</si>
  <si>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</si>
  <si>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</si>
  <si>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</si>
  <si>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</si>
  <si>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</si>
  <si>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</si>
  <si>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</si>
  <si>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</si>
  <si>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</si>
  <si>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</si>
  <si>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</si>
  <si>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</si>
  <si>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</si>
  <si>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</si>
  <si>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</si>
  <si>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</si>
  <si>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</si>
  <si>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</si>
  <si>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</si>
  <si>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</si>
  <si>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</si>
  <si>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</si>
  <si>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</si>
  <si>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</si>
  <si>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</si>
  <si>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</si>
  <si>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</si>
  <si>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</si>
  <si>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</si>
  <si>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</si>
  <si>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</si>
  <si>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</si>
  <si>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</si>
  <si>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</si>
  <si>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</si>
  <si>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</si>
  <si>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</si>
  <si>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</si>
  <si>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</si>
  <si>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</si>
  <si>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</si>
  <si>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</si>
  <si>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</si>
  <si>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</si>
  <si>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</si>
  <si>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</si>
  <si>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</si>
  <si>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</si>
  <si>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</si>
  <si>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</si>
  <si>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</si>
  <si>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</si>
  <si>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</si>
  <si>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</si>
  <si>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</si>
  <si>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</si>
  <si>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</si>
  <si>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</si>
  <si>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</si>
  <si>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</si>
  <si>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</si>
  <si>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</si>
  <si>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</si>
  <si>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</si>
  <si>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</si>
  <si>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</si>
  <si>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</si>
  <si>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</si>
  <si>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</si>
  <si>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</si>
  <si>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</si>
  <si>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</si>
  <si>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</si>
  <si>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</si>
  <si>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</si>
  <si>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</si>
  <si>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</si>
  <si>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</si>
  <si>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</si>
  <si>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</si>
  <si>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</si>
  <si>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</si>
  <si>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</si>
  <si>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</si>
  <si>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</si>
  <si>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</si>
  <si>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</si>
  <si>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</si>
  <si>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</si>
  <si>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</si>
  <si>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</si>
  <si>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</si>
  <si>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</si>
  <si>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</si>
  <si>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</si>
  <si>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</si>
  <si>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</si>
  <si>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</si>
  <si>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</si>
  <si>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</si>
  <si>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</si>
  <si>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</si>
  <si>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</si>
  <si>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</si>
  <si>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</si>
  <si>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</si>
  <si>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</si>
  <si>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</si>
  <si>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</si>
  <si>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</si>
  <si>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</si>
  <si>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</si>
  <si>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</si>
  <si>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</si>
  <si>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</si>
  <si>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</si>
  <si>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</si>
  <si>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</si>
  <si>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</si>
  <si>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</si>
  <si>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</si>
  <si>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</si>
  <si>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</si>
  <si>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</si>
  <si>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</si>
  <si>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</si>
  <si>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</si>
  <si>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</si>
  <si>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</si>
  <si>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</si>
  <si>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</si>
  <si>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</si>
  <si>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</si>
  <si>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</si>
  <si>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</si>
  <si>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</si>
  <si>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</si>
  <si>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</si>
  <si>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</si>
  <si>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</si>
  <si>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</si>
  <si>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</si>
  <si>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</si>
  <si>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</si>
  <si>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</si>
  <si>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</si>
  <si>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</si>
  <si>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</si>
  <si>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</si>
  <si>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</si>
  <si>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</si>
  <si>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</si>
  <si>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</si>
  <si>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</si>
  <si>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</si>
  <si>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</si>
  <si>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</si>
  <si>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</si>
  <si>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</si>
  <si>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</si>
  <si>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</si>
  <si>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</si>
  <si>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</si>
  <si>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</si>
  <si>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</si>
  <si>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</si>
  <si>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</si>
  <si>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</si>
  <si>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</si>
  <si>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</si>
  <si>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</si>
  <si>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</si>
  <si>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</si>
  <si>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</si>
  <si>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</si>
  <si>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</si>
  <si>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</si>
  <si>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</si>
  <si>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</si>
  <si>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</si>
  <si>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</si>
  <si>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</si>
  <si>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</si>
  <si>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</si>
  <si>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</si>
  <si>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</si>
  <si>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</si>
  <si>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</si>
  <si>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</si>
  <si>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</si>
  <si>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</si>
  <si>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</si>
  <si>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</si>
  <si>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</si>
  <si>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</si>
  <si>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</si>
  <si>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</si>
  <si>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</si>
  <si>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</si>
  <si>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</si>
  <si>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</si>
  <si>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</si>
  <si>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</si>
  <si>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</si>
  <si>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</si>
  <si>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</si>
  <si>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</si>
  <si>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</si>
  <si>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</si>
  <si>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</si>
  <si>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</si>
  <si>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</si>
  <si>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</si>
  <si>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</si>
  <si>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</si>
  <si>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</si>
  <si>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</si>
  <si>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</si>
  <si>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</si>
  <si>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</si>
  <si>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</si>
  <si>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</si>
  <si>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</si>
  <si>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</si>
  <si>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</si>
  <si>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</si>
  <si>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</si>
  <si>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</si>
  <si>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</si>
  <si>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</si>
  <si>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</si>
  <si>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</si>
  <si>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</si>
  <si>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</si>
  <si>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</si>
  <si>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</si>
  <si>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</si>
  <si>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</si>
  <si>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</si>
  <si>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</si>
  <si>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</si>
  <si>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</si>
  <si>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</si>
  <si>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</si>
  <si>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</si>
  <si>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</si>
  <si>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</si>
  <si>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</si>
  <si>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</si>
  <si>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</si>
  <si>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</si>
  <si>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</si>
  <si>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</si>
  <si>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</si>
  <si>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</si>
  <si>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</si>
  <si>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</si>
  <si>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</si>
  <si>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</si>
  <si>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</si>
  <si>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</si>
  <si>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</si>
  <si>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</si>
  <si>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</si>
  <si>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</si>
  <si>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</si>
  <si>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</si>
  <si>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</si>
  <si>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</si>
  <si>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</si>
  <si>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</si>
  <si>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</si>
  <si>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</si>
  <si>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</si>
  <si>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</si>
  <si>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</si>
  <si>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</si>
  <si>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</si>
  <si>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</si>
  <si>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</si>
  <si>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</si>
  <si>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</si>
  <si>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</si>
  <si>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</si>
  <si>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</si>
  <si>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</si>
  <si>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</si>
  <si>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</si>
  <si>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</si>
  <si>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</si>
  <si>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</si>
  <si>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</si>
  <si>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</si>
  <si>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</si>
  <si>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</si>
  <si>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</si>
  <si>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</si>
  <si>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</si>
  <si>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</si>
  <si>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</si>
  <si>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</si>
  <si>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</si>
  <si>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</si>
  <si>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</si>
  <si>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</si>
  <si>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</si>
  <si>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</si>
  <si>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</si>
  <si>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</si>
  <si>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</si>
  <si>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</si>
  <si>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</si>
  <si>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</si>
  <si>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</si>
  <si>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</si>
  <si>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</si>
  <si>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</si>
  <si>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</si>
  <si>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</si>
  <si>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</si>
  <si>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</si>
  <si>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</si>
  <si>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</si>
  <si>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</si>
  <si>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</si>
  <si>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</si>
  <si>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</si>
  <si>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</si>
  <si>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</si>
  <si>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</si>
  <si>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</si>
  <si>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</si>
  <si>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</si>
  <si>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</si>
  <si>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</si>
  <si>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</si>
  <si>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</si>
  <si>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</si>
  <si>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</si>
  <si>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</si>
  <si>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</si>
  <si>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</si>
  <si>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</si>
  <si>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</si>
  <si>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</si>
  <si>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</si>
  <si>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</si>
  <si>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</si>
  <si>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</si>
  <si>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</si>
  <si>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</si>
  <si>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</si>
  <si>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</si>
  <si>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</si>
  <si>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</si>
  <si>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</si>
  <si>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</si>
  <si>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</si>
  <si>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</si>
  <si>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</si>
  <si>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</si>
  <si>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</si>
  <si>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</si>
  <si>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</si>
  <si>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</si>
  <si>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</si>
  <si>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</si>
  <si>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</si>
  <si>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</si>
  <si>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</si>
  <si>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</si>
  <si>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</si>
  <si>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</si>
  <si>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</si>
  <si>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</si>
  <si>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</si>
  <si>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</si>
  <si>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</si>
  <si>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</si>
  <si>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</si>
  <si>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</si>
  <si>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</si>
  <si>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</si>
  <si>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</si>
  <si>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</si>
  <si>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</si>
  <si>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</si>
  <si>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</si>
  <si>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</si>
  <si>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</si>
  <si>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</si>
  <si>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</si>
  <si>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</si>
  <si>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</si>
  <si>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</si>
  <si>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</si>
  <si>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</si>
  <si>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</si>
  <si>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</si>
  <si>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</si>
  <si>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</si>
  <si>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</si>
  <si>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</si>
  <si>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</si>
  <si>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</si>
  <si>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</si>
  <si>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</si>
  <si>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</si>
  <si>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</si>
  <si>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</si>
  <si>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</si>
  <si>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</si>
  <si>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</si>
  <si>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</si>
  <si>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</si>
  <si>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</si>
  <si>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</si>
  <si>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</si>
  <si>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</si>
  <si>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</si>
  <si>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</si>
  <si>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</si>
  <si>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</si>
  <si>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</si>
  <si>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</si>
  <si>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</si>
  <si>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</si>
  <si>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</si>
  <si>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</si>
  <si>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</si>
  <si>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</si>
  <si>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</si>
  <si>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</si>
  <si>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</si>
  <si>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</si>
  <si>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</si>
  <si>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</si>
  <si>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</si>
  <si>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</si>
  <si>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</si>
  <si>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</si>
  <si>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</si>
  <si>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</si>
  <si>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</si>
  <si>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</si>
  <si>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</si>
  <si>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</si>
  <si>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</si>
  <si>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</si>
  <si>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</si>
  <si>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</si>
  <si>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</si>
  <si>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</si>
  <si>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</si>
  <si>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</si>
  <si>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</si>
  <si>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</si>
  <si>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</si>
  <si>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</si>
  <si>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</si>
  <si>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</si>
  <si>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</si>
  <si>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</si>
  <si>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</si>
  <si>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</si>
  <si>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</si>
  <si>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</si>
  <si>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</si>
  <si>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</si>
  <si>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</si>
  <si>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</si>
  <si>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</si>
  <si>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</si>
  <si>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</si>
  <si>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</si>
  <si>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</si>
  <si>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</si>
  <si>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</si>
  <si>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</si>
  <si>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</si>
  <si>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</si>
  <si>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</si>
  <si>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</si>
  <si>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</si>
  <si>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</si>
  <si>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</si>
  <si>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</si>
  <si>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</si>
  <si>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</si>
  <si>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</si>
  <si>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</si>
  <si>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</si>
  <si>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</si>
  <si>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</si>
  <si>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</si>
  <si>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</si>
  <si>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</si>
  <si>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</si>
  <si>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</si>
  <si>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</si>
  <si>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</si>
  <si>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</si>
  <si>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</si>
  <si>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</si>
  <si>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</si>
  <si>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</si>
  <si>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</si>
  <si>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</si>
  <si>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</si>
  <si>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</si>
  <si>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</si>
  <si>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</si>
  <si>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</si>
  <si>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</si>
  <si>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</si>
  <si>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</si>
  <si>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</si>
  <si>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</si>
  <si>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</si>
  <si>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</si>
  <si>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</si>
  <si>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</si>
  <si>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</si>
  <si>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</si>
  <si>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</si>
  <si>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</si>
  <si>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</si>
  <si>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</si>
  <si>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</si>
  <si>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</si>
  <si>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</si>
  <si>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</si>
  <si>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</si>
  <si>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</si>
  <si>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</si>
  <si>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</si>
  <si>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</si>
  <si>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</si>
  <si>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</si>
  <si>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</si>
  <si>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</si>
  <si>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</si>
  <si>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</si>
  <si>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</si>
  <si>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</si>
  <si>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</si>
  <si>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</si>
  <si>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</si>
  <si>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</si>
  <si>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</si>
  <si>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</si>
  <si>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</si>
  <si>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</si>
  <si>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</si>
  <si>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</si>
  <si>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</si>
  <si>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</si>
  <si>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</si>
  <si>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</si>
  <si>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</si>
  <si>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</si>
  <si>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</si>
  <si>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</si>
  <si>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</si>
  <si>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</si>
  <si>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</si>
  <si>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</si>
  <si>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</si>
  <si>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</si>
  <si>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</si>
  <si>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</si>
  <si>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</si>
  <si>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</si>
  <si>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</si>
  <si>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</si>
  <si>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</si>
  <si>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</si>
  <si>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</si>
  <si>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</si>
  <si>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</si>
  <si>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</si>
  <si>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</si>
  <si>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</si>
  <si>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</si>
  <si>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</si>
  <si>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</si>
  <si>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</si>
  <si>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</si>
  <si>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</si>
  <si>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</si>
  <si>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</si>
  <si>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</si>
  <si>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</si>
  <si>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</si>
  <si>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</si>
  <si>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</si>
  <si>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</si>
  <si>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</si>
  <si>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</si>
  <si>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</si>
  <si>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</si>
  <si>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</si>
  <si>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</si>
  <si>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</si>
  <si>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</si>
  <si>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</si>
  <si>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</si>
  <si>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</si>
  <si>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</si>
  <si>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</si>
  <si>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</si>
  <si>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</si>
  <si>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</si>
  <si>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</si>
  <si>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</si>
  <si>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</si>
  <si>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</si>
  <si>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</si>
  <si>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</si>
  <si>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</si>
  <si>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</si>
  <si>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</si>
  <si>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</si>
  <si>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</si>
  <si>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</si>
  <si>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</si>
  <si>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</si>
  <si>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</si>
  <si>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</si>
  <si>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</si>
  <si>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</si>
  <si>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</si>
  <si>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</si>
  <si>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</si>
  <si>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</si>
  <si>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</si>
  <si>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</si>
  <si>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</si>
  <si>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</si>
  <si>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</si>
  <si>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</si>
  <si>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</si>
  <si>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</si>
  <si>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</si>
  <si>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</si>
  <si>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</si>
  <si>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</si>
  <si>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</si>
  <si>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</si>
  <si>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</si>
  <si>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</si>
  <si>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</si>
  <si>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</si>
  <si>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</si>
  <si>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</si>
  <si>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</si>
  <si>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</si>
  <si>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</si>
  <si>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</si>
  <si>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</si>
  <si>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</si>
  <si>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</si>
  <si>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</si>
  <si>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</si>
  <si>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</si>
  <si>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</si>
  <si>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</si>
  <si>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</si>
  <si>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</si>
  <si>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</si>
  <si>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</si>
  <si>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</si>
  <si>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</si>
  <si>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</si>
  <si>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</si>
  <si>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</si>
  <si>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</si>
  <si>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</si>
  <si>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</si>
  <si>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</si>
  <si>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</si>
  <si>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</si>
  <si>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</si>
  <si>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</si>
  <si>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</si>
  <si>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</si>
  <si>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</si>
  <si>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</si>
  <si>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</si>
  <si>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</si>
  <si>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</si>
  <si>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</si>
  <si>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</si>
  <si>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</si>
  <si>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</si>
  <si>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</si>
  <si>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</si>
  <si>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</si>
  <si>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</si>
  <si>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</si>
  <si>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</si>
  <si>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</si>
  <si>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</si>
  <si>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</si>
  <si>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</si>
  <si>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</si>
  <si>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</si>
  <si>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</si>
  <si>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</si>
  <si>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</si>
  <si>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</si>
  <si>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</si>
  <si>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</si>
  <si>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</si>
  <si>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</si>
  <si>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</si>
  <si>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</si>
  <si>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</si>
  <si>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</si>
  <si>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</si>
  <si>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</si>
  <si>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</si>
  <si>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</si>
  <si>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</si>
  <si>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</si>
  <si>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</si>
  <si>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</si>
  <si>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</si>
  <si>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</si>
  <si>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</si>
  <si>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</si>
  <si>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</si>
  <si>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</si>
  <si>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</si>
  <si>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</si>
  <si>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</si>
  <si>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</si>
  <si>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</si>
  <si>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</si>
  <si>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</si>
  <si>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</si>
  <si>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</si>
  <si>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</si>
  <si>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</si>
  <si>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</si>
  <si>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</si>
  <si>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</si>
  <si>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</si>
  <si>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</si>
  <si>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</si>
  <si>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</si>
  <si>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</si>
  <si>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</si>
  <si>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</si>
  <si>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</si>
  <si>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</si>
  <si>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</si>
  <si>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</si>
  <si>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</si>
  <si>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</si>
  <si>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</si>
  <si>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</si>
  <si>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</si>
  <si>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</si>
  <si>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</si>
  <si>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</si>
  <si>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</si>
  <si>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</si>
  <si>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</si>
  <si>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</si>
  <si>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</si>
  <si>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</si>
  <si>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</si>
  <si>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</si>
  <si>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</si>
  <si>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</si>
  <si>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</si>
  <si>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</si>
  <si>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</si>
  <si>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</si>
  <si>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</si>
  <si>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</si>
  <si>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</si>
  <si>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</si>
  <si>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</si>
  <si>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</si>
  <si>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</si>
  <si>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</si>
  <si>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</si>
  <si>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</si>
  <si>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</si>
  <si>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</si>
  <si>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</si>
  <si>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</si>
  <si>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</si>
  <si>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</si>
  <si>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</si>
  <si>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</si>
  <si>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</si>
  <si>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</si>
  <si>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</si>
  <si>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</si>
  <si>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</si>
  <si>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</si>
  <si>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</si>
  <si>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</si>
  <si>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</si>
  <si>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</si>
  <si>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</si>
  <si>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</si>
  <si>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</si>
  <si>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</si>
  <si>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</si>
  <si>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</si>
  <si>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</si>
  <si>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</si>
  <si>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</si>
  <si>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</si>
  <si>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</si>
  <si>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</si>
  <si>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</si>
  <si>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</si>
  <si>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</si>
  <si>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</si>
  <si>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</si>
  <si>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</si>
  <si>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</si>
  <si>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</si>
  <si>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</si>
  <si>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</si>
  <si>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</si>
  <si>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</si>
  <si>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</si>
  <si>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</si>
  <si>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</si>
  <si>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</si>
  <si>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</si>
  <si>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</si>
  <si>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</si>
  <si>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</si>
  <si>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</si>
  <si>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</si>
  <si>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</si>
  <si>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</si>
  <si>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</si>
  <si>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</si>
  <si>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</si>
  <si>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</si>
  <si>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</si>
  <si>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</si>
  <si>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</si>
  <si>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</si>
  <si>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</si>
  <si>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</si>
  <si>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</si>
  <si>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</si>
  <si>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</si>
  <si>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</si>
  <si>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</si>
  <si>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</si>
  <si>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</si>
  <si>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</si>
  <si>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</si>
  <si>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</si>
  <si>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</si>
  <si>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</si>
  <si>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</si>
  <si>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</si>
  <si>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</si>
  <si>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</si>
  <si>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</si>
  <si>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</si>
  <si>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</si>
  <si>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</si>
  <si>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</si>
  <si>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</si>
  <si>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</si>
  <si>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</si>
  <si>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</si>
  <si>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</si>
  <si>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</si>
  <si>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</si>
  <si>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</si>
  <si>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</si>
  <si>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</si>
  <si>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</si>
  <si>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</si>
  <si>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</si>
  <si>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</si>
  <si>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</si>
  <si>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</si>
  <si>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</si>
  <si>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</si>
  <si>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</si>
  <si>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</si>
  <si>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</si>
  <si>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</si>
  <si>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</si>
  <si>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</si>
  <si>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</si>
  <si>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</si>
  <si>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</si>
  <si>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</si>
  <si>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</si>
  <si>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</si>
  <si>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</si>
  <si>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</si>
  <si>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</si>
  <si>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</si>
  <si>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</si>
  <si>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</si>
  <si>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</si>
  <si>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</si>
  <si>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</si>
  <si>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</si>
  <si>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</si>
  <si>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</si>
  <si>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</si>
  <si>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</si>
  <si>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</si>
  <si>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</si>
  <si>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</si>
  <si>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</si>
  <si>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</si>
  <si>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</si>
  <si>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</si>
  <si>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</si>
  <si>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</si>
  <si>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</si>
  <si>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</si>
  <si>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</si>
  <si>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</si>
  <si>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</si>
  <si>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</si>
  <si>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</si>
  <si>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</si>
  <si>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</si>
  <si>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</si>
  <si>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</si>
  <si>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</si>
  <si>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</si>
  <si>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</si>
  <si>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</si>
  <si>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</si>
  <si>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</si>
  <si>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</si>
  <si>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</si>
  <si>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</si>
  <si>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</si>
  <si>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</si>
  <si>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</si>
  <si>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</si>
  <si>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</si>
  <si>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</si>
  <si>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</si>
  <si>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</si>
  <si>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</si>
  <si>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</si>
  <si>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</si>
  <si>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</si>
  <si>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</si>
  <si>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</si>
  <si>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</si>
  <si>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</si>
  <si>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</si>
  <si>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</si>
  <si>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</si>
  <si>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</si>
  <si>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</si>
  <si>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</si>
  <si>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</si>
  <si>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</si>
  <si>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</si>
  <si>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</si>
  <si>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</si>
  <si>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</si>
  <si>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</si>
  <si>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</si>
  <si>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</si>
  <si>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</si>
  <si>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</si>
  <si>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</si>
  <si>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</si>
  <si>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</si>
  <si>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</si>
  <si>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</si>
  <si>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</si>
  <si>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</si>
  <si>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</si>
  <si>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</si>
  <si>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</si>
  <si>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</si>
  <si>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</si>
  <si>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</si>
  <si>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</si>
  <si>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</si>
  <si>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</si>
  <si>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</si>
  <si>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</si>
  <si>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</si>
  <si>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</si>
  <si>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</si>
  <si>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</si>
  <si>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</si>
  <si>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</si>
  <si>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</si>
  <si>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</si>
  <si>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</si>
  <si>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</si>
  <si>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</si>
  <si>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</si>
  <si>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</si>
  <si>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</si>
  <si>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</si>
  <si>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</si>
  <si>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</si>
  <si>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</si>
  <si>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</si>
  <si>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</si>
  <si>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</si>
  <si>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</si>
  <si>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</si>
  <si>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</si>
  <si>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</si>
  <si>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</si>
  <si>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</si>
  <si>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</si>
  <si>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</si>
  <si>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</si>
  <si>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</si>
  <si>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</si>
  <si>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</si>
  <si>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</si>
  <si>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</si>
  <si>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</si>
  <si>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</si>
  <si>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</si>
  <si>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</si>
  <si>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</si>
  <si>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</si>
  <si>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</si>
  <si>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</si>
  <si>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</si>
  <si>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</si>
  <si>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</si>
  <si>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</si>
  <si>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</si>
  <si>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</si>
  <si>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</si>
  <si>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</si>
  <si>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</si>
  <si>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</si>
  <si>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</si>
  <si>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</si>
  <si>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</si>
  <si>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</si>
  <si>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</si>
  <si>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</si>
  <si>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</si>
  <si>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</si>
  <si>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</si>
  <si>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</si>
  <si>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</si>
  <si>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</si>
  <si>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</si>
  <si>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</si>
  <si>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</si>
  <si>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</si>
  <si>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</si>
  <si>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</si>
  <si>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</si>
  <si>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</si>
  <si>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</si>
  <si>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</si>
  <si>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</si>
  <si>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</si>
  <si>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</si>
  <si>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</si>
  <si>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</si>
  <si>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</si>
  <si>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</si>
  <si>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</si>
  <si>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</si>
  <si>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</si>
  <si>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</si>
  <si>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</si>
  <si>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</si>
  <si>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</si>
  <si>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</si>
  <si>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</si>
  <si>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</si>
  <si>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</si>
  <si>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</si>
  <si>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</si>
  <si>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</si>
  <si>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</si>
  <si>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</si>
  <si>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</si>
  <si>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</si>
  <si>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</si>
  <si>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</si>
  <si>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</si>
  <si>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</si>
  <si>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</si>
  <si>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</si>
  <si>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</si>
  <si>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</si>
  <si>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</si>
  <si>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</si>
  <si>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</si>
  <si>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</si>
  <si>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</si>
  <si>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</si>
  <si>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</si>
  <si>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</si>
  <si>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</si>
  <si>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</si>
  <si>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</si>
  <si>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</si>
  <si>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</si>
  <si>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</si>
  <si>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</si>
  <si>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</si>
  <si>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</si>
  <si>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</si>
  <si>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</si>
  <si>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</si>
  <si>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</si>
  <si>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</si>
  <si>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</si>
  <si>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</si>
  <si>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</si>
  <si>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</si>
  <si>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</si>
  <si>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</si>
  <si>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</si>
  <si>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</si>
  <si>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</si>
  <si>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</si>
  <si>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</si>
  <si>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</si>
  <si>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</si>
  <si>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</si>
  <si>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</si>
  <si>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</si>
  <si>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</si>
  <si>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</si>
  <si>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</si>
  <si>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</si>
  <si>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</si>
  <si>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</si>
  <si>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</si>
  <si>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</si>
  <si>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</si>
  <si>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</si>
  <si>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</si>
  <si>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</si>
  <si>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</si>
  <si>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</si>
  <si>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</si>
  <si>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</si>
  <si>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</si>
  <si>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</si>
  <si>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</si>
  <si>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</si>
  <si>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</si>
  <si>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</si>
  <si>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</si>
  <si>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</si>
  <si>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</si>
  <si>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</si>
  <si>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</si>
  <si>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</si>
  <si>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</si>
  <si>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</si>
  <si>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</si>
  <si>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</si>
  <si>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</si>
  <si>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</si>
  <si>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</si>
  <si>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</si>
  <si>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</si>
  <si>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</si>
  <si>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</si>
  <si>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</si>
  <si>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</si>
  <si>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</si>
  <si>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</si>
  <si>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</si>
  <si>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</si>
  <si>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</si>
  <si>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</si>
  <si>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</si>
  <si>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</si>
  <si>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</si>
  <si>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</si>
  <si>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</si>
  <si>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</si>
  <si>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</si>
  <si>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</si>
  <si>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</si>
  <si>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</si>
  <si>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</si>
  <si>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</si>
  <si>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</si>
  <si>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</si>
  <si>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</si>
  <si>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</si>
  <si>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</si>
  <si>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</si>
  <si>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</si>
  <si>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</si>
  <si>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</si>
  <si>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</si>
  <si>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</si>
  <si>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</si>
  <si>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</si>
  <si>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</si>
  <si>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</si>
  <si>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</si>
  <si>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</si>
  <si>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</si>
  <si>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</si>
  <si>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</si>
  <si>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</si>
  <si>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</si>
  <si>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</si>
  <si>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</si>
  <si>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</si>
  <si>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</si>
  <si>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</si>
  <si>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</si>
  <si>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</si>
  <si>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</si>
  <si>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</si>
  <si>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</si>
  <si>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</si>
  <si>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</si>
  <si>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</si>
  <si>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</si>
  <si>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</si>
  <si>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</si>
  <si>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</si>
  <si>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</si>
  <si>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</si>
  <si>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</si>
  <si>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</si>
  <si>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</si>
  <si>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</si>
  <si>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</si>
  <si>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</si>
  <si>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</si>
  <si>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</si>
  <si>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</si>
  <si>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</si>
  <si>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</si>
  <si>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</si>
  <si>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</si>
  <si>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</si>
  <si>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</si>
  <si>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</si>
  <si>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</si>
  <si>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</si>
  <si>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</si>
  <si>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</si>
  <si>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</si>
  <si>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</si>
  <si>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</si>
  <si>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</si>
  <si>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</si>
  <si>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</si>
  <si>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</si>
  <si>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</si>
  <si>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</si>
  <si>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</si>
  <si>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</si>
  <si>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</si>
  <si>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</si>
  <si>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</si>
  <si>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</si>
  <si>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</si>
  <si>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</si>
  <si>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</si>
  <si>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</si>
  <si>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</si>
  <si>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</si>
  <si>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</si>
  <si>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</si>
  <si>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</si>
  <si>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</si>
  <si>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</si>
  <si>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</si>
  <si>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</si>
  <si>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</si>
  <si>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</si>
  <si>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</si>
  <si>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</si>
  <si>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</si>
  <si>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</si>
  <si>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</si>
  <si>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</si>
  <si>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</si>
  <si>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</si>
  <si>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</si>
  <si>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</si>
  <si>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</si>
  <si>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</si>
  <si>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</si>
  <si>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</si>
  <si>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</si>
  <si>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</si>
  <si>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</si>
  <si>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</si>
  <si>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</si>
  <si>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</si>
  <si>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</si>
  <si>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</si>
  <si>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</si>
  <si>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</si>
  <si>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</si>
  <si>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</si>
  <si>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</si>
  <si>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</si>
  <si>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</si>
  <si>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</si>
  <si>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</si>
  <si>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</si>
  <si>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</si>
  <si>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</si>
  <si>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</si>
  <si>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</si>
  <si>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</si>
  <si>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</si>
  <si>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</si>
  <si>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</si>
  <si>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</si>
  <si>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</si>
  <si>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</si>
  <si>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</si>
  <si>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</si>
  <si>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</si>
  <si>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</si>
  <si>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</si>
  <si>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</si>
  <si>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</si>
  <si>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</si>
  <si>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</si>
  <si>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</si>
  <si>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</si>
  <si>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</si>
  <si>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</si>
  <si>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</si>
  <si>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</si>
  <si>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</si>
  <si>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</si>
  <si>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</si>
  <si>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</si>
  <si>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</si>
  <si>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</si>
  <si>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</si>
  <si>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</si>
  <si>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</si>
  <si>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</si>
  <si>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</si>
  <si>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</si>
  <si>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</si>
  <si>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</si>
  <si>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</si>
  <si>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</si>
  <si>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</si>
  <si>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</si>
  <si>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</si>
  <si>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</si>
  <si>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</si>
  <si>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</si>
  <si>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</si>
  <si>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</si>
  <si>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</si>
  <si>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</si>
  <si>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</si>
  <si>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</si>
  <si>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</si>
  <si>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</si>
  <si>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</si>
  <si>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</si>
  <si>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</si>
  <si>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</si>
  <si>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</si>
  <si>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</si>
  <si>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</si>
  <si>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</si>
  <si>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</si>
  <si>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</si>
  <si>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</si>
  <si>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</si>
  <si>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</si>
  <si>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</si>
  <si>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</si>
  <si>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</si>
  <si>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</si>
  <si>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</si>
  <si>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</si>
  <si>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</si>
  <si>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</si>
  <si>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</si>
  <si>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</si>
  <si>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</si>
  <si>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</si>
  <si>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</si>
  <si>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</si>
  <si>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</si>
  <si>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</si>
  <si>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</si>
  <si>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</si>
  <si>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</si>
  <si>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</si>
  <si>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</si>
  <si>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</si>
  <si>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</si>
  <si>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</si>
  <si>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</si>
  <si>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</si>
  <si>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</si>
  <si>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</si>
  <si>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</si>
  <si>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</si>
  <si>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</si>
  <si>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</si>
  <si>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</si>
  <si>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</si>
  <si>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</si>
  <si>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</si>
  <si>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</si>
  <si>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</si>
  <si>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</si>
  <si>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</si>
  <si>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</si>
  <si>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</si>
  <si>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</si>
  <si>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</si>
  <si>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</si>
  <si>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</si>
  <si>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</si>
  <si>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</si>
  <si>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</si>
  <si>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</si>
  <si>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</si>
  <si>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</si>
  <si>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</si>
  <si>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</si>
  <si>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</si>
  <si>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</si>
  <si>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</si>
  <si>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</si>
  <si>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</si>
  <si>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</si>
  <si>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</si>
  <si>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</si>
  <si>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</si>
  <si>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</si>
  <si>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</si>
  <si>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</si>
  <si>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</si>
  <si>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</si>
  <si>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</si>
  <si>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</si>
  <si>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</si>
  <si>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</si>
  <si>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</si>
  <si>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</si>
  <si>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</si>
  <si>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</si>
  <si>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</si>
  <si>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</si>
  <si>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</si>
  <si>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</si>
  <si>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</si>
  <si>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</si>
  <si>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</si>
  <si>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</si>
  <si>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</si>
  <si>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</si>
  <si>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</si>
  <si>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</si>
  <si>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</si>
  <si>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</si>
  <si>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</si>
  <si>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</si>
  <si>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</si>
  <si>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</si>
  <si>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</si>
  <si>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</si>
  <si>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</si>
  <si>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</si>
  <si>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</si>
  <si>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</si>
  <si>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</si>
  <si>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</si>
  <si>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</si>
  <si>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</si>
  <si>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</si>
  <si>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</si>
  <si>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</si>
  <si>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</si>
  <si>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</si>
  <si>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</si>
  <si>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</si>
  <si>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</si>
  <si>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</si>
  <si>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</si>
  <si>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</si>
  <si>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</si>
  <si>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</si>
  <si>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</si>
  <si>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</si>
  <si>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</si>
  <si>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</si>
  <si>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</si>
  <si>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</si>
  <si>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</si>
  <si>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</si>
  <si>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</si>
  <si>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</si>
  <si>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</si>
  <si>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</si>
  <si>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</si>
  <si>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</si>
  <si>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</si>
  <si>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</si>
  <si>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</si>
  <si>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</si>
  <si>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</si>
  <si>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</si>
  <si>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</si>
  <si>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</si>
  <si>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</si>
  <si>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</si>
  <si>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</si>
  <si>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</si>
  <si>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</si>
  <si>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</si>
  <si>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</si>
  <si>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</si>
  <si>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</si>
  <si>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</si>
  <si>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</si>
  <si>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</si>
  <si>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</si>
  <si>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</si>
  <si>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</si>
  <si>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</si>
  <si>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</si>
  <si>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</si>
  <si>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</si>
  <si>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</si>
  <si>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</si>
  <si>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</si>
  <si>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</si>
  <si>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</si>
  <si>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</si>
  <si>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</si>
  <si>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</si>
  <si>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</si>
  <si>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</si>
  <si>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</si>
  <si>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</si>
  <si>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</si>
  <si>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</si>
  <si>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</si>
  <si>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</si>
  <si>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</si>
  <si>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</si>
  <si>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</si>
  <si>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</si>
  <si>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</si>
  <si>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</si>
  <si>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</si>
  <si>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</si>
  <si>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</si>
  <si>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</si>
  <si>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</si>
  <si>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</si>
  <si>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</si>
  <si>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</si>
  <si>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</si>
  <si>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</si>
  <si>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</si>
  <si>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</si>
  <si>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</si>
  <si>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</si>
  <si>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</si>
  <si>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</si>
  <si>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</si>
  <si>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</si>
  <si>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</si>
  <si>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</si>
  <si>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</si>
  <si>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</si>
  <si>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</si>
  <si>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</si>
  <si>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</si>
  <si>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</si>
  <si>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</si>
  <si>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</si>
  <si>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</si>
  <si>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</si>
  <si>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</si>
  <si>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</si>
  <si>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</si>
  <si>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</si>
  <si>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</si>
  <si>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</si>
  <si>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</si>
  <si>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</si>
  <si>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</si>
  <si>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</si>
  <si>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</si>
  <si>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</si>
  <si>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</si>
  <si>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</si>
  <si>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</si>
  <si>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</si>
  <si>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</si>
  <si>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</si>
  <si>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</si>
  <si>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</si>
  <si>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</si>
  <si>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</si>
  <si>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</si>
  <si>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</si>
  <si>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</si>
  <si>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</si>
  <si>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</si>
  <si>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</si>
  <si>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</si>
  <si>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</si>
  <si>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</si>
  <si>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</si>
  <si>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</si>
  <si>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</si>
  <si>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</si>
  <si>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</si>
  <si>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</si>
  <si>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</si>
  <si>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</si>
  <si>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</si>
  <si>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</si>
  <si>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</si>
  <si>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</si>
  <si>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</si>
  <si>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</si>
  <si>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</si>
  <si>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</si>
  <si>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</si>
  <si>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</si>
  <si>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</si>
  <si>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</si>
  <si>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</si>
  <si>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</si>
  <si>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</si>
  <si>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</si>
  <si>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</si>
  <si>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</si>
  <si>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</si>
  <si>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</si>
  <si>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</si>
  <si>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</si>
  <si>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</si>
  <si>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</si>
  <si>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</si>
  <si>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</si>
  <si>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</si>
  <si>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</si>
  <si>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</si>
  <si>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</si>
  <si>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</si>
  <si>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</si>
  <si>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</si>
  <si>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</si>
  <si>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</si>
  <si>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</si>
  <si>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</si>
  <si>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</si>
  <si>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</si>
  <si>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</si>
  <si>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</si>
  <si>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</si>
  <si>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</si>
  <si>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</si>
  <si>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</si>
  <si>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</si>
  <si>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</si>
  <si>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</si>
  <si>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</si>
  <si>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</si>
  <si>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</si>
  <si>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</si>
  <si>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</si>
  <si>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</si>
  <si>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</si>
  <si>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</si>
  <si>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</si>
  <si>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</si>
  <si>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</si>
  <si>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</si>
  <si>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</si>
  <si>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</si>
  <si>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</si>
  <si>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</si>
  <si>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</si>
  <si>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</si>
  <si>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</si>
  <si>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</si>
  <si>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</si>
  <si>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</si>
  <si>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</si>
  <si>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</si>
  <si>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</si>
  <si>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</si>
  <si>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</si>
  <si>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</si>
  <si>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</si>
  <si>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</si>
  <si>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</si>
  <si>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</si>
  <si>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</si>
  <si>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</si>
  <si>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</si>
  <si>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</si>
  <si>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</si>
  <si>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</si>
  <si>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</si>
  <si>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</si>
  <si>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</si>
  <si>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</si>
  <si>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</si>
  <si>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</si>
  <si>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</si>
  <si>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</si>
  <si>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</si>
  <si>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</si>
  <si>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</si>
  <si>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</si>
  <si>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</si>
  <si>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</si>
  <si>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</si>
  <si>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</si>
  <si>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</si>
  <si>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</si>
  <si>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</si>
  <si>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</si>
  <si>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</si>
  <si>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</si>
  <si>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</si>
  <si>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</si>
  <si>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</si>
  <si>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</si>
  <si>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</si>
  <si>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</si>
  <si>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</si>
  <si>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</si>
  <si>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</si>
  <si>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</si>
  <si>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</si>
  <si>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</si>
  <si>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</si>
  <si>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</si>
  <si>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</si>
  <si>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</si>
  <si>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</si>
  <si>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</si>
  <si>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</si>
  <si>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</si>
  <si>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</si>
  <si>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</si>
  <si>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</si>
  <si>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</si>
  <si>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</si>
  <si>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</si>
  <si>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</si>
  <si>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</si>
  <si>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</si>
  <si>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</si>
  <si>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</si>
  <si>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</si>
  <si>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</si>
  <si>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</si>
  <si>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</si>
  <si>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</si>
  <si>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</si>
  <si>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</si>
  <si>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</si>
  <si>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</si>
  <si>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</si>
  <si>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</si>
  <si>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</si>
  <si>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</si>
  <si>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</si>
  <si>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</si>
  <si>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</si>
  <si>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</si>
  <si>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</si>
  <si>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</si>
  <si>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</si>
  <si>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</si>
  <si>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</si>
  <si>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</si>
  <si>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</si>
  <si>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</si>
  <si>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</si>
  <si>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</si>
  <si>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</si>
  <si>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</si>
  <si>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</si>
  <si>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</si>
  <si>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</si>
  <si>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</si>
  <si>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</si>
  <si>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</si>
  <si>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</si>
  <si>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</si>
  <si>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</si>
  <si>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</si>
  <si>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</si>
  <si>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</si>
  <si>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</si>
  <si>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</si>
  <si>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</si>
  <si>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</si>
  <si>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</si>
  <si>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</si>
  <si>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</si>
  <si>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</si>
  <si>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</si>
  <si>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</si>
  <si>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</si>
  <si>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</si>
  <si>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</si>
  <si>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</si>
  <si>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</si>
  <si>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</si>
  <si>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</si>
  <si>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</si>
  <si>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</si>
  <si>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</si>
  <si>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</si>
  <si>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</si>
  <si>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</si>
  <si>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</si>
  <si>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</si>
  <si>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</si>
  <si>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</si>
  <si>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</si>
  <si>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</si>
  <si>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</si>
  <si>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</si>
  <si>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</si>
  <si>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</si>
  <si>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</si>
  <si>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</si>
  <si>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</si>
  <si>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</si>
  <si>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</si>
  <si>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</si>
  <si>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</si>
  <si>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</si>
  <si>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</si>
  <si>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</si>
  <si>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</si>
  <si>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</si>
  <si>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</si>
  <si>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</si>
  <si>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</si>
  <si>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</si>
  <si>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</si>
  <si>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</si>
  <si>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</si>
  <si>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</si>
  <si>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</si>
  <si>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</si>
  <si>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</si>
  <si>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</si>
  <si>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</si>
  <si>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</si>
  <si>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</si>
  <si>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</si>
  <si>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</si>
  <si>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</si>
  <si>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</si>
  <si>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</si>
  <si>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</si>
  <si>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</si>
  <si>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</si>
  <si>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</si>
  <si>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</si>
  <si>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</si>
  <si>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</si>
  <si>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</si>
  <si>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</si>
  <si>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</si>
  <si>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</si>
  <si>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</si>
  <si>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</si>
  <si>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</si>
  <si>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</si>
  <si>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</si>
  <si>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</si>
  <si>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</si>
  <si>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</si>
  <si>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</si>
  <si>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</si>
  <si>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</si>
  <si>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</si>
  <si>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</si>
  <si>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</si>
  <si>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</si>
  <si>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</si>
  <si>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</si>
  <si>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</si>
  <si>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</si>
  <si>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</si>
  <si>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</si>
  <si>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</si>
  <si>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</si>
  <si>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</si>
  <si>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</si>
  <si>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</si>
  <si>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</si>
  <si>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</si>
  <si>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</si>
  <si>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</si>
  <si>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</si>
  <si>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</si>
  <si>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</si>
  <si>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</si>
  <si>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</si>
  <si>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</si>
  <si>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</si>
  <si>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</si>
  <si>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</si>
  <si>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</si>
  <si>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</si>
  <si>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</si>
  <si>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</si>
  <si>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</si>
  <si>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</si>
  <si>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</si>
  <si>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</si>
  <si>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</si>
  <si>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</si>
  <si>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</si>
  <si>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</si>
  <si>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</si>
  <si>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</si>
  <si>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</si>
  <si>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</si>
  <si>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</si>
  <si>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</si>
  <si>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</si>
  <si>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</si>
  <si>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</si>
  <si>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</si>
  <si>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</si>
  <si>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</si>
  <si>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</si>
  <si>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</si>
  <si>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</si>
  <si>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</si>
  <si>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</si>
  <si>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</si>
  <si>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</si>
  <si>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</si>
  <si>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</si>
  <si>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</si>
  <si>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</si>
  <si>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</si>
  <si>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</si>
  <si>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</si>
  <si>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</si>
  <si>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</si>
  <si>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</si>
  <si>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</si>
  <si>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</si>
  <si>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</si>
  <si>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</si>
  <si>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</si>
  <si>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</si>
  <si>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</si>
  <si>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</si>
  <si>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</si>
  <si>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</si>
  <si>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</si>
  <si>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</si>
  <si>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</si>
  <si>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</si>
  <si>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</si>
  <si>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</si>
  <si>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</si>
  <si>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</si>
  <si>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</si>
  <si>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</si>
  <si>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</si>
  <si>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</si>
  <si>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</si>
  <si>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</si>
  <si>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</si>
  <si>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</si>
  <si>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</si>
  <si>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</si>
  <si>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</si>
  <si>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</si>
  <si>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</si>
  <si>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</si>
  <si>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</si>
  <si>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</si>
  <si>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</si>
  <si>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</si>
  <si>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</si>
  <si>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</si>
  <si>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</si>
  <si>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</si>
  <si>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</si>
  <si>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</si>
  <si>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</si>
  <si>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</si>
  <si>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</si>
  <si>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</si>
  <si>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</si>
  <si>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</si>
  <si>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</si>
  <si>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</si>
  <si>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</si>
  <si>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</si>
  <si>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</si>
  <si>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</si>
  <si>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</si>
  <si>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</si>
  <si>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</si>
  <si>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</si>
  <si>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</si>
  <si>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</si>
  <si>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</si>
  <si>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</si>
  <si>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</si>
  <si>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</si>
  <si>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</si>
  <si>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</si>
  <si>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</si>
  <si>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</si>
  <si>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</si>
  <si>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</si>
  <si>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</si>
  <si>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</si>
  <si>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</si>
  <si>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</si>
  <si>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</si>
  <si>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</si>
  <si>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</si>
  <si>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</si>
  <si>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</si>
  <si>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</si>
  <si>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</si>
  <si>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</si>
  <si>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</si>
  <si>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</si>
  <si>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</si>
  <si>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</si>
  <si>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</si>
  <si>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</si>
  <si>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</si>
  <si>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</si>
  <si>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</si>
  <si>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</si>
  <si>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</si>
  <si>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</si>
  <si>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</si>
  <si>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</si>
  <si>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</si>
  <si>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</si>
  <si>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</si>
  <si>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</si>
  <si>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</si>
  <si>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</si>
  <si>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</si>
  <si>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</si>
  <si>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</si>
  <si>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</si>
  <si>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</si>
  <si>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</si>
  <si>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</si>
  <si>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</si>
  <si>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</si>
  <si>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</si>
  <si>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</si>
  <si>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</si>
  <si>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</si>
  <si>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</si>
  <si>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</si>
  <si>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</si>
  <si>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</si>
  <si>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</si>
  <si>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</si>
  <si>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</si>
  <si>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</si>
  <si>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</si>
  <si>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</si>
  <si>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</si>
  <si>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</si>
  <si>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</si>
  <si>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</si>
  <si>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</si>
  <si>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</si>
  <si>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</si>
  <si>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</si>
  <si>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</si>
  <si>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</si>
  <si>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</si>
  <si>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</si>
  <si>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</si>
  <si>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</si>
  <si>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</si>
  <si>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</si>
  <si>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</si>
  <si>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</si>
  <si>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</si>
  <si>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</si>
  <si>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</si>
  <si>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</si>
  <si>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</si>
  <si>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</si>
  <si>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</si>
  <si>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</si>
  <si>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</si>
  <si>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</si>
  <si>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</si>
  <si>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</si>
  <si>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</si>
  <si>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</si>
  <si>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</si>
  <si>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</si>
  <si>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</si>
  <si>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</si>
  <si>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</si>
  <si>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</si>
  <si>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</si>
  <si>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</si>
  <si>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</si>
  <si>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</si>
  <si>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</si>
  <si>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</si>
  <si>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</si>
  <si>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</si>
  <si>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</si>
  <si>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</si>
  <si>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</si>
  <si>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</si>
  <si>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</si>
  <si>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</si>
  <si>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</si>
  <si>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</si>
  <si>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</si>
  <si>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</si>
  <si>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</si>
  <si>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</si>
  <si>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</si>
  <si>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</si>
  <si>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</si>
  <si>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</si>
  <si>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</si>
  <si>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</si>
  <si>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</si>
  <si>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</si>
  <si>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</si>
  <si>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</si>
  <si>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</si>
  <si>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</si>
  <si>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</si>
  <si>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</si>
  <si>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</si>
  <si>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</si>
  <si>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</si>
  <si>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</si>
  <si>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</si>
  <si>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</si>
  <si>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</si>
  <si>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</si>
  <si>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</si>
  <si>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</si>
  <si>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</si>
  <si>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</si>
  <si>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</si>
  <si>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</si>
  <si>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</si>
  <si>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</si>
  <si>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</si>
  <si>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</si>
  <si>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</si>
  <si>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</si>
  <si>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</si>
  <si>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</si>
  <si>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</si>
  <si>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</si>
  <si>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</si>
  <si>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</si>
  <si>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</si>
  <si>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</si>
  <si>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</si>
  <si>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</si>
  <si>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</si>
  <si>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</si>
  <si>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</si>
  <si>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</si>
  <si>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</si>
  <si>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</si>
  <si>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</si>
  <si>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</si>
  <si>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</si>
  <si>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</si>
  <si>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</si>
  <si>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</si>
  <si>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</si>
  <si>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</si>
  <si>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</si>
  <si>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</si>
  <si>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</si>
  <si>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</si>
  <si>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</si>
  <si>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</si>
  <si>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</si>
  <si>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</si>
  <si>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</si>
  <si>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</si>
  <si>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</si>
  <si>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</si>
  <si>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</si>
  <si>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</si>
  <si>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</si>
  <si>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</si>
  <si>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</si>
  <si>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</si>
  <si>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</si>
  <si>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</si>
  <si>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</si>
  <si>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</si>
  <si>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</si>
  <si>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</si>
  <si>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</si>
  <si>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</si>
  <si>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</si>
  <si>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</si>
  <si>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</si>
  <si>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</si>
  <si>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</si>
  <si>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</si>
  <si>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</si>
  <si>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</si>
  <si>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</si>
  <si>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</si>
  <si>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</si>
  <si>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</si>
  <si>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</si>
  <si>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</si>
  <si>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</si>
  <si>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</si>
  <si>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</si>
  <si>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</si>
  <si>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</si>
  <si>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</si>
  <si>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</si>
  <si>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</si>
  <si>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</si>
  <si>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</si>
  <si>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</si>
  <si>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</si>
  <si>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</si>
  <si>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</si>
  <si>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</si>
  <si>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</si>
  <si>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</si>
  <si>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</si>
  <si>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</si>
  <si>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</si>
  <si>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</si>
  <si>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</si>
  <si>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</si>
  <si>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</si>
  <si>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</si>
  <si>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</si>
  <si>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</si>
  <si>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</si>
  <si>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</si>
  <si>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</si>
  <si>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</si>
  <si>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</si>
  <si>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</si>
  <si>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</si>
  <si>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</si>
  <si>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</si>
  <si>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</si>
  <si>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</si>
  <si>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</si>
  <si>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</si>
  <si>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</si>
  <si>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</si>
  <si>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</si>
  <si>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</si>
  <si>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</si>
  <si>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</si>
  <si>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</si>
  <si>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</si>
  <si>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</si>
  <si>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</si>
  <si>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</si>
  <si>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</si>
  <si>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</si>
  <si>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</si>
  <si>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</si>
  <si>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</si>
  <si>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</si>
  <si>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</si>
  <si>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</si>
  <si>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</si>
  <si>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</si>
  <si>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</si>
  <si>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</si>
  <si>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</si>
  <si>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</si>
  <si>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</si>
  <si>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</si>
  <si>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</si>
  <si>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</si>
  <si>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</si>
  <si>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</si>
  <si>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</si>
  <si>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</si>
  <si>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</si>
  <si>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</si>
  <si>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</si>
  <si>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</si>
  <si>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</si>
  <si>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</si>
  <si>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</si>
  <si>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</si>
  <si>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</si>
  <si>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</si>
  <si>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</si>
  <si>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</si>
  <si>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</si>
  <si>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</si>
  <si>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</si>
  <si>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</si>
  <si>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</si>
  <si>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</si>
  <si>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</si>
  <si>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</si>
  <si>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</si>
  <si>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</si>
  <si>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</si>
  <si>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</si>
  <si>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</si>
  <si>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</si>
  <si>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</si>
  <si>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</si>
  <si>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</si>
  <si>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</si>
  <si>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</si>
  <si>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</si>
  <si>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</si>
  <si>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</si>
  <si>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</si>
  <si>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</si>
  <si>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</si>
  <si>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</si>
  <si>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</si>
  <si>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</si>
  <si>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</si>
  <si>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</si>
  <si>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</si>
  <si>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</si>
  <si>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</si>
  <si>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</si>
  <si>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</si>
  <si>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</si>
  <si>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</si>
  <si>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</si>
  <si>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</si>
  <si>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</si>
  <si>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</si>
  <si>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</si>
  <si>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</si>
  <si>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</si>
  <si>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</si>
  <si>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</si>
  <si>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</si>
  <si>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</si>
  <si>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</si>
  <si>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</si>
  <si>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</si>
  <si>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</si>
  <si>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</si>
  <si>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</si>
  <si>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</si>
  <si>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</si>
  <si>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</si>
  <si>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</si>
  <si>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</si>
  <si>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</si>
  <si>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</si>
  <si>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</si>
  <si>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</si>
  <si>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</si>
  <si>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</si>
  <si>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</si>
  <si>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</si>
  <si>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</si>
  <si>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</si>
  <si>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</si>
  <si>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</si>
  <si>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</si>
  <si>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</si>
  <si>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</si>
  <si>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</si>
  <si>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</si>
  <si>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</si>
  <si>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</si>
  <si>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</si>
  <si>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</si>
  <si>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</si>
  <si>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</si>
  <si>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</si>
  <si>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</si>
  <si>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</si>
  <si>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</si>
  <si>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</si>
  <si>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</si>
  <si>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</si>
  <si>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</si>
  <si>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</si>
  <si>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</si>
  <si>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</si>
  <si>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</si>
  <si>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</si>
  <si>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</si>
  <si>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</si>
  <si>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</si>
  <si>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</si>
  <si>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</si>
  <si>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</si>
  <si>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</si>
  <si>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</si>
  <si>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</si>
  <si>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</si>
  <si>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</si>
  <si>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</si>
  <si>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</si>
  <si>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</si>
  <si>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</si>
  <si>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</si>
  <si>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</si>
  <si>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</si>
  <si>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</si>
  <si>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</si>
  <si>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</si>
  <si>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</si>
  <si>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</si>
  <si>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</si>
  <si>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</si>
  <si>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</si>
  <si>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</si>
  <si>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</si>
  <si>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</si>
  <si>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</si>
  <si>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</si>
  <si>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</si>
  <si>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</si>
  <si>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</si>
  <si>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</si>
  <si>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</si>
  <si>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</si>
  <si>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</si>
  <si>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</si>
  <si>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</si>
  <si>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</si>
  <si>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</si>
  <si>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</si>
  <si>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</si>
  <si>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</si>
  <si>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</si>
  <si>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</si>
  <si>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</si>
  <si>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</si>
  <si>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</si>
  <si>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</si>
  <si>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</si>
  <si>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</si>
  <si>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</si>
  <si>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</si>
  <si>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</si>
  <si>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</si>
  <si>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</si>
  <si>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</si>
  <si>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</si>
  <si>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</si>
  <si>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</si>
  <si>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</si>
  <si>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</si>
  <si>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</si>
  <si>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</si>
  <si>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</si>
  <si>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</si>
  <si>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</si>
  <si>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</si>
  <si>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</si>
  <si>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</si>
  <si>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</si>
  <si>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</si>
  <si>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</si>
  <si>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</si>
  <si>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</si>
  <si>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</si>
  <si>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</si>
  <si>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</si>
  <si>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</si>
  <si>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</si>
  <si>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</si>
  <si>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</si>
  <si>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</si>
  <si>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</si>
  <si>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</si>
  <si>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</si>
  <si>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</si>
  <si>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</si>
  <si>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</si>
  <si>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</si>
  <si>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</si>
  <si>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</si>
  <si>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</si>
  <si>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</si>
  <si>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</si>
  <si>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</si>
  <si>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</si>
  <si>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</si>
  <si>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</si>
  <si>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</si>
  <si>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</si>
  <si>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</si>
  <si>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</si>
  <si>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</si>
  <si>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</si>
  <si>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</si>
  <si>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</si>
  <si>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</si>
  <si>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</si>
  <si>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</si>
  <si>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</si>
  <si>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</si>
  <si>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</si>
  <si>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</si>
  <si>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</si>
  <si>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</si>
  <si>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</si>
  <si>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</si>
  <si>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</si>
  <si>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</si>
  <si>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</si>
  <si>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</si>
  <si>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</si>
  <si>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</si>
  <si>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</si>
  <si>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</si>
  <si>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</si>
  <si>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</si>
  <si>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</si>
  <si>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</si>
  <si>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</si>
  <si>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</si>
  <si>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</si>
  <si>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</si>
  <si>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</si>
  <si>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</si>
  <si>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</si>
  <si>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</si>
  <si>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</si>
  <si>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</si>
  <si>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</si>
  <si>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</si>
  <si>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</si>
  <si>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</si>
  <si>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</si>
  <si>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</si>
  <si>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</si>
  <si>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</si>
  <si>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</si>
  <si>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</si>
  <si>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</si>
  <si>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</si>
  <si>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</si>
  <si>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</si>
  <si>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</si>
  <si>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</si>
  <si>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</si>
  <si>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</si>
  <si>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</si>
  <si>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</si>
  <si>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</si>
  <si>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</si>
  <si>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</si>
  <si>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</si>
  <si>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</si>
  <si>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</si>
  <si>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</si>
  <si>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</si>
  <si>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</si>
  <si>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</si>
  <si>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</si>
  <si>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</si>
  <si>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</si>
  <si>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</si>
  <si>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</si>
  <si>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</si>
  <si>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</si>
  <si>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</si>
  <si>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</si>
  <si>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</si>
  <si>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</si>
  <si>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</si>
  <si>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</si>
  <si>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</si>
  <si>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</si>
  <si>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</si>
  <si>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</si>
  <si>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</si>
  <si>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</si>
  <si>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</si>
  <si>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</si>
  <si>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</si>
  <si>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</si>
  <si>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</si>
  <si>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</si>
  <si>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</si>
  <si>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</si>
  <si>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</si>
  <si>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</si>
  <si>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</si>
  <si>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</si>
  <si>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</si>
  <si>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</si>
  <si>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</si>
  <si>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</si>
  <si>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</si>
  <si>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</si>
  <si>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</si>
  <si>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</si>
  <si>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</si>
  <si>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</si>
  <si>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</si>
  <si>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</si>
  <si>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</si>
  <si>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</si>
  <si>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</si>
  <si>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</si>
  <si>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</si>
  <si>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</si>
  <si>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</si>
  <si>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</si>
  <si>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</si>
  <si>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</si>
  <si>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</si>
  <si>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</si>
  <si>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</si>
  <si>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</si>
  <si>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</si>
  <si>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</si>
  <si>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</si>
  <si>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</si>
  <si>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</si>
  <si>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</si>
  <si>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</si>
  <si>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</si>
  <si>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</si>
  <si>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</si>
  <si>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</si>
  <si>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</si>
  <si>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</si>
  <si>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</si>
  <si>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</si>
  <si>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</si>
  <si>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</si>
  <si>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</si>
  <si>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</si>
  <si>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</si>
  <si>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</si>
  <si>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</si>
  <si>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</si>
  <si>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</si>
  <si>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</si>
  <si>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</si>
  <si>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</si>
  <si>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</si>
  <si>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</si>
  <si>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</si>
  <si>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</si>
  <si>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</si>
  <si>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</si>
  <si>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</si>
  <si>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</si>
  <si>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</si>
  <si>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</si>
  <si>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</si>
  <si>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</si>
  <si>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</si>
  <si>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</si>
  <si>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</si>
  <si>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</si>
  <si>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</si>
  <si>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</si>
  <si>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</si>
  <si>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</si>
  <si>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</si>
  <si>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</si>
  <si>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</si>
  <si>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</si>
  <si>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</si>
  <si>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</si>
  <si>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</si>
  <si>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</si>
  <si>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</si>
  <si>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</si>
  <si>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</si>
  <si>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</si>
  <si>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</si>
  <si>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</si>
  <si>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</si>
  <si>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</si>
  <si>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</si>
  <si>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</si>
  <si>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</si>
  <si>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</si>
  <si>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</si>
  <si>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</si>
  <si>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</si>
  <si>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</si>
  <si>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</si>
  <si>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</si>
  <si>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</si>
  <si>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</si>
  <si>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</si>
  <si>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</si>
  <si>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</si>
  <si>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</si>
  <si>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</si>
  <si>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</si>
  <si>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</si>
  <si>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</si>
  <si>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</si>
  <si>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</si>
  <si>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</si>
  <si>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</si>
  <si>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</si>
  <si>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</si>
  <si>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</si>
  <si>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</si>
  <si>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</si>
  <si>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</si>
  <si>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</si>
  <si>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</si>
  <si>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</si>
  <si>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</si>
  <si>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</si>
  <si>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</si>
  <si>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</si>
  <si>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</si>
  <si>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</si>
  <si>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</si>
  <si>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</si>
  <si>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</si>
  <si>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</si>
  <si>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</si>
  <si>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</si>
  <si>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</si>
  <si>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</si>
  <si>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</si>
  <si>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</si>
  <si>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</si>
  <si>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</si>
  <si>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</si>
  <si>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</si>
  <si>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</si>
  <si>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</si>
  <si>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</si>
  <si>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</si>
  <si>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</si>
  <si>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</si>
  <si>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</si>
  <si>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</si>
  <si>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</si>
  <si>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</si>
  <si>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</si>
  <si>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</si>
  <si>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</si>
  <si>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</si>
  <si>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</si>
  <si>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</si>
  <si>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</si>
  <si>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</si>
  <si>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</si>
  <si>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</si>
  <si>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</si>
  <si>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</si>
  <si>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</si>
  <si>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</si>
  <si>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</si>
  <si>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</si>
  <si>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</si>
  <si>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</si>
  <si>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</si>
  <si>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</si>
  <si>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</si>
  <si>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</si>
  <si>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</si>
  <si>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</si>
  <si>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</si>
  <si>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</si>
  <si>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</si>
  <si>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</si>
  <si>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</si>
  <si>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</si>
  <si>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</si>
  <si>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</si>
  <si>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</si>
  <si>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</si>
  <si>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</si>
  <si>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</si>
  <si>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</si>
  <si>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</si>
  <si>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</si>
  <si>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</si>
  <si>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</si>
  <si>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</si>
  <si>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</si>
  <si>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</si>
  <si>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</si>
  <si>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</si>
  <si>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</si>
  <si>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</si>
  <si>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</si>
  <si>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</si>
  <si>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</si>
  <si>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</si>
  <si>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</si>
  <si>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</si>
  <si>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</si>
  <si>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</si>
  <si>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</si>
  <si>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</si>
  <si>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</si>
  <si>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</si>
  <si>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</si>
  <si>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</si>
  <si>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</si>
  <si>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</si>
  <si>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</si>
  <si>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</si>
  <si>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</si>
  <si>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</si>
  <si>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</si>
  <si>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</si>
  <si>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</si>
  <si>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</si>
  <si>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</si>
  <si>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</si>
  <si>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</si>
  <si>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</si>
  <si>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</si>
  <si>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</si>
  <si>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</si>
  <si>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</si>
  <si>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</si>
  <si>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</si>
  <si>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</si>
  <si>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</si>
  <si>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</si>
  <si>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</si>
  <si>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</si>
  <si>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</si>
  <si>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</si>
  <si>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</si>
  <si>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</si>
  <si>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</si>
  <si>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</si>
  <si>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</si>
  <si>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</si>
  <si>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</si>
  <si>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</si>
  <si>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</si>
  <si>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</si>
  <si>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</si>
  <si>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</si>
  <si>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</si>
  <si>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</si>
  <si>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</si>
  <si>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</si>
  <si>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</si>
  <si>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</si>
  <si>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</si>
  <si>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</si>
  <si>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</si>
  <si>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</si>
  <si>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</si>
  <si>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</si>
  <si>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</si>
  <si>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</si>
  <si>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</si>
  <si>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</si>
  <si>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</si>
  <si>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</si>
  <si>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</si>
  <si>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</si>
  <si>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</si>
  <si>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</si>
  <si>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</si>
  <si>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</si>
  <si>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</si>
  <si>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</si>
  <si>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</si>
  <si>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</si>
  <si>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</si>
  <si>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</si>
  <si>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</si>
  <si>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</si>
  <si>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</si>
  <si>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</si>
  <si>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</si>
  <si>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</si>
  <si>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</si>
  <si>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</si>
  <si>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</si>
  <si>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</si>
  <si>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</si>
  <si>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</si>
  <si>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</si>
  <si>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</si>
  <si>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</si>
  <si>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</si>
  <si>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</si>
  <si>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</si>
  <si>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</si>
  <si>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</si>
  <si>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</si>
  <si>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</si>
  <si>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</si>
  <si>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</si>
  <si>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</si>
  <si>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</si>
  <si>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</si>
  <si>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</si>
  <si>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</si>
  <si>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</si>
  <si>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</si>
  <si>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</si>
  <si>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</si>
  <si>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</si>
  <si>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</si>
  <si>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</si>
  <si>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</si>
  <si>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</si>
  <si>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</si>
  <si>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</si>
  <si>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</si>
  <si>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</si>
  <si>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</si>
  <si>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</si>
  <si>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</si>
  <si>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</si>
  <si>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</si>
  <si>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</si>
  <si>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</si>
  <si>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</si>
  <si>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</si>
  <si>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</si>
  <si>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</si>
  <si>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</si>
  <si>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</si>
  <si>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</si>
  <si>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</si>
  <si>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</si>
  <si>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</si>
  <si>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</si>
  <si>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</si>
  <si>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</si>
  <si>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</si>
  <si>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</si>
  <si>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</si>
  <si>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</si>
  <si>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</si>
  <si>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</si>
  <si>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</si>
  <si>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</si>
  <si>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</si>
  <si>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</si>
  <si>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</si>
  <si>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</si>
  <si>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</si>
  <si>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</si>
  <si>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</si>
  <si>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</si>
  <si>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</si>
  <si>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</si>
  <si>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</si>
  <si>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</si>
  <si>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</si>
  <si>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</si>
  <si>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</si>
  <si>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</si>
  <si>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</si>
  <si>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</si>
  <si>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</si>
  <si>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</si>
  <si>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</si>
  <si>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</si>
  <si>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</si>
  <si>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</si>
  <si>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</si>
  <si>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</si>
  <si>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</si>
  <si>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</si>
  <si>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</si>
  <si>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</si>
  <si>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</si>
  <si>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</si>
  <si>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</si>
  <si>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</si>
  <si>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</si>
  <si>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</si>
  <si>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</si>
  <si>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</si>
  <si>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</si>
  <si>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</si>
  <si>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</si>
  <si>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</si>
  <si>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</si>
  <si>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</si>
  <si>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</si>
  <si>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</si>
  <si>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</si>
  <si>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</si>
  <si>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</si>
  <si>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</si>
  <si>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</si>
  <si>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</si>
  <si>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</si>
  <si>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</si>
  <si>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</si>
  <si>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</si>
  <si>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</si>
  <si>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</si>
  <si>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</si>
  <si>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</si>
  <si>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</si>
  <si>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</si>
  <si>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</si>
  <si>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</si>
  <si>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</si>
  <si>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</si>
  <si>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</si>
  <si>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</si>
  <si>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</si>
  <si>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</si>
  <si>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</si>
  <si>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</si>
  <si>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</si>
  <si>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</si>
  <si>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</si>
  <si>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</si>
  <si>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</si>
  <si>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</si>
  <si>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</si>
  <si>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</si>
  <si>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</si>
  <si>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</si>
  <si>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</si>
  <si>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</si>
  <si>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</si>
  <si>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</si>
  <si>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</si>
  <si>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</si>
  <si>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</si>
  <si>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</si>
  <si>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</si>
  <si>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</si>
  <si>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</si>
  <si>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</si>
  <si>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</si>
  <si>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</si>
  <si>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</si>
  <si>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</si>
  <si>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</si>
  <si>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</si>
  <si>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</si>
  <si>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</si>
  <si>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</si>
  <si>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</si>
  <si>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</si>
  <si>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</si>
  <si>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</si>
  <si>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</si>
  <si>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</si>
  <si>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</si>
  <si>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</si>
  <si>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</si>
  <si>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</si>
  <si>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</si>
  <si>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</si>
  <si>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</si>
  <si>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</si>
  <si>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</si>
  <si>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</si>
  <si>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</si>
  <si>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</si>
  <si>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</si>
  <si>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</si>
  <si>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</si>
  <si>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</si>
  <si>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</si>
  <si>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</si>
  <si>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</si>
  <si>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</si>
  <si>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</si>
  <si>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</si>
  <si>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</si>
  <si>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</si>
  <si>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</si>
  <si>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</si>
  <si>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</si>
  <si>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</si>
  <si>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</si>
  <si>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</si>
  <si>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</si>
  <si>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</si>
  <si>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</si>
  <si>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</si>
  <si>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</si>
  <si>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</si>
  <si>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</si>
  <si>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</si>
  <si>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</si>
  <si>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</si>
  <si>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</si>
  <si>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</si>
  <si>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</si>
  <si>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</si>
  <si>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</si>
  <si>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</si>
  <si>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</si>
  <si>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</si>
  <si>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</si>
  <si>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</si>
  <si>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</si>
  <si>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</si>
  <si>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</si>
  <si>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</si>
  <si>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</si>
  <si>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</si>
  <si>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</si>
  <si>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</si>
  <si>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</si>
  <si>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</si>
  <si>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</si>
  <si>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</si>
  <si>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</si>
  <si>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</si>
  <si>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</si>
  <si>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</si>
  <si>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</si>
  <si>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</si>
  <si>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</si>
  <si>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</si>
  <si>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</si>
  <si>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</si>
  <si>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</si>
  <si>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</si>
  <si>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</si>
  <si>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</si>
  <si>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</si>
  <si>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</si>
  <si>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</si>
  <si>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</si>
  <si>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</si>
  <si>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</si>
  <si>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</si>
  <si>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</si>
  <si>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</si>
  <si>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</si>
  <si>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</si>
  <si>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</si>
  <si>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</si>
  <si>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</si>
  <si>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</si>
  <si>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</si>
  <si>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</si>
  <si>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</si>
  <si>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</si>
  <si>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</si>
  <si>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</si>
  <si>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</si>
  <si>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</si>
  <si>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</si>
  <si>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</si>
  <si>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</si>
  <si>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</si>
  <si>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</si>
  <si>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</si>
  <si>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</si>
  <si>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</si>
  <si>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</si>
  <si>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</si>
  <si>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</si>
  <si>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</si>
  <si>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</si>
  <si>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</si>
  <si>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</si>
  <si>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</si>
  <si>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</si>
  <si>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</si>
  <si>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</si>
  <si>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</si>
  <si>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</si>
  <si>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</si>
  <si>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</si>
  <si>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</si>
  <si>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</si>
  <si>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</si>
  <si>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</si>
  <si>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</si>
  <si>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</si>
  <si>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</si>
  <si>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</si>
  <si>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</si>
  <si>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</si>
  <si>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</si>
  <si>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</si>
  <si>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</si>
  <si>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</si>
  <si>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</si>
  <si>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</si>
  <si>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</si>
  <si>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</si>
  <si>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</si>
  <si>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</si>
  <si>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</si>
  <si>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</si>
  <si>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</si>
  <si>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</si>
  <si>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</si>
  <si>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</si>
  <si>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</si>
  <si>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</si>
  <si>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</si>
  <si>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</si>
  <si>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</si>
  <si>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</si>
  <si>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</si>
  <si>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</si>
  <si>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</si>
  <si>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</si>
  <si>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</si>
  <si>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</si>
  <si>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</si>
  <si>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</si>
  <si>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</si>
  <si>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</si>
  <si>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</si>
  <si>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</si>
  <si>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</si>
  <si>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</si>
  <si>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</si>
  <si>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</si>
  <si>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</si>
  <si>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</si>
  <si>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</si>
  <si>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</si>
  <si>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</si>
  <si>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</si>
  <si>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</si>
  <si>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</si>
  <si>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</si>
  <si>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</si>
  <si>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</si>
  <si>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</si>
  <si>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</si>
  <si>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</si>
  <si>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</si>
  <si>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</si>
  <si>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</si>
  <si>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</si>
  <si>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</si>
  <si>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</si>
  <si>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</si>
  <si>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</si>
  <si>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</si>
  <si>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</si>
  <si>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</si>
  <si>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</si>
  <si>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</si>
  <si>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</si>
  <si>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</si>
  <si>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</si>
  <si>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</si>
  <si>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</si>
  <si>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</si>
  <si>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</si>
  <si>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</si>
  <si>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</si>
  <si>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</si>
  <si>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</si>
  <si>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</si>
  <si>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</si>
  <si>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</si>
  <si>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</si>
  <si>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</si>
  <si>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</si>
  <si>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</si>
  <si>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</si>
  <si>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</si>
  <si>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</si>
  <si>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</si>
  <si>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</si>
  <si>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</si>
  <si>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</si>
  <si>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</si>
  <si>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</si>
  <si>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</si>
  <si>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</si>
  <si>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</si>
  <si>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</si>
  <si>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</si>
  <si>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</si>
  <si>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</si>
  <si>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</si>
  <si>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</si>
  <si>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</si>
  <si>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</si>
  <si>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</si>
  <si>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</si>
  <si>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</si>
  <si>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</si>
  <si>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</si>
  <si>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</si>
  <si>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</si>
  <si>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</si>
  <si>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</si>
  <si>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</si>
  <si>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</si>
  <si>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</si>
  <si>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</si>
  <si>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</si>
  <si>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</si>
  <si>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</si>
  <si>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</si>
  <si>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</si>
  <si>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</si>
  <si>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</si>
  <si>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</si>
  <si>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</si>
  <si>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</si>
  <si>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</si>
  <si>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</si>
  <si>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</si>
  <si>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</si>
  <si>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</si>
  <si>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</si>
  <si>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</si>
  <si>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</si>
  <si>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</si>
  <si>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</si>
  <si>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</si>
  <si>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</si>
  <si>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</si>
  <si>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</si>
  <si>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</si>
  <si>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</si>
  <si>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</si>
  <si>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</si>
  <si>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</si>
  <si>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</si>
  <si>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</si>
  <si>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</si>
  <si>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</si>
  <si>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</si>
  <si>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</si>
  <si>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</si>
  <si>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</si>
  <si>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</si>
  <si>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</si>
  <si>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</si>
  <si>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</si>
  <si>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</si>
  <si>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</si>
  <si>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</si>
  <si>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</si>
  <si>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</si>
  <si>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</si>
  <si>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</si>
  <si>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</si>
  <si>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</si>
  <si>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</si>
  <si>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</si>
  <si>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</si>
  <si>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</si>
  <si>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</si>
  <si>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</si>
  <si>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</si>
  <si>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</si>
  <si>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</si>
  <si>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</si>
  <si>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</si>
  <si>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</si>
  <si>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</si>
  <si>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</si>
  <si>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</si>
  <si>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</si>
  <si>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</si>
  <si>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</si>
  <si>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</si>
  <si>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</si>
  <si>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</si>
  <si>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</si>
  <si>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</si>
  <si>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</si>
  <si>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</si>
  <si>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</si>
  <si>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</si>
  <si>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</si>
  <si>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</si>
  <si>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</si>
  <si>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</si>
  <si>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</si>
  <si>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</si>
  <si>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</si>
  <si>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</si>
  <si>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</si>
  <si>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</si>
  <si>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</si>
  <si>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</si>
  <si>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</si>
  <si>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</si>
  <si>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</si>
  <si>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</si>
  <si>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</si>
  <si>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</si>
  <si>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</si>
  <si>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</si>
  <si>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</si>
  <si>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</si>
  <si>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</si>
  <si>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</si>
  <si>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</si>
  <si>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</si>
  <si>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</si>
  <si>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</si>
  <si>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</si>
  <si>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</si>
  <si>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</si>
  <si>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</si>
  <si>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</si>
  <si>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</si>
  <si>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</si>
  <si>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</si>
  <si>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</si>
  <si>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</si>
  <si>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</si>
  <si>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</si>
  <si>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</si>
  <si>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</si>
  <si>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</si>
  <si>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</si>
  <si>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</si>
  <si>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</si>
  <si>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</si>
  <si>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</si>
  <si>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</si>
  <si>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</si>
  <si>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</si>
  <si>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</si>
  <si>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</si>
  <si>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</si>
  <si>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</si>
  <si>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</si>
  <si>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</si>
  <si>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</si>
  <si>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</si>
  <si>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</si>
  <si>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</si>
  <si>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</si>
  <si>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</si>
  <si>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</si>
  <si>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</si>
  <si>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</si>
  <si>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</si>
  <si>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</si>
  <si>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</si>
  <si>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</si>
  <si>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</si>
  <si>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</si>
  <si>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</si>
  <si>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</si>
  <si>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</si>
  <si>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</si>
  <si>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</si>
  <si>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</si>
  <si>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</si>
  <si>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</si>
  <si>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</si>
  <si>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</si>
  <si>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</si>
  <si>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</si>
  <si>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</si>
  <si>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</si>
  <si>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</si>
  <si>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</si>
  <si>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</si>
  <si>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</si>
  <si>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</si>
  <si>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</si>
  <si>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</si>
  <si>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</si>
  <si>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</si>
  <si>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</si>
  <si>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</si>
  <si>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</si>
  <si>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</si>
  <si>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</si>
  <si>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</si>
  <si>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</si>
  <si>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</si>
  <si>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</si>
  <si>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</si>
  <si>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</si>
  <si>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</si>
  <si>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</si>
  <si>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</si>
  <si>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</si>
  <si>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</si>
  <si>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</si>
  <si>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</si>
  <si>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</si>
  <si>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</si>
  <si>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</si>
  <si>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</si>
  <si>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</si>
  <si>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</si>
  <si>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</si>
  <si>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</si>
  <si>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</si>
  <si>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</si>
  <si>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</si>
  <si>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</si>
  <si>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</si>
  <si>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</si>
  <si>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</si>
  <si>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</si>
  <si>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</si>
  <si>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</si>
  <si>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</si>
  <si>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</si>
  <si>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</si>
  <si>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</si>
  <si>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</si>
  <si>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</si>
  <si>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</si>
  <si>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</si>
  <si>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</si>
  <si>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</si>
  <si>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</si>
  <si>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</si>
  <si>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</si>
  <si>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</si>
  <si>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</si>
  <si>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</si>
  <si>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</si>
  <si>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</si>
  <si>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</si>
  <si>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</si>
  <si>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</si>
  <si>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</si>
  <si>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</si>
  <si>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</si>
  <si>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</si>
  <si>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</si>
  <si>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</si>
  <si>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</si>
  <si>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</si>
  <si>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</si>
  <si>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</si>
  <si>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</si>
  <si>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</si>
  <si>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</si>
  <si>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</si>
  <si>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</si>
  <si>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</si>
  <si>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</si>
  <si>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</si>
  <si>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</si>
  <si>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</si>
  <si>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</si>
  <si>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</si>
  <si>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</si>
  <si>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</si>
  <si>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</si>
  <si>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</si>
  <si>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</si>
  <si>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</si>
  <si>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</si>
  <si>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</si>
  <si>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</si>
  <si>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</si>
  <si>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</si>
  <si>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</si>
  <si>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</si>
  <si>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</si>
  <si>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</si>
  <si>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</si>
  <si>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</si>
  <si>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</si>
  <si>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</si>
  <si>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</si>
  <si>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</si>
  <si>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</si>
  <si>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</si>
  <si>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</si>
  <si>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</si>
  <si>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</si>
  <si>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</si>
  <si>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</si>
  <si>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</si>
  <si>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</si>
  <si>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</si>
  <si>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</si>
  <si>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</si>
  <si>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</si>
  <si>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</si>
  <si>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</si>
  <si>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</si>
  <si>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</si>
  <si>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</si>
  <si>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</si>
  <si>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</si>
  <si>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</si>
  <si>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</si>
  <si>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</si>
  <si>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</si>
  <si>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</si>
  <si>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</si>
  <si>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</si>
  <si>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</si>
  <si>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</si>
  <si>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</si>
  <si>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</si>
  <si>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</si>
  <si>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</si>
  <si>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</si>
  <si>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</si>
  <si>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</si>
  <si>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</si>
  <si>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</si>
  <si>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</si>
  <si>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</si>
  <si>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</si>
  <si>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</si>
  <si>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</si>
  <si>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</si>
  <si>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</si>
  <si>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</si>
  <si>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</si>
  <si>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</si>
  <si>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</si>
  <si>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</si>
  <si>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</si>
  <si>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</si>
  <si>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</si>
  <si>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</si>
  <si>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</si>
  <si>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</si>
  <si>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</si>
  <si>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</si>
  <si>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</si>
  <si>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</si>
  <si>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</si>
  <si>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</si>
  <si>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</si>
  <si>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</si>
  <si>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</si>
  <si>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</si>
  <si>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</si>
  <si>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</si>
  <si>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</si>
  <si>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</si>
  <si>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</si>
  <si>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</si>
  <si>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</si>
  <si>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</si>
  <si>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</si>
  <si>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</si>
  <si>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</si>
  <si>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</si>
  <si>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</si>
  <si>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</si>
  <si>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</si>
  <si>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</si>
  <si>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</si>
  <si>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</si>
  <si>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</si>
  <si>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</si>
  <si>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</si>
  <si>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</si>
  <si>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</si>
  <si>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</si>
  <si>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</si>
  <si>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</si>
  <si>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</si>
  <si>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</si>
  <si>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</si>
  <si>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</si>
  <si>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</si>
  <si>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</si>
  <si>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</si>
  <si>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</si>
  <si>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</si>
  <si>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</si>
  <si>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</si>
  <si>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</si>
  <si>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</si>
  <si>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</si>
  <si>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</si>
  <si>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</si>
  <si>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</si>
  <si>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</si>
  <si>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</si>
  <si>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</si>
  <si>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</si>
  <si>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</si>
  <si>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</si>
  <si>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</si>
  <si>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</si>
  <si>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</si>
  <si>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</si>
  <si>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</si>
  <si>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</si>
  <si>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</si>
  <si>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</si>
  <si>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</si>
  <si>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</si>
  <si>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</si>
  <si>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</si>
  <si>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</si>
  <si>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</si>
  <si>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</si>
  <si>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</si>
  <si>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</si>
  <si>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</si>
  <si>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</si>
  <si>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</si>
  <si>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</si>
  <si>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</si>
  <si>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</si>
  <si>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</si>
  <si>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</si>
  <si>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</si>
  <si>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</si>
  <si>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</si>
  <si>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</si>
  <si>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</si>
  <si>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</si>
  <si>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</si>
  <si>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</si>
  <si>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</si>
  <si>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</si>
  <si>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</si>
  <si>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</si>
  <si>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</si>
  <si>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</si>
  <si>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</si>
  <si>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</si>
  <si>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</si>
  <si>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</si>
  <si>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</si>
  <si>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</si>
  <si>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</si>
  <si>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</si>
  <si>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</si>
  <si>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</si>
  <si>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</si>
  <si>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</si>
  <si>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</si>
  <si>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</si>
  <si>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</si>
  <si>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</si>
  <si>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</si>
  <si>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</si>
  <si>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</si>
  <si>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</si>
  <si>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</si>
  <si>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</si>
  <si>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</si>
  <si>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</si>
  <si>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</si>
  <si>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</si>
  <si>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</si>
  <si>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</si>
  <si>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</si>
  <si>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</si>
  <si>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</si>
  <si>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</si>
  <si>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</si>
  <si>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</si>
  <si>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</si>
  <si>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</si>
  <si>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</si>
  <si>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</si>
  <si>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</si>
  <si>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</si>
  <si>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</si>
  <si>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</si>
  <si>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</si>
  <si>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</si>
  <si>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</si>
  <si>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</si>
  <si>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</si>
  <si>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</si>
  <si>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</si>
  <si>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</si>
  <si>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</si>
  <si>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</si>
  <si>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</si>
  <si>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</si>
  <si>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</si>
  <si>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</si>
  <si>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</si>
  <si>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</si>
  <si>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</si>
  <si>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</si>
  <si>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</si>
  <si>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</si>
  <si>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</si>
  <si>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</si>
  <si>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</si>
  <si>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</si>
  <si>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</si>
  <si>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</si>
  <si>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</si>
  <si>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</si>
  <si>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</si>
  <si>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</si>
  <si>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</si>
  <si>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</si>
  <si>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</si>
  <si>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</si>
  <si>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</si>
  <si>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</si>
  <si>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</si>
  <si>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</si>
  <si>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</si>
  <si>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</si>
  <si>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</si>
  <si>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</si>
  <si>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</si>
  <si>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</si>
  <si>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</si>
  <si>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</si>
  <si>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</si>
  <si>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</si>
  <si>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</si>
  <si>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</si>
  <si>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</si>
  <si>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</si>
  <si>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</si>
  <si>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</si>
  <si>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</si>
  <si>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</si>
  <si>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</si>
  <si>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</si>
  <si>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</si>
  <si>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</si>
  <si>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</si>
  <si>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</si>
  <si>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</si>
  <si>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</si>
  <si>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</si>
  <si>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</si>
  <si>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</si>
  <si>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</si>
  <si>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</si>
  <si>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</si>
  <si>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</si>
  <si>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</si>
  <si>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</si>
  <si>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</si>
  <si>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</si>
  <si>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</si>
  <si>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</si>
  <si>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</si>
  <si>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</si>
  <si>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</si>
  <si>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</si>
  <si>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</si>
  <si>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</si>
  <si>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</si>
  <si>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</si>
  <si>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</si>
  <si>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</si>
  <si>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</si>
  <si>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</si>
  <si>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</si>
  <si>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</si>
  <si>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</si>
  <si>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</si>
  <si>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</si>
  <si>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</si>
  <si>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</si>
  <si>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</si>
  <si>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</si>
  <si>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</si>
  <si>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</si>
  <si>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</si>
  <si>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</si>
  <si>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</si>
  <si>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</si>
  <si>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</si>
  <si>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</si>
  <si>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</si>
  <si>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</si>
  <si>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</si>
  <si>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</si>
  <si>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</si>
  <si>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</si>
  <si>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</si>
  <si>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</si>
  <si>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</si>
  <si>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</si>
  <si>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</si>
  <si>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</si>
  <si>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</si>
  <si>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</si>
  <si>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</si>
  <si>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</si>
  <si>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</si>
  <si>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</si>
  <si>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</si>
  <si>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</si>
  <si>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</si>
  <si>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</si>
  <si>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</si>
  <si>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</si>
  <si>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</si>
  <si>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</si>
  <si>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</si>
  <si>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</si>
  <si>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</si>
  <si>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</si>
  <si>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</si>
  <si>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</si>
  <si>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</si>
  <si>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</si>
  <si>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</si>
  <si>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</si>
  <si>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</si>
  <si>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</si>
  <si>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</si>
  <si>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</si>
  <si>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</si>
  <si>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</si>
  <si>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</si>
  <si>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</si>
  <si>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</si>
  <si>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</si>
  <si>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</si>
  <si>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</si>
  <si>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</si>
  <si>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</si>
  <si>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</si>
  <si>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</si>
  <si>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</si>
  <si>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</si>
  <si>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</si>
  <si>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</si>
  <si>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</si>
  <si>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</si>
  <si>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</si>
  <si>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</si>
  <si>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</si>
  <si>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</si>
  <si>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</si>
  <si>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</si>
  <si>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</si>
  <si>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</si>
  <si>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</si>
  <si>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</si>
  <si>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</si>
  <si>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</si>
  <si>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</si>
  <si>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</si>
  <si>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</si>
  <si>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</si>
  <si>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</si>
  <si>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</si>
  <si>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</si>
  <si>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</si>
  <si>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</si>
  <si>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</si>
  <si>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</si>
  <si>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</si>
  <si>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</si>
  <si>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</si>
  <si>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</si>
  <si>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</si>
  <si>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</si>
  <si>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</si>
  <si>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</si>
  <si>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</si>
  <si>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</si>
  <si>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</si>
  <si>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</si>
  <si>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</si>
  <si>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</si>
  <si>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</si>
  <si>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</si>
  <si>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</si>
  <si>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</si>
  <si>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</si>
  <si>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</si>
  <si>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</si>
  <si>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</si>
  <si>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</si>
  <si>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</si>
  <si>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</si>
  <si>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</si>
  <si>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</si>
  <si>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</si>
  <si>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</si>
  <si>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</si>
  <si>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</si>
  <si>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</si>
  <si>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</si>
  <si>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</si>
  <si>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</si>
  <si>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</si>
  <si>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</si>
  <si>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</si>
  <si>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</si>
  <si>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</si>
  <si>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</si>
  <si>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</si>
  <si>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</si>
  <si>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</si>
  <si>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</si>
  <si>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</si>
  <si>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</si>
  <si>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</si>
  <si>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</si>
  <si>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</si>
  <si>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</si>
  <si>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</si>
  <si>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</si>
  <si>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</si>
  <si>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</si>
  <si>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</si>
  <si>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</si>
  <si>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</si>
  <si>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</si>
  <si>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</si>
  <si>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</si>
  <si>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</si>
  <si>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</si>
  <si>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</si>
  <si>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</si>
  <si>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</si>
  <si>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</si>
  <si>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</si>
  <si>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</si>
  <si>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</si>
  <si>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</si>
  <si>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</si>
  <si>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</si>
  <si>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</si>
  <si>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</si>
  <si>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</si>
  <si>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</si>
  <si>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</si>
  <si>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</si>
  <si>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</si>
  <si>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</si>
  <si>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</si>
  <si>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</si>
  <si>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</si>
  <si>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</si>
  <si>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</si>
  <si>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</si>
  <si>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</si>
  <si>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</si>
  <si>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</si>
  <si>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</si>
  <si>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</si>
  <si>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</si>
  <si>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</si>
  <si>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</si>
  <si>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</si>
  <si>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</si>
  <si>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</si>
  <si>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</si>
  <si>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</si>
  <si>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</si>
  <si>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</si>
  <si>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</si>
  <si>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</si>
  <si>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</si>
  <si>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</si>
  <si>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</si>
  <si>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</si>
  <si>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</si>
  <si>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</si>
  <si>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</si>
  <si>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</si>
  <si>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</si>
  <si>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</si>
  <si>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</si>
  <si>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</si>
  <si>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</si>
  <si>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</si>
  <si>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</si>
  <si>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</si>
  <si>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</si>
  <si>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</si>
  <si>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</si>
  <si>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</si>
  <si>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</si>
  <si>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</si>
  <si>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</si>
  <si>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</si>
  <si>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</si>
  <si>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</si>
  <si>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</si>
  <si>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</si>
  <si>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</si>
  <si>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</si>
  <si>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</si>
  <si>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</si>
  <si>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</si>
  <si>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</si>
  <si>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</si>
  <si>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</si>
  <si>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</si>
  <si>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</si>
  <si>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</si>
  <si>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</si>
  <si>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</si>
  <si>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</si>
  <si>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</si>
  <si>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</si>
  <si>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</si>
  <si>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</si>
  <si>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</si>
  <si>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</si>
  <si>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</si>
  <si>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</si>
  <si>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</si>
  <si>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</si>
  <si>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</si>
  <si>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</si>
  <si>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</si>
  <si>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</si>
  <si>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</si>
  <si>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</si>
  <si>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</si>
  <si>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</si>
  <si>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</si>
  <si>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</si>
  <si>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</si>
  <si>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</si>
  <si>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</si>
  <si>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</si>
  <si>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</si>
  <si>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</si>
  <si>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</si>
  <si>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</si>
  <si>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</si>
  <si>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</si>
  <si>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</si>
  <si>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</si>
  <si>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</si>
  <si>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</si>
  <si>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</si>
  <si>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</si>
  <si>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</si>
  <si>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</si>
  <si>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</si>
  <si>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</si>
  <si>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</si>
  <si>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</si>
  <si>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</si>
  <si>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</si>
  <si>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</si>
  <si>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</si>
  <si>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</si>
  <si>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</si>
  <si>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</si>
  <si>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</si>
  <si>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</si>
  <si>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</si>
  <si>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</si>
  <si>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</si>
  <si>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</si>
  <si>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</si>
  <si>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</si>
  <si>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</si>
  <si>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</si>
  <si>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</si>
  <si>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</si>
  <si>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</si>
  <si>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</si>
  <si>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</si>
  <si>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</si>
  <si>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</si>
  <si>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</si>
  <si>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</si>
  <si>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</si>
  <si>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</si>
  <si>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</si>
  <si>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</si>
  <si>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</si>
  <si>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</si>
  <si>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</si>
  <si>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</si>
  <si>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</si>
  <si>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</si>
  <si>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</si>
  <si>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</si>
  <si>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</si>
  <si>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</si>
  <si>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</si>
  <si>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</si>
  <si>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</si>
  <si>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</si>
  <si>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</si>
  <si>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</si>
  <si>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</si>
  <si>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</si>
  <si>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</si>
  <si>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</si>
  <si>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</si>
  <si>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</si>
  <si>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</si>
  <si>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</si>
  <si>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EC3603 BASEB CLASS TRE</t>
  </si>
  <si>
    <t>FL3713 BASEBALL BOLD</t>
  </si>
  <si>
    <t>FK0894 BBALL 3S CAP CT</t>
  </si>
  <si>
    <t>FQ5411 BBALL 3S CAP CT</t>
  </si>
  <si>
    <t>FK0890 BBALL CAP COT</t>
  </si>
  <si>
    <t>FK0891 BBALL CAP COT</t>
  </si>
  <si>
    <t>DM6178 DAILY CAP</t>
  </si>
  <si>
    <t>GE0750 BBALL 3S CAP CT</t>
  </si>
  <si>
    <t>GM4508 BBALLCAP LT MET</t>
  </si>
  <si>
    <t>GN2052 3S CAP</t>
  </si>
  <si>
    <t>GN2291 STAN BBALL CAP</t>
  </si>
  <si>
    <t>HE9766 BASEB CLASS TRE</t>
  </si>
  <si>
    <t>HD9699 BASEB CLASS TRE</t>
  </si>
  <si>
    <t>HD9700 BASEB CLASS TRE</t>
  </si>
  <si>
    <t>HD7045 BASEBALL CAP</t>
  </si>
  <si>
    <t>HD7239 BBALLCAP LT MET</t>
  </si>
  <si>
    <t>HD2224 BSBL STREET</t>
  </si>
  <si>
    <t>HD9755 CAMO BALLCAP</t>
  </si>
  <si>
    <t>HD9695 CURVED TRUCKER</t>
  </si>
  <si>
    <t>RK2450800 CAPS</t>
  </si>
  <si>
    <t>RK2450DP4 Lacoste Cap</t>
  </si>
  <si>
    <t>RK741502S Lacoste Cap</t>
  </si>
  <si>
    <t>RK7415HDE Lacoste Cap</t>
  </si>
  <si>
    <t>2126901 PUMA Metal Cat Cap</t>
  </si>
  <si>
    <t>2126907 PUMA Metal Cat Cap</t>
  </si>
  <si>
    <t>2241674 ESS Cap</t>
  </si>
  <si>
    <t>2344502 Classics Capsule Cap</t>
  </si>
  <si>
    <t>2353501 Archive Logo Label Cap</t>
  </si>
  <si>
    <t>2359301 BMW MMS Heritage BB Cap</t>
  </si>
  <si>
    <t>2241675 ESS Cap</t>
  </si>
  <si>
    <t>2241678 ESS Cap</t>
  </si>
  <si>
    <t>2241679 ESS Cap</t>
  </si>
  <si>
    <t>2255417 Archive Logo BB Cap</t>
  </si>
  <si>
    <t>2342801 PUMA Trucker Cap</t>
  </si>
  <si>
    <t>2343801 PRIME Trucker Cap</t>
  </si>
  <si>
    <t>2343805 PRIME Trucker Cap</t>
  </si>
  <si>
    <t>2366901 Ess Cap III</t>
  </si>
  <si>
    <t>2367503 Academy AOP Cap</t>
  </si>
  <si>
    <t>2371104 Poly Cotton Cap</t>
  </si>
  <si>
    <t>2241685 ESS Cap</t>
  </si>
  <si>
    <t>2375801 Running Ponytail Cap</t>
  </si>
  <si>
    <t>2390901 PUMA x NJR BB Cap</t>
  </si>
  <si>
    <t>5291901 ESS Cap</t>
  </si>
  <si>
    <t>5291902 ESS Cap</t>
  </si>
  <si>
    <t>GP0124 TE LOGO CAP</t>
  </si>
  <si>
    <t>HD9885 TE BADGE CAP</t>
  </si>
  <si>
    <t>HD9884 TE BADGE CAP</t>
  </si>
  <si>
    <t>HD9887 TE LOGO CAP</t>
  </si>
  <si>
    <t>HE2381 UBF BASEB CAP</t>
  </si>
  <si>
    <t>HE2388 UBF ATHLETE A-FLEX CAP</t>
  </si>
  <si>
    <t>1361532-012 UA Blitzing Adj Hat</t>
  </si>
  <si>
    <t>1361532-601 UA Blitzing Adj Hat</t>
  </si>
  <si>
    <t>1361562-100 Isochill Launch Run</t>
  </si>
  <si>
    <t>1369785-100 Team Blank Chino Adj</t>
  </si>
  <si>
    <t>1369804-012 Iso-chill Driver Mesh</t>
  </si>
  <si>
    <t>56-001-09</t>
  </si>
  <si>
    <t>56-002-09</t>
  </si>
  <si>
    <t>56-003-09</t>
  </si>
  <si>
    <t>56-004-17</t>
  </si>
  <si>
    <t>56-005-17</t>
  </si>
  <si>
    <t>56-006-09</t>
  </si>
  <si>
    <t>56-007-09</t>
  </si>
  <si>
    <t>56-008-09</t>
  </si>
  <si>
    <t>56-009-09</t>
  </si>
  <si>
    <t>56-010-09</t>
  </si>
  <si>
    <t>56-011-09</t>
  </si>
  <si>
    <t>56-012-34</t>
  </si>
  <si>
    <t>56-013-09</t>
  </si>
  <si>
    <t>56-014-41</t>
  </si>
  <si>
    <t>56-015-09</t>
  </si>
  <si>
    <t>56-016-06</t>
  </si>
  <si>
    <t>56-017-02</t>
  </si>
  <si>
    <t>56-018-35</t>
  </si>
  <si>
    <t>56-019-09</t>
  </si>
  <si>
    <t>56-020-17</t>
  </si>
  <si>
    <t>56-021-18</t>
  </si>
  <si>
    <t>56-022-02</t>
  </si>
  <si>
    <t>56-023-16</t>
  </si>
  <si>
    <t>56-024-09</t>
  </si>
  <si>
    <t>56-025-06</t>
  </si>
  <si>
    <t>56-026-09</t>
  </si>
  <si>
    <t>56-027-09</t>
  </si>
  <si>
    <t>56-028-09</t>
  </si>
  <si>
    <t>56-029-09</t>
  </si>
  <si>
    <t>56-030-17</t>
  </si>
  <si>
    <t>56-031-34</t>
  </si>
  <si>
    <t>56-032-41</t>
  </si>
  <si>
    <t>56-033-06</t>
  </si>
  <si>
    <t>56-034-09</t>
  </si>
  <si>
    <t>56-035-09</t>
  </si>
  <si>
    <t>56-036-34</t>
  </si>
  <si>
    <t>56-037-09</t>
  </si>
  <si>
    <t>56-038-80</t>
  </si>
  <si>
    <t>56-039-80</t>
  </si>
  <si>
    <t>56-040-17</t>
  </si>
  <si>
    <t>56-041-09</t>
  </si>
  <si>
    <t>56-042-09</t>
  </si>
  <si>
    <t>56-043-09</t>
  </si>
  <si>
    <t>56-044-17</t>
  </si>
  <si>
    <t>56-045-09</t>
  </si>
  <si>
    <t>56-046-34</t>
  </si>
  <si>
    <t>56-047-19</t>
  </si>
  <si>
    <t>56-048-80</t>
  </si>
  <si>
    <t>56-049-06</t>
  </si>
  <si>
    <t>56-050-09</t>
  </si>
  <si>
    <t>56-051-80</t>
  </si>
  <si>
    <t>56-052-18</t>
  </si>
  <si>
    <t>56-053-17</t>
  </si>
  <si>
    <t>56-054-17</t>
  </si>
  <si>
    <t>56-055-80</t>
  </si>
  <si>
    <t>Adidas</t>
  </si>
  <si>
    <t>Lacoste</t>
  </si>
  <si>
    <t>Puma</t>
  </si>
  <si>
    <t>Reebok</t>
  </si>
  <si>
    <t>Under Armour</t>
  </si>
  <si>
    <t>black</t>
  </si>
  <si>
    <t>white</t>
  </si>
  <si>
    <t>pink</t>
  </si>
  <si>
    <t>purple</t>
  </si>
  <si>
    <t>blue</t>
  </si>
  <si>
    <t>beige</t>
  </si>
  <si>
    <t>multicoloured</t>
  </si>
  <si>
    <t>red</t>
  </si>
  <si>
    <t>navy</t>
  </si>
  <si>
    <t>grey</t>
  </si>
  <si>
    <t>lt.blue</t>
  </si>
  <si>
    <t>100% Полиэстер</t>
  </si>
  <si>
    <t>100% Хлопок</t>
  </si>
  <si>
    <t>80% полиэстер - 20% полиуретан</t>
  </si>
  <si>
    <t>80% Полиэстер - 20% Полиуретан</t>
  </si>
  <si>
    <t>10216170/120122/3008448</t>
  </si>
  <si>
    <t>10216170/280122/3024958</t>
  </si>
  <si>
    <t>10216170/030222/3031956</t>
  </si>
  <si>
    <t>10216170/180222/3048837</t>
  </si>
  <si>
    <t>10216170/120122/3008300</t>
  </si>
  <si>
    <t>10216170/161121/0342075</t>
  </si>
  <si>
    <t>10216170/140122/3011425</t>
  </si>
  <si>
    <t>10216170/070122/3004177</t>
  </si>
  <si>
    <t>10216170/230321/0078124</t>
  </si>
  <si>
    <t>10216170/071221/0361724</t>
  </si>
  <si>
    <t>10216170/221121/0347306</t>
  </si>
  <si>
    <t>10216170/181221/0373733</t>
  </si>
  <si>
    <t>10013160/281021/0673347</t>
  </si>
  <si>
    <t>10013160/311221/3079413</t>
  </si>
  <si>
    <t>10702070/190820/0194193/001</t>
  </si>
  <si>
    <t>10013160/030321/0114763/001</t>
  </si>
  <si>
    <t>10317120/100122/3004427/012</t>
  </si>
  <si>
    <t>10131010/240122/3040299/010</t>
  </si>
  <si>
    <t>10317120/160222/3024657/001</t>
  </si>
  <si>
    <t>10702070/060921/0279253/006</t>
  </si>
  <si>
    <t>10702070/240621/0189320/012</t>
  </si>
  <si>
    <t>10216170/180222/3049596</t>
  </si>
  <si>
    <t>10216170/181221/0373538</t>
  </si>
  <si>
    <t>10216170/040222/3033990</t>
  </si>
  <si>
    <t>10216170/120122/3008307</t>
  </si>
  <si>
    <t>10013160/150222/3091369</t>
  </si>
  <si>
    <t>10013160/080222/3073930</t>
  </si>
  <si>
    <t>10013160/240122/3036324</t>
  </si>
  <si>
    <t>женский</t>
  </si>
  <si>
    <t>КИТАЙ</t>
  </si>
  <si>
    <t>ВЬЕТНАМ</t>
  </si>
  <si>
    <t>ФИЛИППИНЫ</t>
  </si>
  <si>
    <t>БАНГЛАДЕШ</t>
  </si>
  <si>
    <t/>
  </si>
  <si>
    <t>Филиппины</t>
  </si>
  <si>
    <t>Adidas International Trading AG; Switzerland, Platz 1b, 6039 Root D4</t>
  </si>
  <si>
    <t>Under Armour Europe B.V.; Stadionplein 10 1076 CM Amsterdam, The Netherlands</t>
  </si>
  <si>
    <t>Puma SE Rudolf Dassler Sport; Puma way 1, D-91074 Herzogenaurach, Germany</t>
  </si>
  <si>
    <t>LACOSTE OPERATIONS S.A.; France, 23-25, rue de Provence, 75009 Paris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</si>
</sst>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28522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28523</v>
      </c>
      <c r="B219" s="28" t="s">
        <v>28524</v>
      </c>
    </row>
    <row r="220" spans="1:2" x14ac:dyDescent="0.25">
      <c r="A220" s="28" t="s">
        <v>28525</v>
      </c>
      <c r="B220" s="28" t="s">
        <v>28526</v>
      </c>
    </row>
    <row r="221" spans="1:2" x14ac:dyDescent="0.25">
      <c r="A221" s="28" t="s">
        <v>28527</v>
      </c>
      <c r="B221" s="28" t="s">
        <v>28528</v>
      </c>
    </row>
    <row r="222" spans="1:2" x14ac:dyDescent="0.25">
      <c r="A222" s="28" t="s">
        <v>28529</v>
      </c>
      <c r="B222" s="28" t="s">
        <v>28530</v>
      </c>
    </row>
    <row r="223" spans="1:2" x14ac:dyDescent="0.25">
      <c r="A223" s="28" t="s">
        <v>28531</v>
      </c>
      <c r="B223" s="28" t="s">
        <v>28532</v>
      </c>
    </row>
    <row r="224" spans="1:2" x14ac:dyDescent="0.25">
      <c r="A224" s="28" t="s">
        <v>28533</v>
      </c>
      <c r="B224" s="28" t="s">
        <v>28534</v>
      </c>
    </row>
    <row r="225" spans="1:2" x14ac:dyDescent="0.25">
      <c r="A225" s="28" t="s">
        <v>28535</v>
      </c>
      <c r="B225" s="28" t="s">
        <v>28536</v>
      </c>
    </row>
    <row r="226" spans="1:2" x14ac:dyDescent="0.25">
      <c r="A226" s="28" t="s">
        <v>28537</v>
      </c>
      <c r="B226" s="28" t="s">
        <v>28538</v>
      </c>
    </row>
    <row r="227" spans="1:2" x14ac:dyDescent="0.25">
      <c r="A227" s="28" t="s">
        <v>28539</v>
      </c>
      <c r="B227" s="28" t="s">
        <v>28540</v>
      </c>
    </row>
    <row r="228" spans="1:2" x14ac:dyDescent="0.25">
      <c r="A228" s="28" t="s">
        <v>28541</v>
      </c>
      <c r="B228" s="28" t="s">
        <v>28542</v>
      </c>
    </row>
    <row r="229" spans="1:2" x14ac:dyDescent="0.25">
      <c r="A229" s="28" t="s">
        <v>28543</v>
      </c>
      <c r="B229" s="28" t="s">
        <v>28544</v>
      </c>
    </row>
    <row r="230" spans="1:2" x14ac:dyDescent="0.25">
      <c r="A230" s="28" t="s">
        <v>28545</v>
      </c>
      <c r="B230" s="28" t="s">
        <v>28546</v>
      </c>
    </row>
    <row r="231" spans="1:2" x14ac:dyDescent="0.25">
      <c r="A231" s="28" t="s">
        <v>28547</v>
      </c>
      <c r="B231" s="28" t="s">
        <v>28548</v>
      </c>
    </row>
    <row r="232" spans="1:2" x14ac:dyDescent="0.25">
      <c r="A232" s="28" t="s">
        <v>28549</v>
      </c>
      <c r="B232" s="28" t="s">
        <v>28550</v>
      </c>
    </row>
    <row r="233" spans="1:2" x14ac:dyDescent="0.25">
      <c r="A233" s="28" t="s">
        <v>28551</v>
      </c>
      <c r="B233" s="28" t="s">
        <v>28552</v>
      </c>
    </row>
    <row r="234" spans="1:2" x14ac:dyDescent="0.25">
      <c r="A234" s="28" t="s">
        <v>28553</v>
      </c>
      <c r="B234" s="28" t="s">
        <v>28554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28555</v>
      </c>
      <c r="B236" s="28" t="s">
        <v>28556</v>
      </c>
    </row>
    <row r="237" spans="1:2" x14ac:dyDescent="0.25">
      <c r="A237" s="28" t="s">
        <v>28557</v>
      </c>
      <c r="B237" s="28" t="s">
        <v>28558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28559</v>
      </c>
      <c r="B240" s="28" t="s">
        <v>28560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28561</v>
      </c>
      <c r="B242" s="28" t="s">
        <v>28562</v>
      </c>
    </row>
    <row r="243" spans="1:2" x14ac:dyDescent="0.25">
      <c r="A243" s="28" t="s">
        <v>28563</v>
      </c>
      <c r="B243" s="28" t="s">
        <v>28564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28565</v>
      </c>
      <c r="B245" s="28" t="s">
        <v>28566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28567</v>
      </c>
      <c r="B247" s="28" t="s">
        <v>28568</v>
      </c>
    </row>
    <row r="248" spans="1:2" x14ac:dyDescent="0.25">
      <c r="A248" s="28" t="s">
        <v>28569</v>
      </c>
      <c r="B248" s="28" t="s">
        <v>28570</v>
      </c>
    </row>
    <row r="249" spans="1:2" x14ac:dyDescent="0.25">
      <c r="A249" s="28" t="s">
        <v>28571</v>
      </c>
      <c r="B249" s="28" t="s">
        <v>28572</v>
      </c>
    </row>
    <row r="250" spans="1:2" x14ac:dyDescent="0.25">
      <c r="A250" s="28" t="s">
        <v>28573</v>
      </c>
      <c r="B250" s="28" t="s">
        <v>28574</v>
      </c>
    </row>
    <row r="251" spans="1:2" x14ac:dyDescent="0.25">
      <c r="A251" s="28" t="s">
        <v>28575</v>
      </c>
      <c r="B251" s="28" t="s">
        <v>28576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28577</v>
      </c>
      <c r="B255" s="28" t="s">
        <v>28578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28579</v>
      </c>
      <c r="B258" s="28" t="s">
        <v>28580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28581</v>
      </c>
      <c r="B260" s="28" t="s">
        <v>28582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28583</v>
      </c>
      <c r="B264" s="28" t="s">
        <v>28584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28585</v>
      </c>
      <c r="B269" s="28" t="s">
        <v>28586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28587</v>
      </c>
      <c r="B273" s="28" t="s">
        <v>28588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28589</v>
      </c>
      <c r="B275" s="28" t="s">
        <v>28590</v>
      </c>
    </row>
    <row r="276" spans="1:2" x14ac:dyDescent="0.25">
      <c r="A276" s="28" t="s">
        <v>28591</v>
      </c>
      <c r="B276" s="28" t="s">
        <v>28592</v>
      </c>
    </row>
    <row r="277" spans="1:2" x14ac:dyDescent="0.25">
      <c r="A277" s="28" t="s">
        <v>28593</v>
      </c>
      <c r="B277" s="28" t="s">
        <v>28594</v>
      </c>
    </row>
    <row r="278" spans="1:2" x14ac:dyDescent="0.25">
      <c r="A278" s="28" t="s">
        <v>28595</v>
      </c>
      <c r="B278" s="28" t="s">
        <v>28596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28597</v>
      </c>
      <c r="B286" s="28" t="s">
        <v>28598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28599</v>
      </c>
      <c r="B298" s="28" t="s">
        <v>28600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28601</v>
      </c>
      <c r="B301" s="28" t="s">
        <v>28602</v>
      </c>
    </row>
    <row r="302" spans="1:2" x14ac:dyDescent="0.25">
      <c r="A302" s="28" t="s">
        <v>28603</v>
      </c>
      <c r="B302" s="28" t="s">
        <v>28604</v>
      </c>
    </row>
    <row r="303" spans="1:2" x14ac:dyDescent="0.25">
      <c r="A303" s="28" t="s">
        <v>28605</v>
      </c>
      <c r="B303" s="28" t="s">
        <v>28606</v>
      </c>
    </row>
    <row r="304" spans="1:2" x14ac:dyDescent="0.25">
      <c r="A304" s="28" t="s">
        <v>28607</v>
      </c>
      <c r="B304" s="28" t="s">
        <v>28608</v>
      </c>
    </row>
    <row r="305" spans="1:2" x14ac:dyDescent="0.25">
      <c r="A305" s="28" t="s">
        <v>28609</v>
      </c>
      <c r="B305" s="28" t="s">
        <v>28610</v>
      </c>
    </row>
    <row r="306" spans="1:2" x14ac:dyDescent="0.25">
      <c r="A306" s="28" t="s">
        <v>28611</v>
      </c>
      <c r="B306" s="28" t="s">
        <v>28612</v>
      </c>
    </row>
    <row r="307" spans="1:2" x14ac:dyDescent="0.25">
      <c r="A307" s="28" t="s">
        <v>28613</v>
      </c>
      <c r="B307" s="28" t="s">
        <v>28614</v>
      </c>
    </row>
    <row r="308" spans="1:2" x14ac:dyDescent="0.25">
      <c r="A308" s="28" t="s">
        <v>28615</v>
      </c>
      <c r="B308" s="28" t="s">
        <v>28616</v>
      </c>
    </row>
    <row r="309" spans="1:2" x14ac:dyDescent="0.25">
      <c r="A309" s="28" t="s">
        <v>28617</v>
      </c>
      <c r="B309" s="28" t="s">
        <v>28618</v>
      </c>
    </row>
    <row r="310" spans="1:2" x14ac:dyDescent="0.25">
      <c r="A310" s="28" t="s">
        <v>28619</v>
      </c>
      <c r="B310" s="28" t="s">
        <v>28620</v>
      </c>
    </row>
    <row r="311" spans="1:2" x14ac:dyDescent="0.25">
      <c r="A311" s="28" t="s">
        <v>28621</v>
      </c>
      <c r="B311" s="28" t="s">
        <v>28622</v>
      </c>
    </row>
    <row r="312" spans="1:2" x14ac:dyDescent="0.25">
      <c r="A312" s="28" t="s">
        <v>28623</v>
      </c>
      <c r="B312" s="28" t="s">
        <v>28624</v>
      </c>
    </row>
    <row r="313" spans="1:2" x14ac:dyDescent="0.25">
      <c r="A313" s="28" t="s">
        <v>28625</v>
      </c>
      <c r="B313" s="28" t="s">
        <v>28626</v>
      </c>
    </row>
    <row r="314" spans="1:2" x14ac:dyDescent="0.25">
      <c r="A314" s="28" t="s">
        <v>28627</v>
      </c>
      <c r="B314" s="28" t="s">
        <v>28628</v>
      </c>
    </row>
    <row r="315" spans="1:2" x14ac:dyDescent="0.25">
      <c r="A315" s="28" t="s">
        <v>28629</v>
      </c>
      <c r="B315" s="28" t="s">
        <v>28630</v>
      </c>
    </row>
    <row r="316" spans="1:2" x14ac:dyDescent="0.25">
      <c r="A316" s="28" t="s">
        <v>28631</v>
      </c>
      <c r="B316" s="28" t="s">
        <v>28632</v>
      </c>
    </row>
    <row r="317" spans="1:2" x14ac:dyDescent="0.25">
      <c r="A317" s="28" t="s">
        <v>28633</v>
      </c>
      <c r="B317" s="28" t="s">
        <v>28634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28635</v>
      </c>
      <c r="B324" s="28" t="s">
        <v>28636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28637</v>
      </c>
      <c r="B332" s="28" t="s">
        <v>28638</v>
      </c>
    </row>
    <row r="333" spans="1:2" x14ac:dyDescent="0.25">
      <c r="A333" s="28" t="s">
        <v>28639</v>
      </c>
      <c r="B333" s="28" t="s">
        <v>28640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28641</v>
      </c>
      <c r="B337" s="28" t="s">
        <v>28642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28643</v>
      </c>
      <c r="B342" s="28" t="s">
        <v>28644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28645</v>
      </c>
      <c r="B368" s="28" t="s">
        <v>28646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28647</v>
      </c>
      <c r="B370" s="28" t="s">
        <v>28648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28649</v>
      </c>
      <c r="B376" s="28" t="s">
        <v>28650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28651</v>
      </c>
      <c r="B388" s="28" t="s">
        <v>28652</v>
      </c>
    </row>
    <row r="389" spans="1:2" x14ac:dyDescent="0.25">
      <c r="A389" s="28" t="s">
        <v>28653</v>
      </c>
      <c r="B389" s="28" t="s">
        <v>28654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28655</v>
      </c>
      <c r="B394" s="28" t="s">
        <v>28656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28657</v>
      </c>
      <c r="B399" s="28" t="s">
        <v>28658</v>
      </c>
    </row>
    <row r="400" spans="1:2" x14ac:dyDescent="0.25">
      <c r="A400" s="28" t="s">
        <v>28659</v>
      </c>
      <c r="B400" s="28" t="s">
        <v>28660</v>
      </c>
    </row>
    <row r="401" spans="1:2" x14ac:dyDescent="0.25">
      <c r="A401" s="28" t="s">
        <v>28661</v>
      </c>
      <c r="B401" s="28" t="s">
        <v>28662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28663</v>
      </c>
      <c r="B407" s="28" t="s">
        <v>28664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28665</v>
      </c>
      <c r="B410" s="28" t="s">
        <v>28666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28667</v>
      </c>
      <c r="B417" s="28" t="s">
        <v>28668</v>
      </c>
    </row>
    <row r="418" spans="1:2" x14ac:dyDescent="0.25">
      <c r="A418" s="28" t="s">
        <v>28669</v>
      </c>
      <c r="B418" s="28" t="s">
        <v>28670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28671</v>
      </c>
      <c r="B424" s="28" t="s">
        <v>28672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28673</v>
      </c>
      <c r="B438" s="28" t="s">
        <v>28674</v>
      </c>
    </row>
    <row r="439" spans="1:2" x14ac:dyDescent="0.25">
      <c r="A439" s="28" t="s">
        <v>28675</v>
      </c>
      <c r="B439" s="28" t="s">
        <v>28676</v>
      </c>
    </row>
    <row r="440" spans="1:2" x14ac:dyDescent="0.25">
      <c r="A440" s="28" t="s">
        <v>28677</v>
      </c>
      <c r="B440" s="28" t="s">
        <v>28678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28679</v>
      </c>
      <c r="B447" s="28" t="s">
        <v>28680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28681</v>
      </c>
      <c r="B451" s="28" t="s">
        <v>28682</v>
      </c>
    </row>
    <row r="452" spans="1:2" x14ac:dyDescent="0.25">
      <c r="A452" s="28" t="s">
        <v>28683</v>
      </c>
      <c r="B452" s="28" t="s">
        <v>28684</v>
      </c>
    </row>
    <row r="453" spans="1:2" x14ac:dyDescent="0.25">
      <c r="A453" s="28" t="s">
        <v>28685</v>
      </c>
      <c r="B453" s="28" t="s">
        <v>28686</v>
      </c>
    </row>
    <row r="454" spans="1:2" x14ac:dyDescent="0.25">
      <c r="A454" s="28" t="s">
        <v>28687</v>
      </c>
      <c r="B454" s="28" t="s">
        <v>28688</v>
      </c>
    </row>
    <row r="455" spans="1:2" x14ac:dyDescent="0.25">
      <c r="A455" s="28" t="s">
        <v>28689</v>
      </c>
      <c r="B455" s="28" t="s">
        <v>28690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28691</v>
      </c>
      <c r="B457" s="28" t="s">
        <v>28692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28693</v>
      </c>
      <c r="B468" s="28" t="s">
        <v>28694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28695</v>
      </c>
      <c r="B483" s="28" t="s">
        <v>28696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28697</v>
      </c>
      <c r="B526" s="28" t="s">
        <v>28698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28699</v>
      </c>
      <c r="B528" s="28" t="s">
        <v>28700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28701</v>
      </c>
      <c r="B530" s="28" t="s">
        <v>28702</v>
      </c>
    </row>
    <row r="531" spans="1:2" x14ac:dyDescent="0.25">
      <c r="A531" s="28" t="s">
        <v>28703</v>
      </c>
      <c r="B531" s="28" t="s">
        <v>28704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28705</v>
      </c>
      <c r="B535" s="28" t="s">
        <v>28706</v>
      </c>
    </row>
    <row r="536" spans="1:2" x14ac:dyDescent="0.25">
      <c r="A536" s="28" t="s">
        <v>28707</v>
      </c>
      <c r="B536" s="28" t="s">
        <v>28708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28709</v>
      </c>
      <c r="B539" s="28" t="s">
        <v>28710</v>
      </c>
    </row>
    <row r="540" spans="1:2" x14ac:dyDescent="0.25">
      <c r="A540" s="28" t="s">
        <v>28711</v>
      </c>
      <c r="B540" s="28" t="s">
        <v>28712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28713</v>
      </c>
      <c r="B557" s="28" t="s">
        <v>28714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28715</v>
      </c>
      <c r="B568" s="28" t="s">
        <v>28716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28717</v>
      </c>
      <c r="B570" s="28" t="s">
        <v>28718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28719</v>
      </c>
      <c r="B572" s="28" t="s">
        <v>28720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28721</v>
      </c>
      <c r="B575" s="28" t="s">
        <v>28722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28723</v>
      </c>
      <c r="B577" s="28" t="s">
        <v>28724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28725</v>
      </c>
      <c r="B580" s="28" t="s">
        <v>28726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28727</v>
      </c>
      <c r="B585" s="28" t="s">
        <v>28728</v>
      </c>
    </row>
    <row r="586" spans="1:2" x14ac:dyDescent="0.25">
      <c r="A586" s="28" t="s">
        <v>28729</v>
      </c>
      <c r="B586" s="28" t="s">
        <v>28730</v>
      </c>
    </row>
    <row r="587" spans="1:2" x14ac:dyDescent="0.25">
      <c r="A587" s="28" t="s">
        <v>28731</v>
      </c>
      <c r="B587" s="28" t="s">
        <v>28732</v>
      </c>
    </row>
    <row r="588" spans="1:2" x14ac:dyDescent="0.25">
      <c r="A588" s="28" t="s">
        <v>28733</v>
      </c>
      <c r="B588" s="28" t="s">
        <v>28734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28735</v>
      </c>
      <c r="B592" s="28" t="s">
        <v>28736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28737</v>
      </c>
      <c r="B596" s="28" t="s">
        <v>28738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28739</v>
      </c>
      <c r="B602" s="28" t="s">
        <v>28740</v>
      </c>
    </row>
    <row r="603" spans="1:2" x14ac:dyDescent="0.25">
      <c r="A603" s="28" t="s">
        <v>28741</v>
      </c>
      <c r="B603" s="28" t="s">
        <v>28742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28743</v>
      </c>
      <c r="B608" s="28" t="s">
        <v>28744</v>
      </c>
    </row>
    <row r="609" spans="1:2" x14ac:dyDescent="0.25">
      <c r="A609" s="28" t="s">
        <v>28745</v>
      </c>
      <c r="B609" s="28" t="s">
        <v>28746</v>
      </c>
    </row>
    <row r="610" spans="1:2" x14ac:dyDescent="0.25">
      <c r="A610" s="28" t="s">
        <v>28747</v>
      </c>
      <c r="B610" s="28" t="s">
        <v>28748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28749</v>
      </c>
      <c r="B616" s="28" t="s">
        <v>28750</v>
      </c>
    </row>
    <row r="617" spans="1:2" x14ac:dyDescent="0.25">
      <c r="A617" s="28" t="s">
        <v>28751</v>
      </c>
      <c r="B617" s="28" t="s">
        <v>28752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28753</v>
      </c>
      <c r="B634" s="28" t="s">
        <v>28754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28755</v>
      </c>
      <c r="B644" s="28" t="s">
        <v>28756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28757</v>
      </c>
      <c r="B647" s="28" t="s">
        <v>28758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28759</v>
      </c>
      <c r="B649" s="28" t="s">
        <v>28760</v>
      </c>
    </row>
    <row r="650" spans="1:2" x14ac:dyDescent="0.25">
      <c r="A650" s="28" t="s">
        <v>28761</v>
      </c>
      <c r="B650" s="28" t="s">
        <v>28762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28763</v>
      </c>
      <c r="B656" s="28" t="s">
        <v>28764</v>
      </c>
    </row>
    <row r="657" spans="1:2" x14ac:dyDescent="0.25">
      <c r="A657" s="28" t="s">
        <v>28765</v>
      </c>
      <c r="B657" s="28" t="s">
        <v>28766</v>
      </c>
    </row>
    <row r="658" spans="1:2" x14ac:dyDescent="0.25">
      <c r="A658" s="28" t="s">
        <v>28767</v>
      </c>
      <c r="B658" s="28" t="s">
        <v>28768</v>
      </c>
    </row>
    <row r="659" spans="1:2" x14ac:dyDescent="0.25">
      <c r="A659" s="28" t="s">
        <v>28769</v>
      </c>
      <c r="B659" s="28" t="s">
        <v>28770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28771</v>
      </c>
      <c r="B662" s="28" t="s">
        <v>28772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28773</v>
      </c>
      <c r="B666" s="28" t="s">
        <v>28774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28775</v>
      </c>
      <c r="B675" s="28" t="s">
        <v>28776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28777</v>
      </c>
      <c r="B1153" s="28" t="s">
        <v>28432</v>
      </c>
    </row>
    <row r="1154" spans="1:2" x14ac:dyDescent="0.25">
      <c r="A1154" s="28" t="s">
        <v>28778</v>
      </c>
      <c r="B1154" s="28" t="s">
        <v>28431</v>
      </c>
    </row>
    <row r="1155" spans="1:2" x14ac:dyDescent="0.25">
      <c r="A1155" s="28" t="s">
        <v>28779</v>
      </c>
      <c r="B1155" s="28" t="s">
        <v>28437</v>
      </c>
    </row>
    <row r="1156" spans="1:2" x14ac:dyDescent="0.25">
      <c r="A1156" s="28" t="s">
        <v>28780</v>
      </c>
      <c r="B1156" s="28" t="s">
        <v>28435</v>
      </c>
    </row>
    <row r="1157" spans="1:2" x14ac:dyDescent="0.25">
      <c r="A1157" s="28" t="s">
        <v>28781</v>
      </c>
      <c r="B1157" s="28" t="s">
        <v>28436</v>
      </c>
    </row>
    <row r="1158" spans="1:2" x14ac:dyDescent="0.25">
      <c r="A1158" s="28" t="s">
        <v>28782</v>
      </c>
      <c r="B1158" s="28" t="s">
        <v>28433</v>
      </c>
    </row>
    <row r="1159" spans="1:2" x14ac:dyDescent="0.25">
      <c r="A1159" s="28" t="s">
        <v>28783</v>
      </c>
      <c r="B1159" s="28" t="s">
        <v>28434</v>
      </c>
    </row>
    <row r="1160" spans="1:2" x14ac:dyDescent="0.25">
      <c r="A1160" s="28" t="s">
        <v>28784</v>
      </c>
      <c r="B1160" s="28" t="s">
        <v>28440</v>
      </c>
    </row>
    <row r="1161" spans="1:2" x14ac:dyDescent="0.25">
      <c r="A1161" s="28" t="s">
        <v>28785</v>
      </c>
      <c r="B1161" s="28" t="s">
        <v>28441</v>
      </c>
    </row>
    <row r="1162" spans="1:2" x14ac:dyDescent="0.25">
      <c r="A1162" s="28" t="s">
        <v>28786</v>
      </c>
      <c r="B1162" s="28" t="s">
        <v>28439</v>
      </c>
    </row>
    <row r="1163" spans="1:2" x14ac:dyDescent="0.25">
      <c r="A1163" s="28" t="s">
        <v>28787</v>
      </c>
      <c r="B1163" s="28" t="s">
        <v>28438</v>
      </c>
    </row>
    <row r="1164" spans="1:2" x14ac:dyDescent="0.25">
      <c r="A1164" s="28" t="s">
        <v>28788</v>
      </c>
      <c r="B1164" s="28" t="s">
        <v>28447</v>
      </c>
    </row>
    <row r="1165" spans="1:2" x14ac:dyDescent="0.25">
      <c r="A1165" s="28" t="s">
        <v>28789</v>
      </c>
      <c r="B1165" s="28" t="s">
        <v>28446</v>
      </c>
    </row>
    <row r="1166" spans="1:2" x14ac:dyDescent="0.25">
      <c r="A1166" s="28" t="s">
        <v>28790</v>
      </c>
      <c r="B1166" s="28" t="s">
        <v>28444</v>
      </c>
    </row>
    <row r="1167" spans="1:2" x14ac:dyDescent="0.25">
      <c r="A1167" s="28" t="s">
        <v>28791</v>
      </c>
      <c r="B1167" s="28" t="s">
        <v>28443</v>
      </c>
    </row>
    <row r="1168" spans="1:2" x14ac:dyDescent="0.25">
      <c r="A1168" s="28" t="s">
        <v>28792</v>
      </c>
      <c r="B1168" s="28" t="s">
        <v>28445</v>
      </c>
    </row>
    <row r="1169" spans="1:2" x14ac:dyDescent="0.25">
      <c r="A1169" s="28" t="s">
        <v>28793</v>
      </c>
      <c r="B1169" s="28" t="s">
        <v>28442</v>
      </c>
    </row>
    <row r="1170" spans="1:2" x14ac:dyDescent="0.25">
      <c r="A1170" s="28" t="s">
        <v>28794</v>
      </c>
      <c r="B1170" s="28" t="s">
        <v>28452</v>
      </c>
    </row>
    <row r="1171" spans="1:2" x14ac:dyDescent="0.25">
      <c r="A1171" s="28" t="s">
        <v>28795</v>
      </c>
      <c r="B1171" s="28" t="s">
        <v>28449</v>
      </c>
    </row>
    <row r="1172" spans="1:2" x14ac:dyDescent="0.25">
      <c r="A1172" s="28" t="s">
        <v>28796</v>
      </c>
      <c r="B1172" s="28" t="s">
        <v>28450</v>
      </c>
    </row>
    <row r="1173" spans="1:2" x14ac:dyDescent="0.25">
      <c r="A1173" s="28" t="s">
        <v>28797</v>
      </c>
      <c r="B1173" s="28" t="s">
        <v>28451</v>
      </c>
    </row>
    <row r="1174" spans="1:2" x14ac:dyDescent="0.25">
      <c r="A1174" s="28" t="s">
        <v>28798</v>
      </c>
      <c r="B1174" s="28" t="s">
        <v>28448</v>
      </c>
    </row>
    <row r="1175" spans="1:2" x14ac:dyDescent="0.25">
      <c r="A1175" s="28" t="s">
        <v>28799</v>
      </c>
      <c r="B1175" s="28" t="s">
        <v>28453</v>
      </c>
    </row>
    <row r="1176" spans="1:2" x14ac:dyDescent="0.25">
      <c r="A1176" s="28" t="s">
        <v>28800</v>
      </c>
      <c r="B1176" s="28" t="s">
        <v>28465</v>
      </c>
    </row>
    <row r="1177" spans="1:2" x14ac:dyDescent="0.25">
      <c r="A1177" s="28" t="s">
        <v>28801</v>
      </c>
      <c r="B1177" s="28" t="s">
        <v>28458</v>
      </c>
    </row>
    <row r="1178" spans="1:2" x14ac:dyDescent="0.25">
      <c r="A1178" s="28" t="s">
        <v>28802</v>
      </c>
      <c r="B1178" s="28" t="s">
        <v>28464</v>
      </c>
    </row>
    <row r="1179" spans="1:2" x14ac:dyDescent="0.25">
      <c r="A1179" s="28" t="s">
        <v>28803</v>
      </c>
      <c r="B1179" s="28" t="s">
        <v>28461</v>
      </c>
    </row>
    <row r="1180" spans="1:2" x14ac:dyDescent="0.25">
      <c r="A1180" s="28" t="s">
        <v>28804</v>
      </c>
      <c r="B1180" s="28" t="s">
        <v>28460</v>
      </c>
    </row>
    <row r="1181" spans="1:2" x14ac:dyDescent="0.25">
      <c r="A1181" s="28" t="s">
        <v>28805</v>
      </c>
      <c r="B1181" s="28" t="s">
        <v>28456</v>
      </c>
    </row>
    <row r="1182" spans="1:2" x14ac:dyDescent="0.25">
      <c r="A1182" s="28" t="s">
        <v>28806</v>
      </c>
      <c r="B1182" s="28" t="s">
        <v>28457</v>
      </c>
    </row>
    <row r="1183" spans="1:2" x14ac:dyDescent="0.25">
      <c r="A1183" s="28" t="s">
        <v>28807</v>
      </c>
      <c r="B1183" s="28" t="s">
        <v>28463</v>
      </c>
    </row>
    <row r="1184" spans="1:2" x14ac:dyDescent="0.25">
      <c r="A1184" s="28" t="s">
        <v>28808</v>
      </c>
      <c r="B1184" s="28" t="s">
        <v>28462</v>
      </c>
    </row>
    <row r="1185" spans="1:2" x14ac:dyDescent="0.25">
      <c r="A1185" s="28" t="s">
        <v>28809</v>
      </c>
      <c r="B1185" s="28" t="s">
        <v>28455</v>
      </c>
    </row>
    <row r="1186" spans="1:2" x14ac:dyDescent="0.25">
      <c r="A1186" s="28" t="s">
        <v>28810</v>
      </c>
      <c r="B1186" s="28" t="s">
        <v>28459</v>
      </c>
    </row>
    <row r="1187" spans="1:2" x14ac:dyDescent="0.25">
      <c r="A1187" s="28" t="s">
        <v>28811</v>
      </c>
      <c r="B1187" s="28" t="s">
        <v>28454</v>
      </c>
    </row>
    <row r="1188" spans="1:2" x14ac:dyDescent="0.25">
      <c r="A1188" s="28" t="s">
        <v>28812</v>
      </c>
      <c r="B1188" s="28" t="s">
        <v>28466</v>
      </c>
    </row>
    <row r="1189" spans="1:2" x14ac:dyDescent="0.25">
      <c r="A1189" s="28" t="s">
        <v>28813</v>
      </c>
      <c r="B1189" s="28" t="s">
        <v>28471</v>
      </c>
    </row>
    <row r="1190" spans="1:2" x14ac:dyDescent="0.25">
      <c r="A1190" s="28" t="s">
        <v>28814</v>
      </c>
      <c r="B1190" s="28" t="s">
        <v>28470</v>
      </c>
    </row>
    <row r="1191" spans="1:2" x14ac:dyDescent="0.25">
      <c r="A1191" s="28" t="s">
        <v>28815</v>
      </c>
      <c r="B1191" s="28" t="s">
        <v>28469</v>
      </c>
    </row>
    <row r="1192" spans="1:2" x14ac:dyDescent="0.25">
      <c r="A1192" s="28" t="s">
        <v>28816</v>
      </c>
      <c r="B1192" s="28" t="s">
        <v>28473</v>
      </c>
    </row>
    <row r="1193" spans="1:2" x14ac:dyDescent="0.25">
      <c r="A1193" s="28" t="s">
        <v>28817</v>
      </c>
      <c r="B1193" s="28" t="s">
        <v>28472</v>
      </c>
    </row>
    <row r="1194" spans="1:2" x14ac:dyDescent="0.25">
      <c r="A1194" s="28" t="s">
        <v>28818</v>
      </c>
      <c r="B1194" s="28" t="s">
        <v>28467</v>
      </c>
    </row>
    <row r="1195" spans="1:2" x14ac:dyDescent="0.25">
      <c r="A1195" s="28" t="s">
        <v>28819</v>
      </c>
      <c r="B1195" s="28" t="s">
        <v>28468</v>
      </c>
    </row>
    <row r="1196" spans="1:2" x14ac:dyDescent="0.25">
      <c r="A1196" s="28" t="s">
        <v>28820</v>
      </c>
      <c r="B1196" s="28" t="s">
        <v>28474</v>
      </c>
    </row>
    <row r="1197" spans="1:2" x14ac:dyDescent="0.25">
      <c r="A1197" s="28" t="s">
        <v>28821</v>
      </c>
      <c r="B1197" s="28" t="s">
        <v>28476</v>
      </c>
    </row>
    <row r="1198" spans="1:2" x14ac:dyDescent="0.25">
      <c r="A1198" s="28" t="s">
        <v>28822</v>
      </c>
      <c r="B1198" s="28" t="s">
        <v>28475</v>
      </c>
    </row>
    <row r="1199" spans="1:2" x14ac:dyDescent="0.25">
      <c r="A1199" s="28" t="s">
        <v>28823</v>
      </c>
      <c r="B1199" s="28" t="s">
        <v>28477</v>
      </c>
    </row>
    <row r="1200" spans="1:2" x14ac:dyDescent="0.25">
      <c r="A1200" s="28" t="s">
        <v>28824</v>
      </c>
      <c r="B1200" s="28" t="s">
        <v>28478</v>
      </c>
    </row>
    <row r="1201" spans="1:2" x14ac:dyDescent="0.25">
      <c r="A1201" s="28" t="s">
        <v>28825</v>
      </c>
      <c r="B1201" s="28" t="s">
        <v>28479</v>
      </c>
    </row>
    <row r="1202" spans="1:2" x14ac:dyDescent="0.25">
      <c r="A1202" s="28" t="s">
        <v>28826</v>
      </c>
      <c r="B1202" s="28" t="s">
        <v>28481</v>
      </c>
    </row>
    <row r="1203" spans="1:2" x14ac:dyDescent="0.25">
      <c r="A1203" s="28" t="s">
        <v>28827</v>
      </c>
      <c r="B1203" s="28" t="s">
        <v>28480</v>
      </c>
    </row>
    <row r="1204" spans="1:2" x14ac:dyDescent="0.25">
      <c r="A1204" s="28" t="s">
        <v>28828</v>
      </c>
      <c r="B1204" s="28" t="s">
        <v>28482</v>
      </c>
    </row>
    <row r="1205" spans="1:2" x14ac:dyDescent="0.25">
      <c r="A1205" s="28" t="s">
        <v>28829</v>
      </c>
      <c r="B1205" s="28" t="s">
        <v>28484</v>
      </c>
    </row>
    <row r="1206" spans="1:2" x14ac:dyDescent="0.25">
      <c r="A1206" s="28" t="s">
        <v>28830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28831</v>
      </c>
      <c r="B1208" s="28" t="s">
        <v>28832</v>
      </c>
    </row>
    <row r="1209" spans="1:2" x14ac:dyDescent="0.25">
      <c r="A1209" s="28" t="s">
        <v>28833</v>
      </c>
      <c r="B1209" s="28" t="s">
        <v>28834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28835</v>
      </c>
      <c r="B1211" s="28" t="s">
        <v>28836</v>
      </c>
    </row>
    <row r="1212" spans="1:2" x14ac:dyDescent="0.25">
      <c r="A1212" s="28" t="s">
        <v>28837</v>
      </c>
      <c r="B1212" s="28" t="s">
        <v>28838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28839</v>
      </c>
      <c r="B1252" s="28" t="s">
        <v>28840</v>
      </c>
    </row>
    <row r="1253" spans="1:2" x14ac:dyDescent="0.25">
      <c r="A1253" s="28" t="s">
        <v>28841</v>
      </c>
      <c r="B1253" s="28" t="s">
        <v>28842</v>
      </c>
    </row>
    <row r="1254" spans="1:2" x14ac:dyDescent="0.25">
      <c r="A1254" s="28" t="s">
        <v>28843</v>
      </c>
      <c r="B1254" s="28" t="s">
        <v>28844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28845</v>
      </c>
      <c r="B1257" s="28" t="s">
        <v>28846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28847</v>
      </c>
      <c r="B1266" s="28" t="s">
        <v>28848</v>
      </c>
    </row>
    <row r="1267" spans="1:2" x14ac:dyDescent="0.25">
      <c r="A1267" s="28" t="s">
        <v>28849</v>
      </c>
      <c r="B1267" s="28" t="s">
        <v>28850</v>
      </c>
    </row>
    <row r="1268" spans="1:2" x14ac:dyDescent="0.25">
      <c r="A1268" s="28" t="s">
        <v>28851</v>
      </c>
      <c r="B1268" s="28" t="s">
        <v>28852</v>
      </c>
    </row>
    <row r="1269" spans="1:2" x14ac:dyDescent="0.25">
      <c r="A1269" s="28" t="s">
        <v>28853</v>
      </c>
      <c r="B1269" s="28" t="s">
        <v>28854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28855</v>
      </c>
      <c r="B1292" s="28" t="s">
        <v>28856</v>
      </c>
    </row>
    <row r="1293" spans="1:2" x14ac:dyDescent="0.25">
      <c r="A1293" s="28" t="s">
        <v>28857</v>
      </c>
      <c r="B1293" s="28" t="s">
        <v>28858</v>
      </c>
    </row>
    <row r="1294" spans="1:2" x14ac:dyDescent="0.25">
      <c r="A1294" s="28" t="s">
        <v>28859</v>
      </c>
      <c r="B1294" s="28" t="s">
        <v>28860</v>
      </c>
    </row>
    <row r="1295" spans="1:2" x14ac:dyDescent="0.25">
      <c r="A1295" s="28" t="s">
        <v>28861</v>
      </c>
      <c r="B1295" s="28" t="s">
        <v>28862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28863</v>
      </c>
      <c r="B1364" s="28" t="s">
        <v>28864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28865</v>
      </c>
      <c r="B1374" s="28" t="s">
        <v>28866</v>
      </c>
    </row>
    <row r="1375" spans="1:2" x14ac:dyDescent="0.25">
      <c r="A1375" s="28" t="s">
        <v>28867</v>
      </c>
      <c r="B1375" s="28" t="s">
        <v>28868</v>
      </c>
    </row>
    <row r="1376" spans="1:2" x14ac:dyDescent="0.25">
      <c r="A1376" s="28" t="s">
        <v>28869</v>
      </c>
      <c r="B1376" s="28" t="s">
        <v>28870</v>
      </c>
    </row>
    <row r="1377" spans="1:2" x14ac:dyDescent="0.25">
      <c r="A1377" s="28" t="s">
        <v>28871</v>
      </c>
      <c r="B1377" s="28" t="s">
        <v>28872</v>
      </c>
    </row>
    <row r="1378" spans="1:2" x14ac:dyDescent="0.25">
      <c r="A1378" s="28" t="s">
        <v>28873</v>
      </c>
      <c r="B1378" s="28" t="s">
        <v>28874</v>
      </c>
    </row>
    <row r="1379" spans="1:2" x14ac:dyDescent="0.25">
      <c r="A1379" s="28" t="s">
        <v>28875</v>
      </c>
      <c r="B1379" s="28" t="s">
        <v>28876</v>
      </c>
    </row>
    <row r="1380" spans="1:2" x14ac:dyDescent="0.25">
      <c r="A1380" s="28" t="s">
        <v>28877</v>
      </c>
      <c r="B1380" s="28" t="s">
        <v>28878</v>
      </c>
    </row>
    <row r="1381" spans="1:2" x14ac:dyDescent="0.25">
      <c r="A1381" s="28" t="s">
        <v>28879</v>
      </c>
      <c r="B1381" s="28" t="s">
        <v>28880</v>
      </c>
    </row>
    <row r="1382" spans="1:2" x14ac:dyDescent="0.25">
      <c r="A1382" s="28" t="s">
        <v>28881</v>
      </c>
      <c r="B1382" s="28" t="s">
        <v>28882</v>
      </c>
    </row>
    <row r="1383" spans="1:2" x14ac:dyDescent="0.25">
      <c r="A1383" s="28" t="s">
        <v>28883</v>
      </c>
      <c r="B1383" s="28" t="s">
        <v>28884</v>
      </c>
    </row>
    <row r="1384" spans="1:2" x14ac:dyDescent="0.25">
      <c r="A1384" s="28" t="s">
        <v>28885</v>
      </c>
      <c r="B1384" s="28" t="s">
        <v>28886</v>
      </c>
    </row>
    <row r="1385" spans="1:2" x14ac:dyDescent="0.25">
      <c r="A1385" s="28" t="s">
        <v>28887</v>
      </c>
      <c r="B1385" s="28" t="s">
        <v>28888</v>
      </c>
    </row>
    <row r="1386" spans="1:2" x14ac:dyDescent="0.25">
      <c r="A1386" s="28" t="s">
        <v>28889</v>
      </c>
      <c r="B1386" s="28" t="s">
        <v>28890</v>
      </c>
    </row>
    <row r="1387" spans="1:2" x14ac:dyDescent="0.25">
      <c r="A1387" s="28" t="s">
        <v>28891</v>
      </c>
      <c r="B1387" s="28" t="s">
        <v>28892</v>
      </c>
    </row>
    <row r="1388" spans="1:2" x14ac:dyDescent="0.25">
      <c r="A1388" s="28" t="s">
        <v>28893</v>
      </c>
      <c r="B1388" s="28" t="s">
        <v>28894</v>
      </c>
    </row>
    <row r="1389" spans="1:2" x14ac:dyDescent="0.25">
      <c r="A1389" s="28" t="s">
        <v>28895</v>
      </c>
      <c r="B1389" s="28" t="s">
        <v>28896</v>
      </c>
    </row>
    <row r="1390" spans="1:2" x14ac:dyDescent="0.25">
      <c r="A1390" s="28" t="s">
        <v>28897</v>
      </c>
      <c r="B1390" s="28" t="s">
        <v>28898</v>
      </c>
    </row>
    <row r="1391" spans="1:2" x14ac:dyDescent="0.25">
      <c r="A1391" s="28" t="s">
        <v>28899</v>
      </c>
      <c r="B1391" s="28" t="s">
        <v>28900</v>
      </c>
    </row>
    <row r="1392" spans="1:2" x14ac:dyDescent="0.25">
      <c r="A1392" s="28" t="s">
        <v>28901</v>
      </c>
      <c r="B1392" s="28" t="s">
        <v>28902</v>
      </c>
    </row>
    <row r="1393" spans="1:2" x14ac:dyDescent="0.25">
      <c r="A1393" s="28" t="s">
        <v>28903</v>
      </c>
      <c r="B1393" s="28" t="s">
        <v>28904</v>
      </c>
    </row>
    <row r="1394" spans="1:2" x14ac:dyDescent="0.25">
      <c r="A1394" s="28" t="s">
        <v>28905</v>
      </c>
      <c r="B1394" s="28" t="s">
        <v>28906</v>
      </c>
    </row>
    <row r="1395" spans="1:2" x14ac:dyDescent="0.25">
      <c r="A1395" s="28" t="s">
        <v>28907</v>
      </c>
      <c r="B1395" s="28" t="s">
        <v>28908</v>
      </c>
    </row>
    <row r="1396" spans="1:2" x14ac:dyDescent="0.25">
      <c r="A1396" s="28" t="s">
        <v>28909</v>
      </c>
      <c r="B1396" s="28" t="s">
        <v>28910</v>
      </c>
    </row>
    <row r="1397" spans="1:2" x14ac:dyDescent="0.25">
      <c r="A1397" s="28" t="s">
        <v>28911</v>
      </c>
      <c r="B1397" s="28" t="s">
        <v>28912</v>
      </c>
    </row>
    <row r="1398" spans="1:2" x14ac:dyDescent="0.25">
      <c r="A1398" s="28" t="s">
        <v>28913</v>
      </c>
      <c r="B1398" s="28" t="s">
        <v>28914</v>
      </c>
    </row>
    <row r="1399" spans="1:2" x14ac:dyDescent="0.25">
      <c r="A1399" s="28" t="s">
        <v>28915</v>
      </c>
      <c r="B1399" s="28" t="s">
        <v>28916</v>
      </c>
    </row>
    <row r="1400" spans="1:2" x14ac:dyDescent="0.25">
      <c r="A1400" s="28" t="s">
        <v>28917</v>
      </c>
      <c r="B1400" s="28" t="s">
        <v>28918</v>
      </c>
    </row>
    <row r="1401" spans="1:2" x14ac:dyDescent="0.25">
      <c r="A1401" s="28" t="s">
        <v>28919</v>
      </c>
      <c r="B1401" s="28" t="s">
        <v>28920</v>
      </c>
    </row>
    <row r="1402" spans="1:2" x14ac:dyDescent="0.25">
      <c r="A1402" s="28" t="s">
        <v>28921</v>
      </c>
      <c r="B1402" s="28" t="s">
        <v>28922</v>
      </c>
    </row>
    <row r="1403" spans="1:2" x14ac:dyDescent="0.25">
      <c r="A1403" s="28" t="s">
        <v>28923</v>
      </c>
      <c r="B1403" s="28" t="s">
        <v>28924</v>
      </c>
    </row>
    <row r="1404" spans="1:2" x14ac:dyDescent="0.25">
      <c r="A1404" s="28" t="s">
        <v>28925</v>
      </c>
      <c r="B1404" s="28" t="s">
        <v>28926</v>
      </c>
    </row>
    <row r="1405" spans="1:2" x14ac:dyDescent="0.25">
      <c r="A1405" s="28" t="s">
        <v>28927</v>
      </c>
      <c r="B1405" s="28" t="s">
        <v>28928</v>
      </c>
    </row>
    <row r="1406" spans="1:2" x14ac:dyDescent="0.25">
      <c r="A1406" s="28" t="s">
        <v>28929</v>
      </c>
      <c r="B1406" s="28" t="s">
        <v>28930</v>
      </c>
    </row>
    <row r="1407" spans="1:2" x14ac:dyDescent="0.25">
      <c r="A1407" s="28" t="s">
        <v>28931</v>
      </c>
      <c r="B1407" s="28" t="s">
        <v>28932</v>
      </c>
    </row>
    <row r="1408" spans="1:2" x14ac:dyDescent="0.25">
      <c r="A1408" s="28" t="s">
        <v>28933</v>
      </c>
      <c r="B1408" s="28" t="s">
        <v>28934</v>
      </c>
    </row>
    <row r="1409" spans="1:2" x14ac:dyDescent="0.25">
      <c r="A1409" s="28" t="s">
        <v>28935</v>
      </c>
      <c r="B1409" s="28" t="s">
        <v>28936</v>
      </c>
    </row>
    <row r="1410" spans="1:2" x14ac:dyDescent="0.25">
      <c r="A1410" s="28" t="s">
        <v>28937</v>
      </c>
      <c r="B1410" s="28" t="s">
        <v>28938</v>
      </c>
    </row>
    <row r="1411" spans="1:2" x14ac:dyDescent="0.25">
      <c r="A1411" s="28" t="s">
        <v>28939</v>
      </c>
      <c r="B1411" s="28" t="s">
        <v>28940</v>
      </c>
    </row>
    <row r="1412" spans="1:2" x14ac:dyDescent="0.25">
      <c r="A1412" s="28" t="s">
        <v>28941</v>
      </c>
      <c r="B1412" s="28" t="s">
        <v>28942</v>
      </c>
    </row>
    <row r="1413" spans="1:2" x14ac:dyDescent="0.25">
      <c r="A1413" s="28" t="s">
        <v>28943</v>
      </c>
      <c r="B1413" s="28" t="s">
        <v>28944</v>
      </c>
    </row>
    <row r="1414" spans="1:2" x14ac:dyDescent="0.25">
      <c r="A1414" s="28" t="s">
        <v>28945</v>
      </c>
      <c r="B1414" s="28" t="s">
        <v>28946</v>
      </c>
    </row>
    <row r="1415" spans="1:2" x14ac:dyDescent="0.25">
      <c r="A1415" s="28" t="s">
        <v>28947</v>
      </c>
      <c r="B1415" s="28" t="s">
        <v>28948</v>
      </c>
    </row>
    <row r="1416" spans="1:2" x14ac:dyDescent="0.25">
      <c r="A1416" s="28" t="s">
        <v>28949</v>
      </c>
      <c r="B1416" s="28" t="s">
        <v>28950</v>
      </c>
    </row>
    <row r="1417" spans="1:2" x14ac:dyDescent="0.25">
      <c r="A1417" s="28" t="s">
        <v>28951</v>
      </c>
      <c r="B1417" s="28" t="s">
        <v>28952</v>
      </c>
    </row>
    <row r="1418" spans="1:2" x14ac:dyDescent="0.25">
      <c r="A1418" s="28" t="s">
        <v>28953</v>
      </c>
      <c r="B1418" s="28" t="s">
        <v>28954</v>
      </c>
    </row>
    <row r="1419" spans="1:2" x14ac:dyDescent="0.25">
      <c r="A1419" s="28" t="s">
        <v>28955</v>
      </c>
      <c r="B1419" s="28" t="s">
        <v>28956</v>
      </c>
    </row>
    <row r="1420" spans="1:2" x14ac:dyDescent="0.25">
      <c r="A1420" s="28" t="s">
        <v>28957</v>
      </c>
      <c r="B1420" s="28" t="s">
        <v>28958</v>
      </c>
    </row>
    <row r="1421" spans="1:2" x14ac:dyDescent="0.25">
      <c r="A1421" s="28" t="s">
        <v>28959</v>
      </c>
      <c r="B1421" s="28" t="s">
        <v>28960</v>
      </c>
    </row>
    <row r="1422" spans="1:2" x14ac:dyDescent="0.25">
      <c r="A1422" s="28" t="s">
        <v>28961</v>
      </c>
      <c r="B1422" s="28" t="s">
        <v>28962</v>
      </c>
    </row>
    <row r="1423" spans="1:2" x14ac:dyDescent="0.25">
      <c r="A1423" s="28" t="s">
        <v>28963</v>
      </c>
      <c r="B1423" s="28" t="s">
        <v>28964</v>
      </c>
    </row>
    <row r="1424" spans="1:2" x14ac:dyDescent="0.25">
      <c r="A1424" s="28" t="s">
        <v>28965</v>
      </c>
      <c r="B1424" s="28" t="s">
        <v>28966</v>
      </c>
    </row>
    <row r="1425" spans="1:2" x14ac:dyDescent="0.25">
      <c r="A1425" s="28" t="s">
        <v>28967</v>
      </c>
      <c r="B1425" s="28" t="s">
        <v>28968</v>
      </c>
    </row>
    <row r="1426" spans="1:2" x14ac:dyDescent="0.25">
      <c r="A1426" s="28" t="s">
        <v>28969</v>
      </c>
      <c r="B1426" s="28" t="s">
        <v>28970</v>
      </c>
    </row>
    <row r="1427" spans="1:2" x14ac:dyDescent="0.25">
      <c r="A1427" s="28" t="s">
        <v>28971</v>
      </c>
      <c r="B1427" s="28" t="s">
        <v>28972</v>
      </c>
    </row>
    <row r="1428" spans="1:2" x14ac:dyDescent="0.25">
      <c r="A1428" s="28" t="s">
        <v>28973</v>
      </c>
      <c r="B1428" s="28" t="s">
        <v>28974</v>
      </c>
    </row>
    <row r="1429" spans="1:2" x14ac:dyDescent="0.25">
      <c r="A1429" s="28" t="s">
        <v>28975</v>
      </c>
      <c r="B1429" s="28" t="s">
        <v>28976</v>
      </c>
    </row>
    <row r="1430" spans="1:2" x14ac:dyDescent="0.25">
      <c r="A1430" s="28" t="s">
        <v>28977</v>
      </c>
      <c r="B1430" s="28" t="s">
        <v>28978</v>
      </c>
    </row>
    <row r="1431" spans="1:2" x14ac:dyDescent="0.25">
      <c r="A1431" s="28" t="s">
        <v>28979</v>
      </c>
      <c r="B1431" s="28" t="s">
        <v>28980</v>
      </c>
    </row>
    <row r="1432" spans="1:2" x14ac:dyDescent="0.25">
      <c r="A1432" s="28" t="s">
        <v>28981</v>
      </c>
      <c r="B1432" s="28" t="s">
        <v>28982</v>
      </c>
    </row>
    <row r="1433" spans="1:2" x14ac:dyDescent="0.25">
      <c r="A1433" s="28" t="s">
        <v>28983</v>
      </c>
      <c r="B1433" s="28" t="s">
        <v>28984</v>
      </c>
    </row>
    <row r="1434" spans="1:2" x14ac:dyDescent="0.25">
      <c r="A1434" s="28" t="s">
        <v>28985</v>
      </c>
      <c r="B1434" s="28" t="s">
        <v>28986</v>
      </c>
    </row>
    <row r="1435" spans="1:2" x14ac:dyDescent="0.25">
      <c r="A1435" s="28" t="s">
        <v>28987</v>
      </c>
      <c r="B1435" s="28" t="s">
        <v>28988</v>
      </c>
    </row>
    <row r="1436" spans="1:2" x14ac:dyDescent="0.25">
      <c r="A1436" s="28" t="s">
        <v>28989</v>
      </c>
      <c r="B1436" s="28" t="s">
        <v>28990</v>
      </c>
    </row>
    <row r="1437" spans="1:2" x14ac:dyDescent="0.25">
      <c r="A1437" s="28" t="s">
        <v>28991</v>
      </c>
      <c r="B1437" s="28" t="s">
        <v>28992</v>
      </c>
    </row>
    <row r="1438" spans="1:2" x14ac:dyDescent="0.25">
      <c r="A1438" s="28" t="s">
        <v>28993</v>
      </c>
      <c r="B1438" s="28" t="s">
        <v>28994</v>
      </c>
    </row>
    <row r="1439" spans="1:2" x14ac:dyDescent="0.25">
      <c r="A1439" s="28" t="s">
        <v>28995</v>
      </c>
      <c r="B1439" s="28" t="s">
        <v>28996</v>
      </c>
    </row>
    <row r="1440" spans="1:2" x14ac:dyDescent="0.25">
      <c r="A1440" s="28" t="s">
        <v>28997</v>
      </c>
      <c r="B1440" s="28" t="s">
        <v>28998</v>
      </c>
    </row>
    <row r="1441" spans="1:2" x14ac:dyDescent="0.25">
      <c r="A1441" s="28" t="s">
        <v>28999</v>
      </c>
      <c r="B1441" s="28" t="s">
        <v>29000</v>
      </c>
    </row>
    <row r="1442" spans="1:2" x14ac:dyDescent="0.25">
      <c r="A1442" s="28" t="s">
        <v>29001</v>
      </c>
      <c r="B1442" s="28" t="s">
        <v>29002</v>
      </c>
    </row>
    <row r="1443" spans="1:2" x14ac:dyDescent="0.25">
      <c r="A1443" s="28" t="s">
        <v>29003</v>
      </c>
      <c r="B1443" s="28" t="s">
        <v>29004</v>
      </c>
    </row>
    <row r="1444" spans="1:2" x14ac:dyDescent="0.25">
      <c r="A1444" s="28" t="s">
        <v>29005</v>
      </c>
      <c r="B1444" s="28" t="s">
        <v>29006</v>
      </c>
    </row>
    <row r="1445" spans="1:2" x14ac:dyDescent="0.25">
      <c r="A1445" s="28" t="s">
        <v>29007</v>
      </c>
      <c r="B1445" s="28" t="s">
        <v>29008</v>
      </c>
    </row>
    <row r="1446" spans="1:2" x14ac:dyDescent="0.25">
      <c r="A1446" s="28" t="s">
        <v>29009</v>
      </c>
      <c r="B1446" s="28" t="s">
        <v>29010</v>
      </c>
    </row>
    <row r="1447" spans="1:2" x14ac:dyDescent="0.25">
      <c r="A1447" s="28" t="s">
        <v>29011</v>
      </c>
      <c r="B1447" s="28" t="s">
        <v>29012</v>
      </c>
    </row>
    <row r="1448" spans="1:2" x14ac:dyDescent="0.25">
      <c r="A1448" s="28" t="s">
        <v>29013</v>
      </c>
      <c r="B1448" s="28" t="s">
        <v>29014</v>
      </c>
    </row>
    <row r="1449" spans="1:2" x14ac:dyDescent="0.25">
      <c r="A1449" s="28" t="s">
        <v>29015</v>
      </c>
      <c r="B1449" s="28" t="s">
        <v>29016</v>
      </c>
    </row>
    <row r="1450" spans="1:2" x14ac:dyDescent="0.25">
      <c r="A1450" s="28" t="s">
        <v>29017</v>
      </c>
      <c r="B1450" s="28" t="s">
        <v>29018</v>
      </c>
    </row>
    <row r="1451" spans="1:2" x14ac:dyDescent="0.25">
      <c r="A1451" s="28" t="s">
        <v>29019</v>
      </c>
      <c r="B1451" s="28" t="s">
        <v>29020</v>
      </c>
    </row>
    <row r="1452" spans="1:2" x14ac:dyDescent="0.25">
      <c r="A1452" s="28" t="s">
        <v>29021</v>
      </c>
      <c r="B1452" s="28" t="s">
        <v>29022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29023</v>
      </c>
      <c r="B1457" s="28" t="s">
        <v>29024</v>
      </c>
    </row>
    <row r="1458" spans="1:2" x14ac:dyDescent="0.25">
      <c r="A1458" s="28" t="s">
        <v>29025</v>
      </c>
      <c r="B1458" s="28" t="s">
        <v>29026</v>
      </c>
    </row>
    <row r="1459" spans="1:2" x14ac:dyDescent="0.25">
      <c r="A1459" s="28" t="s">
        <v>29027</v>
      </c>
      <c r="B1459" s="28" t="s">
        <v>29028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29029</v>
      </c>
      <c r="B1470" s="28" t="s">
        <v>29030</v>
      </c>
    </row>
    <row r="1471" spans="1:2" x14ac:dyDescent="0.25">
      <c r="A1471" s="28" t="s">
        <v>29031</v>
      </c>
      <c r="B1471" s="28" t="s">
        <v>29032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29033</v>
      </c>
      <c r="B1475" s="28" t="s">
        <v>29034</v>
      </c>
    </row>
    <row r="1476" spans="1:2" x14ac:dyDescent="0.25">
      <c r="A1476" s="28" t="s">
        <v>29035</v>
      </c>
      <c r="B1476" s="28" t="s">
        <v>29036</v>
      </c>
    </row>
    <row r="1477" spans="1:2" x14ac:dyDescent="0.25">
      <c r="A1477" s="28" t="s">
        <v>29037</v>
      </c>
      <c r="B1477" s="28" t="s">
        <v>29038</v>
      </c>
    </row>
    <row r="1478" spans="1:2" x14ac:dyDescent="0.25">
      <c r="A1478" s="28" t="s">
        <v>29039</v>
      </c>
      <c r="B1478" s="28" t="s">
        <v>29040</v>
      </c>
    </row>
    <row r="1479" spans="1:2" x14ac:dyDescent="0.25">
      <c r="A1479" s="28" t="s">
        <v>29041</v>
      </c>
      <c r="B1479" s="28" t="s">
        <v>29042</v>
      </c>
    </row>
    <row r="1480" spans="1:2" x14ac:dyDescent="0.25">
      <c r="A1480" s="28" t="s">
        <v>29043</v>
      </c>
      <c r="B1480" s="28" t="s">
        <v>29044</v>
      </c>
    </row>
    <row r="1481" spans="1:2" x14ac:dyDescent="0.25">
      <c r="A1481" s="28" t="s">
        <v>29045</v>
      </c>
      <c r="B1481" s="28" t="s">
        <v>29046</v>
      </c>
    </row>
    <row r="1482" spans="1:2" x14ac:dyDescent="0.25">
      <c r="A1482" s="28" t="s">
        <v>29047</v>
      </c>
      <c r="B1482" s="28" t="s">
        <v>29048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29049</v>
      </c>
      <c r="B1492" s="28" t="s">
        <v>29050</v>
      </c>
    </row>
    <row r="1493" spans="1:2" x14ac:dyDescent="0.25">
      <c r="A1493" s="28" t="s">
        <v>29051</v>
      </c>
      <c r="B1493" s="28" t="s">
        <v>29052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29053</v>
      </c>
      <c r="B1498" s="28" t="s">
        <v>29054</v>
      </c>
    </row>
    <row r="1499" spans="1:2" x14ac:dyDescent="0.25">
      <c r="A1499" s="28" t="s">
        <v>29055</v>
      </c>
      <c r="B1499" s="28" t="s">
        <v>29056</v>
      </c>
    </row>
    <row r="1500" spans="1:2" x14ac:dyDescent="0.25">
      <c r="A1500" s="28" t="s">
        <v>29057</v>
      </c>
      <c r="B1500" s="28" t="s">
        <v>29058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29059</v>
      </c>
      <c r="B1502" s="28" t="s">
        <v>29060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29061</v>
      </c>
      <c r="B1506" s="28" t="s">
        <v>29062</v>
      </c>
    </row>
    <row r="1507" spans="1:2" x14ac:dyDescent="0.25">
      <c r="A1507" s="28" t="s">
        <v>29063</v>
      </c>
      <c r="B1507" s="28" t="s">
        <v>29064</v>
      </c>
    </row>
    <row r="1508" spans="1:2" x14ac:dyDescent="0.25">
      <c r="A1508" s="28" t="s">
        <v>29065</v>
      </c>
      <c r="B1508" s="28" t="s">
        <v>29066</v>
      </c>
    </row>
    <row r="1509" spans="1:2" x14ac:dyDescent="0.25">
      <c r="A1509" s="28" t="s">
        <v>29067</v>
      </c>
      <c r="B1509" s="28" t="s">
        <v>29068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29069</v>
      </c>
      <c r="B1513" s="28" t="s">
        <v>29070</v>
      </c>
    </row>
    <row r="1514" spans="1:2" x14ac:dyDescent="0.25">
      <c r="A1514" s="28" t="s">
        <v>29071</v>
      </c>
      <c r="B1514" s="28" t="s">
        <v>29072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29073</v>
      </c>
      <c r="B1531" s="28" t="s">
        <v>29074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29075</v>
      </c>
      <c r="B1567" s="28" t="s">
        <v>29076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29077</v>
      </c>
      <c r="B1765" s="28" t="s">
        <v>29078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29079</v>
      </c>
      <c r="B1767" s="28" t="s">
        <v>29080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29081</v>
      </c>
      <c r="B1940" s="28" t="s">
        <v>29082</v>
      </c>
    </row>
    <row r="1941" spans="1:2" x14ac:dyDescent="0.25">
      <c r="A1941" s="28" t="s">
        <v>29083</v>
      </c>
      <c r="B1941" s="28" t="s">
        <v>29084</v>
      </c>
    </row>
    <row r="1942" spans="1:2" x14ac:dyDescent="0.25">
      <c r="A1942" s="28" t="s">
        <v>29085</v>
      </c>
      <c r="B1942" s="28" t="s">
        <v>29086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29087</v>
      </c>
      <c r="B1948" s="28" t="s">
        <v>29088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29089</v>
      </c>
      <c r="B1954" s="28" t="s">
        <v>29090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29091</v>
      </c>
      <c r="B1956" s="28" t="s">
        <v>29092</v>
      </c>
    </row>
    <row r="1957" spans="1:2" x14ac:dyDescent="0.25">
      <c r="A1957" s="28" t="s">
        <v>29093</v>
      </c>
      <c r="B1957" s="28" t="s">
        <v>29094</v>
      </c>
    </row>
    <row r="1958" spans="1:2" x14ac:dyDescent="0.25">
      <c r="A1958" s="28" t="s">
        <v>29095</v>
      </c>
      <c r="B1958" s="28" t="s">
        <v>29096</v>
      </c>
    </row>
    <row r="1959" spans="1:2" x14ac:dyDescent="0.25">
      <c r="A1959" s="28" t="s">
        <v>29097</v>
      </c>
      <c r="B1959" s="28" t="s">
        <v>29098</v>
      </c>
    </row>
    <row r="1960" spans="1:2" x14ac:dyDescent="0.25">
      <c r="A1960" s="28" t="s">
        <v>29099</v>
      </c>
      <c r="B1960" s="28" t="s">
        <v>29100</v>
      </c>
    </row>
    <row r="1961" spans="1:2" x14ac:dyDescent="0.25">
      <c r="A1961" s="28" t="s">
        <v>29101</v>
      </c>
      <c r="B1961" s="28" t="s">
        <v>29102</v>
      </c>
    </row>
    <row r="1962" spans="1:2" x14ac:dyDescent="0.25">
      <c r="A1962" s="28" t="s">
        <v>29103</v>
      </c>
      <c r="B1962" s="28" t="s">
        <v>29104</v>
      </c>
    </row>
    <row r="1963" spans="1:2" x14ac:dyDescent="0.25">
      <c r="A1963" s="28" t="s">
        <v>29105</v>
      </c>
      <c r="B1963" s="28" t="s">
        <v>29106</v>
      </c>
    </row>
    <row r="1964" spans="1:2" x14ac:dyDescent="0.25">
      <c r="A1964" s="28" t="s">
        <v>29107</v>
      </c>
      <c r="B1964" s="28" t="s">
        <v>29108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29109</v>
      </c>
      <c r="B2404" s="28" t="s">
        <v>29110</v>
      </c>
    </row>
    <row r="2405" spans="1:2" x14ac:dyDescent="0.25">
      <c r="A2405" s="28" t="s">
        <v>29111</v>
      </c>
      <c r="B2405" s="28" t="s">
        <v>29112</v>
      </c>
    </row>
    <row r="2406" spans="1:2" x14ac:dyDescent="0.25">
      <c r="A2406" s="28" t="s">
        <v>29113</v>
      </c>
      <c r="B2406" s="28" t="s">
        <v>29114</v>
      </c>
    </row>
    <row r="2407" spans="1:2" x14ac:dyDescent="0.25">
      <c r="A2407" s="28" t="s">
        <v>29115</v>
      </c>
      <c r="B2407" s="28" t="s">
        <v>29116</v>
      </c>
    </row>
    <row r="2408" spans="1:2" x14ac:dyDescent="0.25">
      <c r="A2408" s="28" t="s">
        <v>29117</v>
      </c>
      <c r="B2408" s="28" t="s">
        <v>29118</v>
      </c>
    </row>
    <row r="2409" spans="1:2" x14ac:dyDescent="0.25">
      <c r="A2409" s="28" t="s">
        <v>29119</v>
      </c>
      <c r="B2409" s="28" t="s">
        <v>29120</v>
      </c>
    </row>
    <row r="2410" spans="1:2" x14ac:dyDescent="0.25">
      <c r="A2410" s="28" t="s">
        <v>29121</v>
      </c>
      <c r="B2410" s="28" t="s">
        <v>29122</v>
      </c>
    </row>
    <row r="2411" spans="1:2" x14ac:dyDescent="0.25">
      <c r="A2411" s="28" t="s">
        <v>29123</v>
      </c>
      <c r="B2411" s="28" t="s">
        <v>29124</v>
      </c>
    </row>
    <row r="2412" spans="1:2" x14ac:dyDescent="0.25">
      <c r="A2412" s="28" t="s">
        <v>29125</v>
      </c>
      <c r="B2412" s="28" t="s">
        <v>29126</v>
      </c>
    </row>
    <row r="2413" spans="1:2" x14ac:dyDescent="0.25">
      <c r="A2413" s="28" t="s">
        <v>29127</v>
      </c>
      <c r="B2413" s="28" t="s">
        <v>29128</v>
      </c>
    </row>
    <row r="2414" spans="1:2" x14ac:dyDescent="0.25">
      <c r="A2414" s="28" t="s">
        <v>29129</v>
      </c>
      <c r="B2414" s="28" t="s">
        <v>29130</v>
      </c>
    </row>
    <row r="2415" spans="1:2" x14ac:dyDescent="0.25">
      <c r="A2415" s="28" t="s">
        <v>29131</v>
      </c>
      <c r="B2415" s="28" t="s">
        <v>29132</v>
      </c>
    </row>
    <row r="2416" spans="1:2" x14ac:dyDescent="0.25">
      <c r="A2416" s="28" t="s">
        <v>29133</v>
      </c>
      <c r="B2416" s="28" t="s">
        <v>29134</v>
      </c>
    </row>
    <row r="2417" spans="1:2" x14ac:dyDescent="0.25">
      <c r="A2417" s="28" t="s">
        <v>29135</v>
      </c>
      <c r="B2417" s="28" t="s">
        <v>29136</v>
      </c>
    </row>
    <row r="2418" spans="1:2" x14ac:dyDescent="0.25">
      <c r="A2418" s="28" t="s">
        <v>29137</v>
      </c>
      <c r="B2418" s="28" t="s">
        <v>29138</v>
      </c>
    </row>
    <row r="2419" spans="1:2" x14ac:dyDescent="0.25">
      <c r="A2419" s="28" t="s">
        <v>29139</v>
      </c>
      <c r="B2419" s="28" t="s">
        <v>29140</v>
      </c>
    </row>
    <row r="2420" spans="1:2" x14ac:dyDescent="0.25">
      <c r="A2420" s="28" t="s">
        <v>29141</v>
      </c>
      <c r="B2420" s="28" t="s">
        <v>29142</v>
      </c>
    </row>
    <row r="2421" spans="1:2" x14ac:dyDescent="0.25">
      <c r="A2421" s="28" t="s">
        <v>29143</v>
      </c>
      <c r="B2421" s="28" t="s">
        <v>29144</v>
      </c>
    </row>
    <row r="2422" spans="1:2" x14ac:dyDescent="0.25">
      <c r="A2422" s="28" t="s">
        <v>29145</v>
      </c>
      <c r="B2422" s="28" t="s">
        <v>29146</v>
      </c>
    </row>
    <row r="2423" spans="1:2" x14ac:dyDescent="0.25">
      <c r="A2423" s="28" t="s">
        <v>29147</v>
      </c>
      <c r="B2423" s="28" t="s">
        <v>29148</v>
      </c>
    </row>
    <row r="2424" spans="1:2" x14ac:dyDescent="0.25">
      <c r="A2424" s="28" t="s">
        <v>29149</v>
      </c>
      <c r="B2424" s="28" t="s">
        <v>29150</v>
      </c>
    </row>
    <row r="2425" spans="1:2" x14ac:dyDescent="0.25">
      <c r="A2425" s="28" t="s">
        <v>29151</v>
      </c>
      <c r="B2425" s="28" t="s">
        <v>29152</v>
      </c>
    </row>
    <row r="2426" spans="1:2" x14ac:dyDescent="0.25">
      <c r="A2426" s="28" t="s">
        <v>29153</v>
      </c>
      <c r="B2426" s="28" t="s">
        <v>29154</v>
      </c>
    </row>
    <row r="2427" spans="1:2" x14ac:dyDescent="0.25">
      <c r="A2427" s="28" t="s">
        <v>29155</v>
      </c>
      <c r="B2427" s="28" t="s">
        <v>29156</v>
      </c>
    </row>
    <row r="2428" spans="1:2" x14ac:dyDescent="0.25">
      <c r="A2428" s="28" t="s">
        <v>29157</v>
      </c>
      <c r="B2428" s="28" t="s">
        <v>29158</v>
      </c>
    </row>
    <row r="2429" spans="1:2" x14ac:dyDescent="0.25">
      <c r="A2429" s="28" t="s">
        <v>29159</v>
      </c>
      <c r="B2429" s="28" t="s">
        <v>29160</v>
      </c>
    </row>
    <row r="2430" spans="1:2" x14ac:dyDescent="0.25">
      <c r="A2430" s="28" t="s">
        <v>29161</v>
      </c>
      <c r="B2430" s="28" t="s">
        <v>29162</v>
      </c>
    </row>
    <row r="2431" spans="1:2" x14ac:dyDescent="0.25">
      <c r="A2431" s="28" t="s">
        <v>29163</v>
      </c>
      <c r="B2431" s="28" t="s">
        <v>29164</v>
      </c>
    </row>
    <row r="2432" spans="1:2" x14ac:dyDescent="0.25">
      <c r="A2432" s="28" t="s">
        <v>29165</v>
      </c>
      <c r="B2432" s="28" t="s">
        <v>29166</v>
      </c>
    </row>
    <row r="2433" spans="1:2" x14ac:dyDescent="0.25">
      <c r="A2433" s="28" t="s">
        <v>29167</v>
      </c>
      <c r="B2433" s="28" t="s">
        <v>29168</v>
      </c>
    </row>
    <row r="2434" spans="1:2" x14ac:dyDescent="0.25">
      <c r="A2434" s="28" t="s">
        <v>29169</v>
      </c>
      <c r="B2434" s="28" t="s">
        <v>29170</v>
      </c>
    </row>
    <row r="2435" spans="1:2" x14ac:dyDescent="0.25">
      <c r="A2435" s="28" t="s">
        <v>29171</v>
      </c>
      <c r="B2435" s="28" t="s">
        <v>29172</v>
      </c>
    </row>
    <row r="2436" spans="1:2" x14ac:dyDescent="0.25">
      <c r="A2436" s="28" t="s">
        <v>29173</v>
      </c>
      <c r="B2436" s="28" t="s">
        <v>29174</v>
      </c>
    </row>
    <row r="2437" spans="1:2" x14ac:dyDescent="0.25">
      <c r="A2437" s="28" t="s">
        <v>29175</v>
      </c>
      <c r="B2437" s="28" t="s">
        <v>29176</v>
      </c>
    </row>
    <row r="2438" spans="1:2" x14ac:dyDescent="0.25">
      <c r="A2438" s="28" t="s">
        <v>29177</v>
      </c>
      <c r="B2438" s="28" t="s">
        <v>29178</v>
      </c>
    </row>
    <row r="2439" spans="1:2" x14ac:dyDescent="0.25">
      <c r="A2439" s="28" t="s">
        <v>29179</v>
      </c>
      <c r="B2439" s="28" t="s">
        <v>29180</v>
      </c>
    </row>
    <row r="2440" spans="1:2" x14ac:dyDescent="0.25">
      <c r="A2440" s="28" t="s">
        <v>29181</v>
      </c>
      <c r="B2440" s="28" t="s">
        <v>29182</v>
      </c>
    </row>
    <row r="2441" spans="1:2" x14ac:dyDescent="0.25">
      <c r="A2441" s="28" t="s">
        <v>29183</v>
      </c>
      <c r="B2441" s="28" t="s">
        <v>29184</v>
      </c>
    </row>
    <row r="2442" spans="1:2" x14ac:dyDescent="0.25">
      <c r="A2442" s="28" t="s">
        <v>29185</v>
      </c>
      <c r="B2442" s="28" t="s">
        <v>29186</v>
      </c>
    </row>
    <row r="2443" spans="1:2" x14ac:dyDescent="0.25">
      <c r="A2443" s="28" t="s">
        <v>29187</v>
      </c>
      <c r="B2443" s="28" t="s">
        <v>29188</v>
      </c>
    </row>
    <row r="2444" spans="1:2" x14ac:dyDescent="0.25">
      <c r="A2444" s="28" t="s">
        <v>29189</v>
      </c>
      <c r="B2444" s="28" t="s">
        <v>29190</v>
      </c>
    </row>
    <row r="2445" spans="1:2" x14ac:dyDescent="0.25">
      <c r="A2445" s="28" t="s">
        <v>29191</v>
      </c>
      <c r="B2445" s="28" t="s">
        <v>29192</v>
      </c>
    </row>
    <row r="2446" spans="1:2" x14ac:dyDescent="0.25">
      <c r="A2446" s="28" t="s">
        <v>29193</v>
      </c>
      <c r="B2446" s="28" t="s">
        <v>29194</v>
      </c>
    </row>
    <row r="2447" spans="1:2" x14ac:dyDescent="0.25">
      <c r="A2447" s="28" t="s">
        <v>29195</v>
      </c>
      <c r="B2447" s="28" t="s">
        <v>29196</v>
      </c>
    </row>
    <row r="2448" spans="1:2" x14ac:dyDescent="0.25">
      <c r="A2448" s="28" t="s">
        <v>29197</v>
      </c>
      <c r="B2448" s="28" t="s">
        <v>29198</v>
      </c>
    </row>
    <row r="2449" spans="1:2" x14ac:dyDescent="0.25">
      <c r="A2449" s="28" t="s">
        <v>29199</v>
      </c>
      <c r="B2449" s="28" t="s">
        <v>29200</v>
      </c>
    </row>
    <row r="2450" spans="1:2" x14ac:dyDescent="0.25">
      <c r="A2450" s="28" t="s">
        <v>29201</v>
      </c>
      <c r="B2450" s="28" t="s">
        <v>29202</v>
      </c>
    </row>
    <row r="2451" spans="1:2" x14ac:dyDescent="0.25">
      <c r="A2451" s="28" t="s">
        <v>29203</v>
      </c>
      <c r="B2451" s="28" t="s">
        <v>29204</v>
      </c>
    </row>
    <row r="2452" spans="1:2" x14ac:dyDescent="0.25">
      <c r="A2452" s="28" t="s">
        <v>29205</v>
      </c>
      <c r="B2452" s="28" t="s">
        <v>29206</v>
      </c>
    </row>
    <row r="2453" spans="1:2" x14ac:dyDescent="0.25">
      <c r="A2453" s="28" t="s">
        <v>29207</v>
      </c>
      <c r="B2453" s="28" t="s">
        <v>29208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29209</v>
      </c>
      <c r="B2568" s="28" t="s">
        <v>29210</v>
      </c>
    </row>
    <row r="2569" spans="1:2" x14ac:dyDescent="0.25">
      <c r="A2569" s="28" t="s">
        <v>29211</v>
      </c>
      <c r="B2569" s="28" t="s">
        <v>29212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29213</v>
      </c>
      <c r="B2587" s="28" t="s">
        <v>29214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29215</v>
      </c>
      <c r="B2621" s="28" t="s">
        <v>29216</v>
      </c>
    </row>
    <row r="2622" spans="1:2" x14ac:dyDescent="0.25">
      <c r="A2622" s="28" t="s">
        <v>29217</v>
      </c>
      <c r="B2622" s="28" t="s">
        <v>29218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29219</v>
      </c>
      <c r="B2624" s="28" t="s">
        <v>29220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29221</v>
      </c>
      <c r="B2635" s="28" t="s">
        <v>29222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29223</v>
      </c>
      <c r="B2665" s="28" t="s">
        <v>29224</v>
      </c>
    </row>
    <row r="2666" spans="1:2" x14ac:dyDescent="0.25">
      <c r="A2666" s="28" t="s">
        <v>29225</v>
      </c>
      <c r="B2666" s="28" t="s">
        <v>29226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29227</v>
      </c>
      <c r="B2681" s="28" t="s">
        <v>29228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29229</v>
      </c>
      <c r="B2684" s="28" t="s">
        <v>29230</v>
      </c>
    </row>
    <row r="2685" spans="1:2" x14ac:dyDescent="0.25">
      <c r="A2685" s="28" t="s">
        <v>29231</v>
      </c>
      <c r="B2685" s="28" t="s">
        <v>29232</v>
      </c>
    </row>
    <row r="2686" spans="1:2" x14ac:dyDescent="0.25">
      <c r="A2686" s="28" t="s">
        <v>29233</v>
      </c>
      <c r="B2686" s="28" t="s">
        <v>29234</v>
      </c>
    </row>
    <row r="2687" spans="1:2" x14ac:dyDescent="0.25">
      <c r="A2687" s="28" t="s">
        <v>29235</v>
      </c>
      <c r="B2687" s="28" t="s">
        <v>29236</v>
      </c>
    </row>
    <row r="2688" spans="1:2" x14ac:dyDescent="0.25">
      <c r="A2688" s="28" t="s">
        <v>29237</v>
      </c>
      <c r="B2688" s="28" t="s">
        <v>29238</v>
      </c>
    </row>
    <row r="2689" spans="1:2" x14ac:dyDescent="0.25">
      <c r="A2689" s="28" t="s">
        <v>29239</v>
      </c>
      <c r="B2689" s="28" t="s">
        <v>29240</v>
      </c>
    </row>
    <row r="2690" spans="1:2" x14ac:dyDescent="0.25">
      <c r="A2690" s="28" t="s">
        <v>29241</v>
      </c>
      <c r="B2690" s="28" t="s">
        <v>29242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29243</v>
      </c>
      <c r="B2704" s="28" t="s">
        <v>29244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29245</v>
      </c>
      <c r="B2718" s="28" t="s">
        <v>29246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29247</v>
      </c>
      <c r="B2722" s="28" t="s">
        <v>29248</v>
      </c>
    </row>
    <row r="2723" spans="1:2" x14ac:dyDescent="0.25">
      <c r="A2723" s="28" t="s">
        <v>29249</v>
      </c>
      <c r="B2723" s="28" t="s">
        <v>29250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29251</v>
      </c>
      <c r="B3255" s="28" t="s">
        <v>29252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29253</v>
      </c>
      <c r="B3454" s="28" t="s">
        <v>29254</v>
      </c>
    </row>
    <row r="3455" spans="1:2" x14ac:dyDescent="0.25">
      <c r="A3455" s="28" t="s">
        <v>29255</v>
      </c>
      <c r="B3455" s="28" t="s">
        <v>29256</v>
      </c>
    </row>
    <row r="3456" spans="1:2" x14ac:dyDescent="0.25">
      <c r="A3456" s="28" t="s">
        <v>29257</v>
      </c>
      <c r="B3456" s="28" t="s">
        <v>29258</v>
      </c>
    </row>
    <row r="3457" spans="1:2" x14ac:dyDescent="0.25">
      <c r="A3457" s="28" t="s">
        <v>29259</v>
      </c>
      <c r="B3457" s="28" t="s">
        <v>29260</v>
      </c>
    </row>
    <row r="3458" spans="1:2" x14ac:dyDescent="0.25">
      <c r="A3458" s="28" t="s">
        <v>29261</v>
      </c>
      <c r="B3458" s="28" t="s">
        <v>29262</v>
      </c>
    </row>
    <row r="3459" spans="1:2" x14ac:dyDescent="0.25">
      <c r="A3459" s="28" t="s">
        <v>29263</v>
      </c>
      <c r="B3459" s="28" t="s">
        <v>29264</v>
      </c>
    </row>
    <row r="3460" spans="1:2" x14ac:dyDescent="0.25">
      <c r="A3460" s="28" t="s">
        <v>29265</v>
      </c>
      <c r="B3460" s="28" t="s">
        <v>29266</v>
      </c>
    </row>
    <row r="3461" spans="1:2" x14ac:dyDescent="0.25">
      <c r="A3461" s="28" t="s">
        <v>29267</v>
      </c>
      <c r="B3461" s="28" t="s">
        <v>29268</v>
      </c>
    </row>
    <row r="3462" spans="1:2" x14ac:dyDescent="0.25">
      <c r="A3462" s="28" t="s">
        <v>29269</v>
      </c>
      <c r="B3462" s="28" t="s">
        <v>29270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29271</v>
      </c>
      <c r="B3581" s="28" t="s">
        <v>29272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29273</v>
      </c>
      <c r="B3584" s="28" t="s">
        <v>29274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29275</v>
      </c>
      <c r="B3586" s="28" t="s">
        <v>29276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29277</v>
      </c>
      <c r="B3589" s="28" t="s">
        <v>29278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29279</v>
      </c>
      <c r="B6010" s="28" t="s">
        <v>29280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29281</v>
      </c>
      <c r="B6055" s="28" t="s">
        <v>29282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29283</v>
      </c>
      <c r="B6097" s="28" t="s">
        <v>29284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29285</v>
      </c>
      <c r="B6100" s="28" t="s">
        <v>29286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29287</v>
      </c>
      <c r="B6105" s="28" t="s">
        <v>29288</v>
      </c>
    </row>
    <row r="6106" spans="1:2" x14ac:dyDescent="0.25">
      <c r="A6106" s="28" t="s">
        <v>29289</v>
      </c>
      <c r="B6106" s="28" t="s">
        <v>29290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29291</v>
      </c>
      <c r="B6171" s="28" t="s">
        <v>29292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29293</v>
      </c>
      <c r="B6210" s="28" t="s">
        <v>29294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29295</v>
      </c>
      <c r="B6290" s="28" t="s">
        <v>29296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29297</v>
      </c>
      <c r="B6295" s="28" t="s">
        <v>29298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29299</v>
      </c>
      <c r="B6299" s="28" t="s">
        <v>29300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29301</v>
      </c>
      <c r="B6302" s="28" t="s">
        <v>29302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29303</v>
      </c>
      <c r="B6322" s="28" t="s">
        <v>29304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29305</v>
      </c>
      <c r="B6330" s="28" t="s">
        <v>29306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29307</v>
      </c>
      <c r="B6606" s="28" t="s">
        <v>29308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29309</v>
      </c>
      <c r="B6608" s="28" t="s">
        <v>29310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29311</v>
      </c>
      <c r="B6610" s="28" t="s">
        <v>29312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29313</v>
      </c>
      <c r="B6612" s="28" t="s">
        <v>29314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29315</v>
      </c>
      <c r="B6625" s="28" t="s">
        <v>29316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29317</v>
      </c>
      <c r="B6628" s="28" t="s">
        <v>29318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29319</v>
      </c>
      <c r="B6870" s="28" t="s">
        <v>29320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29321</v>
      </c>
      <c r="B6879" s="28" t="s">
        <v>29322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29323</v>
      </c>
      <c r="B6883" s="28" t="s">
        <v>29324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29325</v>
      </c>
      <c r="B6885" s="28" t="s">
        <v>29326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29327</v>
      </c>
      <c r="B7414" s="28" t="s">
        <v>29328</v>
      </c>
    </row>
    <row r="7415" spans="1:2" x14ac:dyDescent="0.25">
      <c r="A7415" s="28" t="s">
        <v>29329</v>
      </c>
      <c r="B7415" s="28" t="s">
        <v>29330</v>
      </c>
    </row>
    <row r="7416" spans="1:2" x14ac:dyDescent="0.25">
      <c r="A7416" s="28" t="s">
        <v>29331</v>
      </c>
      <c r="B7416" s="28" t="s">
        <v>29332</v>
      </c>
    </row>
    <row r="7417" spans="1:2" x14ac:dyDescent="0.25">
      <c r="A7417" s="28" t="s">
        <v>29333</v>
      </c>
      <c r="B7417" s="28" t="s">
        <v>29334</v>
      </c>
    </row>
    <row r="7418" spans="1:2" x14ac:dyDescent="0.25">
      <c r="A7418" s="28" t="s">
        <v>29335</v>
      </c>
      <c r="B7418" s="28" t="s">
        <v>29336</v>
      </c>
    </row>
    <row r="7419" spans="1:2" x14ac:dyDescent="0.25">
      <c r="A7419" s="28" t="s">
        <v>29337</v>
      </c>
      <c r="B7419" s="28" t="s">
        <v>29338</v>
      </c>
    </row>
    <row r="7420" spans="1:2" x14ac:dyDescent="0.25">
      <c r="A7420" s="28" t="s">
        <v>29339</v>
      </c>
      <c r="B7420" s="28" t="s">
        <v>29340</v>
      </c>
    </row>
    <row r="7421" spans="1:2" x14ac:dyDescent="0.25">
      <c r="A7421" s="28" t="s">
        <v>29341</v>
      </c>
      <c r="B7421" s="28" t="s">
        <v>29342</v>
      </c>
    </row>
    <row r="7422" spans="1:2" x14ac:dyDescent="0.25">
      <c r="A7422" s="28" t="s">
        <v>29343</v>
      </c>
      <c r="B7422" s="28" t="s">
        <v>29344</v>
      </c>
    </row>
    <row r="7423" spans="1:2" x14ac:dyDescent="0.25">
      <c r="A7423" s="28" t="s">
        <v>29345</v>
      </c>
      <c r="B7423" s="28" t="s">
        <v>29346</v>
      </c>
    </row>
    <row r="7424" spans="1:2" x14ac:dyDescent="0.25">
      <c r="A7424" s="28" t="s">
        <v>29347</v>
      </c>
      <c r="B7424" s="28" t="s">
        <v>29348</v>
      </c>
    </row>
    <row r="7425" spans="1:2" x14ac:dyDescent="0.25">
      <c r="A7425" s="28" t="s">
        <v>29349</v>
      </c>
      <c r="B7425" s="28" t="s">
        <v>29350</v>
      </c>
    </row>
    <row r="7426" spans="1:2" x14ac:dyDescent="0.25">
      <c r="A7426" s="28" t="s">
        <v>29351</v>
      </c>
      <c r="B7426" s="28" t="s">
        <v>29352</v>
      </c>
    </row>
    <row r="7427" spans="1:2" x14ac:dyDescent="0.25">
      <c r="A7427" s="28" t="s">
        <v>29353</v>
      </c>
      <c r="B7427" s="28" t="s">
        <v>29354</v>
      </c>
    </row>
    <row r="7428" spans="1:2" x14ac:dyDescent="0.25">
      <c r="A7428" s="28" t="s">
        <v>29355</v>
      </c>
      <c r="B7428" s="28" t="s">
        <v>29356</v>
      </c>
    </row>
    <row r="7429" spans="1:2" x14ac:dyDescent="0.25">
      <c r="A7429" s="28" t="s">
        <v>29357</v>
      </c>
      <c r="B7429" s="28" t="s">
        <v>29358</v>
      </c>
    </row>
    <row r="7430" spans="1:2" x14ac:dyDescent="0.25">
      <c r="A7430" s="28" t="s">
        <v>29359</v>
      </c>
      <c r="B7430" s="28" t="s">
        <v>29360</v>
      </c>
    </row>
    <row r="7431" spans="1:2" x14ac:dyDescent="0.25">
      <c r="A7431" s="28" t="s">
        <v>29361</v>
      </c>
      <c r="B7431" s="28" t="s">
        <v>29362</v>
      </c>
    </row>
    <row r="7432" spans="1:2" x14ac:dyDescent="0.25">
      <c r="A7432" s="28" t="s">
        <v>29363</v>
      </c>
      <c r="B7432" s="28" t="s">
        <v>29364</v>
      </c>
    </row>
    <row r="7433" spans="1:2" x14ac:dyDescent="0.25">
      <c r="A7433" s="28" t="s">
        <v>29365</v>
      </c>
      <c r="B7433" s="28" t="s">
        <v>29366</v>
      </c>
    </row>
    <row r="7434" spans="1:2" x14ac:dyDescent="0.25">
      <c r="A7434" s="28" t="s">
        <v>29367</v>
      </c>
      <c r="B7434" s="28" t="s">
        <v>29368</v>
      </c>
    </row>
    <row r="7435" spans="1:2" x14ac:dyDescent="0.25">
      <c r="A7435" s="28" t="s">
        <v>29369</v>
      </c>
      <c r="B7435" s="28" t="s">
        <v>29370</v>
      </c>
    </row>
    <row r="7436" spans="1:2" x14ac:dyDescent="0.25">
      <c r="A7436" s="28" t="s">
        <v>29371</v>
      </c>
      <c r="B7436" s="28" t="s">
        <v>29372</v>
      </c>
    </row>
    <row r="7437" spans="1:2" x14ac:dyDescent="0.25">
      <c r="A7437" s="28" t="s">
        <v>29373</v>
      </c>
      <c r="B7437" s="28" t="s">
        <v>29374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29375</v>
      </c>
      <c r="B7547" s="28" t="s">
        <v>28496</v>
      </c>
    </row>
    <row r="7548" spans="1:2" x14ac:dyDescent="0.25">
      <c r="A7548" s="28" t="s">
        <v>29376</v>
      </c>
      <c r="B7548" s="28" t="s">
        <v>28491</v>
      </c>
    </row>
    <row r="7549" spans="1:2" x14ac:dyDescent="0.25">
      <c r="A7549" s="28" t="s">
        <v>29377</v>
      </c>
      <c r="B7549" s="28" t="s">
        <v>28489</v>
      </c>
    </row>
    <row r="7550" spans="1:2" x14ac:dyDescent="0.25">
      <c r="A7550" s="28" t="s">
        <v>29378</v>
      </c>
      <c r="B7550" s="28" t="s">
        <v>28487</v>
      </c>
    </row>
    <row r="7551" spans="1:2" x14ac:dyDescent="0.25">
      <c r="A7551" s="28" t="s">
        <v>29379</v>
      </c>
      <c r="B7551" s="28" t="s">
        <v>28494</v>
      </c>
    </row>
    <row r="7552" spans="1:2" x14ac:dyDescent="0.25">
      <c r="A7552" s="28" t="s">
        <v>29380</v>
      </c>
      <c r="B7552" s="28" t="s">
        <v>28493</v>
      </c>
    </row>
    <row r="7553" spans="1:2" x14ac:dyDescent="0.25">
      <c r="A7553" s="28" t="s">
        <v>29381</v>
      </c>
      <c r="B7553" s="28" t="s">
        <v>28485</v>
      </c>
    </row>
    <row r="7554" spans="1:2" x14ac:dyDescent="0.25">
      <c r="A7554" s="28" t="s">
        <v>29382</v>
      </c>
      <c r="B7554" s="28" t="s">
        <v>28490</v>
      </c>
    </row>
    <row r="7555" spans="1:2" x14ac:dyDescent="0.25">
      <c r="A7555" s="28" t="s">
        <v>29383</v>
      </c>
      <c r="B7555" s="28" t="s">
        <v>28495</v>
      </c>
    </row>
    <row r="7556" spans="1:2" x14ac:dyDescent="0.25">
      <c r="A7556" s="28" t="s">
        <v>29384</v>
      </c>
      <c r="B7556" s="28" t="s">
        <v>28488</v>
      </c>
    </row>
    <row r="7557" spans="1:2" x14ac:dyDescent="0.25">
      <c r="A7557" s="28" t="s">
        <v>29385</v>
      </c>
      <c r="B7557" s="28" t="s">
        <v>28492</v>
      </c>
    </row>
    <row r="7558" spans="1:2" x14ac:dyDescent="0.25">
      <c r="A7558" s="28" t="s">
        <v>29386</v>
      </c>
      <c r="B7558" s="28" t="s">
        <v>28486</v>
      </c>
    </row>
    <row r="7559" spans="1:2" x14ac:dyDescent="0.25">
      <c r="A7559" s="28" t="s">
        <v>29387</v>
      </c>
      <c r="B7559" s="28" t="s">
        <v>28504</v>
      </c>
    </row>
    <row r="7560" spans="1:2" x14ac:dyDescent="0.25">
      <c r="A7560" s="28" t="s">
        <v>29388</v>
      </c>
      <c r="B7560" s="28" t="s">
        <v>28500</v>
      </c>
    </row>
    <row r="7561" spans="1:2" x14ac:dyDescent="0.25">
      <c r="A7561" s="28" t="s">
        <v>29389</v>
      </c>
      <c r="B7561" s="28" t="s">
        <v>28510</v>
      </c>
    </row>
    <row r="7562" spans="1:2" x14ac:dyDescent="0.25">
      <c r="A7562" s="28" t="s">
        <v>29390</v>
      </c>
      <c r="B7562" s="28" t="s">
        <v>28502</v>
      </c>
    </row>
    <row r="7563" spans="1:2" x14ac:dyDescent="0.25">
      <c r="A7563" s="28" t="s">
        <v>29391</v>
      </c>
      <c r="B7563" s="28" t="s">
        <v>28498</v>
      </c>
    </row>
    <row r="7564" spans="1:2" x14ac:dyDescent="0.25">
      <c r="A7564" s="28" t="s">
        <v>29392</v>
      </c>
      <c r="B7564" s="28" t="s">
        <v>28507</v>
      </c>
    </row>
    <row r="7565" spans="1:2" x14ac:dyDescent="0.25">
      <c r="A7565" s="28" t="s">
        <v>29393</v>
      </c>
      <c r="B7565" s="28" t="s">
        <v>28506</v>
      </c>
    </row>
    <row r="7566" spans="1:2" x14ac:dyDescent="0.25">
      <c r="A7566" s="28" t="s">
        <v>29394</v>
      </c>
      <c r="B7566" s="28" t="s">
        <v>28497</v>
      </c>
    </row>
    <row r="7567" spans="1:2" x14ac:dyDescent="0.25">
      <c r="A7567" s="28" t="s">
        <v>29395</v>
      </c>
      <c r="B7567" s="28" t="s">
        <v>28509</v>
      </c>
    </row>
    <row r="7568" spans="1:2" x14ac:dyDescent="0.25">
      <c r="A7568" s="28" t="s">
        <v>29396</v>
      </c>
      <c r="B7568" s="28" t="s">
        <v>28499</v>
      </c>
    </row>
    <row r="7569" spans="1:2" x14ac:dyDescent="0.25">
      <c r="A7569" s="28" t="s">
        <v>29397</v>
      </c>
      <c r="B7569" s="28" t="s">
        <v>28503</v>
      </c>
    </row>
    <row r="7570" spans="1:2" x14ac:dyDescent="0.25">
      <c r="A7570" s="28" t="s">
        <v>29398</v>
      </c>
      <c r="B7570" s="28" t="s">
        <v>28508</v>
      </c>
    </row>
    <row r="7571" spans="1:2" x14ac:dyDescent="0.25">
      <c r="A7571" s="28" t="s">
        <v>29399</v>
      </c>
      <c r="B7571" s="28" t="s">
        <v>28501</v>
      </c>
    </row>
    <row r="7572" spans="1:2" x14ac:dyDescent="0.25">
      <c r="A7572" s="28" t="s">
        <v>29400</v>
      </c>
      <c r="B7572" s="28" t="s">
        <v>28505</v>
      </c>
    </row>
    <row r="7573" spans="1:2" x14ac:dyDescent="0.25">
      <c r="A7573" s="28" t="s">
        <v>29401</v>
      </c>
      <c r="B7573" s="28" t="s">
        <v>28515</v>
      </c>
    </row>
    <row r="7574" spans="1:2" x14ac:dyDescent="0.25">
      <c r="A7574" s="28" t="s">
        <v>29402</v>
      </c>
      <c r="B7574" s="28" t="s">
        <v>28513</v>
      </c>
    </row>
    <row r="7575" spans="1:2" x14ac:dyDescent="0.25">
      <c r="A7575" s="28" t="s">
        <v>29403</v>
      </c>
      <c r="B7575" s="28" t="s">
        <v>28516</v>
      </c>
    </row>
    <row r="7576" spans="1:2" x14ac:dyDescent="0.25">
      <c r="A7576" s="28" t="s">
        <v>29404</v>
      </c>
      <c r="B7576" s="28" t="s">
        <v>28512</v>
      </c>
    </row>
    <row r="7577" spans="1:2" x14ac:dyDescent="0.25">
      <c r="A7577" s="28" t="s">
        <v>29405</v>
      </c>
      <c r="B7577" s="28" t="s">
        <v>28514</v>
      </c>
    </row>
    <row r="7578" spans="1:2" x14ac:dyDescent="0.25">
      <c r="A7578" s="28" t="s">
        <v>29406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29407</v>
      </c>
      <c r="B7623" s="28" t="s">
        <v>29408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29409</v>
      </c>
      <c r="B7631" s="28" t="s">
        <v>29410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29411</v>
      </c>
      <c r="B7635" s="28" t="s">
        <v>29412</v>
      </c>
    </row>
    <row r="7636" spans="1:2" x14ac:dyDescent="0.25">
      <c r="A7636" s="28" t="s">
        <v>29413</v>
      </c>
      <c r="B7636" s="28" t="s">
        <v>29414</v>
      </c>
    </row>
    <row r="7637" spans="1:2" x14ac:dyDescent="0.25">
      <c r="A7637" s="28" t="s">
        <v>29415</v>
      </c>
      <c r="B7637" s="28" t="s">
        <v>29416</v>
      </c>
    </row>
    <row r="7638" spans="1:2" x14ac:dyDescent="0.25">
      <c r="A7638" s="28" t="s">
        <v>29417</v>
      </c>
      <c r="B7638" s="28" t="s">
        <v>29418</v>
      </c>
    </row>
    <row r="7639" spans="1:2" x14ac:dyDescent="0.25">
      <c r="A7639" s="28" t="s">
        <v>29419</v>
      </c>
      <c r="B7639" s="28" t="s">
        <v>29420</v>
      </c>
    </row>
    <row r="7640" spans="1:2" x14ac:dyDescent="0.25">
      <c r="A7640" s="28" t="s">
        <v>29421</v>
      </c>
      <c r="B7640" s="28" t="s">
        <v>29422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29423</v>
      </c>
      <c r="B7642" s="28" t="s">
        <v>29424</v>
      </c>
    </row>
    <row r="7643" spans="1:2" x14ac:dyDescent="0.25">
      <c r="A7643" s="28" t="s">
        <v>29425</v>
      </c>
      <c r="B7643" s="28" t="s">
        <v>29426</v>
      </c>
    </row>
    <row r="7644" spans="1:2" x14ac:dyDescent="0.25">
      <c r="A7644" s="28" t="s">
        <v>29427</v>
      </c>
      <c r="B7644" s="28" t="s">
        <v>29428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29429</v>
      </c>
      <c r="B7694" s="28" t="s">
        <v>29430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29431</v>
      </c>
      <c r="B7704" s="28" t="s">
        <v>29432</v>
      </c>
    </row>
    <row r="7705" spans="1:2" x14ac:dyDescent="0.25">
      <c r="A7705" s="28" t="s">
        <v>29433</v>
      </c>
      <c r="B7705" s="28" t="s">
        <v>29434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29435</v>
      </c>
      <c r="B10028" s="28" t="s">
        <v>29436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29437</v>
      </c>
      <c r="B10038" s="28" t="s">
        <v>29438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29439</v>
      </c>
      <c r="B10062" s="28" t="s">
        <v>29440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29441</v>
      </c>
      <c r="B10124" s="28" t="s">
        <v>29442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29443</v>
      </c>
      <c r="B10141" s="28" t="s">
        <v>29444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29445</v>
      </c>
      <c r="B10161" s="28" t="s">
        <v>29446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29447</v>
      </c>
      <c r="B10215" s="28" t="s">
        <v>29448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29449</v>
      </c>
      <c r="B10227" s="28" t="s">
        <v>29450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29451</v>
      </c>
      <c r="B10233" s="28" t="s">
        <v>29452</v>
      </c>
    </row>
    <row r="10234" spans="1:2" x14ac:dyDescent="0.25">
      <c r="A10234" s="28" t="s">
        <v>29453</v>
      </c>
      <c r="B10234" s="28" t="s">
        <v>29454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29455</v>
      </c>
      <c r="B10236" s="28" t="s">
        <v>29456</v>
      </c>
    </row>
    <row r="10237" spans="1:2" x14ac:dyDescent="0.25">
      <c r="A10237" s="28" t="s">
        <v>29457</v>
      </c>
      <c r="B10237" s="28" t="s">
        <v>29458</v>
      </c>
    </row>
    <row r="10238" spans="1:2" x14ac:dyDescent="0.25">
      <c r="A10238" s="28" t="s">
        <v>29459</v>
      </c>
      <c r="B10238" s="28" t="s">
        <v>29460</v>
      </c>
    </row>
    <row r="10239" spans="1:2" x14ac:dyDescent="0.25">
      <c r="A10239" s="28" t="s">
        <v>29461</v>
      </c>
      <c r="B10239" s="28" t="s">
        <v>29462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29463</v>
      </c>
      <c r="B10306" s="28" t="s">
        <v>29464</v>
      </c>
    </row>
    <row r="10307" spans="1:2" x14ac:dyDescent="0.25">
      <c r="A10307" s="28" t="s">
        <v>29465</v>
      </c>
      <c r="B10307" s="28" t="s">
        <v>29466</v>
      </c>
    </row>
    <row r="10308" spans="1:2" x14ac:dyDescent="0.25">
      <c r="A10308" s="28" t="s">
        <v>29467</v>
      </c>
      <c r="B10308" s="28" t="s">
        <v>29468</v>
      </c>
    </row>
    <row r="10309" spans="1:2" x14ac:dyDescent="0.25">
      <c r="A10309" s="28" t="s">
        <v>29469</v>
      </c>
      <c r="B10309" s="28" t="s">
        <v>29470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29471</v>
      </c>
      <c r="B10387" s="28" t="s">
        <v>29472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29473</v>
      </c>
      <c r="B10496" s="28" t="s">
        <v>29474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29475</v>
      </c>
      <c r="B10522" s="28" t="s">
        <v>29476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29477</v>
      </c>
      <c r="B10540" s="28" t="s">
        <v>29478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29479</v>
      </c>
      <c r="B10578" s="28" t="s">
        <v>29480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29481</v>
      </c>
      <c r="B10593" s="28" t="s">
        <v>29482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29483</v>
      </c>
      <c r="B10694" s="28" t="s">
        <v>29484</v>
      </c>
    </row>
    <row r="10695" spans="1:2" x14ac:dyDescent="0.25">
      <c r="A10695" s="28" t="s">
        <v>29485</v>
      </c>
      <c r="B10695" s="28" t="s">
        <v>29486</v>
      </c>
    </row>
    <row r="10696" spans="1:2" x14ac:dyDescent="0.25">
      <c r="A10696" s="28" t="s">
        <v>29487</v>
      </c>
      <c r="B10696" s="28" t="s">
        <v>29488</v>
      </c>
    </row>
    <row r="10697" spans="1:2" x14ac:dyDescent="0.25">
      <c r="A10697" s="28" t="s">
        <v>29489</v>
      </c>
      <c r="B10697" s="28" t="s">
        <v>29490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29491</v>
      </c>
      <c r="B10707" s="28" t="s">
        <v>29492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29493</v>
      </c>
      <c r="B10741" s="28" t="s">
        <v>29494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29495</v>
      </c>
      <c r="B10763" s="28" t="s">
        <v>29496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29497</v>
      </c>
      <c r="B10784" s="28" t="s">
        <v>29498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29499</v>
      </c>
      <c r="B10787" s="28" t="s">
        <v>29500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29501</v>
      </c>
      <c r="B10790" s="28" t="s">
        <v>29502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29503</v>
      </c>
      <c r="B10798" s="28" t="s">
        <v>29504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29505</v>
      </c>
      <c r="B10808" s="28" t="s">
        <v>29506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29507</v>
      </c>
      <c r="B10825" s="28" t="s">
        <v>29508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29509</v>
      </c>
      <c r="B10849" s="28" t="s">
        <v>29510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29511</v>
      </c>
      <c r="B10873" s="28" t="s">
        <v>29512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29513</v>
      </c>
      <c r="B10875" s="28" t="s">
        <v>29514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29515</v>
      </c>
      <c r="B10879" s="28" t="s">
        <v>29516</v>
      </c>
    </row>
    <row r="10880" spans="1:2" x14ac:dyDescent="0.25">
      <c r="A10880" s="28" t="s">
        <v>29517</v>
      </c>
      <c r="B10880" s="28" t="s">
        <v>29518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29519</v>
      </c>
      <c r="B10944" s="28" t="s">
        <v>29520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29521</v>
      </c>
      <c r="B10996" s="28" t="s">
        <v>29522</v>
      </c>
    </row>
    <row r="10997" spans="1:2" x14ac:dyDescent="0.25">
      <c r="A10997" s="28" t="s">
        <v>29523</v>
      </c>
      <c r="B10997" s="28" t="s">
        <v>29524</v>
      </c>
    </row>
    <row r="10998" spans="1:2" x14ac:dyDescent="0.25">
      <c r="A10998" s="28" t="s">
        <v>29525</v>
      </c>
      <c r="B10998" s="28" t="s">
        <v>29526</v>
      </c>
    </row>
    <row r="10999" spans="1:2" x14ac:dyDescent="0.25">
      <c r="A10999" s="28" t="s">
        <v>29527</v>
      </c>
      <c r="B10999" s="28" t="s">
        <v>29528</v>
      </c>
    </row>
    <row r="11000" spans="1:2" x14ac:dyDescent="0.25">
      <c r="A11000" s="28" t="s">
        <v>29529</v>
      </c>
      <c r="B11000" s="28" t="s">
        <v>29530</v>
      </c>
    </row>
    <row r="11001" spans="1:2" x14ac:dyDescent="0.25">
      <c r="A11001" s="28" t="s">
        <v>29531</v>
      </c>
      <c r="B11001" s="28" t="s">
        <v>29532</v>
      </c>
    </row>
    <row r="11002" spans="1:2" x14ac:dyDescent="0.25">
      <c r="A11002" s="28" t="s">
        <v>29533</v>
      </c>
      <c r="B11002" s="28" t="s">
        <v>29534</v>
      </c>
    </row>
    <row r="11003" spans="1:2" x14ac:dyDescent="0.25">
      <c r="A11003" s="28" t="s">
        <v>29535</v>
      </c>
      <c r="B11003" s="28" t="s">
        <v>29536</v>
      </c>
    </row>
    <row r="11004" spans="1:2" x14ac:dyDescent="0.25">
      <c r="A11004" s="28" t="s">
        <v>29537</v>
      </c>
      <c r="B11004" s="28" t="s">
        <v>29538</v>
      </c>
    </row>
    <row r="11005" spans="1:2" x14ac:dyDescent="0.25">
      <c r="A11005" s="28" t="s">
        <v>29539</v>
      </c>
      <c r="B11005" s="28" t="s">
        <v>29540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29541</v>
      </c>
      <c r="B11151" s="28" t="s">
        <v>29542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29543</v>
      </c>
      <c r="B11253" s="28" t="s">
        <v>29544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29545</v>
      </c>
      <c r="B11358" s="28" t="s">
        <v>29546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29547</v>
      </c>
      <c r="B11415" s="28" t="s">
        <v>29548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29549</v>
      </c>
      <c r="B13562" s="30" t="s">
        <v>29550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29551</v>
      </c>
      <c r="B13615" s="30" t="s">
        <v>29552</v>
      </c>
    </row>
    <row r="13616" spans="1:2" x14ac:dyDescent="0.25">
      <c r="A13616" s="30" t="s">
        <v>29553</v>
      </c>
      <c r="B13616" s="30" t="s">
        <v>29554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29555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29556</v>
      </c>
      <c r="B13639" s="30" t="s">
        <v>29557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29558</v>
      </c>
      <c r="B13744" s="30" t="s">
        <v>29559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29560</v>
      </c>
      <c r="B13793" s="30" t="s">
        <v>29561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29562</v>
      </c>
      <c r="B13817" s="30" t="s">
        <v>29563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69"/>
  <sheetViews>
    <sheetView tabSelected="1" topLeftCell="H1" zoomScaleNormal="100" workbookViewId="0">
      <pane ySplit="1" topLeftCell="A32" activePane="bottomLeft" state="frozen"/>
      <selection pane="bottomLeft" activeCell="AL33" sqref="AL33"/>
    </sheetView>
  </sheetViews>
  <sheetFormatPr defaultColWidth="18.7109375" defaultRowHeight="15" outlineLevelCol="1" x14ac:dyDescent="0.25"/>
  <cols>
    <col min="1" max="1" width="10.85546875" style="111" customWidth="1"/>
    <col min="2" max="2" width="36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69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56-055-80</v>
      </c>
      <c r="B2" s="107" t="str">
        <f ca="1">_xlfn.LET(_xlpm.CAPS,1,_xlpm.Style,TRIM(_xlfn.XLOOKUP($A2,Строчный!$A:$A,Строчный!B:B,"ERR",0)),IF(_xlpm.CAPS=0,_xlpm.Style,UPPER(_xlpm.Style)))</f>
        <v>1369804-012 ISO-CHILL DRIVER MESH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Under Armour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UNDER ARMOUR</v>
      </c>
      <c r="H2" s="81" t="str">
        <f ca="1">LOWER(TRIM(_xlfn.XLOOKUP($A2,Строчный!$A:$A,Строчный!H:H,"ERR",0)))</f>
        <v>grey</v>
      </c>
      <c r="I2" s="81" t="str">
        <f ca="1">LOWER(TRIM(_xlfn.XLOOKUP($A2,Строчный!$A:$A,Строчный!I:I,"ERR",0)))</f>
        <v>серый</v>
      </c>
      <c r="J2" s="81" t="str">
        <f ca="1">SUBSTITUTE(LOWER(TRIM(_xlfn.XLOOKUP($A2,Строчный!$A:$A,Строчный!J:J,"ERR",0))),"подклад","Подклад")</f>
        <v>90% полиэстер - 10% эластан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>10013160/080222/3073930</v>
      </c>
      <c r="Q2" s="90">
        <f ca="1">VALUE(_xlfn.XLOOKUP($A2,Строчный!$A:$A,Строчный!N:N,"ERR",0))</f>
        <v>1979.4</v>
      </c>
      <c r="R2" s="89" t="str">
        <f ca="1">_xlfn.XLOOKUP($G2,Фабрика!A:A,Фабрика!B:B,"ERR",0)</f>
        <v>Under Armour Europe B.V.; Stadionplein 10 1076 CM Amsterdam, The Netherlands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3</v>
      </c>
      <c r="U2" s="14" t="s">
        <v>265</v>
      </c>
      <c r="V2" s="101" t="str">
        <f ca="1">TRIM(CONCATENATE(AB2," ",G2," арт. ",B2," (",I2,")"))</f>
        <v>Бейсболка UNDER ARMOUR арт. 1369804-012 ISO-CHILL DRIVER MESH (серый)</v>
      </c>
      <c r="W2" s="100" t="str">
        <f ca="1">TRIM(CONCATENATE(AB2," ",G2," арт. ",B2," (",I2,") {",H2,"}"))</f>
        <v>Бейсболка UNDER ARMOUR арт. 1369804-012 ISO-CHILL DRIVER MESH (серый) {grey}</v>
      </c>
      <c r="X2" s="18" t="str">
        <f t="shared" ref="X2" ca="1" si="0">IFERROR(MID(I2,FIND("-",I2)+1,LEN(I2)),IFERROR(MID(I2,1,FIND("/",I2)-2),I2))</f>
        <v>серый</v>
      </c>
      <c r="Y2" s="18" t="str">
        <f t="shared" ref="Y2" ca="1" si="1">IFERROR(MID(I2,FIND("-",I2)+1,LEN(I2)),IFERROR(MID(I2,FIND("/",I2)+2,LEN(I2)),I2))</f>
        <v>серый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серый</v>
      </c>
      <c r="AA2" s="73" t="str">
        <f ca="1"/>
        <v>56-055-80-00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80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56-054-17</v>
      </c>
      <c r="B3" s="107" t="str">
        <f ca="1">_xlfn.LET(_xlpm.CAPS,1,_xlpm.Style,TRIM(_xlfn.XLOOKUP($A3,Строчный!$A:$A,Строчный!B:B,"ERR",0)),IF(_xlpm.CAPS=0,_xlpm.Style,UPPER(_xlpm.Style)))</f>
        <v>1369785-100 TEAM BLANK CHINO ADJ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Under Armour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UNDER ARMOUR</v>
      </c>
      <c r="H3" s="81" t="str">
        <f ca="1">LOWER(TRIM(_xlfn.XLOOKUP($A3,Строчный!$A:$A,Строчный!H:H,"ERR",0)))</f>
        <v>white</v>
      </c>
      <c r="I3" s="81" t="str">
        <f ca="1">LOWER(TRIM(_xlfn.XLOOKUP($A3,Строчный!$A:$A,Строчный!I:I,"ERR",0)))</f>
        <v>белый</v>
      </c>
      <c r="J3" s="81" t="str">
        <f ca="1">SUBSTITUTE(LOWER(TRIM(_xlfn.XLOOKUP($A3,Строчный!$A:$A,Строчный!J:J,"ERR",0))),"подклад","Подклад")</f>
        <v>65% полиэстер - 35% хлопок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>10013160/080222/3073930</v>
      </c>
      <c r="Q3" s="90">
        <f ca="1">VALUE(_xlfn.XLOOKUP($A3,Строчный!$A:$A,Строчный!N:N,"ERR",0))</f>
        <v>1379.4</v>
      </c>
      <c r="R3" s="89" t="str">
        <f ca="1">_xlfn.XLOOKUP($G3,Фабрика!A:A,Фабрика!B:B,"ERR",0)</f>
        <v>Under Armour Europe B.V.; Stadionplein 10 1076 CM Amsterdam, The Netherlands</v>
      </c>
      <c r="S3" s="80" t="str">
        <f ca="1">_xlfn.XLOOKUP(RIGHT(AA3,2),Размеры!D:D,Размеры!A:A,"ERR",0)</f>
        <v>59</v>
      </c>
      <c r="T3" s="80">
        <f ca="1">VALUE(_xlfn.XLOOKUP($AA3,Строчный!$S:$S,Строчный!U:U,"ERR",0))</f>
        <v>2</v>
      </c>
      <c r="U3" s="14" t="s">
        <v>265</v>
      </c>
      <c r="V3" s="101" t="str">
        <f t="shared" ref="V3:V66" ca="1" si="3">TRIM(CONCATENATE(AB3," ",G3," арт. ",B3," (",I3,")"))</f>
        <v>Бейсболка UNDER ARMOUR арт. 1369785-100 TEAM BLANK CHINO ADJ (белый)</v>
      </c>
      <c r="W3" s="100" t="str">
        <f t="shared" ref="W3:W66" ca="1" si="4">TRIM(CONCATENATE(AB3," ",G3," арт. ",B3," (",I3,") {",H3,"}"))</f>
        <v>Бейсболка UNDER ARMOUR арт. 1369785-100 TEAM BLANK CHINO ADJ (белый) {white}</v>
      </c>
      <c r="X3" s="18" t="str">
        <f t="shared" ref="X3:X66" ca="1" si="5">IFERROR(MID(I3,FIND("-",I3)+1,LEN(I3)),IFERROR(MID(I3,1,FIND("/",I3)-2),I3))</f>
        <v>белый</v>
      </c>
      <c r="Y3" s="18" t="str">
        <f t="shared" ref="Y3:Y66" ca="1" si="6">IFERROR(MID(I3,FIND("-",I3)+1,LEN(I3)),IFERROR(MID(I3,FIND("/",I3)+2,LEN(I3)),I3))</f>
        <v>белый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белый</v>
      </c>
      <c r="AA3" s="73" t="str">
        <f ca="1"/>
        <v>56-054-17-59</v>
      </c>
      <c r="AB3" s="75" t="str">
        <f ca="1">VLOOKUP(C3,Группа!A:B,2,FALSE)</f>
        <v>Бейсболка</v>
      </c>
      <c r="AC3" s="97" t="str">
        <f ca="1">IFERROR(VLOOKUP(S3,Размеры!A:C,3,FALSE),"")</f>
        <v>59 L</v>
      </c>
      <c r="AD3" s="97" t="str">
        <f ca="1">VLOOKUP(I3,ЦветПолный!A:B,2,FALSE)</f>
        <v>17</v>
      </c>
      <c r="AE3" s="97" t="str">
        <f ca="1">IFERROR(VLOOKUP(S3,Размеры!A:D,4,FALSE),"")</f>
        <v>59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56-053-17</v>
      </c>
      <c r="B4" s="107" t="str">
        <f ca="1">_xlfn.LET(_xlpm.CAPS,1,_xlpm.Style,TRIM(_xlfn.XLOOKUP($A4,Строчный!$A:$A,Строчный!B:B,"ERR",0)),IF(_xlpm.CAPS=0,_xlpm.Style,UPPER(_xlpm.Style)))</f>
        <v>1361562-100 ISOCHILL LAUNCH RUN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Under Armour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UNDER ARMOUR</v>
      </c>
      <c r="H4" s="81" t="str">
        <f ca="1">LOWER(TRIM(_xlfn.XLOOKUP($A4,Строчный!$A:$A,Строчный!H:H,"ERR",0)))</f>
        <v>white</v>
      </c>
      <c r="I4" s="81" t="str">
        <f ca="1">LOWER(TRIM(_xlfn.XLOOKUP($A4,Строчный!$A:$A,Строчный!I:I,"ERR",0)))</f>
        <v>белый</v>
      </c>
      <c r="J4" s="81" t="str">
        <f ca="1">SUBSTITUTE(LOWER(TRIM(_xlfn.XLOOKUP($A4,Строчный!$A:$A,Строчный!J:J,"ERR",0))),"подклад","Подклад")</f>
        <v>100% полиэстер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Вьетнам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>10013160/240122/3036324</v>
      </c>
      <c r="Q4" s="90">
        <f ca="1">VALUE(_xlfn.XLOOKUP($A4,Строчный!$A:$A,Строчный!N:N,"ERR",0))</f>
        <v>1979.4</v>
      </c>
      <c r="R4" s="89" t="str">
        <f ca="1">_xlfn.XLOOKUP($G4,Фабрика!A:A,Фабрика!B:B,"ERR",0)</f>
        <v>Under Armour Europe B.V.; Stadionplein 10 1076 CM Amsterdam, The Netherlands</v>
      </c>
      <c r="S4" s="80" t="str">
        <f ca="1">_xlfn.XLOOKUP(RIGHT(AA4,2),Размеры!D:D,Размеры!A:A,"ERR",0)</f>
        <v>59</v>
      </c>
      <c r="T4" s="80">
        <f ca="1">VALUE(_xlfn.XLOOKUP($AA4,Строчный!$S:$S,Строчный!U:U,"ERR",0))</f>
        <v>2</v>
      </c>
      <c r="U4" s="14" t="s">
        <v>265</v>
      </c>
      <c r="V4" s="101" t="str">
        <f t="shared" ca="1" si="3"/>
        <v>Бейсболка UNDER ARMOUR арт. 1361562-100 ISOCHILL LAUNCH RUN (белый)</v>
      </c>
      <c r="W4" s="100" t="str">
        <f t="shared" ca="1" si="4"/>
        <v>Бейсболка UNDER ARMOUR арт. 1361562-100 ISOCHILL LAUNCH RUN (белый) {white}</v>
      </c>
      <c r="X4" s="18" t="str">
        <f t="shared" ca="1" si="5"/>
        <v>белый</v>
      </c>
      <c r="Y4" s="18" t="str">
        <f t="shared" ca="1" si="6"/>
        <v>белый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белый</v>
      </c>
      <c r="AA4" s="73" t="str">
        <f ca="1"/>
        <v>56-053-17-59</v>
      </c>
      <c r="AB4" s="75" t="str">
        <f ca="1">VLOOKUP(C4,Группа!A:B,2,FALSE)</f>
        <v>Бейсболка</v>
      </c>
      <c r="AC4" s="97" t="str">
        <f ca="1">IFERROR(VLOOKUP(S4,Размеры!A:C,3,FALSE),"")</f>
        <v>59 L</v>
      </c>
      <c r="AD4" s="97" t="str">
        <f ca="1">VLOOKUP(I4,ЦветПолный!A:B,2,FALSE)</f>
        <v>17</v>
      </c>
      <c r="AE4" s="97" t="str">
        <f ca="1">IFERROR(VLOOKUP(S4,Размеры!A:D,4,FALSE),"")</f>
        <v>59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56-052-18</v>
      </c>
      <c r="B5" s="107" t="str">
        <f ca="1">_xlfn.LET(_xlpm.CAPS,1,_xlpm.Style,TRIM(_xlfn.XLOOKUP($A5,Строчный!$A:$A,Строчный!B:B,"ERR",0)),IF(_xlpm.CAPS=0,_xlpm.Style,UPPER(_xlpm.Style)))</f>
        <v>1361532-601 UA BLITZING ADJ HAT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Under Armour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UNDER ARMOUR</v>
      </c>
      <c r="H5" s="81" t="str">
        <f ca="1">LOWER(TRIM(_xlfn.XLOOKUP($A5,Строчный!$A:$A,Строчный!H:H,"ERR",0)))</f>
        <v>red</v>
      </c>
      <c r="I5" s="81" t="str">
        <f ca="1">LOWER(TRIM(_xlfn.XLOOKUP($A5,Строчный!$A:$A,Строчный!I:I,"ERR",0)))</f>
        <v>красный</v>
      </c>
      <c r="J5" s="81" t="str">
        <f ca="1">SUBSTITUTE(LOWER(TRIM(_xlfn.XLOOKUP($A5,Строчный!$A:$A,Строчный!J:J,"ERR",0))),"подклад","Подклад")</f>
        <v>100% полиэстер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>10013160/080222/3073930</v>
      </c>
      <c r="Q5" s="90">
        <f ca="1">VALUE(_xlfn.XLOOKUP($A5,Строчный!$A:$A,Строчный!N:N,"ERR",0))</f>
        <v>1439.4</v>
      </c>
      <c r="R5" s="89" t="str">
        <f ca="1">_xlfn.XLOOKUP($G5,Фабрика!A:A,Фабрика!B:B,"ERR",0)</f>
        <v>Under Armour Europe B.V.; Stadionplein 10 1076 CM Amsterdam, The Netherlands</v>
      </c>
      <c r="S5" s="80" t="str">
        <f ca="1">_xlfn.XLOOKUP(RIGHT(AA5,2),Размеры!D:D,Размеры!A:A,"ERR",0)</f>
        <v>59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Бейсболка UNDER ARMOUR арт. 1361532-601 UA BLITZING ADJ HAT (красный)</v>
      </c>
      <c r="W5" s="100" t="str">
        <f t="shared" ca="1" si="4"/>
        <v>Бейсболка UNDER ARMOUR арт. 1361532-601 UA BLITZING ADJ HAT (красный) {red}</v>
      </c>
      <c r="X5" s="18" t="str">
        <f t="shared" ca="1" si="5"/>
        <v>красный</v>
      </c>
      <c r="Y5" s="18" t="str">
        <f t="shared" ca="1" si="6"/>
        <v>красный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красный</v>
      </c>
      <c r="AA5" s="73" t="str">
        <f ca="1"/>
        <v>56-052-18-59</v>
      </c>
      <c r="AB5" s="75" t="str">
        <f ca="1">VLOOKUP(C5,Группа!A:B,2,FALSE)</f>
        <v>Бейсболка</v>
      </c>
      <c r="AC5" s="97" t="str">
        <f ca="1">IFERROR(VLOOKUP(S5,Размеры!A:C,3,FALSE),"")</f>
        <v>59 L</v>
      </c>
      <c r="AD5" s="97" t="str">
        <f ca="1">VLOOKUP(I5,ЦветПолный!A:B,2,FALSE)</f>
        <v>18</v>
      </c>
      <c r="AE5" s="97" t="str">
        <f ca="1">IFERROR(VLOOKUP(S5,Размеры!A:D,4,FALSE),"")</f>
        <v>59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56-051-80</v>
      </c>
      <c r="B6" s="107" t="str">
        <f ca="1">_xlfn.LET(_xlpm.CAPS,1,_xlpm.Style,TRIM(_xlfn.XLOOKUP($A6,Строчный!$A:$A,Строчный!B:B,"ERR",0)),IF(_xlpm.CAPS=0,_xlpm.Style,UPPER(_xlpm.Style)))</f>
        <v>1361532-012 UA BLITZING ADJ HAT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Under Armour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UNDER ARMOUR</v>
      </c>
      <c r="H6" s="81" t="str">
        <f ca="1">LOWER(TRIM(_xlfn.XLOOKUP($A6,Строчный!$A:$A,Строчный!H:H,"ERR",0)))</f>
        <v>grey</v>
      </c>
      <c r="I6" s="81" t="str">
        <f ca="1">LOWER(TRIM(_xlfn.XLOOKUP($A6,Строчный!$A:$A,Строчный!I:I,"ERR",0)))</f>
        <v>серый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>10013160/150222/3091369</v>
      </c>
      <c r="Q6" s="90">
        <f ca="1">VALUE(_xlfn.XLOOKUP($A6,Строчный!$A:$A,Строчный!N:N,"ERR",0))</f>
        <v>1439.4</v>
      </c>
      <c r="R6" s="89" t="str">
        <f ca="1">_xlfn.XLOOKUP($G6,Фабрика!A:A,Фабрика!B:B,"ERR",0)</f>
        <v>Under Armour Europe B.V.; Stadionplein 10 1076 CM Amsterdam, The Netherlands</v>
      </c>
      <c r="S6" s="80" t="str">
        <f ca="1">_xlfn.XLOOKUP(RIGHT(AA6,2),Размеры!D:D,Размеры!A:A,"ERR",0)</f>
        <v>59</v>
      </c>
      <c r="T6" s="80">
        <f ca="1">VALUE(_xlfn.XLOOKUP($AA6,Строчный!$S:$S,Строчный!U:U,"ERR",0))</f>
        <v>3</v>
      </c>
      <c r="U6" s="14" t="s">
        <v>265</v>
      </c>
      <c r="V6" s="101" t="str">
        <f t="shared" ca="1" si="3"/>
        <v>Бейсболка UNDER ARMOUR арт. 1361532-012 UA BLITZING ADJ HAT (серый)</v>
      </c>
      <c r="W6" s="100" t="str">
        <f t="shared" ca="1" si="4"/>
        <v>Бейсболка UNDER ARMOUR арт. 1361532-012 UA BLITZING ADJ HAT (серый) {grey}</v>
      </c>
      <c r="X6" s="18" t="str">
        <f t="shared" ca="1" si="5"/>
        <v>серый</v>
      </c>
      <c r="Y6" s="18" t="str">
        <f t="shared" ca="1" si="6"/>
        <v>серый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серый</v>
      </c>
      <c r="AA6" s="73" t="str">
        <f ca="1"/>
        <v>56-051-80-59</v>
      </c>
      <c r="AB6" s="75" t="str">
        <f ca="1">VLOOKUP(C6,Группа!A:B,2,FALSE)</f>
        <v>Бейсболка</v>
      </c>
      <c r="AC6" s="97" t="str">
        <f ca="1">IFERROR(VLOOKUP(S6,Размеры!A:C,3,FALSE),"")</f>
        <v>59 L</v>
      </c>
      <c r="AD6" s="97" t="str">
        <f ca="1">VLOOKUP(I6,ЦветПолный!A:B,2,FALSE)</f>
        <v>80</v>
      </c>
      <c r="AE6" s="97" t="str">
        <f ca="1">IFERROR(VLOOKUP(S6,Размеры!A:D,4,FALSE),"")</f>
        <v>59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56-050-09</v>
      </c>
      <c r="B7" s="107" t="str">
        <f ca="1">_xlfn.LET(_xlpm.CAPS,1,_xlpm.Style,TRIM(_xlfn.XLOOKUP($A7,Строчный!$A:$A,Строчный!B:B,"ERR",0)),IF(_xlpm.CAPS=0,_xlpm.Style,UPPER(_xlpm.Style)))</f>
        <v>HE2388 UBF ATHLETE A-FLEX CAP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Reebok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REEBOK</v>
      </c>
      <c r="H7" s="81" t="str">
        <f ca="1">LOWER(TRIM(_xlfn.XLOOKUP($A7,Строчный!$A:$A,Строчный!H:H,"ERR",0)))</f>
        <v>black</v>
      </c>
      <c r="I7" s="81" t="str">
        <f ca="1">LOWER(TRIM(_xlfn.XLOOKUP($A7,Строчный!$A:$A,Строчный!I:I,"ERR",0)))</f>
        <v>черный</v>
      </c>
      <c r="J7" s="81" t="str">
        <f ca="1">SUBSTITUTE(LOWER(TRIM(_xlfn.XLOOKUP($A7,Строчный!$A:$A,Строчный!J:J,"ERR",0))),"подклад","Подклад")</f>
        <v>88% полиэстер - 12% эластан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>10216170/120122/3008307</v>
      </c>
      <c r="Q7" s="90">
        <f ca="1">VALUE(_xlfn.XLOOKUP($A7,Строчный!$A:$A,Строчный!N:N,"ERR",0))</f>
        <v>1889.37</v>
      </c>
      <c r="R7" s="89" t="str">
        <f ca="1">_xlfn.XLOOKUP($G7,Фабрика!A:A,Фабрика!B:B,"ERR",0)</f>
        <v>Adidas International Trading AG; Switzerland, Platz 1b, 6039 Root D4</v>
      </c>
      <c r="S7" s="80" t="str">
        <f ca="1">_xlfn.XLOOKUP(RIGHT(AA7,2),Размеры!D:D,Размеры!A:A,"ERR",0)</f>
        <v>57</v>
      </c>
      <c r="T7" s="80">
        <f ca="1">VALUE(_xlfn.XLOOKUP($AA7,Строчный!$S:$S,Строчный!U:U,"ERR",0))</f>
        <v>2</v>
      </c>
      <c r="U7" s="14" t="s">
        <v>265</v>
      </c>
      <c r="V7" s="101" t="str">
        <f t="shared" ca="1" si="3"/>
        <v>Бейсболка REEBOK арт. HE2388 UBF ATHLETE A-FLEX CAP (черный)</v>
      </c>
      <c r="W7" s="100" t="str">
        <f t="shared" ca="1" si="4"/>
        <v>Бейсболка REEBOK арт. HE2388 UBF ATHLETE A-FLEX CAP (черный) {black}</v>
      </c>
      <c r="X7" s="18" t="str">
        <f t="shared" ca="1" si="5"/>
        <v>черный</v>
      </c>
      <c r="Y7" s="18" t="str">
        <f t="shared" ca="1" si="6"/>
        <v>черный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3" t="str">
        <f ca="1"/>
        <v>56-050-09-57</v>
      </c>
      <c r="AB7" s="75" t="str">
        <f ca="1">VLOOKUP(C7,Группа!A:B,2,FALSE)</f>
        <v>Бейсболка</v>
      </c>
      <c r="AC7" s="97" t="str">
        <f ca="1">IFERROR(VLOOKUP(S7,Размеры!A:C,3,FALSE),"")</f>
        <v>57 M</v>
      </c>
      <c r="AD7" s="97" t="str">
        <f ca="1">VLOOKUP(I7,ЦветПолный!A:B,2,FALSE)</f>
        <v>09</v>
      </c>
      <c r="AE7" s="97" t="str">
        <f ca="1">IFERROR(VLOOKUP(S7,Размеры!A:D,4,FALSE),"")</f>
        <v>57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56-050-09</v>
      </c>
      <c r="B8" s="107" t="str">
        <f ca="1">_xlfn.LET(_xlpm.CAPS,1,_xlpm.Style,TRIM(_xlfn.XLOOKUP($A8,Строчный!$A:$A,Строчный!B:B,"ERR",0)),IF(_xlpm.CAPS=0,_xlpm.Style,UPPER(_xlpm.Style)))</f>
        <v>HE2388 UBF ATHLETE A-FLEX CAP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Reebok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REEBOK</v>
      </c>
      <c r="H8" s="81" t="str">
        <f ca="1">LOWER(TRIM(_xlfn.XLOOKUP($A8,Строчный!$A:$A,Строчный!H:H,"ERR",0)))</f>
        <v>black</v>
      </c>
      <c r="I8" s="81" t="str">
        <f ca="1">LOWER(TRIM(_xlfn.XLOOKUP($A8,Строчный!$A:$A,Строчный!I:I,"ERR",0)))</f>
        <v>черный</v>
      </c>
      <c r="J8" s="81" t="str">
        <f ca="1">SUBSTITUTE(LOWER(TRIM(_xlfn.XLOOKUP($A8,Строчный!$A:$A,Строчный!J:J,"ERR",0))),"подклад","Подклад")</f>
        <v>88% полиэстер - 12% эластан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>10216170/120122/3008307</v>
      </c>
      <c r="Q8" s="90">
        <f ca="1">VALUE(_xlfn.XLOOKUP($A8,Строчный!$A:$A,Строчный!N:N,"ERR",0))</f>
        <v>1889.37</v>
      </c>
      <c r="R8" s="89" t="str">
        <f ca="1">_xlfn.XLOOKUP($G8,Фабрика!A:A,Фабрика!B:B,"ERR",0)</f>
        <v>Adidas International Trading AG; Switzerland, Platz 1b, 6039 Root D4</v>
      </c>
      <c r="S8" s="80" t="str">
        <f ca="1">_xlfn.XLOOKUP(RIGHT(AA8,2),Размеры!D:D,Размеры!A:A,"ERR",0)</f>
        <v>56</v>
      </c>
      <c r="T8" s="80">
        <f ca="1">VALUE(_xlfn.XLOOKUP($AA8,Строчный!$S:$S,Строчный!U:U,"ERR",0))</f>
        <v>1</v>
      </c>
      <c r="U8" s="14" t="s">
        <v>265</v>
      </c>
      <c r="V8" s="101" t="str">
        <f t="shared" ca="1" si="3"/>
        <v>Бейсболка REEBOK арт. HE2388 UBF ATHLETE A-FLEX CAP (черный)</v>
      </c>
      <c r="W8" s="100" t="str">
        <f t="shared" ca="1" si="4"/>
        <v>Бейсболка REEBOK арт. HE2388 UBF ATHLETE A-FLEX CAP (черный) {black}</v>
      </c>
      <c r="X8" s="18" t="str">
        <f t="shared" ca="1" si="5"/>
        <v>черный</v>
      </c>
      <c r="Y8" s="18" t="str">
        <f t="shared" ca="1" si="6"/>
        <v>черный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черный</v>
      </c>
      <c r="AA8" s="73" t="str">
        <f ca="1"/>
        <v>56-050-09-56</v>
      </c>
      <c r="AB8" s="75" t="str">
        <f ca="1">VLOOKUP(C8,Группа!A:B,2,FALSE)</f>
        <v>Бейсболка</v>
      </c>
      <c r="AC8" s="97" t="str">
        <f ca="1">IFERROR(VLOOKUP(S8,Размеры!A:C,3,FALSE),"")</f>
        <v>56 S/M</v>
      </c>
      <c r="AD8" s="97" t="str">
        <f ca="1">VLOOKUP(I8,ЦветПолный!A:B,2,FALSE)</f>
        <v>09</v>
      </c>
      <c r="AE8" s="97" t="str">
        <f ca="1">IFERROR(VLOOKUP(S8,Размеры!A:D,4,FALSE),"")</f>
        <v>56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56-049-06</v>
      </c>
      <c r="B9" s="107" t="str">
        <f ca="1">_xlfn.LET(_xlpm.CAPS,1,_xlpm.Style,TRIM(_xlfn.XLOOKUP($A9,Строчный!$A:$A,Строчный!B:B,"ERR",0)),IF(_xlpm.CAPS=0,_xlpm.Style,UPPER(_xlpm.Style)))</f>
        <v>HE2381 UBF BASEB CAP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Reebok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REEBOK</v>
      </c>
      <c r="H9" s="81" t="str">
        <f ca="1">LOWER(TRIM(_xlfn.XLOOKUP($A9,Строчный!$A:$A,Строчный!H:H,"ERR",0)))</f>
        <v>blue</v>
      </c>
      <c r="I9" s="81" t="str">
        <f ca="1">LOWER(TRIM(_xlfn.XLOOKUP($A9,Строчный!$A:$A,Строчный!I:I,"ERR",0)))</f>
        <v>синий</v>
      </c>
      <c r="J9" s="81" t="str">
        <f ca="1">SUBSTITUTE(LOWER(TRIM(_xlfn.XLOOKUP($A9,Строчный!$A:$A,Строчный!J:J,"ERR",0))),"подклад","Подклад")</f>
        <v>100% полиэстер</v>
      </c>
      <c r="K9" s="81" t="str">
        <f ca="1">LOWER(TRIM(_xlfn.XLOOKUP($A9,Строчный!$A:$A,Строчный!K:K,"ERR",0)))</f>
        <v/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>10216170/040222/3033990</v>
      </c>
      <c r="Q9" s="90">
        <f ca="1">VALUE(_xlfn.XLOOKUP($A9,Строчный!$A:$A,Строчный!N:N,"ERR",0))</f>
        <v>1889.37</v>
      </c>
      <c r="R9" s="89" t="str">
        <f ca="1">_xlfn.XLOOKUP($G9,Фабрика!A:A,Фабрика!B:B,"ERR",0)</f>
        <v>Adidas International Trading AG; Switzerland, Platz 1b, 6039 Root D4</v>
      </c>
      <c r="S9" s="80" t="str">
        <f ca="1">_xlfn.XLOOKUP(RIGHT(AA9,2),Размеры!D:D,Размеры!A:A,"ERR",0)</f>
        <v>57</v>
      </c>
      <c r="T9" s="80">
        <f ca="1">VALUE(_xlfn.XLOOKUP($AA9,Строчный!$S:$S,Строчный!U:U,"ERR",0))</f>
        <v>2</v>
      </c>
      <c r="U9" s="14" t="s">
        <v>265</v>
      </c>
      <c r="V9" s="101" t="str">
        <f t="shared" ca="1" si="3"/>
        <v>Бейсболка REEBOK арт. HE2381 UBF BASEB CAP (синий)</v>
      </c>
      <c r="W9" s="100" t="str">
        <f t="shared" ca="1" si="4"/>
        <v>Бейсболка REEBOK арт. HE2381 UBF BASEB CAP (синий) {blue}</v>
      </c>
      <c r="X9" s="18" t="str">
        <f t="shared" ca="1" si="5"/>
        <v>синий</v>
      </c>
      <c r="Y9" s="18" t="str">
        <f t="shared" ca="1" si="6"/>
        <v>синий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синий</v>
      </c>
      <c r="AA9" s="73" t="str">
        <f ca="1"/>
        <v>56-049-06-57</v>
      </c>
      <c r="AB9" s="75" t="str">
        <f ca="1">VLOOKUP(C9,Группа!A:B,2,FALSE)</f>
        <v>Бейсболка</v>
      </c>
      <c r="AC9" s="97" t="str">
        <f ca="1">IFERROR(VLOOKUP(S9,Размеры!A:C,3,FALSE),"")</f>
        <v>57 M</v>
      </c>
      <c r="AD9" s="97" t="str">
        <f ca="1">VLOOKUP(I9,ЦветПолный!A:B,2,FALSE)</f>
        <v>06</v>
      </c>
      <c r="AE9" s="97" t="str">
        <f ca="1">IFERROR(VLOOKUP(S9,Размеры!A:D,4,FALSE),"")</f>
        <v>57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0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56-048-80</v>
      </c>
      <c r="B10" s="107" t="str">
        <f ca="1">_xlfn.LET(_xlpm.CAPS,1,_xlpm.Style,TRIM(_xlfn.XLOOKUP($A10,Строчный!$A:$A,Строчный!B:B,"ERR",0)),IF(_xlpm.CAPS=0,_xlpm.Style,UPPER(_xlpm.Style)))</f>
        <v>HD9887 TE LOGO CAP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Reebok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REEBOK</v>
      </c>
      <c r="H10" s="81" t="str">
        <f ca="1">LOWER(TRIM(_xlfn.XLOOKUP($A10,Строчный!$A:$A,Строчный!H:H,"ERR",0)))</f>
        <v>grey</v>
      </c>
      <c r="I10" s="81" t="str">
        <f ca="1">LOWER(TRIM(_xlfn.XLOOKUP($A10,Строчный!$A:$A,Строчный!I:I,"ERR",0)))</f>
        <v>серый</v>
      </c>
      <c r="J10" s="81" t="str">
        <f ca="1">SUBSTITUTE(LOWER(TRIM(_xlfn.XLOOKUP($A10,Строчный!$A:$A,Строчный!J:J,"ERR",0))),"подклад","Подклад")</f>
        <v>100% хлопок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>10216170/070122/3004177</v>
      </c>
      <c r="Q10" s="90">
        <f ca="1">VALUE(_xlfn.XLOOKUP($A10,Строчный!$A:$A,Строчный!N:N,"ERR",0))</f>
        <v>1259.3699999999999</v>
      </c>
      <c r="R10" s="89" t="str">
        <f ca="1">_xlfn.XLOOKUP($G10,Фабрика!A:A,Фабрика!B:B,"ERR",0)</f>
        <v>Adidas International Trading AG; Switzerland, Platz 1b, 6039 Root D4</v>
      </c>
      <c r="S10" s="80" t="str">
        <f ca="1">_xlfn.XLOOKUP(RIGHT(AA10,2),Размеры!D:D,Размеры!A:A,"ERR",0)</f>
        <v>57</v>
      </c>
      <c r="T10" s="80">
        <f ca="1">VALUE(_xlfn.XLOOKUP($AA10,Строчный!$S:$S,Строчный!U:U,"ERR",0))</f>
        <v>2</v>
      </c>
      <c r="U10" s="14" t="s">
        <v>265</v>
      </c>
      <c r="V10" s="101" t="str">
        <f t="shared" ca="1" si="3"/>
        <v>Бейсболка REEBOK арт. HD9887 TE LOGO CAP (серый)</v>
      </c>
      <c r="W10" s="100" t="str">
        <f t="shared" ca="1" si="4"/>
        <v>Бейсболка REEBOK арт. HD9887 TE LOGO CAP (серый) {grey}</v>
      </c>
      <c r="X10" s="18" t="str">
        <f t="shared" ca="1" si="5"/>
        <v>серый</v>
      </c>
      <c r="Y10" s="18" t="str">
        <f t="shared" ca="1" si="6"/>
        <v>серый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3" t="str">
        <f ca="1"/>
        <v>56-048-80-57</v>
      </c>
      <c r="AB10" s="75" t="str">
        <f ca="1">VLOOKUP(C10,Группа!A:B,2,FALSE)</f>
        <v>Бейсболка</v>
      </c>
      <c r="AC10" s="97" t="str">
        <f ca="1">IFERROR(VLOOKUP(S10,Размеры!A:C,3,FALSE),"")</f>
        <v>57 M</v>
      </c>
      <c r="AD10" s="97" t="str">
        <f ca="1">VLOOKUP(I10,ЦветПолный!A:B,2,FALSE)</f>
        <v>80</v>
      </c>
      <c r="AE10" s="97" t="str">
        <f ca="1">IFERROR(VLOOKUP(S10,Размеры!A:D,4,FALSE),"")</f>
        <v>57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56-047-19</v>
      </c>
      <c r="B11" s="107" t="str">
        <f ca="1">_xlfn.LET(_xlpm.CAPS,1,_xlpm.Style,TRIM(_xlfn.XLOOKUP($A11,Строчный!$A:$A,Строчный!B:B,"ERR",0)),IF(_xlpm.CAPS=0,_xlpm.Style,UPPER(_xlpm.Style)))</f>
        <v>HD9884 TE BADGE CAP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Reebok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REEBOK</v>
      </c>
      <c r="H11" s="81" t="str">
        <f ca="1">LOWER(TRIM(_xlfn.XLOOKUP($A11,Строчный!$A:$A,Строчный!H:H,"ERR",0)))</f>
        <v>lt.blue</v>
      </c>
      <c r="I11" s="81" t="str">
        <f ca="1">LOWER(TRIM(_xlfn.XLOOKUP($A11,Строчный!$A:$A,Строчный!I:I,"ERR",0)))</f>
        <v>голубой</v>
      </c>
      <c r="J11" s="81" t="str">
        <f ca="1">SUBSTITUTE(LOWER(TRIM(_xlfn.XLOOKUP($A11,Строчный!$A:$A,Строчный!J:J,"ERR",0))),"подклад","Подклад")</f>
        <v>100% хлопок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>10216170/181221/0373733</v>
      </c>
      <c r="Q11" s="90">
        <f ca="1">VALUE(_xlfn.XLOOKUP($A11,Строчный!$A:$A,Строчный!N:N,"ERR",0))</f>
        <v>1259.3699999999999</v>
      </c>
      <c r="R11" s="89" t="str">
        <f ca="1">_xlfn.XLOOKUP($G11,Фабрика!A:A,Фабрика!B:B,"ERR",0)</f>
        <v>Adidas International Trading AG; Switzerland, Platz 1b, 6039 Root D4</v>
      </c>
      <c r="S11" s="80" t="str">
        <f ca="1">_xlfn.XLOOKUP(RIGHT(AA11,2),Размеры!D:D,Размеры!A:A,"ERR",0)</f>
        <v>57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Бейсболка REEBOK арт. HD9884 TE BADGE CAP (голубой)</v>
      </c>
      <c r="W11" s="100" t="str">
        <f t="shared" ca="1" si="4"/>
        <v>Бейсболка REEBOK арт. HD9884 TE BADGE CAP (голубой) {lt.blue}</v>
      </c>
      <c r="X11" s="18" t="str">
        <f t="shared" ca="1" si="5"/>
        <v>голубой</v>
      </c>
      <c r="Y11" s="18" t="str">
        <f t="shared" ca="1" si="6"/>
        <v>голубой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голубой</v>
      </c>
      <c r="AA11" s="73" t="str">
        <f ca="1"/>
        <v>56-047-19-57</v>
      </c>
      <c r="AB11" s="75" t="str">
        <f ca="1">VLOOKUP(C11,Группа!A:B,2,FALSE)</f>
        <v>Бейсболка</v>
      </c>
      <c r="AC11" s="97" t="str">
        <f ca="1">IFERROR(VLOOKUP(S11,Размеры!A:C,3,FALSE),"")</f>
        <v>57 M</v>
      </c>
      <c r="AD11" s="97" t="str">
        <f ca="1">VLOOKUP(I11,ЦветПолный!A:B,2,FALSE)</f>
        <v>19</v>
      </c>
      <c r="AE11" s="97" t="str">
        <f ca="1">IFERROR(VLOOKUP(S11,Размеры!A:D,4,FALSE),"")</f>
        <v>57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56-046-34</v>
      </c>
      <c r="B12" s="107" t="str">
        <f ca="1">_xlfn.LET(_xlpm.CAPS,1,_xlpm.Style,TRIM(_xlfn.XLOOKUP($A12,Строчный!$A:$A,Строчный!B:B,"ERR",0)),IF(_xlpm.CAPS=0,_xlpm.Style,UPPER(_xlpm.Style)))</f>
        <v>HD9885 TE BADGE CAP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Reebok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REEBOK</v>
      </c>
      <c r="H12" s="81" t="str">
        <f ca="1">LOWER(TRIM(_xlfn.XLOOKUP($A12,Строчный!$A:$A,Строчный!H:H,"ERR",0)))</f>
        <v>pink</v>
      </c>
      <c r="I12" s="81" t="str">
        <f ca="1">LOWER(TRIM(_xlfn.XLOOKUP($A12,Строчный!$A:$A,Строчный!I:I,"ERR",0)))</f>
        <v>розовый</v>
      </c>
      <c r="J12" s="81" t="str">
        <f ca="1">SUBSTITUTE(LOWER(TRIM(_xlfn.XLOOKUP($A12,Строчный!$A:$A,Строчный!J:J,"ERR",0))),"подклад","Подклад")</f>
        <v>100% хлопок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Женский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>10216170/181221/0373538</v>
      </c>
      <c r="Q12" s="90">
        <f ca="1">VALUE(_xlfn.XLOOKUP($A12,Строчный!$A:$A,Строчный!N:N,"ERR",0))</f>
        <v>1259.3699999999999</v>
      </c>
      <c r="R12" s="89" t="str">
        <f ca="1">_xlfn.XLOOKUP($G12,Фабрика!A:A,Фабрика!B:B,"ERR",0)</f>
        <v>Adidas International Trading AG; Switzerland, Platz 1b, 6039 Root D4</v>
      </c>
      <c r="S12" s="80" t="str">
        <f ca="1">_xlfn.XLOOKUP(RIGHT(AA12,2),Размеры!D:D,Размеры!A:A,"ERR",0)</f>
        <v>57</v>
      </c>
      <c r="T12" s="80">
        <f ca="1">VALUE(_xlfn.XLOOKUP($AA12,Строчный!$S:$S,Строчный!U:U,"ERR",0))</f>
        <v>2</v>
      </c>
      <c r="U12" s="14" t="s">
        <v>265</v>
      </c>
      <c r="V12" s="101" t="str">
        <f t="shared" ca="1" si="3"/>
        <v>Бейсболка REEBOK арт. HD9885 TE BADGE CAP (розовый)</v>
      </c>
      <c r="W12" s="100" t="str">
        <f t="shared" ca="1" si="4"/>
        <v>Бейсболка REEBOK арт. HD9885 TE BADGE CAP (розовый) {pink}</v>
      </c>
      <c r="X12" s="18" t="str">
        <f t="shared" ca="1" si="5"/>
        <v>розовый</v>
      </c>
      <c r="Y12" s="18" t="str">
        <f t="shared" ca="1" si="6"/>
        <v>розовый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розовый</v>
      </c>
      <c r="AA12" s="73" t="str">
        <f ca="1"/>
        <v>56-046-34-57</v>
      </c>
      <c r="AB12" s="75" t="str">
        <f ca="1">VLOOKUP(C12,Группа!A:B,2,FALSE)</f>
        <v>Бейсболка</v>
      </c>
      <c r="AC12" s="97" t="str">
        <f ca="1">IFERROR(VLOOKUP(S12,Размеры!A:C,3,FALSE),"")</f>
        <v>57 M</v>
      </c>
      <c r="AD12" s="97" t="str">
        <f ca="1">VLOOKUP(I12,ЦветПолный!A:B,2,FALSE)</f>
        <v>34</v>
      </c>
      <c r="AE12" s="97" t="str">
        <f ca="1">IFERROR(VLOOKUP(S12,Размеры!A:D,4,FALSE),"")</f>
        <v>57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56-045-09</v>
      </c>
      <c r="B13" s="107" t="str">
        <f ca="1">_xlfn.LET(_xlpm.CAPS,1,_xlpm.Style,TRIM(_xlfn.XLOOKUP($A13,Строчный!$A:$A,Строчный!B:B,"ERR",0)),IF(_xlpm.CAPS=0,_xlpm.Style,UPPER(_xlpm.Style)))</f>
        <v>GP0124 TE LOGO CAP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</v>
      </c>
      <c r="E13" s="81" t="str">
        <f ca="1">PROPER(TRIM(_xlfn.XLOOKUP($A13,Строчный!$A:$A,Строчный!E:E,"ERR",0)))</f>
        <v>Reebok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REEBOK</v>
      </c>
      <c r="H13" s="81" t="str">
        <f ca="1">LOWER(TRIM(_xlfn.XLOOKUP($A13,Строчный!$A:$A,Строчный!H:H,"ERR",0)))</f>
        <v>black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100% полиэстер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>10216170/180222/3049596</v>
      </c>
      <c r="Q13" s="90">
        <f ca="1">VALUE(_xlfn.XLOOKUP($A13,Строчный!$A:$A,Строчный!N:N,"ERR",0))</f>
        <v>1259.3699999999999</v>
      </c>
      <c r="R13" s="89" t="str">
        <f ca="1">_xlfn.XLOOKUP($G13,Фабрика!A:A,Фабрика!B:B,"ERR",0)</f>
        <v>Adidas International Trading AG; Switzerland, Platz 1b, 6039 Root D4</v>
      </c>
      <c r="S13" s="80" t="str">
        <f ca="1">_xlfn.XLOOKUP(RIGHT(AA13,2),Размеры!D:D,Размеры!A:A,"ERR",0)</f>
        <v>57</v>
      </c>
      <c r="T13" s="80">
        <f ca="1">VALUE(_xlfn.XLOOKUP($AA13,Строчный!$S:$S,Строчный!U:U,"ERR",0))</f>
        <v>4</v>
      </c>
      <c r="U13" s="14" t="s">
        <v>265</v>
      </c>
      <c r="V13" s="101" t="str">
        <f t="shared" ca="1" si="3"/>
        <v>Бейсболка REEBOK арт. GP0124 TE LOGO CAP (черный)</v>
      </c>
      <c r="W13" s="100" t="str">
        <f t="shared" ca="1" si="4"/>
        <v>Бейсболка REEBOK арт. GP0124 TE LOGO CAP (черный) {black}</v>
      </c>
      <c r="X13" s="18" t="str">
        <f t="shared" ca="1" si="5"/>
        <v>черный</v>
      </c>
      <c r="Y13" s="18" t="str">
        <f t="shared" ca="1" si="6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56-045-09-57</v>
      </c>
      <c r="AB13" s="75" t="str">
        <f ca="1">VLOOKUP(C13,Группа!A:B,2,FALSE)</f>
        <v>Бейсболка</v>
      </c>
      <c r="AC13" s="97" t="str">
        <f ca="1">IFERROR(VLOOKUP(S13,Размеры!A:C,3,FALSE),"")</f>
        <v>57 M</v>
      </c>
      <c r="AD13" s="97" t="str">
        <f ca="1">VLOOKUP(I13,ЦветПолный!A:B,2,FALSE)</f>
        <v>09</v>
      </c>
      <c r="AE13" s="97" t="str">
        <f ca="1">IFERROR(VLOOKUP(S13,Размеры!A:D,4,FALSE),"")</f>
        <v>57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56-044-17</v>
      </c>
      <c r="B14" s="107" t="str">
        <f ca="1">_xlfn.LET(_xlpm.CAPS,1,_xlpm.Style,TRIM(_xlfn.XLOOKUP($A14,Строчный!$A:$A,Строчный!B:B,"ERR",0)),IF(_xlpm.CAPS=0,_xlpm.Style,UPPER(_xlpm.Style)))</f>
        <v>5291902 ESS CAP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Puma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PUMA</v>
      </c>
      <c r="H14" s="81" t="str">
        <f ca="1">LOWER(TRIM(_xlfn.XLOOKUP($A14,Строчный!$A:$A,Строчный!H:H,"ERR",0)))</f>
        <v>white</v>
      </c>
      <c r="I14" s="81" t="str">
        <f ca="1">LOWER(TRIM(_xlfn.XLOOKUP($A14,Строчный!$A:$A,Строчный!I:I,"ERR",0)))</f>
        <v>белый</v>
      </c>
      <c r="J14" s="81" t="str">
        <f ca="1">SUBSTITUTE(LOWER(TRIM(_xlfn.XLOOKUP($A14,Строчный!$A:$A,Строчный!J:J,"ERR",0))),"подклад","Подклад")</f>
        <v>100%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Бангладеш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>10702070/240621/0189320/012</v>
      </c>
      <c r="Q14" s="90">
        <f ca="1">VALUE(_xlfn.XLOOKUP($A14,Строчный!$A:$A,Строчный!N:N,"ERR",0))</f>
        <v>894</v>
      </c>
      <c r="R14" s="89" t="str">
        <f ca="1">_xlfn.XLOOKUP($G14,Фабрика!A:A,Фабрика!B:B,"ERR",0)</f>
        <v>Puma SE Rudolf Dassler Sport; Puma way 1, D-91074 Herzogenaurach, Germany</v>
      </c>
      <c r="S14" s="80" t="str">
        <f ca="1">_xlfn.XLOOKUP(RIGHT(AA14,2),Размеры!D:D,Размеры!A:A,"ERR",0)</f>
        <v>57</v>
      </c>
      <c r="T14" s="80">
        <f ca="1">VALUE(_xlfn.XLOOKUP($AA14,Строчный!$S:$S,Строчный!U:U,"ERR",0))</f>
        <v>3</v>
      </c>
      <c r="U14" s="14" t="s">
        <v>265</v>
      </c>
      <c r="V14" s="101" t="str">
        <f t="shared" ca="1" si="3"/>
        <v>Бейсболка PUMA арт. 5291902 ESS CAP (белый)</v>
      </c>
      <c r="W14" s="100" t="str">
        <f t="shared" ca="1" si="4"/>
        <v>Бейсболка PUMA арт. 5291902 ESS CAP (белый) {white}</v>
      </c>
      <c r="X14" s="18" t="str">
        <f t="shared" ca="1" si="5"/>
        <v>белый</v>
      </c>
      <c r="Y14" s="18" t="str">
        <f t="shared" ca="1" si="6"/>
        <v>белый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белый</v>
      </c>
      <c r="AA14" s="73" t="str">
        <f ca="1"/>
        <v>56-044-17-57</v>
      </c>
      <c r="AB14" s="75" t="str">
        <f ca="1">VLOOKUP(C14,Группа!A:B,2,FALSE)</f>
        <v>Бейсболка</v>
      </c>
      <c r="AC14" s="97" t="str">
        <f ca="1">IFERROR(VLOOKUP(S14,Размеры!A:C,3,FALSE),"")</f>
        <v>57 M</v>
      </c>
      <c r="AD14" s="97" t="str">
        <f ca="1">VLOOKUP(I14,ЦветПолный!A:B,2,FALSE)</f>
        <v>17</v>
      </c>
      <c r="AE14" s="97" t="str">
        <f ca="1">IFERROR(VLOOKUP(S14,Размеры!A:D,4,FALSE),"")</f>
        <v>57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56-043-09</v>
      </c>
      <c r="B15" s="107" t="str">
        <f ca="1">_xlfn.LET(_xlpm.CAPS,1,_xlpm.Style,TRIM(_xlfn.XLOOKUP($A15,Строчный!$A:$A,Строчный!B:B,"ERR",0)),IF(_xlpm.CAPS=0,_xlpm.Style,UPPER(_xlpm.Style)))</f>
        <v>5291901 ESS CAP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Puma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PUMA</v>
      </c>
      <c r="H15" s="81" t="str">
        <f ca="1">LOWER(TRIM(_xlfn.XLOOKUP($A15,Строчный!$A:$A,Строчный!H:H,"ERR",0)))</f>
        <v>black</v>
      </c>
      <c r="I15" s="81" t="str">
        <f ca="1">LOWER(TRIM(_xlfn.XLOOKUP($A15,Строчный!$A:$A,Строчный!I:I,"ERR",0)))</f>
        <v>черный</v>
      </c>
      <c r="J15" s="81" t="str">
        <f ca="1">SUBSTITUTE(LOWER(TRIM(_xlfn.XLOOKUP($A15,Строчный!$A:$A,Строчный!J:J,"ERR",0))),"подклад","Подклад")</f>
        <v>100%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Бангладеш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PROPER(TRIM(_xlfn.XLOOKUP($A15,Строчный!$A:$A,Строчный!R:R,"ERR",0)))</f>
        <v>10702070/240621/0189320/012</v>
      </c>
      <c r="Q15" s="90">
        <f ca="1">VALUE(_xlfn.XLOOKUP($A15,Строчный!$A:$A,Строчный!N:N,"ERR",0))</f>
        <v>894</v>
      </c>
      <c r="R15" s="89" t="str">
        <f ca="1">_xlfn.XLOOKUP($G15,Фабрика!A:A,Фабрика!B:B,"ERR",0)</f>
        <v>Puma SE Rudolf Dassler Sport; Puma way 1, D-91074 Herzogenaurach, Germany</v>
      </c>
      <c r="S15" s="80" t="str">
        <f ca="1">_xlfn.XLOOKUP(RIGHT(AA15,2),Размеры!D:D,Размеры!A:A,"ERR",0)</f>
        <v>57</v>
      </c>
      <c r="T15" s="80">
        <f ca="1">VALUE(_xlfn.XLOOKUP($AA15,Строчный!$S:$S,Строчный!U:U,"ERR",0))</f>
        <v>6</v>
      </c>
      <c r="U15" s="14" t="s">
        <v>265</v>
      </c>
      <c r="V15" s="101" t="str">
        <f t="shared" ca="1" si="3"/>
        <v>Бейсболка PUMA арт. 5291901 ESS CAP (черный)</v>
      </c>
      <c r="W15" s="100" t="str">
        <f t="shared" ca="1" si="4"/>
        <v>Бейсболка PUMA арт. 5291901 ESS CAP (черный) {black}</v>
      </c>
      <c r="X15" s="18" t="str">
        <f t="shared" ca="1" si="5"/>
        <v>черный</v>
      </c>
      <c r="Y15" s="18" t="str">
        <f t="shared" ca="1" si="6"/>
        <v>черный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3" t="str">
        <f ca="1"/>
        <v>56-043-09-57</v>
      </c>
      <c r="AB15" s="75" t="str">
        <f ca="1">VLOOKUP(C15,Группа!A:B,2,FALSE)</f>
        <v>Бейсболка</v>
      </c>
      <c r="AC15" s="97" t="str">
        <f ca="1">IFERROR(VLOOKUP(S15,Размеры!A:C,3,FALSE),"")</f>
        <v>57 M</v>
      </c>
      <c r="AD15" s="97" t="str">
        <f ca="1">VLOOKUP(I15,ЦветПолный!A:B,2,FALSE)</f>
        <v>09</v>
      </c>
      <c r="AE15" s="97" t="str">
        <f ca="1">IFERROR(VLOOKUP(S15,Размеры!A:D,4,FALSE),"")</f>
        <v>57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56-042-09</v>
      </c>
      <c r="B16" s="107" t="str">
        <f ca="1">_xlfn.LET(_xlpm.CAPS,1,_xlpm.Style,TRIM(_xlfn.XLOOKUP($A16,Строчный!$A:$A,Строчный!B:B,"ERR",0)),IF(_xlpm.CAPS=0,_xlpm.Style,UPPER(_xlpm.Style)))</f>
        <v>2390901 PUMA X NJR BB CAP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Puma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PUMA</v>
      </c>
      <c r="H16" s="81" t="str">
        <f ca="1">LOWER(TRIM(_xlfn.XLOOKUP($A16,Строчный!$A:$A,Строчный!H:H,"ERR",0)))</f>
        <v>black</v>
      </c>
      <c r="I16" s="81" t="str">
        <f ca="1">LOWER(TRIM(_xlfn.XLOOKUP($A16,Строчный!$A:$A,Строчный!I:I,"ERR",0)))</f>
        <v>черный</v>
      </c>
      <c r="J16" s="81" t="str">
        <f ca="1">SUBSTITUTE(LOWER(TRIM(_xlfn.XLOOKUP($A16,Строчный!$A:$A,Строчный!J:J,"ERR",0))),"подклад","Подклад")</f>
        <v>100% нейлон</v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>10702070/060921/0279253/006</v>
      </c>
      <c r="Q16" s="90">
        <f ca="1">VALUE(_xlfn.XLOOKUP($A16,Строчный!$A:$A,Строчный!N:N,"ERR",0))</f>
        <v>1794</v>
      </c>
      <c r="R16" s="89" t="str">
        <f ca="1">_xlfn.XLOOKUP($G16,Фабрика!A:A,Фабрика!B:B,"ERR",0)</f>
        <v>Puma SE Rudolf Dassler Sport; Puma way 1, D-91074 Herzogenaurach, Germany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3</v>
      </c>
      <c r="U16" s="14" t="s">
        <v>265</v>
      </c>
      <c r="V16" s="101" t="str">
        <f t="shared" ca="1" si="3"/>
        <v>Бейсболка PUMA арт. 2390901 PUMA X NJR BB CAP (черный)</v>
      </c>
      <c r="W16" s="100" t="str">
        <f t="shared" ca="1" si="4"/>
        <v>Бейсболка PUMA арт. 2390901 PUMA X NJR BB CAP (черный) {black}</v>
      </c>
      <c r="X16" s="18" t="str">
        <f t="shared" ca="1" si="5"/>
        <v>черный</v>
      </c>
      <c r="Y16" s="18" t="str">
        <f t="shared" ca="1" si="6"/>
        <v>черный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3" t="str">
        <f ca="1"/>
        <v>56-042-09-00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56-041-09</v>
      </c>
      <c r="B17" s="107" t="str">
        <f ca="1">_xlfn.LET(_xlpm.CAPS,1,_xlpm.Style,TRIM(_xlfn.XLOOKUP($A17,Строчный!$A:$A,Строчный!B:B,"ERR",0)),IF(_xlpm.CAPS=0,_xlpm.Style,UPPER(_xlpm.Style)))</f>
        <v>2375801 RUNNING PONYTAIL CAP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Puma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PUMA</v>
      </c>
      <c r="H17" s="81" t="str">
        <f ca="1">LOWER(TRIM(_xlfn.XLOOKUP($A17,Строчный!$A:$A,Строчный!H:H,"ERR",0)))</f>
        <v>black</v>
      </c>
      <c r="I17" s="81" t="str">
        <f ca="1">LOWER(TRIM(_xlfn.XLOOKUP($A17,Строчный!$A:$A,Строчный!I:I,"ERR",0)))</f>
        <v>черный</v>
      </c>
      <c r="J17" s="81" t="str">
        <f ca="1">SUBSTITUTE(LOWER(TRIM(_xlfn.XLOOKUP($A17,Строчный!$A:$A,Строчный!J:J,"ERR",0))),"подклад","Подклад")</f>
        <v>100%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Филиппины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>10317120/160222/3024657/001</v>
      </c>
      <c r="Q17" s="90">
        <f ca="1">VALUE(_xlfn.XLOOKUP($A17,Строчный!$A:$A,Строчный!N:N,"ERR",0))</f>
        <v>1314</v>
      </c>
      <c r="R17" s="89" t="str">
        <f ca="1">_xlfn.XLOOKUP($G17,Фабрика!A:A,Фабрика!B:B,"ERR",0)</f>
        <v>Puma SE Rudolf Dassler Sport; Puma way 1, D-91074 Herzogenaurach, Germany</v>
      </c>
      <c r="S17" s="80" t="str">
        <f ca="1">_xlfn.XLOOKUP(RIGHT(AA17,2),Размеры!D:D,Размеры!A:A,"ERR",0)</f>
        <v>57</v>
      </c>
      <c r="T17" s="80">
        <f ca="1">VALUE(_xlfn.XLOOKUP($AA17,Строчный!$S:$S,Строчный!U:U,"ERR",0))</f>
        <v>3</v>
      </c>
      <c r="U17" s="14" t="s">
        <v>265</v>
      </c>
      <c r="V17" s="101" t="str">
        <f t="shared" ca="1" si="3"/>
        <v>Бейсболка PUMA арт. 2375801 RUNNING PONYTAIL CAP (черный)</v>
      </c>
      <c r="W17" s="100" t="str">
        <f t="shared" ca="1" si="4"/>
        <v>Бейсболка PUMA арт. 2375801 RUNNING PONYTAIL CAP (черный) {black}</v>
      </c>
      <c r="X17" s="18" t="str">
        <f t="shared" ca="1" si="5"/>
        <v>черный</v>
      </c>
      <c r="Y17" s="18" t="str">
        <f t="shared" ca="1" si="6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черный</v>
      </c>
      <c r="AA17" s="73" t="str">
        <f ca="1"/>
        <v>56-041-09-57</v>
      </c>
      <c r="AB17" s="75" t="str">
        <f ca="1">VLOOKUP(C17,Группа!A:B,2,FALSE)</f>
        <v>Бейсболка</v>
      </c>
      <c r="AC17" s="97" t="str">
        <f ca="1">IFERROR(VLOOKUP(S17,Размеры!A:C,3,FALSE),"")</f>
        <v>57 M</v>
      </c>
      <c r="AD17" s="97" t="str">
        <f ca="1">VLOOKUP(I17,ЦветПолный!A:B,2,FALSE)</f>
        <v>09</v>
      </c>
      <c r="AE17" s="97" t="str">
        <f ca="1">IFERROR(VLOOKUP(S17,Размеры!A:D,4,FALSE),"")</f>
        <v>57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56-040-17</v>
      </c>
      <c r="B18" s="107" t="str">
        <f ca="1">_xlfn.LET(_xlpm.CAPS,1,_xlpm.Style,TRIM(_xlfn.XLOOKUP($A18,Строчный!$A:$A,Строчный!B:B,"ERR",0)),IF(_xlpm.CAPS=0,_xlpm.Style,UPPER(_xlpm.Style)))</f>
        <v>2241685 ESS CAP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Puma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PUMA</v>
      </c>
      <c r="H18" s="81" t="str">
        <f ca="1">LOWER(TRIM(_xlfn.XLOOKUP($A18,Строчный!$A:$A,Строчный!H:H,"ERR",0)))</f>
        <v>white</v>
      </c>
      <c r="I18" s="81" t="str">
        <f ca="1">LOWER(TRIM(_xlfn.XLOOKUP($A18,Строчный!$A:$A,Строчный!I:I,"ERR",0)))</f>
        <v>белый</v>
      </c>
      <c r="J18" s="81" t="str">
        <f ca="1">SUBSTITUTE(LOWER(TRIM(_xlfn.XLOOKUP($A18,Строчный!$A:$A,Строчный!J:J,"ERR",0))),"подклад","Подклад")</f>
        <v>100%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Бангладеш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>10317120/100122/3004427/012</v>
      </c>
      <c r="Q18" s="90">
        <f ca="1">VALUE(_xlfn.XLOOKUP($A18,Строчный!$A:$A,Строчный!N:N,"ERR",0))</f>
        <v>894</v>
      </c>
      <c r="R18" s="89" t="str">
        <f ca="1">_xlfn.XLOOKUP($G18,Фабрика!A:A,Фабрика!B:B,"ERR",0)</f>
        <v>Puma SE Rudolf Dassler Sport; Puma way 1, D-91074 Herzogenaurach, Germany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2</v>
      </c>
      <c r="U18" s="14" t="s">
        <v>265</v>
      </c>
      <c r="V18" s="101" t="str">
        <f t="shared" ca="1" si="3"/>
        <v>Бейсболка PUMA арт. 2241685 ESS CAP (белый)</v>
      </c>
      <c r="W18" s="100" t="str">
        <f t="shared" ca="1" si="4"/>
        <v>Бейсболка PUMA арт. 2241685 ESS CAP (белый) {white}</v>
      </c>
      <c r="X18" s="18" t="str">
        <f t="shared" ca="1" si="5"/>
        <v>белый</v>
      </c>
      <c r="Y18" s="18" t="str">
        <f t="shared" ca="1" si="6"/>
        <v>белый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белый</v>
      </c>
      <c r="AA18" s="73" t="str">
        <f ca="1"/>
        <v>56-040-17-00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17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56-039-80</v>
      </c>
      <c r="B19" s="107" t="str">
        <f ca="1">_xlfn.LET(_xlpm.CAPS,1,_xlpm.Style,TRIM(_xlfn.XLOOKUP($A19,Строчный!$A:$A,Строчный!B:B,"ERR",0)),IF(_xlpm.CAPS=0,_xlpm.Style,UPPER(_xlpm.Style)))</f>
        <v>2371104 POLY COTTON CAP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</v>
      </c>
      <c r="E19" s="81" t="str">
        <f ca="1">PROPER(TRIM(_xlfn.XLOOKUP($A19,Строчный!$A:$A,Строчный!E:E,"ERR",0)))</f>
        <v>Puma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PUMA</v>
      </c>
      <c r="H19" s="81" t="str">
        <f ca="1">LOWER(TRIM(_xlfn.XLOOKUP($A19,Строчный!$A:$A,Строчный!H:H,"ERR",0)))</f>
        <v>grey</v>
      </c>
      <c r="I19" s="81" t="str">
        <f ca="1">LOWER(TRIM(_xlfn.XLOOKUP($A19,Строчный!$A:$A,Строчный!I:I,"ERR",0)))</f>
        <v>серый</v>
      </c>
      <c r="J19" s="81" t="str">
        <f ca="1">SUBSTITUTE(LOWER(TRIM(_xlfn.XLOOKUP($A19,Строчный!$A:$A,Строчный!J:J,"ERR",0))),"подклад","Подклад")</f>
        <v>100% полиэстер</v>
      </c>
      <c r="K19" s="81" t="str">
        <f ca="1">LOWER(TRIM(_xlfn.XLOOKUP($A19,Строчный!$A:$A,Строчный!K:K,"ERR",0)))</f>
        <v/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>10131010/240122/3040299/010</v>
      </c>
      <c r="Q19" s="90">
        <f ca="1">VALUE(_xlfn.XLOOKUP($A19,Строчный!$A:$A,Строчный!N:N,"ERR",0))</f>
        <v>1194</v>
      </c>
      <c r="R19" s="89" t="str">
        <f ca="1">_xlfn.XLOOKUP($G19,Фабрика!A:A,Фабрика!B:B,"ERR",0)</f>
        <v>Puma SE Rudolf Dassler Sport; Puma way 1, D-91074 Herzogenaurach, Germany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3</v>
      </c>
      <c r="U19" s="14" t="s">
        <v>265</v>
      </c>
      <c r="V19" s="101" t="str">
        <f t="shared" ca="1" si="3"/>
        <v>Бейсболка PUMA арт. 2371104 POLY COTTON CAP (серый)</v>
      </c>
      <c r="W19" s="100" t="str">
        <f t="shared" ca="1" si="4"/>
        <v>Бейсболка PUMA арт. 2371104 POLY COTTON CAP (серый) {grey}</v>
      </c>
      <c r="X19" s="18" t="str">
        <f t="shared" ca="1" si="5"/>
        <v>серый</v>
      </c>
      <c r="Y19" s="18" t="str">
        <f t="shared" ca="1" si="6"/>
        <v>серый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серый</v>
      </c>
      <c r="AA19" s="73" t="str">
        <f ca="1"/>
        <v>56-039-80-00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80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0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56-038-80</v>
      </c>
      <c r="B20" s="107" t="str">
        <f ca="1">_xlfn.LET(_xlpm.CAPS,1,_xlpm.Style,TRIM(_xlfn.XLOOKUP($A20,Строчный!$A:$A,Строчный!B:B,"ERR",0)),IF(_xlpm.CAPS=0,_xlpm.Style,UPPER(_xlpm.Style)))</f>
        <v>2367503 ACADEMY AOP CAP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Puma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PUMA</v>
      </c>
      <c r="H20" s="81" t="str">
        <f ca="1">LOWER(TRIM(_xlfn.XLOOKUP($A20,Строчный!$A:$A,Строчный!H:H,"ERR",0)))</f>
        <v>grey</v>
      </c>
      <c r="I20" s="81" t="str">
        <f ca="1">LOWER(TRIM(_xlfn.XLOOKUP($A20,Строчный!$A:$A,Строчный!I:I,"ERR",0)))</f>
        <v>серый</v>
      </c>
      <c r="J20" s="81" t="str">
        <f ca="1">SUBSTITUTE(LOWER(TRIM(_xlfn.XLOOKUP($A20,Строчный!$A:$A,Строчный!J:J,"ERR",0))),"подклад","Подклад")</f>
        <v>100% полиэстер</v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>10131010/240122/3040299/010</v>
      </c>
      <c r="Q20" s="90">
        <f ca="1">VALUE(_xlfn.XLOOKUP($A20,Строчный!$A:$A,Строчный!N:N,"ERR",0))</f>
        <v>1434</v>
      </c>
      <c r="R20" s="89" t="str">
        <f ca="1">_xlfn.XLOOKUP($G20,Фабрика!A:A,Фабрика!B:B,"ERR",0)</f>
        <v>Puma SE Rudolf Dassler Sport; Puma way 1, D-91074 Herzogenaurach, Germany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3</v>
      </c>
      <c r="U20" s="14" t="s">
        <v>265</v>
      </c>
      <c r="V20" s="101" t="str">
        <f t="shared" ca="1" si="3"/>
        <v>Бейсболка PUMA арт. 2367503 ACADEMY AOP CAP (серый)</v>
      </c>
      <c r="W20" s="100" t="str">
        <f t="shared" ca="1" si="4"/>
        <v>Бейсболка PUMA арт. 2367503 ACADEMY AOP CAP (серый) {grey}</v>
      </c>
      <c r="X20" s="18" t="str">
        <f t="shared" ca="1" si="5"/>
        <v>серый</v>
      </c>
      <c r="Y20" s="18" t="str">
        <f t="shared" ca="1" si="6"/>
        <v>серый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серый</v>
      </c>
      <c r="AA20" s="73" t="str">
        <f ca="1"/>
        <v>56-038-80-00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80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56-037-09</v>
      </c>
      <c r="B21" s="107" t="str">
        <f ca="1">_xlfn.LET(_xlpm.CAPS,1,_xlpm.Style,TRIM(_xlfn.XLOOKUP($A21,Строчный!$A:$A,Строчный!B:B,"ERR",0)),IF(_xlpm.CAPS=0,_xlpm.Style,UPPER(_xlpm.Style)))</f>
        <v>2366901 ESS CAP III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Puma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PUMA</v>
      </c>
      <c r="H21" s="81" t="str">
        <f ca="1">LOWER(TRIM(_xlfn.XLOOKUP($A21,Строчный!$A:$A,Строчный!H:H,"ERR",0)))</f>
        <v>black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100% хлопок</v>
      </c>
      <c r="K21" s="81" t="str">
        <f ca="1">LOWER(TRIM(_xlfn.XLOOKUP($A21,Строчный!$A:$A,Строчный!K:K,"ERR",0)))</f>
        <v>хлопковые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Бангладеш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>10317120/100122/3004427/012</v>
      </c>
      <c r="Q21" s="90">
        <f ca="1">VALUE(_xlfn.XLOOKUP($A21,Строчный!$A:$A,Строчный!N:N,"ERR",0))</f>
        <v>894</v>
      </c>
      <c r="R21" s="89" t="str">
        <f ca="1">_xlfn.XLOOKUP($G21,Фабрика!A:A,Фабрика!B:B,"ERR",0)</f>
        <v>Puma SE Rudolf Dassler Sport; Puma way 1, D-91074 Herzogenaurach, Germany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3</v>
      </c>
      <c r="U21" s="14" t="s">
        <v>265</v>
      </c>
      <c r="V21" s="101" t="str">
        <f t="shared" ca="1" si="3"/>
        <v>Бейсболка PUMA арт. 2366901 ESS CAP III (черный)</v>
      </c>
      <c r="W21" s="100" t="str">
        <f t="shared" ca="1" si="4"/>
        <v>Бейсболка PUMA арт. 2366901 ESS CAP III (черный) {black}</v>
      </c>
      <c r="X21" s="18" t="str">
        <f t="shared" ca="1" si="5"/>
        <v>черный</v>
      </c>
      <c r="Y21" s="18" t="str">
        <f t="shared" ca="1" si="6"/>
        <v>черный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56-037-09-00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09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56-036-34</v>
      </c>
      <c r="B22" s="107" t="str">
        <f ca="1">_xlfn.LET(_xlpm.CAPS,1,_xlpm.Style,TRIM(_xlfn.XLOOKUP($A22,Строчный!$A:$A,Строчный!B:B,"ERR",0)),IF(_xlpm.CAPS=0,_xlpm.Style,UPPER(_xlpm.Style)))</f>
        <v>2343805 PRIME TRUCKER CAP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81" t="str">
        <f ca="1">PROPER(TRIM(_xlfn.XLOOKUP($A22,Строчный!$A:$A,Строчный!E:E,"ERR",0)))</f>
        <v>Puma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PUMA</v>
      </c>
      <c r="H22" s="81" t="str">
        <f ca="1">LOWER(TRIM(_xlfn.XLOOKUP($A22,Строчный!$A:$A,Строчный!H:H,"ERR",0)))</f>
        <v>pink</v>
      </c>
      <c r="I22" s="81" t="str">
        <f ca="1">LOWER(TRIM(_xlfn.XLOOKUP($A22,Строчный!$A:$A,Строчный!I:I,"ERR",0)))</f>
        <v>розовый</v>
      </c>
      <c r="J22" s="81" t="str">
        <f ca="1">SUBSTITUTE(LOWER(TRIM(_xlfn.XLOOKUP($A22,Строчный!$A:$A,Строчный!J:J,"ERR",0))),"подклад","Подклад")</f>
        <v>80% полиэстер - 20% полиуретан</v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>Женский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>10131010/240122/3040299/010</v>
      </c>
      <c r="Q22" s="90">
        <f ca="1">VALUE(_xlfn.XLOOKUP($A22,Строчный!$A:$A,Строчный!N:N,"ERR",0))</f>
        <v>1794</v>
      </c>
      <c r="R22" s="89" t="str">
        <f ca="1">_xlfn.XLOOKUP($G22,Фабрика!A:A,Фабрика!B:B,"ERR",0)</f>
        <v>Puma SE Rudolf Dassler Sport; Puma way 1, D-91074 Herzogenaurach, Germany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3</v>
      </c>
      <c r="U22" s="14" t="s">
        <v>265</v>
      </c>
      <c r="V22" s="101" t="str">
        <f t="shared" ca="1" si="3"/>
        <v>Бейсболка PUMA арт. 2343805 PRIME TRUCKER CAP (розовый)</v>
      </c>
      <c r="W22" s="100" t="str">
        <f t="shared" ca="1" si="4"/>
        <v>Бейсболка PUMA арт. 2343805 PRIME TRUCKER CAP (розовый) {pink}</v>
      </c>
      <c r="X22" s="18" t="str">
        <f t="shared" ca="1" si="5"/>
        <v>розовый</v>
      </c>
      <c r="Y22" s="18" t="str">
        <f t="shared" ca="1" si="6"/>
        <v>розовый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розовый</v>
      </c>
      <c r="AA22" s="73" t="str">
        <f ca="1"/>
        <v>56-036-34-00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34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0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56-035-09</v>
      </c>
      <c r="B23" s="107" t="str">
        <f ca="1">_xlfn.LET(_xlpm.CAPS,1,_xlpm.Style,TRIM(_xlfn.XLOOKUP($A23,Строчный!$A:$A,Строчный!B:B,"ERR",0)),IF(_xlpm.CAPS=0,_xlpm.Style,UPPER(_xlpm.Style)))</f>
        <v>2343801 PRIME TRUCKER CAP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 с сеточкой</v>
      </c>
      <c r="E23" s="81" t="str">
        <f ca="1">PROPER(TRIM(_xlfn.XLOOKUP($A23,Строчный!$A:$A,Строчный!E:E,"ERR",0)))</f>
        <v>Puma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PUMA</v>
      </c>
      <c r="H23" s="81" t="str">
        <f ca="1">LOWER(TRIM(_xlfn.XLOOKUP($A23,Строчный!$A:$A,Строчный!H:H,"ERR",0)))</f>
        <v>black</v>
      </c>
      <c r="I23" s="81" t="str">
        <f ca="1">LOWER(TRIM(_xlfn.XLOOKUP($A23,Строчный!$A:$A,Строчный!I:I,"ERR",0)))</f>
        <v>черный</v>
      </c>
      <c r="J23" s="81" t="str">
        <f ca="1">SUBSTITUTE(LOWER(TRIM(_xlfn.XLOOKUP($A23,Строчный!$A:$A,Строчный!J:J,"ERR",0))),"подклад","Подклад")</f>
        <v>80% полиэстер - 20% полиуретан</v>
      </c>
      <c r="K23" s="81" t="str">
        <f ca="1">LOWER(TRIM(_xlfn.XLOOKUP($A23,Строчный!$A:$A,Строчный!K:K,"ERR",0)))</f>
        <v/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>10131010/240122/3040299/010</v>
      </c>
      <c r="Q23" s="90">
        <f ca="1">VALUE(_xlfn.XLOOKUP($A23,Строчный!$A:$A,Строчный!N:N,"ERR",0))</f>
        <v>1794</v>
      </c>
      <c r="R23" s="89" t="str">
        <f ca="1">_xlfn.XLOOKUP($G23,Фабрика!A:A,Фабрика!B:B,"ERR",0)</f>
        <v>Puma SE Rudolf Dassler Sport; Puma way 1, D-91074 Herzogenaurach, Germany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5</v>
      </c>
      <c r="U23" s="14" t="s">
        <v>265</v>
      </c>
      <c r="V23" s="101" t="str">
        <f t="shared" ca="1" si="3"/>
        <v>Бейсболка PUMA арт. 2343801 PRIME TRUCKER CAP (черный)</v>
      </c>
      <c r="W23" s="100" t="str">
        <f t="shared" ca="1" si="4"/>
        <v>Бейсболка PUMA арт. 2343801 PRIME TRUCKER CAP (черный) {black}</v>
      </c>
      <c r="X23" s="18" t="str">
        <f t="shared" ca="1" si="5"/>
        <v>черный</v>
      </c>
      <c r="Y23" s="18" t="str">
        <f t="shared" ca="1" si="6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черный</v>
      </c>
      <c r="AA23" s="73" t="str">
        <f ca="1"/>
        <v>56-035-09-00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09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0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0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56-034-09</v>
      </c>
      <c r="B24" s="107" t="str">
        <f ca="1">_xlfn.LET(_xlpm.CAPS,1,_xlpm.Style,TRIM(_xlfn.XLOOKUP($A24,Строчный!$A:$A,Строчный!B:B,"ERR",0)),IF(_xlpm.CAPS=0,_xlpm.Style,UPPER(_xlpm.Style)))</f>
        <v>2342801 PUMA TRUCKER CAP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сеточкой</v>
      </c>
      <c r="E24" s="81" t="str">
        <f ca="1">PROPER(TRIM(_xlfn.XLOOKUP($A24,Строчный!$A:$A,Строчный!E:E,"ERR",0)))</f>
        <v>Puma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PUMA</v>
      </c>
      <c r="H24" s="81" t="str">
        <f ca="1">LOWER(TRIM(_xlfn.XLOOKUP($A24,Строчный!$A:$A,Строчный!H:H,"ERR",0)))</f>
        <v>black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100% полиэстер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PROPER(TRIM(_xlfn.XLOOKUP($A24,Строчный!$A:$A,Строчный!R:R,"ERR",0)))</f>
        <v>10131010/240122/3040299/010</v>
      </c>
      <c r="Q24" s="90">
        <f ca="1">VALUE(_xlfn.XLOOKUP($A24,Строчный!$A:$A,Строчный!N:N,"ERR",0))</f>
        <v>1314</v>
      </c>
      <c r="R24" s="89" t="str">
        <f ca="1">_xlfn.XLOOKUP($G24,Фабрика!A:A,Фабрика!B:B,"ERR",0)</f>
        <v>Puma SE Rudolf Dassler Sport; Puma way 1, D-91074 Herzogenaurach, Germany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1</v>
      </c>
      <c r="U24" s="14" t="s">
        <v>265</v>
      </c>
      <c r="V24" s="101" t="str">
        <f t="shared" ca="1" si="3"/>
        <v>Бейсболка PUMA арт. 2342801 PUMA TRUCKER CAP (черный)</v>
      </c>
      <c r="W24" s="100" t="str">
        <f t="shared" ca="1" si="4"/>
        <v>Бейсболка PUMA арт. 2342801 PUMA TRUCKER CAP (черный) {black}</v>
      </c>
      <c r="X24" s="18" t="str">
        <f t="shared" ca="1" si="5"/>
        <v>черный</v>
      </c>
      <c r="Y24" s="18" t="str">
        <f t="shared" ca="1" si="6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56-034-09-00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56-033-06</v>
      </c>
      <c r="B25" s="107" t="str">
        <f ca="1">_xlfn.LET(_xlpm.CAPS,1,_xlpm.Style,TRIM(_xlfn.XLOOKUP($A25,Строчный!$A:$A,Строчный!B:B,"ERR",0)),IF(_xlpm.CAPS=0,_xlpm.Style,UPPER(_xlpm.Style)))</f>
        <v>2255417 ARCHIVE LOGO BB CAP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</v>
      </c>
      <c r="E25" s="81" t="str">
        <f ca="1">PROPER(TRIM(_xlfn.XLOOKUP($A25,Строчный!$A:$A,Строчный!E:E,"ERR",0)))</f>
        <v>Puma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PUMA</v>
      </c>
      <c r="H25" s="81" t="str">
        <f ca="1">LOWER(TRIM(_xlfn.XLOOKUP($A25,Строчный!$A:$A,Строчный!H:H,"ERR",0)))</f>
        <v>blue</v>
      </c>
      <c r="I25" s="81" t="str">
        <f ca="1">LOWER(TRIM(_xlfn.XLOOKUP($A25,Строчный!$A:$A,Строчный!I:I,"ERR",0)))</f>
        <v>синий</v>
      </c>
      <c r="J25" s="81" t="str">
        <f ca="1">SUBSTITUTE(LOWER(TRIM(_xlfn.XLOOKUP($A25,Строчный!$A:$A,Строчный!J:J,"ERR",0))),"подклад","Подклад")</f>
        <v>100%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Бангладеш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PROPER(TRIM(_xlfn.XLOOKUP($A25,Строчный!$A:$A,Строчный!R:R,"ERR",0)))</f>
        <v>10317120/100122/3004427/012</v>
      </c>
      <c r="Q25" s="90">
        <f ca="1">VALUE(_xlfn.XLOOKUP($A25,Строчный!$A:$A,Строчный!N:N,"ERR",0))</f>
        <v>1494</v>
      </c>
      <c r="R25" s="89" t="str">
        <f ca="1">_xlfn.XLOOKUP($G25,Фабрика!A:A,Фабрика!B:B,"ERR",0)</f>
        <v>Puma SE Rudolf Dassler Sport; Puma way 1, D-91074 Herzogenaurach, Germany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3</v>
      </c>
      <c r="U25" s="14" t="s">
        <v>265</v>
      </c>
      <c r="V25" s="101" t="str">
        <f t="shared" ca="1" si="3"/>
        <v>Бейсболка PUMA арт. 2255417 ARCHIVE LOGO BB CAP (синий)</v>
      </c>
      <c r="W25" s="100" t="str">
        <f t="shared" ca="1" si="4"/>
        <v>Бейсболка PUMA арт. 2255417 ARCHIVE LOGO BB CAP (синий) {blue}</v>
      </c>
      <c r="X25" s="18" t="str">
        <f t="shared" ca="1" si="5"/>
        <v>синий</v>
      </c>
      <c r="Y25" s="18" t="str">
        <f t="shared" ca="1" si="6"/>
        <v>синий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синий</v>
      </c>
      <c r="AA25" s="73" t="str">
        <f ca="1"/>
        <v>56-033-06-00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06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56-032-41</v>
      </c>
      <c r="B26" s="107" t="str">
        <f ca="1">_xlfn.LET(_xlpm.CAPS,1,_xlpm.Style,TRIM(_xlfn.XLOOKUP($A26,Строчный!$A:$A,Строчный!B:B,"ERR",0)),IF(_xlpm.CAPS=0,_xlpm.Style,UPPER(_xlpm.Style)))</f>
        <v>2241679 ESS CAP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</v>
      </c>
      <c r="E26" s="81" t="str">
        <f ca="1">PROPER(TRIM(_xlfn.XLOOKUP($A26,Строчный!$A:$A,Строчный!E:E,"ERR",0)))</f>
        <v>Puma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PUMA</v>
      </c>
      <c r="H26" s="81" t="str">
        <f ca="1">LOWER(TRIM(_xlfn.XLOOKUP($A26,Строчный!$A:$A,Строчный!H:H,"ERR",0)))</f>
        <v>purple</v>
      </c>
      <c r="I26" s="81" t="str">
        <f ca="1">LOWER(TRIM(_xlfn.XLOOKUP($A26,Строчный!$A:$A,Строчный!I:I,"ERR",0)))</f>
        <v>фиолетовый</v>
      </c>
      <c r="J26" s="81" t="str">
        <f ca="1">SUBSTITUTE(LOWER(TRIM(_xlfn.XLOOKUP($A26,Строчный!$A:$A,Строчный!J:J,"ERR",0))),"подклад","Подклад")</f>
        <v>100% хлопок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Бангладеш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>10317120/100122/3004427/012</v>
      </c>
      <c r="Q26" s="90">
        <f ca="1">VALUE(_xlfn.XLOOKUP($A26,Строчный!$A:$A,Строчный!N:N,"ERR",0))</f>
        <v>894</v>
      </c>
      <c r="R26" s="89" t="str">
        <f ca="1">_xlfn.XLOOKUP($G26,Фабрика!A:A,Фабрика!B:B,"ERR",0)</f>
        <v>Puma SE Rudolf Dassler Sport; Puma way 1, D-91074 Herzogenaurach, Germany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3</v>
      </c>
      <c r="U26" s="14" t="s">
        <v>265</v>
      </c>
      <c r="V26" s="101" t="str">
        <f t="shared" ca="1" si="3"/>
        <v>Бейсболка PUMA арт. 2241679 ESS CAP (фиолетовый)</v>
      </c>
      <c r="W26" s="100" t="str">
        <f t="shared" ca="1" si="4"/>
        <v>Бейсболка PUMA арт. 2241679 ESS CAP (фиолетовый) {purple}</v>
      </c>
      <c r="X26" s="18" t="str">
        <f t="shared" ca="1" si="5"/>
        <v>фиолетовый</v>
      </c>
      <c r="Y26" s="18" t="str">
        <f t="shared" ca="1" si="6"/>
        <v>фиолетовый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фиолетовый</v>
      </c>
      <c r="AA26" s="73" t="str">
        <f ca="1"/>
        <v>56-032-41-00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41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56-031-34</v>
      </c>
      <c r="B27" s="107" t="str">
        <f ca="1">_xlfn.LET(_xlpm.CAPS,1,_xlpm.Style,TRIM(_xlfn.XLOOKUP($A27,Строчный!$A:$A,Строчный!B:B,"ERR",0)),IF(_xlpm.CAPS=0,_xlpm.Style,UPPER(_xlpm.Style)))</f>
        <v>2241678 ESS CAP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</v>
      </c>
      <c r="E27" s="81" t="str">
        <f ca="1">PROPER(TRIM(_xlfn.XLOOKUP($A27,Строчный!$A:$A,Строчный!E:E,"ERR",0)))</f>
        <v>Puma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PUMA</v>
      </c>
      <c r="H27" s="81" t="str">
        <f ca="1">LOWER(TRIM(_xlfn.XLOOKUP($A27,Строчный!$A:$A,Строчный!H:H,"ERR",0)))</f>
        <v>pink</v>
      </c>
      <c r="I27" s="81" t="str">
        <f ca="1">LOWER(TRIM(_xlfn.XLOOKUP($A27,Строчный!$A:$A,Строчный!I:I,"ERR",0)))</f>
        <v>розовый</v>
      </c>
      <c r="J27" s="81" t="str">
        <f ca="1">SUBSTITUTE(LOWER(TRIM(_xlfn.XLOOKUP($A27,Строчный!$A:$A,Строчный!J:J,"ERR",0))),"подклад","Подклад")</f>
        <v>100%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Женский</v>
      </c>
      <c r="M27" s="113" t="str">
        <f ca="1">PROPER(TRIM(_xlfn.XLOOKUP($A27,Строчный!$A:$A,Строчный!M:M,"ERR",0)))</f>
        <v>Бангладеш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>10317120/100122/3004427/012</v>
      </c>
      <c r="Q27" s="90">
        <f ca="1">VALUE(_xlfn.XLOOKUP($A27,Строчный!$A:$A,Строчный!N:N,"ERR",0))</f>
        <v>894</v>
      </c>
      <c r="R27" s="89" t="str">
        <f ca="1">_xlfn.XLOOKUP($G27,Фабрика!A:A,Фабрика!B:B,"ERR",0)</f>
        <v>Puma SE Rudolf Dassler Sport; Puma way 1, D-91074 Herzogenaurach, Germany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3</v>
      </c>
      <c r="U27" s="14" t="s">
        <v>265</v>
      </c>
      <c r="V27" s="101" t="str">
        <f t="shared" ca="1" si="3"/>
        <v>Бейсболка PUMA арт. 2241678 ESS CAP (розовый)</v>
      </c>
      <c r="W27" s="100" t="str">
        <f t="shared" ca="1" si="4"/>
        <v>Бейсболка PUMA арт. 2241678 ESS CAP (розовый) {pink}</v>
      </c>
      <c r="X27" s="18" t="str">
        <f t="shared" ca="1" si="5"/>
        <v>розовый</v>
      </c>
      <c r="Y27" s="18" t="str">
        <f t="shared" ca="1" si="6"/>
        <v>розовый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розовый</v>
      </c>
      <c r="AA27" s="73" t="str">
        <f ca="1"/>
        <v>56-031-34-00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34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56-030-17</v>
      </c>
      <c r="B28" s="107" t="str">
        <f ca="1">_xlfn.LET(_xlpm.CAPS,1,_xlpm.Style,TRIM(_xlfn.XLOOKUP($A28,Строчный!$A:$A,Строчный!B:B,"ERR",0)),IF(_xlpm.CAPS=0,_xlpm.Style,UPPER(_xlpm.Style)))</f>
        <v>2241675 ESS CAP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</v>
      </c>
      <c r="E28" s="81" t="str">
        <f ca="1">PROPER(TRIM(_xlfn.XLOOKUP($A28,Строчный!$A:$A,Строчный!E:E,"ERR",0)))</f>
        <v>Puma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PUMA</v>
      </c>
      <c r="H28" s="81" t="str">
        <f ca="1">LOWER(TRIM(_xlfn.XLOOKUP($A28,Строчный!$A:$A,Строчный!H:H,"ERR",0)))</f>
        <v>white</v>
      </c>
      <c r="I28" s="81" t="str">
        <f ca="1">LOWER(TRIM(_xlfn.XLOOKUP($A28,Строчный!$A:$A,Строчный!I:I,"ERR",0)))</f>
        <v>белый</v>
      </c>
      <c r="J28" s="81" t="str">
        <f ca="1">SUBSTITUTE(LOWER(TRIM(_xlfn.XLOOKUP($A28,Строчный!$A:$A,Строчный!J:J,"ERR",0))),"подклад","Подклад")</f>
        <v>100% хлопок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Бангладеш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>10317120/100122/3004427/012</v>
      </c>
      <c r="Q28" s="90">
        <f ca="1">VALUE(_xlfn.XLOOKUP($A28,Строчный!$A:$A,Строчный!N:N,"ERR",0))</f>
        <v>894</v>
      </c>
      <c r="R28" s="89" t="str">
        <f ca="1">_xlfn.XLOOKUP($G28,Фабрика!A:A,Фабрика!B:B,"ERR",0)</f>
        <v>Puma SE Rudolf Dassler Sport; Puma way 1, D-91074 Herzogenaurach, Germany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3</v>
      </c>
      <c r="U28" s="14" t="s">
        <v>265</v>
      </c>
      <c r="V28" s="101" t="str">
        <f t="shared" ca="1" si="3"/>
        <v>Бейсболка PUMA арт. 2241675 ESS CAP (белый)</v>
      </c>
      <c r="W28" s="100" t="str">
        <f t="shared" ca="1" si="4"/>
        <v>Бейсболка PUMA арт. 2241675 ESS CAP (белый) {white}</v>
      </c>
      <c r="X28" s="18" t="str">
        <f t="shared" ca="1" si="5"/>
        <v>белый</v>
      </c>
      <c r="Y28" s="18" t="str">
        <f t="shared" ca="1" si="6"/>
        <v>белый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белый</v>
      </c>
      <c r="AA28" s="73" t="str">
        <f ca="1"/>
        <v>56-030-17-00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17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56-029-09</v>
      </c>
      <c r="B29" s="107" t="str">
        <f ca="1">_xlfn.LET(_xlpm.CAPS,1,_xlpm.Style,TRIM(_xlfn.XLOOKUP($A29,Строчный!$A:$A,Строчный!B:B,"ERR",0)),IF(_xlpm.CAPS=0,_xlpm.Style,UPPER(_xlpm.Style)))</f>
        <v>2359301 BMW MMS HERITAGE BB CAP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</v>
      </c>
      <c r="E29" s="81" t="str">
        <f ca="1">PROPER(TRIM(_xlfn.XLOOKUP($A29,Строчный!$A:$A,Строчный!E:E,"ERR",0)))</f>
        <v>Puma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PUMA</v>
      </c>
      <c r="H29" s="81" t="str">
        <f ca="1">LOWER(TRIM(_xlfn.XLOOKUP($A29,Строчный!$A:$A,Строчный!H:H,"ERR",0)))</f>
        <v>black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100% нейлон</v>
      </c>
      <c r="K29" s="81" t="str">
        <f ca="1">LOWER(TRIM(_xlfn.XLOOKUP($A29,Строчный!$A:$A,Строчный!K:K,"ERR",0)))</f>
        <v/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Филиппины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>10317120/160222/3024657/001</v>
      </c>
      <c r="Q29" s="90">
        <f ca="1">VALUE(_xlfn.XLOOKUP($A29,Строчный!$A:$A,Строчный!N:N,"ERR",0))</f>
        <v>2094</v>
      </c>
      <c r="R29" s="89" t="str">
        <f ca="1">_xlfn.XLOOKUP($G29,Фабрика!A:A,Фабрика!B:B,"ERR",0)</f>
        <v>Puma SE Rudolf Dassler Sport; Puma way 1, D-91074 Herzogenaurach, Germany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3</v>
      </c>
      <c r="U29" s="14" t="s">
        <v>265</v>
      </c>
      <c r="V29" s="101" t="str">
        <f t="shared" ca="1" si="3"/>
        <v>Бейсболка PUMA арт. 2359301 BMW MMS HERITAGE BB CAP (черный)</v>
      </c>
      <c r="W29" s="100" t="str">
        <f t="shared" ca="1" si="4"/>
        <v>Бейсболка PUMA арт. 2359301 BMW MMS HERITAGE BB CAP (черный) {black}</v>
      </c>
      <c r="X29" s="18" t="str">
        <f t="shared" ca="1" si="5"/>
        <v>черный</v>
      </c>
      <c r="Y29" s="18" t="str">
        <f t="shared" ca="1" si="6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56-029-09-00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0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56-028-09</v>
      </c>
      <c r="B30" s="107" t="str">
        <f ca="1">_xlfn.LET(_xlpm.CAPS,1,_xlpm.Style,TRIM(_xlfn.XLOOKUP($A30,Строчный!$A:$A,Строчный!B:B,"ERR",0)),IF(_xlpm.CAPS=0,_xlpm.Style,UPPER(_xlpm.Style)))</f>
        <v>2353501 ARCHIVE LOGO LABEL CAP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</v>
      </c>
      <c r="E30" s="81" t="str">
        <f ca="1">PROPER(TRIM(_xlfn.XLOOKUP($A30,Строчный!$A:$A,Строчный!E:E,"ERR",0)))</f>
        <v>Puma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PUMA</v>
      </c>
      <c r="H30" s="81" t="str">
        <f ca="1">LOWER(TRIM(_xlfn.XLOOKUP($A30,Строчный!$A:$A,Строчный!H:H,"ERR",0)))</f>
        <v>black</v>
      </c>
      <c r="I30" s="81" t="str">
        <f ca="1">LOWER(TRIM(_xlfn.XLOOKUP($A30,Строчный!$A:$A,Строчный!I:I,"ERR",0)))</f>
        <v>черный</v>
      </c>
      <c r="J30" s="81" t="str">
        <f ca="1">SUBSTITUTE(LOWER(TRIM(_xlfn.XLOOKUP($A30,Строчный!$A:$A,Строчный!J:J,"ERR",0))),"подклад","Подклад")</f>
        <v>100%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PROPER(TRIM(_xlfn.XLOOKUP($A30,Строчный!$A:$A,Строчный!R:R,"ERR",0)))</f>
        <v>10131010/240122/3040299/010</v>
      </c>
      <c r="Q30" s="90">
        <f ca="1">VALUE(_xlfn.XLOOKUP($A30,Строчный!$A:$A,Строчный!N:N,"ERR",0))</f>
        <v>1434</v>
      </c>
      <c r="R30" s="89" t="str">
        <f ca="1">_xlfn.XLOOKUP($G30,Фабрика!A:A,Фабрика!B:B,"ERR",0)</f>
        <v>Puma SE Rudolf Dassler Sport; Puma way 1, D-91074 Herzogenaurach, Germany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5</v>
      </c>
      <c r="U30" s="14" t="s">
        <v>265</v>
      </c>
      <c r="V30" s="101" t="str">
        <f t="shared" ca="1" si="3"/>
        <v>Бейсболка PUMA арт. 2353501 ARCHIVE LOGO LABEL CAP (черный)</v>
      </c>
      <c r="W30" s="100" t="str">
        <f t="shared" ca="1" si="4"/>
        <v>Бейсболка PUMA арт. 2353501 ARCHIVE LOGO LABEL CAP (черный) {black}</v>
      </c>
      <c r="X30" s="18" t="str">
        <f t="shared" ca="1" si="5"/>
        <v>черный</v>
      </c>
      <c r="Y30" s="18" t="str">
        <f t="shared" ca="1" si="6"/>
        <v>черный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56-028-09-00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09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56-027-09</v>
      </c>
      <c r="B31" s="107" t="str">
        <f ca="1">_xlfn.LET(_xlpm.CAPS,1,_xlpm.Style,TRIM(_xlfn.XLOOKUP($A31,Строчный!$A:$A,Строчный!B:B,"ERR",0)),IF(_xlpm.CAPS=0,_xlpm.Style,UPPER(_xlpm.Style)))</f>
        <v>2344502 CLASSICS CAPSULE CAP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</v>
      </c>
      <c r="E31" s="81" t="str">
        <f ca="1">PROPER(TRIM(_xlfn.XLOOKUP($A31,Строчный!$A:$A,Строчный!E:E,"ERR",0)))</f>
        <v>Puma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PUMA</v>
      </c>
      <c r="H31" s="81" t="str">
        <f ca="1">LOWER(TRIM(_xlfn.XLOOKUP($A31,Строчный!$A:$A,Строчный!H:H,"ERR",0)))</f>
        <v>black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100% полиэстер</v>
      </c>
      <c r="K31" s="81" t="str">
        <f ca="1">LOWER(TRIM(_xlfn.XLOOKUP($A31,Строчный!$A:$A,Строчный!K:K,"ERR",0)))</f>
        <v/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PROPER(TRIM(_xlfn.XLOOKUP($A31,Строчный!$A:$A,Строчный!R:R,"ERR",0)))</f>
        <v>10131010/240122/3040299/010</v>
      </c>
      <c r="Q31" s="90">
        <f ca="1">VALUE(_xlfn.XLOOKUP($A31,Строчный!$A:$A,Строчный!N:N,"ERR",0))</f>
        <v>1674</v>
      </c>
      <c r="R31" s="89" t="str">
        <f ca="1">_xlfn.XLOOKUP($G31,Фабрика!A:A,Фабрика!B:B,"ERR",0)</f>
        <v>Puma SE Rudolf Dassler Sport; Puma way 1, D-91074 Herzogenaurach, Germany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6</v>
      </c>
      <c r="U31" s="14" t="s">
        <v>265</v>
      </c>
      <c r="V31" s="101" t="str">
        <f t="shared" ca="1" si="3"/>
        <v>Бейсболка PUMA арт. 2344502 CLASSICS CAPSULE CAP (черный)</v>
      </c>
      <c r="W31" s="100" t="str">
        <f t="shared" ca="1" si="4"/>
        <v>Бейсболка PUMA арт. 2344502 CLASSICS CAPSULE CAP (черный) {black}</v>
      </c>
      <c r="X31" s="18" t="str">
        <f t="shared" ca="1" si="5"/>
        <v>черный</v>
      </c>
      <c r="Y31" s="18" t="str">
        <f t="shared" ca="1" si="6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56-027-09-00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09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0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56-026-09</v>
      </c>
      <c r="B32" s="107" t="str">
        <f ca="1">_xlfn.LET(_xlpm.CAPS,1,_xlpm.Style,TRIM(_xlfn.XLOOKUP($A32,Строчный!$A:$A,Строчный!B:B,"ERR",0)),IF(_xlpm.CAPS=0,_xlpm.Style,UPPER(_xlpm.Style)))</f>
        <v>2241674 ESS CAP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</v>
      </c>
      <c r="E32" s="81" t="str">
        <f ca="1">PROPER(TRIM(_xlfn.XLOOKUP($A32,Строчный!$A:$A,Строчный!E:E,"ERR",0)))</f>
        <v>Puma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PUMA</v>
      </c>
      <c r="H32" s="81" t="str">
        <f ca="1">LOWER(TRIM(_xlfn.XLOOKUP($A32,Строчный!$A:$A,Строчный!H:H,"ERR",0)))</f>
        <v>black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100%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Бангладеш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PROPER(TRIM(_xlfn.XLOOKUP($A32,Строчный!$A:$A,Строчный!R:R,"ERR",0)))</f>
        <v>10317120/100122/3004427/012</v>
      </c>
      <c r="Q32" s="90">
        <f ca="1">VALUE(_xlfn.XLOOKUP($A32,Строчный!$A:$A,Строчный!N:N,"ERR",0))</f>
        <v>894</v>
      </c>
      <c r="R32" s="89" t="str">
        <f ca="1">_xlfn.XLOOKUP($G32,Фабрика!A:A,Фабрика!B:B,"ERR",0)</f>
        <v>Puma SE Rudolf Dassler Sport; Puma way 1, D-91074 Herzogenaurach, Germany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3</v>
      </c>
      <c r="U32" s="14" t="s">
        <v>265</v>
      </c>
      <c r="V32" s="101" t="str">
        <f t="shared" ca="1" si="3"/>
        <v>Бейсболка PUMA арт. 2241674 ESS CAP (черный)</v>
      </c>
      <c r="W32" s="100" t="str">
        <f t="shared" ca="1" si="4"/>
        <v>Бейсболка PUMA арт. 2241674 ESS CAP (черный) {black}</v>
      </c>
      <c r="X32" s="18" t="str">
        <f t="shared" ca="1" si="5"/>
        <v>черный</v>
      </c>
      <c r="Y32" s="18" t="str">
        <f t="shared" ca="1" si="6"/>
        <v>черный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3" t="str">
        <f ca="1"/>
        <v>56-026-09-00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09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56-025-06</v>
      </c>
      <c r="B33" s="107" t="str">
        <f ca="1">_xlfn.LET(_xlpm.CAPS,1,_xlpm.Style,TRIM(_xlfn.XLOOKUP($A33,Строчный!$A:$A,Строчный!B:B,"ERR",0)),IF(_xlpm.CAPS=0,_xlpm.Style,UPPER(_xlpm.Style)))</f>
        <v>2126907 PUMA METAL CAT CAP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</v>
      </c>
      <c r="E33" s="81" t="str">
        <f ca="1">PROPER(TRIM(_xlfn.XLOOKUP($A33,Строчный!$A:$A,Строчный!E:E,"ERR",0)))</f>
        <v>Puma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PUMA</v>
      </c>
      <c r="H33" s="81" t="str">
        <f ca="1">LOWER(TRIM(_xlfn.XLOOKUP($A33,Строчный!$A:$A,Строчный!H:H,"ERR",0)))</f>
        <v>blue</v>
      </c>
      <c r="I33" s="81" t="str">
        <f ca="1">LOWER(TRIM(_xlfn.XLOOKUP($A33,Строчный!$A:$A,Строчный!I:I,"ERR",0)))</f>
        <v>синий</v>
      </c>
      <c r="J33" s="81" t="str">
        <f ca="1">SUBSTITUTE(LOWER(TRIM(_xlfn.XLOOKUP($A33,Строчный!$A:$A,Строчный!J:J,"ERR",0))),"подклад","Подклад")</f>
        <v>100% полиэстер</v>
      </c>
      <c r="K33" s="81" t="str">
        <f ca="1">LOWER(TRIM(_xlfn.XLOOKUP($A33,Строчный!$A:$A,Строчный!K:K,"ERR",0)))</f>
        <v/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Филиппины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PROPER(TRIM(_xlfn.XLOOKUP($A33,Строчный!$A:$A,Строчный!R:R,"ERR",0)))</f>
        <v>10013160/030321/0114763/001</v>
      </c>
      <c r="Q33" s="90">
        <f ca="1">VALUE(_xlfn.XLOOKUP($A33,Строчный!$A:$A,Строчный!N:N,"ERR",0))</f>
        <v>1194</v>
      </c>
      <c r="R33" s="89" t="str">
        <f ca="1">_xlfn.XLOOKUP($G33,Фабрика!A:A,Фабрика!B:B,"ERR",0)</f>
        <v>Puma SE Rudolf Dassler Sport; Puma way 1, D-91074 Herzogenaurach, Germany</v>
      </c>
      <c r="S33" s="80" t="str">
        <f ca="1">_xlfn.XLOOKUP(RIGHT(AA33,2),Размеры!D:D,Размеры!A:A,"ERR",0)</f>
        <v>57</v>
      </c>
      <c r="T33" s="80">
        <f ca="1">VALUE(_xlfn.XLOOKUP($AA33,Строчный!$S:$S,Строчный!U:U,"ERR",0))</f>
        <v>3</v>
      </c>
      <c r="U33" s="14" t="s">
        <v>265</v>
      </c>
      <c r="V33" s="101" t="str">
        <f t="shared" ca="1" si="3"/>
        <v>Бейсболка PUMA арт. 2126907 PUMA METAL CAT CAP (синий)</v>
      </c>
      <c r="W33" s="100" t="str">
        <f t="shared" ca="1" si="4"/>
        <v>Бейсболка PUMA арт. 2126907 PUMA METAL CAT CAP (синий) {blue}</v>
      </c>
      <c r="X33" s="18" t="str">
        <f t="shared" ca="1" si="5"/>
        <v>синий</v>
      </c>
      <c r="Y33" s="18" t="str">
        <f t="shared" ca="1" si="6"/>
        <v>синий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синий</v>
      </c>
      <c r="AA33" s="73" t="str">
        <f ca="1"/>
        <v>56-025-06-57</v>
      </c>
      <c r="AB33" s="75" t="str">
        <f ca="1">VLOOKUP(C33,Группа!A:B,2,FALSE)</f>
        <v>Бейсболка</v>
      </c>
      <c r="AC33" s="97" t="str">
        <f ca="1">IFERROR(VLOOKUP(S33,Размеры!A:C,3,FALSE),"")</f>
        <v>57 M</v>
      </c>
      <c r="AD33" s="97" t="str">
        <f ca="1">VLOOKUP(I33,ЦветПолный!A:B,2,FALSE)</f>
        <v>06</v>
      </c>
      <c r="AE33" s="97" t="str">
        <f ca="1">IFERROR(VLOOKUP(S33,Размеры!A:D,4,FALSE),"")</f>
        <v>57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0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56-024-09</v>
      </c>
      <c r="B34" s="107" t="str">
        <f ca="1">_xlfn.LET(_xlpm.CAPS,1,_xlpm.Style,TRIM(_xlfn.XLOOKUP($A34,Строчный!$A:$A,Строчный!B:B,"ERR",0)),IF(_xlpm.CAPS=0,_xlpm.Style,UPPER(_xlpm.Style)))</f>
        <v>2126901 PUMA METAL CAT CAP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</v>
      </c>
      <c r="E34" s="81" t="str">
        <f ca="1">PROPER(TRIM(_xlfn.XLOOKUP($A34,Строчный!$A:$A,Строчный!E:E,"ERR",0)))</f>
        <v>Puma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PUMA</v>
      </c>
      <c r="H34" s="81" t="str">
        <f ca="1">LOWER(TRIM(_xlfn.XLOOKUP($A34,Строчный!$A:$A,Строчный!H:H,"ERR",0)))</f>
        <v>black</v>
      </c>
      <c r="I34" s="81" t="str">
        <f ca="1">LOWER(TRIM(_xlfn.XLOOKUP($A34,Строчный!$A:$A,Строчный!I:I,"ERR",0)))</f>
        <v>черный</v>
      </c>
      <c r="J34" s="81" t="str">
        <f ca="1">SUBSTITUTE(LOWER(TRIM(_xlfn.XLOOKUP($A34,Строчный!$A:$A,Строчный!J:J,"ERR",0))),"подклад","Подклад")</f>
        <v>100% полиэстер</v>
      </c>
      <c r="K34" s="81" t="str">
        <f ca="1">LOWER(TRIM(_xlfn.XLOOKUP($A34,Строчный!$A:$A,Строчный!K:K,"ERR",0)))</f>
        <v/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Филиппины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PROPER(TRIM(_xlfn.XLOOKUP($A34,Строчный!$A:$A,Строчный!R:R,"ERR",0)))</f>
        <v>10702070/190820/0194193/001</v>
      </c>
      <c r="Q34" s="90">
        <f ca="1">VALUE(_xlfn.XLOOKUP($A34,Строчный!$A:$A,Строчный!N:N,"ERR",0))</f>
        <v>1194</v>
      </c>
      <c r="R34" s="89" t="str">
        <f ca="1">_xlfn.XLOOKUP($G34,Фабрика!A:A,Фабрика!B:B,"ERR",0)</f>
        <v>Puma SE Rudolf Dassler Sport; Puma way 1, D-91074 Herzogenaurach, Germany</v>
      </c>
      <c r="S34" s="80" t="str">
        <f ca="1">_xlfn.XLOOKUP(RIGHT(AA34,2),Размеры!D:D,Размеры!A:A,"ERR",0)</f>
        <v>57</v>
      </c>
      <c r="T34" s="80">
        <f ca="1">VALUE(_xlfn.XLOOKUP($AA34,Строчный!$S:$S,Строчный!U:U,"ERR",0))</f>
        <v>6</v>
      </c>
      <c r="U34" s="14" t="s">
        <v>265</v>
      </c>
      <c r="V34" s="101" t="str">
        <f t="shared" ca="1" si="3"/>
        <v>Бейсболка PUMA арт. 2126901 PUMA METAL CAT CAP (черный)</v>
      </c>
      <c r="W34" s="100" t="str">
        <f t="shared" ca="1" si="4"/>
        <v>Бейсболка PUMA арт. 2126901 PUMA METAL CAT CAP (черный) {black}</v>
      </c>
      <c r="X34" s="18" t="str">
        <f t="shared" ca="1" si="5"/>
        <v>черный</v>
      </c>
      <c r="Y34" s="18" t="str">
        <f t="shared" ca="1" si="6"/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73" t="str">
        <f ca="1"/>
        <v>56-024-09-57</v>
      </c>
      <c r="AB34" s="75" t="str">
        <f ca="1">VLOOKUP(C34,Группа!A:B,2,FALSE)</f>
        <v>Бейсболка</v>
      </c>
      <c r="AC34" s="97" t="str">
        <f ca="1">IFERROR(VLOOKUP(S34,Размеры!A:C,3,FALSE),"")</f>
        <v>57 M</v>
      </c>
      <c r="AD34" s="97" t="str">
        <f ca="1">VLOOKUP(I34,ЦветПолный!A:B,2,FALSE)</f>
        <v>09</v>
      </c>
      <c r="AE34" s="97" t="str">
        <f ca="1">IFERROR(VLOOKUP(S34,Размеры!A:D,4,FALSE),"")</f>
        <v>57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0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56-023-16</v>
      </c>
      <c r="B35" s="107" t="str">
        <f ca="1">_xlfn.LET(_xlpm.CAPS,1,_xlpm.Style,TRIM(_xlfn.XLOOKUP($A35,Строчный!$A:$A,Строчный!B:B,"ERR",0)),IF(_xlpm.CAPS=0,_xlpm.Style,UPPER(_xlpm.Style)))</f>
        <v>RK7415HDE LACOSTE CAP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</v>
      </c>
      <c r="E35" s="81" t="str">
        <f ca="1">PROPER(TRIM(_xlfn.XLOOKUP($A35,Строчный!$A:$A,Строчный!E:E,"ERR",0)))</f>
        <v>Lacoste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LACOSTE</v>
      </c>
      <c r="H35" s="81" t="str">
        <f ca="1">LOWER(TRIM(_xlfn.XLOOKUP($A35,Строчный!$A:$A,Строчный!H:H,"ERR",0)))</f>
        <v>navy</v>
      </c>
      <c r="I35" s="81" t="str">
        <f ca="1">LOWER(TRIM(_xlfn.XLOOKUP($A35,Строчный!$A:$A,Строчный!I:I,"ERR",0)))</f>
        <v>темно-синий</v>
      </c>
      <c r="J35" s="81" t="str">
        <f ca="1">SUBSTITUTE(LOWER(TRIM(_xlfn.XLOOKUP($A35,Строчный!$A:$A,Строчный!J:J,"ERR",0))),"подклад","Подклад")</f>
        <v>100% хлопок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Вьетнам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PROPER(TRIM(_xlfn.XLOOKUP($A35,Строчный!$A:$A,Строчный!R:R,"ERR",0)))</f>
        <v>10013160/311221/3079413</v>
      </c>
      <c r="Q35" s="90">
        <f ca="1">VALUE(_xlfn.XLOOKUP($A35,Строчный!$A:$A,Строчный!N:N,"ERR",0))</f>
        <v>4944.5</v>
      </c>
      <c r="R35" s="89" t="str">
        <f ca="1">_xlfn.XLOOKUP($G35,Фабрика!A:A,Фабрика!B:B,"ERR",0)</f>
        <v>LACOSTE OPERATIONS S.A.; France, 23-25, rue de Provence, 75009 Paris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2</v>
      </c>
      <c r="U35" s="14" t="s">
        <v>265</v>
      </c>
      <c r="V35" s="101" t="str">
        <f t="shared" ca="1" si="3"/>
        <v>Бейсболка LACOSTE арт. RK7415HDE LACOSTE CAP (темно-синий)</v>
      </c>
      <c r="W35" s="100" t="str">
        <f t="shared" ca="1" si="4"/>
        <v>Бейсболка LACOSTE арт. RK7415HDE LACOSTE CAP (темно-синий) {navy}</v>
      </c>
      <c r="X35" s="18" t="str">
        <f t="shared" ca="1" si="5"/>
        <v>синий</v>
      </c>
      <c r="Y35" s="18" t="str">
        <f t="shared" ca="1" si="6"/>
        <v>синий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синий</v>
      </c>
      <c r="AA35" s="73" t="str">
        <f ca="1"/>
        <v>56-023-16-00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16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56-022-02</v>
      </c>
      <c r="B36" s="107" t="str">
        <f ca="1">_xlfn.LET(_xlpm.CAPS,1,_xlpm.Style,TRIM(_xlfn.XLOOKUP($A36,Строчный!$A:$A,Строчный!B:B,"ERR",0)),IF(_xlpm.CAPS=0,_xlpm.Style,UPPER(_xlpm.Style)))</f>
        <v>RK741502S LACOSTE CAP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</v>
      </c>
      <c r="E36" s="81" t="str">
        <f ca="1">PROPER(TRIM(_xlfn.XLOOKUP($A36,Строчный!$A:$A,Строчный!E:E,"ERR",0)))</f>
        <v>Lacoste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LACOSTE</v>
      </c>
      <c r="H36" s="81" t="str">
        <f ca="1">LOWER(TRIM(_xlfn.XLOOKUP($A36,Строчный!$A:$A,Строчный!H:H,"ERR",0)))</f>
        <v>beige</v>
      </c>
      <c r="I36" s="81" t="str">
        <f ca="1">LOWER(TRIM(_xlfn.XLOOKUP($A36,Строчный!$A:$A,Строчный!I:I,"ERR",0)))</f>
        <v>бежевый</v>
      </c>
      <c r="J36" s="81" t="str">
        <f ca="1">SUBSTITUTE(LOWER(TRIM(_xlfn.XLOOKUP($A36,Строчный!$A:$A,Строчный!J:J,"ERR",0))),"подклад","Подклад")</f>
        <v>100% хлопок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PROPER(TRIM(_xlfn.XLOOKUP($A36,Строчный!$A:$A,Строчный!R:R,"ERR",0)))</f>
        <v>10013160/311221/3079413</v>
      </c>
      <c r="Q36" s="90">
        <f ca="1">VALUE(_xlfn.XLOOKUP($A36,Строчный!$A:$A,Строчный!N:N,"ERR",0))</f>
        <v>4944.5</v>
      </c>
      <c r="R36" s="89" t="str">
        <f ca="1">_xlfn.XLOOKUP($G36,Фабрика!A:A,Фабрика!B:B,"ERR",0)</f>
        <v>LACOSTE OPERATIONS S.A.; France, 23-25, rue de Provence, 75009 Paris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1</v>
      </c>
      <c r="U36" s="14" t="s">
        <v>265</v>
      </c>
      <c r="V36" s="101" t="str">
        <f t="shared" ca="1" si="3"/>
        <v>Бейсболка LACOSTE арт. RK741502S LACOSTE CAP (бежевый)</v>
      </c>
      <c r="W36" s="100" t="str">
        <f t="shared" ca="1" si="4"/>
        <v>Бейсболка LACOSTE арт. RK741502S LACOSTE CAP (бежевый) {beige}</v>
      </c>
      <c r="X36" s="18" t="str">
        <f t="shared" ca="1" si="5"/>
        <v>бежевый</v>
      </c>
      <c r="Y36" s="18" t="str">
        <f t="shared" ca="1" si="6"/>
        <v>бежевый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бежевый</v>
      </c>
      <c r="AA36" s="73" t="str">
        <f ca="1"/>
        <v>56-022-02-00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02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56-021-18</v>
      </c>
      <c r="B37" s="107" t="str">
        <f ca="1">_xlfn.LET(_xlpm.CAPS,1,_xlpm.Style,TRIM(_xlfn.XLOOKUP($A37,Строчный!$A:$A,Строчный!B:B,"ERR",0)),IF(_xlpm.CAPS=0,_xlpm.Style,UPPER(_xlpm.Style)))</f>
        <v>RK2450DP4 LACOSTE CAP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</v>
      </c>
      <c r="E37" s="81" t="str">
        <f ca="1">PROPER(TRIM(_xlfn.XLOOKUP($A37,Строчный!$A:$A,Строчный!E:E,"ERR",0)))</f>
        <v>Lacoste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LACOSTE</v>
      </c>
      <c r="H37" s="81" t="str">
        <f ca="1">LOWER(TRIM(_xlfn.XLOOKUP($A37,Строчный!$A:$A,Строчный!H:H,"ERR",0)))</f>
        <v>red</v>
      </c>
      <c r="I37" s="81" t="str">
        <f ca="1">LOWER(TRIM(_xlfn.XLOOKUP($A37,Строчный!$A:$A,Строчный!I:I,"ERR",0)))</f>
        <v>красный</v>
      </c>
      <c r="J37" s="81" t="str">
        <f ca="1">SUBSTITUTE(LOWER(TRIM(_xlfn.XLOOKUP($A37,Строчный!$A:$A,Строчный!J:J,"ERR",0))),"подклад","Подклад")</f>
        <v>100% хлопок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Вьетнам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PROPER(TRIM(_xlfn.XLOOKUP($A37,Строчный!$A:$A,Строчный!R:R,"ERR",0)))</f>
        <v>10013160/281021/0673347</v>
      </c>
      <c r="Q37" s="90">
        <f ca="1">VALUE(_xlfn.XLOOKUP($A37,Строчный!$A:$A,Строчный!N:N,"ERR",0))</f>
        <v>4614.5</v>
      </c>
      <c r="R37" s="89" t="str">
        <f ca="1">_xlfn.XLOOKUP($G37,Фабрика!A:A,Фабрика!B:B,"ERR",0)</f>
        <v>LACOSTE OPERATIONS S.A.; France, 23-25, rue de Provence, 75009 Paris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1</v>
      </c>
      <c r="U37" s="14" t="s">
        <v>265</v>
      </c>
      <c r="V37" s="101" t="str">
        <f t="shared" ca="1" si="3"/>
        <v>Бейсболка LACOSTE арт. RK2450DP4 LACOSTE CAP (красный)</v>
      </c>
      <c r="W37" s="100" t="str">
        <f t="shared" ca="1" si="4"/>
        <v>Бейсболка LACOSTE арт. RK2450DP4 LACOSTE CAP (красный) {red}</v>
      </c>
      <c r="X37" s="18" t="str">
        <f t="shared" ca="1" si="5"/>
        <v>красный</v>
      </c>
      <c r="Y37" s="18" t="str">
        <f t="shared" ca="1" si="6"/>
        <v>красный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красный</v>
      </c>
      <c r="AA37" s="73" t="str">
        <f ca="1"/>
        <v>56-021-18-00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18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56-020-17</v>
      </c>
      <c r="B38" s="107" t="str">
        <f ca="1">_xlfn.LET(_xlpm.CAPS,1,_xlpm.Style,TRIM(_xlfn.XLOOKUP($A38,Строчный!$A:$A,Строчный!B:B,"ERR",0)),IF(_xlpm.CAPS=0,_xlpm.Style,UPPER(_xlpm.Style)))</f>
        <v>RK2450800 CAPS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</v>
      </c>
      <c r="E38" s="81" t="str">
        <f ca="1">PROPER(TRIM(_xlfn.XLOOKUP($A38,Строчный!$A:$A,Строчный!E:E,"ERR",0)))</f>
        <v>Lacoste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LACOSTE</v>
      </c>
      <c r="H38" s="81" t="str">
        <f ca="1">LOWER(TRIM(_xlfn.XLOOKUP($A38,Строчный!$A:$A,Строчный!H:H,"ERR",0)))</f>
        <v>white</v>
      </c>
      <c r="I38" s="81" t="str">
        <f ca="1">LOWER(TRIM(_xlfn.XLOOKUP($A38,Строчный!$A:$A,Строчный!I:I,"ERR",0)))</f>
        <v>белый</v>
      </c>
      <c r="J38" s="81" t="str">
        <f ca="1">SUBSTITUTE(LOWER(TRIM(_xlfn.XLOOKUP($A38,Строчный!$A:$A,Строчный!J:J,"ERR",0))),"подклад","Подклад")</f>
        <v>100% хлопок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PROPER(TRIM(_xlfn.XLOOKUP($A38,Строчный!$A:$A,Строчный!R:R,"ERR",0)))</f>
        <v>10013160/281021/0673347</v>
      </c>
      <c r="Q38" s="90">
        <f ca="1">VALUE(_xlfn.XLOOKUP($A38,Строчный!$A:$A,Строчный!N:N,"ERR",0))</f>
        <v>5489</v>
      </c>
      <c r="R38" s="89" t="str">
        <f ca="1">_xlfn.XLOOKUP($G38,Фабрика!A:A,Фабрика!B:B,"ERR",0)</f>
        <v>LACOSTE OPERATIONS S.A.; France, 23-25, rue de Provence, 75009 Paris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1</v>
      </c>
      <c r="U38" s="14" t="s">
        <v>265</v>
      </c>
      <c r="V38" s="101" t="str">
        <f t="shared" ca="1" si="3"/>
        <v>Бейсболка LACOSTE арт. RK2450800 CAPS (белый)</v>
      </c>
      <c r="W38" s="100" t="str">
        <f t="shared" ca="1" si="4"/>
        <v>Бейсболка LACOSTE арт. RK2450800 CAPS (белый) {white}</v>
      </c>
      <c r="X38" s="18" t="str">
        <f t="shared" ca="1" si="5"/>
        <v>белый</v>
      </c>
      <c r="Y38" s="18" t="str">
        <f t="shared" ca="1" si="6"/>
        <v>белый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белый</v>
      </c>
      <c r="AA38" s="73" t="str">
        <f ca="1"/>
        <v>56-020-17-00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17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56-019-09</v>
      </c>
      <c r="B39" s="107" t="str">
        <f ca="1">_xlfn.LET(_xlpm.CAPS,1,_xlpm.Style,TRIM(_xlfn.XLOOKUP($A39,Строчный!$A:$A,Строчный!B:B,"ERR",0)),IF(_xlpm.CAPS=0,_xlpm.Style,UPPER(_xlpm.Style)))</f>
        <v>HD9695 CURVED TRUCKER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Adidas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ADIDAS</v>
      </c>
      <c r="H39" s="81" t="str">
        <f ca="1">LOWER(TRIM(_xlfn.XLOOKUP($A39,Строчный!$A:$A,Строчный!H:H,"ERR",0)))</f>
        <v>black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90% полиэстер - 10% эластан</v>
      </c>
      <c r="K39" s="81" t="str">
        <f ca="1">LOWER(TRIM(_xlfn.XLOOKUP($A39,Строчный!$A:$A,Строчный!K:K,"ERR",0)))</f>
        <v/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PROPER(TRIM(_xlfn.XLOOKUP($A39,Строчный!$A:$A,Строчный!R:R,"ERR",0)))</f>
        <v>10216170/071221/0361724</v>
      </c>
      <c r="Q39" s="90">
        <f ca="1">VALUE(_xlfn.XLOOKUP($A39,Строчный!$A:$A,Строчный!N:N,"ERR",0))</f>
        <v>1511.37</v>
      </c>
      <c r="R39" s="89" t="str">
        <f ca="1">_xlfn.XLOOKUP($G39,Фабрика!A:A,Фабрика!B:B,"ERR",0)</f>
        <v>Adidas International Trading AG; Switzerland, Platz 1b, 6039 Root D4</v>
      </c>
      <c r="S39" s="80" t="str">
        <f ca="1">_xlfn.XLOOKUP(RIGHT(AA39,2),Размеры!D:D,Размеры!A:A,"ERR",0)</f>
        <v>57</v>
      </c>
      <c r="T39" s="80">
        <f ca="1">VALUE(_xlfn.XLOOKUP($AA39,Строчный!$S:$S,Строчный!U:U,"ERR",0))</f>
        <v>3</v>
      </c>
      <c r="U39" s="14" t="s">
        <v>265</v>
      </c>
      <c r="V39" s="101" t="str">
        <f t="shared" ca="1" si="3"/>
        <v>Бейсболка ADIDAS арт. HD9695 CURVED TRUCKER (черный)</v>
      </c>
      <c r="W39" s="100" t="str">
        <f t="shared" ca="1" si="4"/>
        <v>Бейсболка ADIDAS арт. HD9695 CURVED TRUCKER (черный) {black}</v>
      </c>
      <c r="X39" s="18" t="str">
        <f t="shared" ca="1" si="5"/>
        <v>черный</v>
      </c>
      <c r="Y39" s="18" t="str">
        <f t="shared" ca="1" si="6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56-019-09-57</v>
      </c>
      <c r="AB39" s="75" t="str">
        <f ca="1">VLOOKUP(C39,Группа!A:B,2,FALSE)</f>
        <v>Бейсболка</v>
      </c>
      <c r="AC39" s="97" t="str">
        <f ca="1">IFERROR(VLOOKUP(S39,Размеры!A:C,3,FALSE),"")</f>
        <v>57 M</v>
      </c>
      <c r="AD39" s="97" t="str">
        <f ca="1">VLOOKUP(I39,ЦветПолный!A:B,2,FALSE)</f>
        <v>09</v>
      </c>
      <c r="AE39" s="97" t="str">
        <f ca="1">IFERROR(VLOOKUP(S39,Размеры!A:D,4,FALSE),"")</f>
        <v>57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0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56-018-35</v>
      </c>
      <c r="B40" s="107" t="str">
        <f ca="1">_xlfn.LET(_xlpm.CAPS,1,_xlpm.Style,TRIM(_xlfn.XLOOKUP($A40,Строчный!$A:$A,Строчный!B:B,"ERR",0)),IF(_xlpm.CAPS=0,_xlpm.Style,UPPER(_xlpm.Style)))</f>
        <v>HD9755 CAMO BALLCAP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</v>
      </c>
      <c r="E40" s="81" t="str">
        <f ca="1">PROPER(TRIM(_xlfn.XLOOKUP($A40,Строчный!$A:$A,Строчный!E:E,"ERR",0)))</f>
        <v>Adidas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ADIDAS</v>
      </c>
      <c r="H40" s="81" t="str">
        <f ca="1">LOWER(TRIM(_xlfn.XLOOKUP($A40,Строчный!$A:$A,Строчный!H:H,"ERR",0)))</f>
        <v>multicoloured</v>
      </c>
      <c r="I40" s="81" t="str">
        <f ca="1">LOWER(TRIM(_xlfn.XLOOKUP($A40,Строчный!$A:$A,Строчный!I:I,"ERR",0)))</f>
        <v>разноцветный</v>
      </c>
      <c r="J40" s="81" t="str">
        <f ca="1">SUBSTITUTE(LOWER(TRIM(_xlfn.XLOOKUP($A40,Строчный!$A:$A,Строчный!J:J,"ERR",0))),"подклад","Подклад")</f>
        <v>100% полиэстер</v>
      </c>
      <c r="K40" s="81" t="str">
        <f ca="1">LOWER(TRIM(_xlfn.XLOOKUP($A40,Строчный!$A:$A,Строчный!K:K,"ERR",0)))</f>
        <v/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PROPER(TRIM(_xlfn.XLOOKUP($A40,Строчный!$A:$A,Строчный!R:R,"ERR",0)))</f>
        <v>10216170/071221/0361724</v>
      </c>
      <c r="Q40" s="90">
        <f ca="1">VALUE(_xlfn.XLOOKUP($A40,Строчный!$A:$A,Строчный!N:N,"ERR",0))</f>
        <v>1889.37</v>
      </c>
      <c r="R40" s="89" t="str">
        <f ca="1">_xlfn.XLOOKUP($G40,Фабрика!A:A,Фабрика!B:B,"ERR",0)</f>
        <v>Adidas International Trading AG; Switzerland, Platz 1b, 6039 Root D4</v>
      </c>
      <c r="S40" s="80" t="str">
        <f ca="1">_xlfn.XLOOKUP(RIGHT(AA40,2),Размеры!D:D,Размеры!A:A,"ERR",0)</f>
        <v>57</v>
      </c>
      <c r="T40" s="80">
        <f ca="1">VALUE(_xlfn.XLOOKUP($AA40,Строчный!$S:$S,Строчный!U:U,"ERR",0))</f>
        <v>3</v>
      </c>
      <c r="U40" s="14" t="s">
        <v>265</v>
      </c>
      <c r="V40" s="101" t="str">
        <f t="shared" ca="1" si="3"/>
        <v>Бейсболка ADIDAS арт. HD9755 CAMO BALLCAP (разноцветный)</v>
      </c>
      <c r="W40" s="100" t="str">
        <f t="shared" ca="1" si="4"/>
        <v>Бейсболка ADIDAS арт. HD9755 CAMO BALLCAP (разноцветный) {multicoloured}</v>
      </c>
      <c r="X40" s="18" t="str">
        <f t="shared" ca="1" si="5"/>
        <v>разноцветный</v>
      </c>
      <c r="Y40" s="18" t="str">
        <f t="shared" ca="1" si="6"/>
        <v>разноцветный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разноцветный</v>
      </c>
      <c r="AA40" s="73" t="str">
        <f ca="1"/>
        <v>56-018-35-57</v>
      </c>
      <c r="AB40" s="75" t="str">
        <f ca="1">VLOOKUP(C40,Группа!A:B,2,FALSE)</f>
        <v>Бейсболка</v>
      </c>
      <c r="AC40" s="97" t="str">
        <f ca="1">IFERROR(VLOOKUP(S40,Размеры!A:C,3,FALSE),"")</f>
        <v>57 M</v>
      </c>
      <c r="AD40" s="97" t="str">
        <f ca="1">VLOOKUP(I40,ЦветПолный!A:B,2,FALSE)</f>
        <v>35</v>
      </c>
      <c r="AE40" s="97" t="str">
        <f ca="1">IFERROR(VLOOKUP(S40,Размеры!A:D,4,FALSE),"")</f>
        <v>57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0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56-017-02</v>
      </c>
      <c r="B41" s="107" t="str">
        <f ca="1">_xlfn.LET(_xlpm.CAPS,1,_xlpm.Style,TRIM(_xlfn.XLOOKUP($A41,Строчный!$A:$A,Строчный!B:B,"ERR",0)),IF(_xlpm.CAPS=0,_xlpm.Style,UPPER(_xlpm.Style)))</f>
        <v>HD2224 BSBL STREET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</v>
      </c>
      <c r="E41" s="81" t="str">
        <f ca="1">PROPER(TRIM(_xlfn.XLOOKUP($A41,Строчный!$A:$A,Строчный!E:E,"ERR",0)))</f>
        <v>Adidas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ADIDAS</v>
      </c>
      <c r="H41" s="81" t="str">
        <f ca="1">LOWER(TRIM(_xlfn.XLOOKUP($A41,Строчный!$A:$A,Строчный!H:H,"ERR",0)))</f>
        <v>beige</v>
      </c>
      <c r="I41" s="81" t="str">
        <f ca="1">LOWER(TRIM(_xlfn.XLOOKUP($A41,Строчный!$A:$A,Строчный!I:I,"ERR",0)))</f>
        <v>бежевый</v>
      </c>
      <c r="J41" s="81" t="str">
        <f ca="1">SUBSTITUTE(LOWER(TRIM(_xlfn.XLOOKUP($A41,Строчный!$A:$A,Строчный!J:J,"ERR",0))),"подклад","Подклад")</f>
        <v>100% хлопок</v>
      </c>
      <c r="K41" s="81" t="str">
        <f ca="1">LOWER(TRIM(_xlfn.XLOOKUP($A41,Строчный!$A:$A,Строчный!K:K,"ERR",0)))</f>
        <v>хлопковые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PROPER(TRIM(_xlfn.XLOOKUP($A41,Строчный!$A:$A,Строчный!R:R,"ERR",0)))</f>
        <v>10216170/181221/0373733</v>
      </c>
      <c r="Q41" s="90">
        <f ca="1">VALUE(_xlfn.XLOOKUP($A41,Строчный!$A:$A,Строчный!N:N,"ERR",0))</f>
        <v>1259.3699999999999</v>
      </c>
      <c r="R41" s="89" t="str">
        <f ca="1">_xlfn.XLOOKUP($G41,Фабрика!A:A,Фабрика!B:B,"ERR",0)</f>
        <v>Adidas International Trading AG; Switzerland, Platz 1b, 6039 Root D4</v>
      </c>
      <c r="S41" s="80" t="str">
        <f ca="1">_xlfn.XLOOKUP(RIGHT(AA41,2),Размеры!D:D,Размеры!A:A,"ERR",0)</f>
        <v>57</v>
      </c>
      <c r="T41" s="80">
        <f ca="1">VALUE(_xlfn.XLOOKUP($AA41,Строчный!$S:$S,Строчный!U:U,"ERR",0))</f>
        <v>2</v>
      </c>
      <c r="U41" s="14" t="s">
        <v>265</v>
      </c>
      <c r="V41" s="101" t="str">
        <f t="shared" ca="1" si="3"/>
        <v>Бейсболка ADIDAS арт. HD2224 BSBL STREET (бежевый)</v>
      </c>
      <c r="W41" s="100" t="str">
        <f t="shared" ca="1" si="4"/>
        <v>Бейсболка ADIDAS арт. HD2224 BSBL STREET (бежевый) {beige}</v>
      </c>
      <c r="X41" s="18" t="str">
        <f t="shared" ca="1" si="5"/>
        <v>бежевый</v>
      </c>
      <c r="Y41" s="18" t="str">
        <f t="shared" ca="1" si="6"/>
        <v>бежевый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бежевый</v>
      </c>
      <c r="AA41" s="73" t="str">
        <f ca="1"/>
        <v>56-017-02-57</v>
      </c>
      <c r="AB41" s="75" t="str">
        <f ca="1">VLOOKUP(C41,Группа!A:B,2,FALSE)</f>
        <v>Бейсболка</v>
      </c>
      <c r="AC41" s="97" t="str">
        <f ca="1">IFERROR(VLOOKUP(S41,Размеры!A:C,3,FALSE),"")</f>
        <v>57 M</v>
      </c>
      <c r="AD41" s="97" t="str">
        <f ca="1">VLOOKUP(I41,ЦветПолный!A:B,2,FALSE)</f>
        <v>02</v>
      </c>
      <c r="AE41" s="97" t="str">
        <f ca="1">IFERROR(VLOOKUP(S41,Размеры!A:D,4,FALSE),"")</f>
        <v>57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56-016-06</v>
      </c>
      <c r="B42" s="107" t="str">
        <f ca="1">_xlfn.LET(_xlpm.CAPS,1,_xlpm.Style,TRIM(_xlfn.XLOOKUP($A42,Строчный!$A:$A,Строчный!B:B,"ERR",0)),IF(_xlpm.CAPS=0,_xlpm.Style,UPPER(_xlpm.Style)))</f>
        <v>HD7239 BBALLCAP LT MET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</v>
      </c>
      <c r="E42" s="81" t="str">
        <f ca="1">PROPER(TRIM(_xlfn.XLOOKUP($A42,Строчный!$A:$A,Строчный!E:E,"ERR",0)))</f>
        <v>Adidas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ADIDAS</v>
      </c>
      <c r="H42" s="81" t="str">
        <f ca="1">LOWER(TRIM(_xlfn.XLOOKUP($A42,Строчный!$A:$A,Строчный!H:H,"ERR",0)))</f>
        <v>blue</v>
      </c>
      <c r="I42" s="81" t="str">
        <f ca="1">LOWER(TRIM(_xlfn.XLOOKUP($A42,Строчный!$A:$A,Строчный!I:I,"ERR",0)))</f>
        <v>синий</v>
      </c>
      <c r="J42" s="81" t="str">
        <f ca="1">SUBSTITUTE(LOWER(TRIM(_xlfn.XLOOKUP($A42,Строчный!$A:$A,Строчный!J:J,"ERR",0))),"подклад","Подклад")</f>
        <v>100% хлопок</v>
      </c>
      <c r="K42" s="81" t="str">
        <f ca="1">LOWER(TRIM(_xlfn.XLOOKUP($A42,Строчный!$A:$A,Строчный!K:K,"ERR",0)))</f>
        <v>хлопковые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PROPER(TRIM(_xlfn.XLOOKUP($A42,Строчный!$A:$A,Строчный!R:R,"ERR",0)))</f>
        <v>10216170/280122/3024958</v>
      </c>
      <c r="Q42" s="90">
        <f ca="1">VALUE(_xlfn.XLOOKUP($A42,Строчный!$A:$A,Строчный!N:N,"ERR",0))</f>
        <v>1259.3699999999999</v>
      </c>
      <c r="R42" s="89" t="str">
        <f ca="1">_xlfn.XLOOKUP($G42,Фабрика!A:A,Фабрика!B:B,"ERR",0)</f>
        <v>Adidas International Trading AG; Switzerland, Platz 1b, 6039 Root D4</v>
      </c>
      <c r="S42" s="80" t="str">
        <f ca="1">_xlfn.XLOOKUP(RIGHT(AA42,2),Размеры!D:D,Размеры!A:A,"ERR",0)</f>
        <v>61</v>
      </c>
      <c r="T42" s="80">
        <f ca="1">VALUE(_xlfn.XLOOKUP($AA42,Строчный!$S:$S,Строчный!U:U,"ERR",0))</f>
        <v>1</v>
      </c>
      <c r="U42" s="14" t="s">
        <v>265</v>
      </c>
      <c r="V42" s="101" t="str">
        <f t="shared" ca="1" si="3"/>
        <v>Бейсболка ADIDAS арт. HD7239 BBALLCAP LT MET (синий)</v>
      </c>
      <c r="W42" s="100" t="str">
        <f t="shared" ca="1" si="4"/>
        <v>Бейсболка ADIDAS арт. HD7239 BBALLCAP LT MET (синий) {blue}</v>
      </c>
      <c r="X42" s="18" t="str">
        <f t="shared" ca="1" si="5"/>
        <v>синий</v>
      </c>
      <c r="Y42" s="18" t="str">
        <f t="shared" ca="1" si="6"/>
        <v>синий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синий</v>
      </c>
      <c r="AA42" s="73" t="str">
        <f ca="1"/>
        <v>56-016-06-61</v>
      </c>
      <c r="AB42" s="75" t="str">
        <f ca="1">VLOOKUP(C42,Группа!A:B,2,FALSE)</f>
        <v>Бейсболка</v>
      </c>
      <c r="AC42" s="97" t="str">
        <f ca="1">IFERROR(VLOOKUP(S42,Размеры!A:C,3,FALSE),"")</f>
        <v>61 XL</v>
      </c>
      <c r="AD42" s="97" t="str">
        <f ca="1">VLOOKUP(I42,ЦветПолный!A:B,2,FALSE)</f>
        <v>06</v>
      </c>
      <c r="AE42" s="97" t="str">
        <f ca="1">IFERROR(VLOOKUP(S42,Размеры!A:D,4,FALSE),"")</f>
        <v>61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56-016-06</v>
      </c>
      <c r="B43" s="107" t="str">
        <f ca="1">_xlfn.LET(_xlpm.CAPS,1,_xlpm.Style,TRIM(_xlfn.XLOOKUP($A43,Строчный!$A:$A,Строчный!B:B,"ERR",0)),IF(_xlpm.CAPS=0,_xlpm.Style,UPPER(_xlpm.Style)))</f>
        <v>HD7239 BBALLCAP LT MET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</v>
      </c>
      <c r="E43" s="81" t="str">
        <f ca="1">PROPER(TRIM(_xlfn.XLOOKUP($A43,Строчный!$A:$A,Строчный!E:E,"ERR",0)))</f>
        <v>Adidas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ADIDAS</v>
      </c>
      <c r="H43" s="81" t="str">
        <f ca="1">LOWER(TRIM(_xlfn.XLOOKUP($A43,Строчный!$A:$A,Строчный!H:H,"ERR",0)))</f>
        <v>blue</v>
      </c>
      <c r="I43" s="81" t="str">
        <f ca="1">LOWER(TRIM(_xlfn.XLOOKUP($A43,Строчный!$A:$A,Строчный!I:I,"ERR",0)))</f>
        <v>синий</v>
      </c>
      <c r="J43" s="81" t="str">
        <f ca="1">SUBSTITUTE(LOWER(TRIM(_xlfn.XLOOKUP($A43,Строчный!$A:$A,Строчный!J:J,"ERR",0))),"подклад","Подклад")</f>
        <v>100% хлопок</v>
      </c>
      <c r="K43" s="81" t="str">
        <f ca="1">LOWER(TRIM(_xlfn.XLOOKUP($A43,Строчный!$A:$A,Строчный!K:K,"ERR",0)))</f>
        <v>хлопковые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PROPER(TRIM(_xlfn.XLOOKUP($A43,Строчный!$A:$A,Строчный!R:R,"ERR",0)))</f>
        <v>10216170/280122/3024958</v>
      </c>
      <c r="Q43" s="90">
        <f ca="1">VALUE(_xlfn.XLOOKUP($A43,Строчный!$A:$A,Строчный!N:N,"ERR",0))</f>
        <v>1259.3699999999999</v>
      </c>
      <c r="R43" s="89" t="str">
        <f ca="1">_xlfn.XLOOKUP($G43,Фабрика!A:A,Фабрика!B:B,"ERR",0)</f>
        <v>Adidas International Trading AG; Switzerland, Platz 1b, 6039 Root D4</v>
      </c>
      <c r="S43" s="80" t="str">
        <f ca="1">_xlfn.XLOOKUP(RIGHT(AA43,2),Размеры!D:D,Размеры!A:A,"ERR",0)</f>
        <v>57</v>
      </c>
      <c r="T43" s="80">
        <f ca="1">VALUE(_xlfn.XLOOKUP($AA43,Строчный!$S:$S,Строчный!U:U,"ERR",0))</f>
        <v>3</v>
      </c>
      <c r="U43" s="14" t="s">
        <v>265</v>
      </c>
      <c r="V43" s="101" t="str">
        <f t="shared" ca="1" si="3"/>
        <v>Бейсболка ADIDAS арт. HD7239 BBALLCAP LT MET (синий)</v>
      </c>
      <c r="W43" s="100" t="str">
        <f t="shared" ca="1" si="4"/>
        <v>Бейсболка ADIDAS арт. HD7239 BBALLCAP LT MET (синий) {blue}</v>
      </c>
      <c r="X43" s="18" t="str">
        <f t="shared" ca="1" si="5"/>
        <v>синий</v>
      </c>
      <c r="Y43" s="18" t="str">
        <f t="shared" ca="1" si="6"/>
        <v>синий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синий</v>
      </c>
      <c r="AA43" s="73" t="str">
        <f ca="1"/>
        <v>56-016-06-57</v>
      </c>
      <c r="AB43" s="75" t="str">
        <f ca="1">VLOOKUP(C43,Группа!A:B,2,FALSE)</f>
        <v>Бейсболка</v>
      </c>
      <c r="AC43" s="97" t="str">
        <f ca="1">IFERROR(VLOOKUP(S43,Размеры!A:C,3,FALSE),"")</f>
        <v>57 M</v>
      </c>
      <c r="AD43" s="97" t="str">
        <f ca="1">VLOOKUP(I43,ЦветПолный!A:B,2,FALSE)</f>
        <v>06</v>
      </c>
      <c r="AE43" s="97" t="str">
        <f ca="1">IFERROR(VLOOKUP(S43,Размеры!A:D,4,FALSE),"")</f>
        <v>57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1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56-015-09</v>
      </c>
      <c r="B44" s="107" t="str">
        <f ca="1">_xlfn.LET(_xlpm.CAPS,1,_xlpm.Style,TRIM(_xlfn.XLOOKUP($A44,Строчный!$A:$A,Строчный!B:B,"ERR",0)),IF(_xlpm.CAPS=0,_xlpm.Style,UPPER(_xlpm.Style)))</f>
        <v>HD7045 BASEBALL CAP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</v>
      </c>
      <c r="E44" s="81" t="str">
        <f ca="1">PROPER(TRIM(_xlfn.XLOOKUP($A44,Строчный!$A:$A,Строчный!E:E,"ERR",0)))</f>
        <v>Adidas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ADIDAS</v>
      </c>
      <c r="H44" s="81" t="str">
        <f ca="1">LOWER(TRIM(_xlfn.XLOOKUP($A44,Строчный!$A:$A,Строчный!H:H,"ERR",0)))</f>
        <v>black</v>
      </c>
      <c r="I44" s="81" t="str">
        <f ca="1">LOWER(TRIM(_xlfn.XLOOKUP($A44,Строчный!$A:$A,Строчный!I:I,"ERR",0)))</f>
        <v>черный</v>
      </c>
      <c r="J44" s="81" t="str">
        <f ca="1">SUBSTITUTE(LOWER(TRIM(_xlfn.XLOOKUP($A44,Строчный!$A:$A,Строчный!J:J,"ERR",0))),"подклад","Подклад")</f>
        <v>100% полиэстер</v>
      </c>
      <c r="K44" s="81" t="str">
        <f ca="1">LOWER(TRIM(_xlfn.XLOOKUP($A44,Строчный!$A:$A,Строчный!K:K,"ERR",0)))</f>
        <v/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PROPER(TRIM(_xlfn.XLOOKUP($A44,Строчный!$A:$A,Строчный!R:R,"ERR",0)))</f>
        <v>10216170/221121/0347306</v>
      </c>
      <c r="Q44" s="90">
        <f ca="1">VALUE(_xlfn.XLOOKUP($A44,Строчный!$A:$A,Строчный!N:N,"ERR",0))</f>
        <v>1889.37</v>
      </c>
      <c r="R44" s="89" t="str">
        <f ca="1">_xlfn.XLOOKUP($G44,Фабрика!A:A,Фабрика!B:B,"ERR",0)</f>
        <v>Adidas International Trading AG; Switzerland, Platz 1b, 6039 Root D4</v>
      </c>
      <c r="S44" s="80" t="str">
        <f ca="1">_xlfn.XLOOKUP(RIGHT(AA44,2),Размеры!D:D,Размеры!A:A,"ERR",0)</f>
        <v>61</v>
      </c>
      <c r="T44" s="80">
        <f ca="1">VALUE(_xlfn.XLOOKUP($AA44,Строчный!$S:$S,Строчный!U:U,"ERR",0))</f>
        <v>1</v>
      </c>
      <c r="U44" s="14" t="s">
        <v>265</v>
      </c>
      <c r="V44" s="101" t="str">
        <f t="shared" ca="1" si="3"/>
        <v>Бейсболка ADIDAS арт. HD7045 BASEBALL CAP (черный)</v>
      </c>
      <c r="W44" s="100" t="str">
        <f t="shared" ca="1" si="4"/>
        <v>Бейсболка ADIDAS арт. HD7045 BASEBALL CAP (черный) {black}</v>
      </c>
      <c r="X44" s="18" t="str">
        <f t="shared" ca="1" si="5"/>
        <v>черный</v>
      </c>
      <c r="Y44" s="18" t="str">
        <f t="shared" ca="1" si="6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черный</v>
      </c>
      <c r="AA44" s="73" t="str">
        <f ca="1"/>
        <v>56-015-09-61</v>
      </c>
      <c r="AB44" s="75" t="str">
        <f ca="1">VLOOKUP(C44,Группа!A:B,2,FALSE)</f>
        <v>Бейсболка</v>
      </c>
      <c r="AC44" s="97" t="str">
        <f ca="1">IFERROR(VLOOKUP(S44,Размеры!A:C,3,FALSE),"")</f>
        <v>61 XL</v>
      </c>
      <c r="AD44" s="97" t="str">
        <f ca="1">VLOOKUP(I44,ЦветПолный!A:B,2,FALSE)</f>
        <v>09</v>
      </c>
      <c r="AE44" s="97" t="str">
        <f ca="1">IFERROR(VLOOKUP(S44,Размеры!A:D,4,FALSE),"")</f>
        <v>61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0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56-015-09</v>
      </c>
      <c r="B45" s="107" t="str">
        <f ca="1">_xlfn.LET(_xlpm.CAPS,1,_xlpm.Style,TRIM(_xlfn.XLOOKUP($A45,Строчный!$A:$A,Строчный!B:B,"ERR",0)),IF(_xlpm.CAPS=0,_xlpm.Style,UPPER(_xlpm.Style)))</f>
        <v>HD7045 BASEBALL CAP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</v>
      </c>
      <c r="E45" s="81" t="str">
        <f ca="1">PROPER(TRIM(_xlfn.XLOOKUP($A45,Строчный!$A:$A,Строчный!E:E,"ERR",0)))</f>
        <v>Adidas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ADIDAS</v>
      </c>
      <c r="H45" s="81" t="str">
        <f ca="1">LOWER(TRIM(_xlfn.XLOOKUP($A45,Строчный!$A:$A,Строчный!H:H,"ERR",0)))</f>
        <v>black</v>
      </c>
      <c r="I45" s="81" t="str">
        <f ca="1">LOWER(TRIM(_xlfn.XLOOKUP($A45,Строчный!$A:$A,Строчный!I:I,"ERR",0)))</f>
        <v>черный</v>
      </c>
      <c r="J45" s="81" t="str">
        <f ca="1">SUBSTITUTE(LOWER(TRIM(_xlfn.XLOOKUP($A45,Строчный!$A:$A,Строчный!J:J,"ERR",0))),"подклад","Подклад")</f>
        <v>100% полиэстер</v>
      </c>
      <c r="K45" s="81" t="str">
        <f ca="1">LOWER(TRIM(_xlfn.XLOOKUP($A45,Строчный!$A:$A,Строчный!K:K,"ERR",0)))</f>
        <v/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PROPER(TRIM(_xlfn.XLOOKUP($A45,Строчный!$A:$A,Строчный!R:R,"ERR",0)))</f>
        <v>10216170/221121/0347306</v>
      </c>
      <c r="Q45" s="90">
        <f ca="1">VALUE(_xlfn.XLOOKUP($A45,Строчный!$A:$A,Строчный!N:N,"ERR",0))</f>
        <v>1889.37</v>
      </c>
      <c r="R45" s="89" t="str">
        <f ca="1">_xlfn.XLOOKUP($G45,Фабрика!A:A,Фабрика!B:B,"ERR",0)</f>
        <v>Adidas International Trading AG; Switzerland, Platz 1b, 6039 Root D4</v>
      </c>
      <c r="S45" s="80" t="str">
        <f ca="1">_xlfn.XLOOKUP(RIGHT(AA45,2),Размеры!D:D,Размеры!A:A,"ERR",0)</f>
        <v>57</v>
      </c>
      <c r="T45" s="80">
        <f ca="1">VALUE(_xlfn.XLOOKUP($AA45,Строчный!$S:$S,Строчный!U:U,"ERR",0))</f>
        <v>3</v>
      </c>
      <c r="U45" s="14" t="s">
        <v>265</v>
      </c>
      <c r="V45" s="101" t="str">
        <f t="shared" ca="1" si="3"/>
        <v>Бейсболка ADIDAS арт. HD7045 BASEBALL CAP (черный)</v>
      </c>
      <c r="W45" s="100" t="str">
        <f t="shared" ca="1" si="4"/>
        <v>Бейсболка ADIDAS арт. HD7045 BASEBALL CAP (черный) {black}</v>
      </c>
      <c r="X45" s="18" t="str">
        <f t="shared" ca="1" si="5"/>
        <v>черный</v>
      </c>
      <c r="Y45" s="18" t="str">
        <f t="shared" ca="1" si="6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56-015-09-57</v>
      </c>
      <c r="AB45" s="75" t="str">
        <f ca="1">VLOOKUP(C45,Группа!A:B,2,FALSE)</f>
        <v>Бейсболка</v>
      </c>
      <c r="AC45" s="97" t="str">
        <f ca="1">IFERROR(VLOOKUP(S45,Размеры!A:C,3,FALSE),"")</f>
        <v>57 M</v>
      </c>
      <c r="AD45" s="97" t="str">
        <f ca="1">VLOOKUP(I45,ЦветПолный!A:B,2,FALSE)</f>
        <v>09</v>
      </c>
      <c r="AE45" s="97" t="str">
        <f ca="1">IFERROR(VLOOKUP(S45,Размеры!A:D,4,FALSE),"")</f>
        <v>57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0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56-014-41</v>
      </c>
      <c r="B46" s="107" t="str">
        <f ca="1">_xlfn.LET(_xlpm.CAPS,1,_xlpm.Style,TRIM(_xlfn.XLOOKUP($A46,Строчный!$A:$A,Строчный!B:B,"ERR",0)),IF(_xlpm.CAPS=0,_xlpm.Style,UPPER(_xlpm.Style)))</f>
        <v>HD9700 BASEB CLASS TRE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</v>
      </c>
      <c r="E46" s="81" t="str">
        <f ca="1">PROPER(TRIM(_xlfn.XLOOKUP($A46,Строчный!$A:$A,Строчный!E:E,"ERR",0)))</f>
        <v>Adidas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ADIDAS</v>
      </c>
      <c r="H46" s="81" t="str">
        <f ca="1">LOWER(TRIM(_xlfn.XLOOKUP($A46,Строчный!$A:$A,Строчный!H:H,"ERR",0)))</f>
        <v>purple</v>
      </c>
      <c r="I46" s="81" t="str">
        <f ca="1">LOWER(TRIM(_xlfn.XLOOKUP($A46,Строчный!$A:$A,Строчный!I:I,"ERR",0)))</f>
        <v>фиолетовый</v>
      </c>
      <c r="J46" s="81" t="str">
        <f ca="1">SUBSTITUTE(LOWER(TRIM(_xlfn.XLOOKUP($A46,Строчный!$A:$A,Строчный!J:J,"ERR",0))),"подклад","Подклад")</f>
        <v>100% хлопок</v>
      </c>
      <c r="K46" s="81" t="str">
        <f ca="1">LOWER(TRIM(_xlfn.XLOOKUP($A46,Строчный!$A:$A,Строчный!K:K,"ERR",0)))</f>
        <v>хлопковые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PROPER(TRIM(_xlfn.XLOOKUP($A46,Строчный!$A:$A,Строчный!R:R,"ERR",0)))</f>
        <v>10216170/120122/3008448</v>
      </c>
      <c r="Q46" s="90">
        <f ca="1">VALUE(_xlfn.XLOOKUP($A46,Строчный!$A:$A,Строчный!N:N,"ERR",0))</f>
        <v>1511.37</v>
      </c>
      <c r="R46" s="89" t="str">
        <f ca="1">_xlfn.XLOOKUP($G46,Фабрика!A:A,Фабрика!B:B,"ERR",0)</f>
        <v>Adidas International Trading AG; Switzerland, Platz 1b, 6039 Root D4</v>
      </c>
      <c r="S46" s="80" t="str">
        <f ca="1">_xlfn.XLOOKUP(RIGHT(AA46,2),Размеры!D:D,Размеры!A:A,"ERR",0)</f>
        <v>57</v>
      </c>
      <c r="T46" s="80">
        <f ca="1">VALUE(_xlfn.XLOOKUP($AA46,Строчный!$S:$S,Строчный!U:U,"ERR",0))</f>
        <v>3</v>
      </c>
      <c r="U46" s="14" t="s">
        <v>265</v>
      </c>
      <c r="V46" s="101" t="str">
        <f t="shared" ca="1" si="3"/>
        <v>Бейсболка ADIDAS арт. HD9700 BASEB CLASS TRE (фиолетовый)</v>
      </c>
      <c r="W46" s="100" t="str">
        <f t="shared" ca="1" si="4"/>
        <v>Бейсболка ADIDAS арт. HD9700 BASEB CLASS TRE (фиолетовый) {purple}</v>
      </c>
      <c r="X46" s="18" t="str">
        <f t="shared" ca="1" si="5"/>
        <v>фиолетовый</v>
      </c>
      <c r="Y46" s="18" t="str">
        <f t="shared" ca="1" si="6"/>
        <v>фиолетовый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фиолетовый</v>
      </c>
      <c r="AA46" s="73" t="str">
        <f ca="1"/>
        <v>56-014-41-57</v>
      </c>
      <c r="AB46" s="75" t="str">
        <f ca="1">VLOOKUP(C46,Группа!A:B,2,FALSE)</f>
        <v>Бейсболка</v>
      </c>
      <c r="AC46" s="97" t="str">
        <f ca="1">IFERROR(VLOOKUP(S46,Размеры!A:C,3,FALSE),"")</f>
        <v>57 M</v>
      </c>
      <c r="AD46" s="97" t="str">
        <f ca="1">VLOOKUP(I46,ЦветПолный!A:B,2,FALSE)</f>
        <v>41</v>
      </c>
      <c r="AE46" s="97" t="str">
        <f ca="1">IFERROR(VLOOKUP(S46,Размеры!A:D,4,FALSE),"")</f>
        <v>57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56-014-41</v>
      </c>
      <c r="B47" s="107" t="str">
        <f ca="1">_xlfn.LET(_xlpm.CAPS,1,_xlpm.Style,TRIM(_xlfn.XLOOKUP($A47,Строчный!$A:$A,Строчный!B:B,"ERR",0)),IF(_xlpm.CAPS=0,_xlpm.Style,UPPER(_xlpm.Style)))</f>
        <v>HD9700 BASEB CLASS TRE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</v>
      </c>
      <c r="E47" s="81" t="str">
        <f ca="1">PROPER(TRIM(_xlfn.XLOOKUP($A47,Строчный!$A:$A,Строчный!E:E,"ERR",0)))</f>
        <v>Adidas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ADIDAS</v>
      </c>
      <c r="H47" s="81" t="str">
        <f ca="1">LOWER(TRIM(_xlfn.XLOOKUP($A47,Строчный!$A:$A,Строчный!H:H,"ERR",0)))</f>
        <v>purple</v>
      </c>
      <c r="I47" s="81" t="str">
        <f ca="1">LOWER(TRIM(_xlfn.XLOOKUP($A47,Строчный!$A:$A,Строчный!I:I,"ERR",0)))</f>
        <v>фиолетовый</v>
      </c>
      <c r="J47" s="81" t="str">
        <f ca="1">SUBSTITUTE(LOWER(TRIM(_xlfn.XLOOKUP($A47,Строчный!$A:$A,Строчный!J:J,"ERR",0))),"подклад","Подклад")</f>
        <v>100% хлопок</v>
      </c>
      <c r="K47" s="81" t="str">
        <f ca="1">LOWER(TRIM(_xlfn.XLOOKUP($A47,Строчный!$A:$A,Строчный!K:K,"ERR",0)))</f>
        <v>хлопковые</v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PROPER(TRIM(_xlfn.XLOOKUP($A47,Строчный!$A:$A,Строчный!R:R,"ERR",0)))</f>
        <v>10216170/120122/3008448</v>
      </c>
      <c r="Q47" s="90">
        <f ca="1">VALUE(_xlfn.XLOOKUP($A47,Строчный!$A:$A,Строчный!N:N,"ERR",0))</f>
        <v>1511.37</v>
      </c>
      <c r="R47" s="89" t="str">
        <f ca="1">_xlfn.XLOOKUP($G47,Фабрика!A:A,Фабрика!B:B,"ERR",0)</f>
        <v>Adidas International Trading AG; Switzerland, Platz 1b, 6039 Root D4</v>
      </c>
      <c r="S47" s="80" t="str">
        <f ca="1">_xlfn.XLOOKUP(RIGHT(AA47,2),Размеры!D:D,Размеры!A:A,"ERR",0)</f>
        <v>56</v>
      </c>
      <c r="T47" s="80">
        <f ca="1">VALUE(_xlfn.XLOOKUP($AA47,Строчный!$S:$S,Строчный!U:U,"ERR",0))</f>
        <v>1</v>
      </c>
      <c r="U47" s="14" t="s">
        <v>265</v>
      </c>
      <c r="V47" s="101" t="str">
        <f t="shared" ca="1" si="3"/>
        <v>Бейсболка ADIDAS арт. HD9700 BASEB CLASS TRE (фиолетовый)</v>
      </c>
      <c r="W47" s="100" t="str">
        <f t="shared" ca="1" si="4"/>
        <v>Бейсболка ADIDAS арт. HD9700 BASEB CLASS TRE (фиолетовый) {purple}</v>
      </c>
      <c r="X47" s="18" t="str">
        <f t="shared" ca="1" si="5"/>
        <v>фиолетовый</v>
      </c>
      <c r="Y47" s="18" t="str">
        <f t="shared" ca="1" si="6"/>
        <v>фиолетовый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фиолетовый</v>
      </c>
      <c r="AA47" s="73" t="str">
        <f ca="1"/>
        <v>56-014-41-56</v>
      </c>
      <c r="AB47" s="75" t="str">
        <f ca="1">VLOOKUP(C47,Группа!A:B,2,FALSE)</f>
        <v>Бейсболка</v>
      </c>
      <c r="AC47" s="97" t="str">
        <f ca="1">IFERROR(VLOOKUP(S47,Размеры!A:C,3,FALSE),"")</f>
        <v>56 S/M</v>
      </c>
      <c r="AD47" s="97" t="str">
        <f ca="1">VLOOKUP(I47,ЦветПолный!A:B,2,FALSE)</f>
        <v>41</v>
      </c>
      <c r="AE47" s="97" t="str">
        <f ca="1">IFERROR(VLOOKUP(S47,Размеры!A:D,4,FALSE),"")</f>
        <v>56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1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56-013-09</v>
      </c>
      <c r="B48" s="107" t="str">
        <f ca="1">_xlfn.LET(_xlpm.CAPS,1,_xlpm.Style,TRIM(_xlfn.XLOOKUP($A48,Строчный!$A:$A,Строчный!B:B,"ERR",0)),IF(_xlpm.CAPS=0,_xlpm.Style,UPPER(_xlpm.Style)))</f>
        <v>HD9699 BASEB CLASS TRE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</v>
      </c>
      <c r="E48" s="81" t="str">
        <f ca="1">PROPER(TRIM(_xlfn.XLOOKUP($A48,Строчный!$A:$A,Строчный!E:E,"ERR",0)))</f>
        <v>Adidas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ADIDAS</v>
      </c>
      <c r="H48" s="81" t="str">
        <f ca="1">LOWER(TRIM(_xlfn.XLOOKUP($A48,Строчный!$A:$A,Строчный!H:H,"ERR",0)))</f>
        <v>black</v>
      </c>
      <c r="I48" s="81" t="str">
        <f ca="1">LOWER(TRIM(_xlfn.XLOOKUP($A48,Строчный!$A:$A,Строчный!I:I,"ERR",0)))</f>
        <v>черный</v>
      </c>
      <c r="J48" s="81" t="str">
        <f ca="1">SUBSTITUTE(LOWER(TRIM(_xlfn.XLOOKUP($A48,Строчный!$A:$A,Строчный!J:J,"ERR",0))),"подклад","Подклад")</f>
        <v>100% хлопок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PROPER(TRIM(_xlfn.XLOOKUP($A48,Строчный!$A:$A,Строчный!R:R,"ERR",0)))</f>
        <v>10216170/071221/0361724</v>
      </c>
      <c r="Q48" s="90">
        <f ca="1">VALUE(_xlfn.XLOOKUP($A48,Строчный!$A:$A,Строчный!N:N,"ERR",0))</f>
        <v>1511.37</v>
      </c>
      <c r="R48" s="89" t="str">
        <f ca="1">_xlfn.XLOOKUP($G48,Фабрика!A:A,Фабрика!B:B,"ERR",0)</f>
        <v>Adidas International Trading AG; Switzerland, Platz 1b, 6039 Root D4</v>
      </c>
      <c r="S48" s="80" t="str">
        <f ca="1">_xlfn.XLOOKUP(RIGHT(AA48,2),Размеры!D:D,Размеры!A:A,"ERR",0)</f>
        <v>57</v>
      </c>
      <c r="T48" s="80">
        <f ca="1">VALUE(_xlfn.XLOOKUP($AA48,Строчный!$S:$S,Строчный!U:U,"ERR",0))</f>
        <v>3</v>
      </c>
      <c r="U48" s="14" t="s">
        <v>265</v>
      </c>
      <c r="V48" s="101" t="str">
        <f t="shared" ca="1" si="3"/>
        <v>Бейсболка ADIDAS арт. HD9699 BASEB CLASS TRE (черный)</v>
      </c>
      <c r="W48" s="100" t="str">
        <f t="shared" ca="1" si="4"/>
        <v>Бейсболка ADIDAS арт. HD9699 BASEB CLASS TRE (черный) {black}</v>
      </c>
      <c r="X48" s="18" t="str">
        <f t="shared" ca="1" si="5"/>
        <v>черный</v>
      </c>
      <c r="Y48" s="18" t="str">
        <f t="shared" ca="1" si="6"/>
        <v>черный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73" t="str">
        <f ca="1"/>
        <v>56-013-09-57</v>
      </c>
      <c r="AB48" s="75" t="str">
        <f ca="1">VLOOKUP(C48,Группа!A:B,2,FALSE)</f>
        <v>Бейсболка</v>
      </c>
      <c r="AC48" s="97" t="str">
        <f ca="1">IFERROR(VLOOKUP(S48,Размеры!A:C,3,FALSE),"")</f>
        <v>57 M</v>
      </c>
      <c r="AD48" s="97" t="str">
        <f ca="1">VLOOKUP(I48,ЦветПолный!A:B,2,FALSE)</f>
        <v>09</v>
      </c>
      <c r="AE48" s="97" t="str">
        <f ca="1">IFERROR(VLOOKUP(S48,Размеры!A:D,4,FALSE),"")</f>
        <v>57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56-012-34</v>
      </c>
      <c r="B49" s="107" t="str">
        <f ca="1">_xlfn.LET(_xlpm.CAPS,1,_xlpm.Style,TRIM(_xlfn.XLOOKUP($A49,Строчный!$A:$A,Строчный!B:B,"ERR",0)),IF(_xlpm.CAPS=0,_xlpm.Style,UPPER(_xlpm.Style)))</f>
        <v>HE9766 BASEB CLASS TRE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</v>
      </c>
      <c r="E49" s="81" t="str">
        <f ca="1">PROPER(TRIM(_xlfn.XLOOKUP($A49,Строчный!$A:$A,Строчный!E:E,"ERR",0)))</f>
        <v>Adidas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ADIDAS</v>
      </c>
      <c r="H49" s="81" t="str">
        <f ca="1">LOWER(TRIM(_xlfn.XLOOKUP($A49,Строчный!$A:$A,Строчный!H:H,"ERR",0)))</f>
        <v>pink</v>
      </c>
      <c r="I49" s="81" t="str">
        <f ca="1">LOWER(TRIM(_xlfn.XLOOKUP($A49,Строчный!$A:$A,Строчный!I:I,"ERR",0)))</f>
        <v>розовый</v>
      </c>
      <c r="J49" s="81" t="str">
        <f ca="1">SUBSTITUTE(LOWER(TRIM(_xlfn.XLOOKUP($A49,Строчный!$A:$A,Строчный!J:J,"ERR",0))),"подклад","Подклад")</f>
        <v>100% хлопок</v>
      </c>
      <c r="K49" s="81" t="str">
        <f ca="1">LOWER(TRIM(_xlfn.XLOOKUP($A49,Строчный!$A:$A,Строчный!K:K,"ERR",0)))</f>
        <v>хлопковые</v>
      </c>
      <c r="L49" s="81" t="str">
        <f ca="1">PROPER(TRIM(_xlfn.XLOOKUP($A49,Строчный!$A:$A,Строчный!L:L,"ERR",0)))</f>
        <v>Женский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PROPER(TRIM(_xlfn.XLOOKUP($A49,Строчный!$A:$A,Строчный!R:R,"ERR",0)))</f>
        <v>10216170/161121/0342075</v>
      </c>
      <c r="Q49" s="90">
        <f ca="1">VALUE(_xlfn.XLOOKUP($A49,Строчный!$A:$A,Строчный!N:N,"ERR",0))</f>
        <v>1511.37</v>
      </c>
      <c r="R49" s="89" t="str">
        <f ca="1">_xlfn.XLOOKUP($G49,Фабрика!A:A,Фабрика!B:B,"ERR",0)</f>
        <v>Adidas International Trading AG; Switzerland, Platz 1b, 6039 Root D4</v>
      </c>
      <c r="S49" s="80" t="str">
        <f ca="1">_xlfn.XLOOKUP(RIGHT(AA49,2),Размеры!D:D,Размеры!A:A,"ERR",0)</f>
        <v>57</v>
      </c>
      <c r="T49" s="80">
        <f ca="1">VALUE(_xlfn.XLOOKUP($AA49,Строчный!$S:$S,Строчный!U:U,"ERR",0))</f>
        <v>3</v>
      </c>
      <c r="U49" s="14" t="s">
        <v>265</v>
      </c>
      <c r="V49" s="101" t="str">
        <f t="shared" ca="1" si="3"/>
        <v>Бейсболка ADIDAS арт. HE9766 BASEB CLASS TRE (розовый)</v>
      </c>
      <c r="W49" s="100" t="str">
        <f t="shared" ca="1" si="4"/>
        <v>Бейсболка ADIDAS арт. HE9766 BASEB CLASS TRE (розовый) {pink}</v>
      </c>
      <c r="X49" s="18" t="str">
        <f t="shared" ca="1" si="5"/>
        <v>розовый</v>
      </c>
      <c r="Y49" s="18" t="str">
        <f t="shared" ca="1" si="6"/>
        <v>розовый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розовый</v>
      </c>
      <c r="AA49" s="73" t="str">
        <f ca="1"/>
        <v>56-012-34-57</v>
      </c>
      <c r="AB49" s="75" t="str">
        <f ca="1">VLOOKUP(C49,Группа!A:B,2,FALSE)</f>
        <v>Бейсболка</v>
      </c>
      <c r="AC49" s="97" t="str">
        <f ca="1">IFERROR(VLOOKUP(S49,Размеры!A:C,3,FALSE),"")</f>
        <v>57 M</v>
      </c>
      <c r="AD49" s="97" t="str">
        <f ca="1">VLOOKUP(I49,ЦветПолный!A:B,2,FALSE)</f>
        <v>34</v>
      </c>
      <c r="AE49" s="97" t="str">
        <f ca="1">IFERROR(VLOOKUP(S49,Размеры!A:D,4,FALSE),"")</f>
        <v>57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56-011-09</v>
      </c>
      <c r="B50" s="107" t="str">
        <f ca="1">_xlfn.LET(_xlpm.CAPS,1,_xlpm.Style,TRIM(_xlfn.XLOOKUP($A50,Строчный!$A:$A,Строчный!B:B,"ERR",0)),IF(_xlpm.CAPS=0,_xlpm.Style,UPPER(_xlpm.Style)))</f>
        <v>GN2291 STAN BBALL CAP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</v>
      </c>
      <c r="E50" s="81" t="str">
        <f ca="1">PROPER(TRIM(_xlfn.XLOOKUP($A50,Строчный!$A:$A,Строчный!E:E,"ERR",0)))</f>
        <v>Adidas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ADIDAS</v>
      </c>
      <c r="H50" s="81" t="str">
        <f ca="1">LOWER(TRIM(_xlfn.XLOOKUP($A50,Строчный!$A:$A,Строчный!H:H,"ERR",0)))</f>
        <v>black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100% полиэстер</v>
      </c>
      <c r="K50" s="81" t="str">
        <f ca="1">LOWER(TRIM(_xlfn.XLOOKUP($A50,Строчный!$A:$A,Строчный!K:K,"ERR",0)))</f>
        <v/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PROPER(TRIM(_xlfn.XLOOKUP($A50,Строчный!$A:$A,Строчный!R:R,"ERR",0)))</f>
        <v>10216170/230321/0078124</v>
      </c>
      <c r="Q50" s="90">
        <f ca="1">VALUE(_xlfn.XLOOKUP($A50,Строчный!$A:$A,Строчный!N:N,"ERR",0))</f>
        <v>1820.7</v>
      </c>
      <c r="R50" s="89" t="str">
        <f ca="1">_xlfn.XLOOKUP($G50,Фабрика!A:A,Фабрика!B:B,"ERR",0)</f>
        <v>Adidas International Trading AG; Switzerland, Platz 1b, 6039 Root D4</v>
      </c>
      <c r="S50" s="80" t="str">
        <f ca="1">_xlfn.XLOOKUP(RIGHT(AA50,2),Размеры!D:D,Размеры!A:A,"ERR",0)</f>
        <v>61</v>
      </c>
      <c r="T50" s="80">
        <f ca="1">VALUE(_xlfn.XLOOKUP($AA50,Строчный!$S:$S,Строчный!U:U,"ERR",0))</f>
        <v>1</v>
      </c>
      <c r="U50" s="14" t="s">
        <v>265</v>
      </c>
      <c r="V50" s="101" t="str">
        <f t="shared" ca="1" si="3"/>
        <v>Бейсболка ADIDAS арт. GN2291 STAN BBALL CAP (черный)</v>
      </c>
      <c r="W50" s="100" t="str">
        <f t="shared" ca="1" si="4"/>
        <v>Бейсболка ADIDAS арт. GN2291 STAN BBALL CAP (черный) {black}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56-011-09-61</v>
      </c>
      <c r="AB50" s="75" t="str">
        <f ca="1">VLOOKUP(C50,Группа!A:B,2,FALSE)</f>
        <v>Бейсболка</v>
      </c>
      <c r="AC50" s="97" t="str">
        <f ca="1">IFERROR(VLOOKUP(S50,Размеры!A:C,3,FALSE),"")</f>
        <v>61 XL</v>
      </c>
      <c r="AD50" s="97" t="str">
        <f ca="1">VLOOKUP(I50,ЦветПолный!A:B,2,FALSE)</f>
        <v>09</v>
      </c>
      <c r="AE50" s="97" t="str">
        <f ca="1">IFERROR(VLOOKUP(S50,Размеры!A:D,4,FALSE),"")</f>
        <v>61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0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56-011-09</v>
      </c>
      <c r="B51" s="107" t="str">
        <f ca="1">_xlfn.LET(_xlpm.CAPS,1,_xlpm.Style,TRIM(_xlfn.XLOOKUP($A51,Строчный!$A:$A,Строчный!B:B,"ERR",0)),IF(_xlpm.CAPS=0,_xlpm.Style,UPPER(_xlpm.Style)))</f>
        <v>GN2291 STAN BBALL CAP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</v>
      </c>
      <c r="E51" s="81" t="str">
        <f ca="1">PROPER(TRIM(_xlfn.XLOOKUP($A51,Строчный!$A:$A,Строчный!E:E,"ERR",0)))</f>
        <v>Adidas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ADIDAS</v>
      </c>
      <c r="H51" s="81" t="str">
        <f ca="1">LOWER(TRIM(_xlfn.XLOOKUP($A51,Строчный!$A:$A,Строчный!H:H,"ERR",0)))</f>
        <v>black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100% полиэстер</v>
      </c>
      <c r="K51" s="81" t="str">
        <f ca="1">LOWER(TRIM(_xlfn.XLOOKUP($A51,Строчный!$A:$A,Строчный!K:K,"ERR",0)))</f>
        <v/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PROPER(TRIM(_xlfn.XLOOKUP($A51,Строчный!$A:$A,Строчный!R:R,"ERR",0)))</f>
        <v>10216170/230321/0078124</v>
      </c>
      <c r="Q51" s="90">
        <f ca="1">VALUE(_xlfn.XLOOKUP($A51,Строчный!$A:$A,Строчный!N:N,"ERR",0))</f>
        <v>1820.7</v>
      </c>
      <c r="R51" s="89" t="str">
        <f ca="1">_xlfn.XLOOKUP($G51,Фабрика!A:A,Фабрика!B:B,"ERR",0)</f>
        <v>Adidas International Trading AG; Switzerland, Platz 1b, 6039 Root D4</v>
      </c>
      <c r="S51" s="80" t="str">
        <f ca="1">_xlfn.XLOOKUP(RIGHT(AA51,2),Размеры!D:D,Размеры!A:A,"ERR",0)</f>
        <v>57</v>
      </c>
      <c r="T51" s="80">
        <f ca="1">VALUE(_xlfn.XLOOKUP($AA51,Строчный!$S:$S,Строчный!U:U,"ERR",0))</f>
        <v>3</v>
      </c>
      <c r="U51" s="14" t="s">
        <v>265</v>
      </c>
      <c r="V51" s="101" t="str">
        <f t="shared" ca="1" si="3"/>
        <v>Бейсболка ADIDAS арт. GN2291 STAN BBALL CAP (черный)</v>
      </c>
      <c r="W51" s="100" t="str">
        <f t="shared" ca="1" si="4"/>
        <v>Бейсболка ADIDAS арт. GN2291 STAN BBALL CAP (черный) {black}</v>
      </c>
      <c r="X51" s="18" t="str">
        <f t="shared" ca="1" si="5"/>
        <v>черный</v>
      </c>
      <c r="Y51" s="18" t="str">
        <f t="shared" ca="1" si="6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56-011-09-57</v>
      </c>
      <c r="AB51" s="75" t="str">
        <f ca="1">VLOOKUP(C51,Группа!A:B,2,FALSE)</f>
        <v>Бейсболка</v>
      </c>
      <c r="AC51" s="97" t="str">
        <f ca="1">IFERROR(VLOOKUP(S51,Размеры!A:C,3,FALSE),"")</f>
        <v>57 M</v>
      </c>
      <c r="AD51" s="97" t="str">
        <f ca="1">VLOOKUP(I51,ЦветПолный!A:B,2,FALSE)</f>
        <v>09</v>
      </c>
      <c r="AE51" s="97" t="str">
        <f ca="1">IFERROR(VLOOKUP(S51,Размеры!A:D,4,FALSE),"")</f>
        <v>57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0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56-010-09</v>
      </c>
      <c r="B52" s="107" t="str">
        <f ca="1">_xlfn.LET(_xlpm.CAPS,1,_xlpm.Style,TRIM(_xlfn.XLOOKUP($A52,Строчный!$A:$A,Строчный!B:B,"ERR",0)),IF(_xlpm.CAPS=0,_xlpm.Style,UPPER(_xlpm.Style)))</f>
        <v>GN2052 3S CAP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</v>
      </c>
      <c r="E52" s="81" t="str">
        <f ca="1">PROPER(TRIM(_xlfn.XLOOKUP($A52,Строчный!$A:$A,Строчный!E:E,"ERR",0)))</f>
        <v>Adidas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ADIDAS</v>
      </c>
      <c r="H52" s="81" t="str">
        <f ca="1">LOWER(TRIM(_xlfn.XLOOKUP($A52,Строчный!$A:$A,Строчный!H:H,"ERR",0)))</f>
        <v>black</v>
      </c>
      <c r="I52" s="81" t="str">
        <f ca="1">LOWER(TRIM(_xlfn.XLOOKUP($A52,Строчный!$A:$A,Строчный!I:I,"ERR",0)))</f>
        <v>черный</v>
      </c>
      <c r="J52" s="81" t="str">
        <f ca="1">SUBSTITUTE(LOWER(TRIM(_xlfn.XLOOKUP($A52,Строчный!$A:$A,Строчный!J:J,"ERR",0))),"подклад","Подклад")</f>
        <v>100%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PROPER(TRIM(_xlfn.XLOOKUP($A52,Строчный!$A:$A,Строчный!R:R,"ERR",0)))</f>
        <v>10216170/070122/3004177</v>
      </c>
      <c r="Q52" s="90">
        <f ca="1">VALUE(_xlfn.XLOOKUP($A52,Строчный!$A:$A,Строчный!N:N,"ERR",0))</f>
        <v>1316.7</v>
      </c>
      <c r="R52" s="89" t="str">
        <f ca="1">_xlfn.XLOOKUP($G52,Фабрика!A:A,Фабрика!B:B,"ERR",0)</f>
        <v>Adidas International Trading AG; Switzerland, Platz 1b, 6039 Root D4</v>
      </c>
      <c r="S52" s="80" t="str">
        <f ca="1">_xlfn.XLOOKUP(RIGHT(AA52,2),Размеры!D:D,Размеры!A:A,"ERR",0)</f>
        <v>61</v>
      </c>
      <c r="T52" s="80">
        <f ca="1">VALUE(_xlfn.XLOOKUP($AA52,Строчный!$S:$S,Строчный!U:U,"ERR",0))</f>
        <v>2</v>
      </c>
      <c r="U52" s="14" t="s">
        <v>265</v>
      </c>
      <c r="V52" s="101" t="str">
        <f t="shared" ca="1" si="3"/>
        <v>Бейсболка ADIDAS арт. GN2052 3S CAP (черный)</v>
      </c>
      <c r="W52" s="100" t="str">
        <f t="shared" ca="1" si="4"/>
        <v>Бейсболка ADIDAS арт. GN2052 3S CAP (черный) {black}</v>
      </c>
      <c r="X52" s="18" t="str">
        <f t="shared" ca="1" si="5"/>
        <v>черный</v>
      </c>
      <c r="Y52" s="18" t="str">
        <f t="shared" ca="1" si="6"/>
        <v>черный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AA52" s="73" t="str">
        <f ca="1"/>
        <v>56-010-09-61</v>
      </c>
      <c r="AB52" s="75" t="str">
        <f ca="1">VLOOKUP(C52,Группа!A:B,2,FALSE)</f>
        <v>Бейсболка</v>
      </c>
      <c r="AC52" s="97" t="str">
        <f ca="1">IFERROR(VLOOKUP(S52,Размеры!A:C,3,FALSE),"")</f>
        <v>61 XL</v>
      </c>
      <c r="AD52" s="97" t="str">
        <f ca="1">VLOOKUP(I52,ЦветПолный!A:B,2,FALSE)</f>
        <v>09</v>
      </c>
      <c r="AE52" s="97" t="str">
        <f ca="1">IFERROR(VLOOKUP(S52,Размеры!A:D,4,FALSE),"")</f>
        <v>61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56-010-09</v>
      </c>
      <c r="B53" s="107" t="str">
        <f ca="1">_xlfn.LET(_xlpm.CAPS,1,_xlpm.Style,TRIM(_xlfn.XLOOKUP($A53,Строчный!$A:$A,Строчный!B:B,"ERR",0)),IF(_xlpm.CAPS=0,_xlpm.Style,UPPER(_xlpm.Style)))</f>
        <v>GN2052 3S CAP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</v>
      </c>
      <c r="E53" s="81" t="str">
        <f ca="1">PROPER(TRIM(_xlfn.XLOOKUP($A53,Строчный!$A:$A,Строчный!E:E,"ERR",0)))</f>
        <v>Adidas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ADIDAS</v>
      </c>
      <c r="H53" s="81" t="str">
        <f ca="1">LOWER(TRIM(_xlfn.XLOOKUP($A53,Строчный!$A:$A,Строчный!H:H,"ERR",0)))</f>
        <v>black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100% хлопок</v>
      </c>
      <c r="K53" s="81" t="str">
        <f ca="1">LOWER(TRIM(_xlfn.XLOOKUP($A53,Строчный!$A:$A,Строчный!K:K,"ERR",0)))</f>
        <v>хлопковые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PROPER(TRIM(_xlfn.XLOOKUP($A53,Строчный!$A:$A,Строчный!R:R,"ERR",0)))</f>
        <v>10216170/070122/3004177</v>
      </c>
      <c r="Q53" s="90">
        <f ca="1">VALUE(_xlfn.XLOOKUP($A53,Строчный!$A:$A,Строчный!N:N,"ERR",0))</f>
        <v>1316.7</v>
      </c>
      <c r="R53" s="89" t="str">
        <f ca="1">_xlfn.XLOOKUP($G53,Фабрика!A:A,Фабрика!B:B,"ERR",0)</f>
        <v>Adidas International Trading AG; Switzerland, Platz 1b, 6039 Root D4</v>
      </c>
      <c r="S53" s="80" t="str">
        <f ca="1">_xlfn.XLOOKUP(RIGHT(AA53,2),Размеры!D:D,Размеры!A:A,"ERR",0)</f>
        <v>57</v>
      </c>
      <c r="T53" s="80">
        <f ca="1">VALUE(_xlfn.XLOOKUP($AA53,Строчный!$S:$S,Строчный!U:U,"ERR",0))</f>
        <v>2</v>
      </c>
      <c r="U53" s="14" t="s">
        <v>265</v>
      </c>
      <c r="V53" s="101" t="str">
        <f t="shared" ca="1" si="3"/>
        <v>Бейсболка ADIDAS арт. GN2052 3S CAP (черный)</v>
      </c>
      <c r="W53" s="100" t="str">
        <f t="shared" ca="1" si="4"/>
        <v>Бейсболка ADIDAS арт. GN2052 3S CAP (черный) {black}</v>
      </c>
      <c r="X53" s="18" t="str">
        <f t="shared" ca="1" si="5"/>
        <v>черный</v>
      </c>
      <c r="Y53" s="18" t="str">
        <f t="shared" ca="1" si="6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56-010-09-57</v>
      </c>
      <c r="AB53" s="75" t="str">
        <f ca="1">VLOOKUP(C53,Группа!A:B,2,FALSE)</f>
        <v>Бейсболка</v>
      </c>
      <c r="AC53" s="97" t="str">
        <f ca="1">IFERROR(VLOOKUP(S53,Размеры!A:C,3,FALSE),"")</f>
        <v>57 M</v>
      </c>
      <c r="AD53" s="97" t="str">
        <f ca="1">VLOOKUP(I53,ЦветПолный!A:B,2,FALSE)</f>
        <v>09</v>
      </c>
      <c r="AE53" s="97" t="str">
        <f ca="1">IFERROR(VLOOKUP(S53,Размеры!A:D,4,FALSE),"")</f>
        <v>57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56-009-09</v>
      </c>
      <c r="B54" s="107" t="str">
        <f ca="1">_xlfn.LET(_xlpm.CAPS,1,_xlpm.Style,TRIM(_xlfn.XLOOKUP($A54,Строчный!$A:$A,Строчный!B:B,"ERR",0)),IF(_xlpm.CAPS=0,_xlpm.Style,UPPER(_xlpm.Style)))</f>
        <v>GM4508 BBALLCAP LT MET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</v>
      </c>
      <c r="E54" s="81" t="str">
        <f ca="1">PROPER(TRIM(_xlfn.XLOOKUP($A54,Строчный!$A:$A,Строчный!E:E,"ERR",0)))</f>
        <v>Adidas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ADIDAS</v>
      </c>
      <c r="H54" s="81" t="str">
        <f ca="1">LOWER(TRIM(_xlfn.XLOOKUP($A54,Строчный!$A:$A,Строчный!H:H,"ERR",0)))</f>
        <v>black</v>
      </c>
      <c r="I54" s="81" t="str">
        <f ca="1">LOWER(TRIM(_xlfn.XLOOKUP($A54,Строчный!$A:$A,Строчный!I:I,"ERR",0)))</f>
        <v>черный</v>
      </c>
      <c r="J54" s="81" t="str">
        <f ca="1">SUBSTITUTE(LOWER(TRIM(_xlfn.XLOOKUP($A54,Строчный!$A:$A,Строчный!J:J,"ERR",0))),"подклад","Подклад")</f>
        <v>100% полиэстер</v>
      </c>
      <c r="K54" s="81" t="str">
        <f ca="1">LOWER(TRIM(_xlfn.XLOOKUP($A54,Строчный!$A:$A,Строчный!K:K,"ERR",0)))</f>
        <v/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PROPER(TRIM(_xlfn.XLOOKUP($A54,Строчный!$A:$A,Строчный!R:R,"ERR",0)))</f>
        <v>10216170/140122/3011425</v>
      </c>
      <c r="Q54" s="90">
        <f ca="1">VALUE(_xlfn.XLOOKUP($A54,Строчный!$A:$A,Строчный!N:N,"ERR",0))</f>
        <v>1259.3699999999999</v>
      </c>
      <c r="R54" s="89" t="str">
        <f ca="1">_xlfn.XLOOKUP($G54,Фабрика!A:A,Фабрика!B:B,"ERR",0)</f>
        <v>Adidas International Trading AG; Switzerland, Platz 1b, 6039 Root D4</v>
      </c>
      <c r="S54" s="80" t="str">
        <f ca="1">_xlfn.XLOOKUP(RIGHT(AA54,2),Размеры!D:D,Размеры!A:A,"ERR",0)</f>
        <v>61</v>
      </c>
      <c r="T54" s="80">
        <f ca="1">VALUE(_xlfn.XLOOKUP($AA54,Строчный!$S:$S,Строчный!U:U,"ERR",0))</f>
        <v>1</v>
      </c>
      <c r="U54" s="14" t="s">
        <v>265</v>
      </c>
      <c r="V54" s="101" t="str">
        <f t="shared" ca="1" si="3"/>
        <v>Бейсболка ADIDAS арт. GM4508 BBALLCAP LT MET (черный)</v>
      </c>
      <c r="W54" s="100" t="str">
        <f t="shared" ca="1" si="4"/>
        <v>Бейсболка ADIDAS арт. GM4508 BBALLCAP LT MET (черный) {black}</v>
      </c>
      <c r="X54" s="18" t="str">
        <f t="shared" ca="1" si="5"/>
        <v>черный</v>
      </c>
      <c r="Y54" s="18" t="str">
        <f t="shared" ca="1" si="6"/>
        <v>черный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черный</v>
      </c>
      <c r="AA54" s="73" t="str">
        <f ca="1"/>
        <v>56-009-09-61</v>
      </c>
      <c r="AB54" s="75" t="str">
        <f ca="1">VLOOKUP(C54,Группа!A:B,2,FALSE)</f>
        <v>Бейсболка</v>
      </c>
      <c r="AC54" s="97" t="str">
        <f ca="1">IFERROR(VLOOKUP(S54,Размеры!A:C,3,FALSE),"")</f>
        <v>61 XL</v>
      </c>
      <c r="AD54" s="97" t="str">
        <f ca="1">VLOOKUP(I54,ЦветПолный!A:B,2,FALSE)</f>
        <v>09</v>
      </c>
      <c r="AE54" s="97" t="str">
        <f ca="1">IFERROR(VLOOKUP(S54,Размеры!A:D,4,FALSE),"")</f>
        <v>61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0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56-009-09</v>
      </c>
      <c r="B55" s="107" t="str">
        <f ca="1">_xlfn.LET(_xlpm.CAPS,1,_xlpm.Style,TRIM(_xlfn.XLOOKUP($A55,Строчный!$A:$A,Строчный!B:B,"ERR",0)),IF(_xlpm.CAPS=0,_xlpm.Style,UPPER(_xlpm.Style)))</f>
        <v>GM4508 BBALLCAP LT MET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</v>
      </c>
      <c r="E55" s="81" t="str">
        <f ca="1">PROPER(TRIM(_xlfn.XLOOKUP($A55,Строчный!$A:$A,Строчный!E:E,"ERR",0)))</f>
        <v>Adidas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ADIDAS</v>
      </c>
      <c r="H55" s="81" t="str">
        <f ca="1">LOWER(TRIM(_xlfn.XLOOKUP($A55,Строчный!$A:$A,Строчный!H:H,"ERR",0)))</f>
        <v>black</v>
      </c>
      <c r="I55" s="81" t="str">
        <f ca="1">LOWER(TRIM(_xlfn.XLOOKUP($A55,Строчный!$A:$A,Строчный!I:I,"ERR",0)))</f>
        <v>черный</v>
      </c>
      <c r="J55" s="81" t="str">
        <f ca="1">SUBSTITUTE(LOWER(TRIM(_xlfn.XLOOKUP($A55,Строчный!$A:$A,Строчный!J:J,"ERR",0))),"подклад","Подклад")</f>
        <v>100% полиэстер</v>
      </c>
      <c r="K55" s="81" t="str">
        <f ca="1">LOWER(TRIM(_xlfn.XLOOKUP($A55,Строчный!$A:$A,Строчный!K:K,"ERR",0)))</f>
        <v/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PROPER(TRIM(_xlfn.XLOOKUP($A55,Строчный!$A:$A,Строчный!R:R,"ERR",0)))</f>
        <v>10216170/140122/3011425</v>
      </c>
      <c r="Q55" s="90">
        <f ca="1">VALUE(_xlfn.XLOOKUP($A55,Строчный!$A:$A,Строчный!N:N,"ERR",0))</f>
        <v>1259.3699999999999</v>
      </c>
      <c r="R55" s="89" t="str">
        <f ca="1">_xlfn.XLOOKUP($G55,Фабрика!A:A,Фабрика!B:B,"ERR",0)</f>
        <v>Adidas International Trading AG; Switzerland, Platz 1b, 6039 Root D4</v>
      </c>
      <c r="S55" s="80" t="str">
        <f ca="1">_xlfn.XLOOKUP(RIGHT(AA55,2),Размеры!D:D,Размеры!A:A,"ERR",0)</f>
        <v>57</v>
      </c>
      <c r="T55" s="80">
        <f ca="1">VALUE(_xlfn.XLOOKUP($AA55,Строчный!$S:$S,Строчный!U:U,"ERR",0))</f>
        <v>6</v>
      </c>
      <c r="U55" s="14" t="s">
        <v>265</v>
      </c>
      <c r="V55" s="101" t="str">
        <f t="shared" ca="1" si="3"/>
        <v>Бейсболка ADIDAS арт. GM4508 BBALLCAP LT MET (черный)</v>
      </c>
      <c r="W55" s="100" t="str">
        <f t="shared" ca="1" si="4"/>
        <v>Бейсболка ADIDAS арт. GM4508 BBALLCAP LT MET (черный) {black}</v>
      </c>
      <c r="X55" s="18" t="str">
        <f t="shared" ca="1" si="5"/>
        <v>черный</v>
      </c>
      <c r="Y55" s="18" t="str">
        <f t="shared" ca="1" si="6"/>
        <v>черный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73" t="str">
        <f ca="1"/>
        <v>56-009-09-57</v>
      </c>
      <c r="AB55" s="75" t="str">
        <f ca="1">VLOOKUP(C55,Группа!A:B,2,FALSE)</f>
        <v>Бейсболка</v>
      </c>
      <c r="AC55" s="97" t="str">
        <f ca="1">IFERROR(VLOOKUP(S55,Размеры!A:C,3,FALSE),"")</f>
        <v>57 M</v>
      </c>
      <c r="AD55" s="97" t="str">
        <f ca="1">VLOOKUP(I55,ЦветПолный!A:B,2,FALSE)</f>
        <v>09</v>
      </c>
      <c r="AE55" s="97" t="str">
        <f ca="1">IFERROR(VLOOKUP(S55,Размеры!A:D,4,FALSE),"")</f>
        <v>57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0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56-008-09</v>
      </c>
      <c r="B56" s="107" t="str">
        <f ca="1">_xlfn.LET(_xlpm.CAPS,1,_xlpm.Style,TRIM(_xlfn.XLOOKUP($A56,Строчный!$A:$A,Строчный!B:B,"ERR",0)),IF(_xlpm.CAPS=0,_xlpm.Style,UPPER(_xlpm.Style)))</f>
        <v>GE0750 BBALL 3S CAP CT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</v>
      </c>
      <c r="E56" s="81" t="str">
        <f ca="1">PROPER(TRIM(_xlfn.XLOOKUP($A56,Строчный!$A:$A,Строчный!E:E,"ERR",0)))</f>
        <v>Adidas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ADIDAS</v>
      </c>
      <c r="H56" s="81" t="str">
        <f ca="1">LOWER(TRIM(_xlfn.XLOOKUP($A56,Строчный!$A:$A,Строчный!H:H,"ERR",0)))</f>
        <v>black</v>
      </c>
      <c r="I56" s="81" t="str">
        <f ca="1">LOWER(TRIM(_xlfn.XLOOKUP($A56,Строчный!$A:$A,Строчный!I:I,"ERR",0)))</f>
        <v>черный</v>
      </c>
      <c r="J56" s="81" t="str">
        <f ca="1">SUBSTITUTE(LOWER(TRIM(_xlfn.XLOOKUP($A56,Строчный!$A:$A,Строчный!J:J,"ERR",0))),"подклад","Подклад")</f>
        <v>100%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PROPER(TRIM(_xlfn.XLOOKUP($A56,Строчный!$A:$A,Строчный!R:R,"ERR",0)))</f>
        <v>10216170/161121/0342075</v>
      </c>
      <c r="Q56" s="90">
        <f ca="1">VALUE(_xlfn.XLOOKUP($A56,Строчный!$A:$A,Строчный!N:N,"ERR",0))</f>
        <v>1316.7</v>
      </c>
      <c r="R56" s="89" t="str">
        <f ca="1">_xlfn.XLOOKUP($G56,Фабрика!A:A,Фабрика!B:B,"ERR",0)</f>
        <v>Adidas International Trading AG; Switzerland, Platz 1b, 6039 Root D4</v>
      </c>
      <c r="S56" s="80" t="str">
        <f ca="1">_xlfn.XLOOKUP(RIGHT(AA56,2),Размеры!D:D,Размеры!A:A,"ERR",0)</f>
        <v>61</v>
      </c>
      <c r="T56" s="80">
        <f ca="1">VALUE(_xlfn.XLOOKUP($AA56,Строчный!$S:$S,Строчный!U:U,"ERR",0))</f>
        <v>2</v>
      </c>
      <c r="U56" s="14" t="s">
        <v>265</v>
      </c>
      <c r="V56" s="101" t="str">
        <f t="shared" ca="1" si="3"/>
        <v>Бейсболка ADIDAS арт. GE0750 BBALL 3S CAP CT (черный)</v>
      </c>
      <c r="W56" s="100" t="str">
        <f t="shared" ca="1" si="4"/>
        <v>Бейсболка ADIDAS арт. GE0750 BBALL 3S CAP CT (черный) {black}</v>
      </c>
      <c r="X56" s="18" t="str">
        <f t="shared" ca="1" si="5"/>
        <v>черный</v>
      </c>
      <c r="Y56" s="18" t="str">
        <f t="shared" ca="1" si="6"/>
        <v>черный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черный</v>
      </c>
      <c r="AA56" s="73" t="str">
        <f ca="1"/>
        <v>56-008-09-61</v>
      </c>
      <c r="AB56" s="75" t="str">
        <f ca="1">VLOOKUP(C56,Группа!A:B,2,FALSE)</f>
        <v>Бейсболка</v>
      </c>
      <c r="AC56" s="97" t="str">
        <f ca="1">IFERROR(VLOOKUP(S56,Размеры!A:C,3,FALSE),"")</f>
        <v>61 XL</v>
      </c>
      <c r="AD56" s="97" t="str">
        <f ca="1">VLOOKUP(I56,ЦветПолный!A:B,2,FALSE)</f>
        <v>09</v>
      </c>
      <c r="AE56" s="97" t="str">
        <f ca="1">IFERROR(VLOOKUP(S56,Размеры!A:D,4,FALSE),"")</f>
        <v>61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56-008-09</v>
      </c>
      <c r="B57" s="107" t="str">
        <f ca="1">_xlfn.LET(_xlpm.CAPS,1,_xlpm.Style,TRIM(_xlfn.XLOOKUP($A57,Строчный!$A:$A,Строчный!B:B,"ERR",0)),IF(_xlpm.CAPS=0,_xlpm.Style,UPPER(_xlpm.Style)))</f>
        <v>GE0750 BBALL 3S CAP CT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</v>
      </c>
      <c r="E57" s="81" t="str">
        <f ca="1">PROPER(TRIM(_xlfn.XLOOKUP($A57,Строчный!$A:$A,Строчный!E:E,"ERR",0)))</f>
        <v>Adidas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ADIDAS</v>
      </c>
      <c r="H57" s="81" t="str">
        <f ca="1">LOWER(TRIM(_xlfn.XLOOKUP($A57,Строчный!$A:$A,Строчный!H:H,"ERR",0)))</f>
        <v>black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100%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PROPER(TRIM(_xlfn.XLOOKUP($A57,Строчный!$A:$A,Строчный!R:R,"ERR",0)))</f>
        <v>10216170/161121/0342075</v>
      </c>
      <c r="Q57" s="90">
        <f ca="1">VALUE(_xlfn.XLOOKUP($A57,Строчный!$A:$A,Строчный!N:N,"ERR",0))</f>
        <v>1316.7</v>
      </c>
      <c r="R57" s="89" t="str">
        <f ca="1">_xlfn.XLOOKUP($G57,Фабрика!A:A,Фабрика!B:B,"ERR",0)</f>
        <v>Adidas International Trading AG; Switzerland, Platz 1b, 6039 Root D4</v>
      </c>
      <c r="S57" s="80" t="str">
        <f ca="1">_xlfn.XLOOKUP(RIGHT(AA57,2),Размеры!D:D,Размеры!A:A,"ERR",0)</f>
        <v>57</v>
      </c>
      <c r="T57" s="80">
        <f ca="1">VALUE(_xlfn.XLOOKUP($AA57,Строчный!$S:$S,Строчный!U:U,"ERR",0))</f>
        <v>4</v>
      </c>
      <c r="U57" s="14" t="s">
        <v>265</v>
      </c>
      <c r="V57" s="101" t="str">
        <f t="shared" ca="1" si="3"/>
        <v>Бейсболка ADIDAS арт. GE0750 BBALL 3S CAP CT (черный)</v>
      </c>
      <c r="W57" s="100" t="str">
        <f t="shared" ca="1" si="4"/>
        <v>Бейсболка ADIDAS арт. GE0750 BBALL 3S CAP CT (черный) {black}</v>
      </c>
      <c r="X57" s="18" t="str">
        <f t="shared" ca="1" si="5"/>
        <v>черный</v>
      </c>
      <c r="Y57" s="18" t="str">
        <f t="shared" ca="1" si="6"/>
        <v>черный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3" t="str">
        <f ca="1"/>
        <v>56-008-09-57</v>
      </c>
      <c r="AB57" s="75" t="str">
        <f ca="1">VLOOKUP(C57,Группа!A:B,2,FALSE)</f>
        <v>Бейсболка</v>
      </c>
      <c r="AC57" s="97" t="str">
        <f ca="1">IFERROR(VLOOKUP(S57,Размеры!A:C,3,FALSE),"")</f>
        <v>57 M</v>
      </c>
      <c r="AD57" s="97" t="str">
        <f ca="1">VLOOKUP(I57,ЦветПолный!A:B,2,FALSE)</f>
        <v>09</v>
      </c>
      <c r="AE57" s="97" t="str">
        <f ca="1">IFERROR(VLOOKUP(S57,Размеры!A:D,4,FALSE),"")</f>
        <v>57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56-007-09</v>
      </c>
      <c r="B58" s="107" t="str">
        <f ca="1">_xlfn.LET(_xlpm.CAPS,1,_xlpm.Style,TRIM(_xlfn.XLOOKUP($A58,Строчный!$A:$A,Строчный!B:B,"ERR",0)),IF(_xlpm.CAPS=0,_xlpm.Style,UPPER(_xlpm.Style)))</f>
        <v>DM6178 DAILY CAP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</v>
      </c>
      <c r="E58" s="81" t="str">
        <f ca="1">PROPER(TRIM(_xlfn.XLOOKUP($A58,Строчный!$A:$A,Строчный!E:E,"ERR",0)))</f>
        <v>Adidas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ADIDAS</v>
      </c>
      <c r="H58" s="81" t="str">
        <f ca="1">LOWER(TRIM(_xlfn.XLOOKUP($A58,Строчный!$A:$A,Строчный!H:H,"ERR",0)))</f>
        <v>black</v>
      </c>
      <c r="I58" s="81" t="str">
        <f ca="1">LOWER(TRIM(_xlfn.XLOOKUP($A58,Строчный!$A:$A,Строчный!I:I,"ERR",0)))</f>
        <v>черный</v>
      </c>
      <c r="J58" s="81" t="str">
        <f ca="1">SUBSTITUTE(LOWER(TRIM(_xlfn.XLOOKUP($A58,Строчный!$A:$A,Строчный!J:J,"ERR",0))),"подклад","Подклад")</f>
        <v>100%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PROPER(TRIM(_xlfn.XLOOKUP($A58,Строчный!$A:$A,Строчный!R:R,"ERR",0)))</f>
        <v>10216170/120122/3008300</v>
      </c>
      <c r="Q58" s="90">
        <f ca="1">VALUE(_xlfn.XLOOKUP($A58,Строчный!$A:$A,Строчный!N:N,"ERR",0))</f>
        <v>938.7</v>
      </c>
      <c r="R58" s="89" t="str">
        <f ca="1">_xlfn.XLOOKUP($G58,Фабрика!A:A,Фабрика!B:B,"ERR",0)</f>
        <v>Adidas International Trading AG; Switzerland, Platz 1b, 6039 Root D4</v>
      </c>
      <c r="S58" s="80" t="str">
        <f ca="1">_xlfn.XLOOKUP(RIGHT(AA58,2),Размеры!D:D,Размеры!A:A,"ERR",0)</f>
        <v>61</v>
      </c>
      <c r="T58" s="80">
        <f ca="1">VALUE(_xlfn.XLOOKUP($AA58,Строчный!$S:$S,Строчный!U:U,"ERR",0))</f>
        <v>2</v>
      </c>
      <c r="U58" s="14" t="s">
        <v>265</v>
      </c>
      <c r="V58" s="101" t="str">
        <f t="shared" ca="1" si="3"/>
        <v>Бейсболка ADIDAS арт. DM6178 DAILY CAP (черный)</v>
      </c>
      <c r="W58" s="100" t="str">
        <f t="shared" ca="1" si="4"/>
        <v>Бейсболка ADIDAS арт. DM6178 DAILY CAP (черный) {black}</v>
      </c>
      <c r="X58" s="18" t="str">
        <f t="shared" ca="1" si="5"/>
        <v>черный</v>
      </c>
      <c r="Y58" s="18" t="str">
        <f t="shared" ca="1" si="6"/>
        <v>черный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AA58" s="73" t="str">
        <f ca="1"/>
        <v>56-007-09-61</v>
      </c>
      <c r="AB58" s="75" t="str">
        <f ca="1">VLOOKUP(C58,Группа!A:B,2,FALSE)</f>
        <v>Бейсболка</v>
      </c>
      <c r="AC58" s="97" t="str">
        <f ca="1">IFERROR(VLOOKUP(S58,Размеры!A:C,3,FALSE),"")</f>
        <v>61 XL</v>
      </c>
      <c r="AD58" s="97" t="str">
        <f ca="1">VLOOKUP(I58,ЦветПолный!A:B,2,FALSE)</f>
        <v>09</v>
      </c>
      <c r="AE58" s="97" t="str">
        <f ca="1">IFERROR(VLOOKUP(S58,Размеры!A:D,4,FALSE),"")</f>
        <v>61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56-007-09</v>
      </c>
      <c r="B59" s="107" t="str">
        <f ca="1">_xlfn.LET(_xlpm.CAPS,1,_xlpm.Style,TRIM(_xlfn.XLOOKUP($A59,Строчный!$A:$A,Строчный!B:B,"ERR",0)),IF(_xlpm.CAPS=0,_xlpm.Style,UPPER(_xlpm.Style)))</f>
        <v>DM6178 DAILY CAP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</v>
      </c>
      <c r="E59" s="81" t="str">
        <f ca="1">PROPER(TRIM(_xlfn.XLOOKUP($A59,Строчный!$A:$A,Строчный!E:E,"ERR",0)))</f>
        <v>Adidas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ADIDAS</v>
      </c>
      <c r="H59" s="81" t="str">
        <f ca="1">LOWER(TRIM(_xlfn.XLOOKUP($A59,Строчный!$A:$A,Строчный!H:H,"ERR",0)))</f>
        <v>black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100%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PROPER(TRIM(_xlfn.XLOOKUP($A59,Строчный!$A:$A,Строчный!R:R,"ERR",0)))</f>
        <v>10216170/120122/3008300</v>
      </c>
      <c r="Q59" s="90">
        <f ca="1">VALUE(_xlfn.XLOOKUP($A59,Строчный!$A:$A,Строчный!N:N,"ERR",0))</f>
        <v>938.7</v>
      </c>
      <c r="R59" s="89" t="str">
        <f ca="1">_xlfn.XLOOKUP($G59,Фабрика!A:A,Фабрика!B:B,"ERR",0)</f>
        <v>Adidas International Trading AG; Switzerland, Platz 1b, 6039 Root D4</v>
      </c>
      <c r="S59" s="80" t="str">
        <f ca="1">_xlfn.XLOOKUP(RIGHT(AA59,2),Размеры!D:D,Размеры!A:A,"ERR",0)</f>
        <v>57</v>
      </c>
      <c r="T59" s="80">
        <f ca="1">VALUE(_xlfn.XLOOKUP($AA59,Строчный!$S:$S,Строчный!U:U,"ERR",0))</f>
        <v>4</v>
      </c>
      <c r="U59" s="14" t="s">
        <v>265</v>
      </c>
      <c r="V59" s="101" t="str">
        <f t="shared" ca="1" si="3"/>
        <v>Бейсболка ADIDAS арт. DM6178 DAILY CAP (черный)</v>
      </c>
      <c r="W59" s="100" t="str">
        <f t="shared" ca="1" si="4"/>
        <v>Бейсболка ADIDAS арт. DM6178 DAILY CAP (черный) {black}</v>
      </c>
      <c r="X59" s="18" t="str">
        <f t="shared" ca="1" si="5"/>
        <v>черный</v>
      </c>
      <c r="Y59" s="18" t="str">
        <f t="shared" ca="1" si="6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73" t="str">
        <f ca="1"/>
        <v>56-007-09-57</v>
      </c>
      <c r="AB59" s="75" t="str">
        <f ca="1">VLOOKUP(C59,Группа!A:B,2,FALSE)</f>
        <v>Бейсболка</v>
      </c>
      <c r="AC59" s="97" t="str">
        <f ca="1">IFERROR(VLOOKUP(S59,Размеры!A:C,3,FALSE),"")</f>
        <v>57 M</v>
      </c>
      <c r="AD59" s="97" t="str">
        <f ca="1">VLOOKUP(I59,ЦветПолный!A:B,2,FALSE)</f>
        <v>09</v>
      </c>
      <c r="AE59" s="97" t="str">
        <f ca="1">IFERROR(VLOOKUP(S59,Размеры!A:D,4,FALSE),"")</f>
        <v>57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56-006-09</v>
      </c>
      <c r="B60" s="107" t="str">
        <f ca="1">_xlfn.LET(_xlpm.CAPS,1,_xlpm.Style,TRIM(_xlfn.XLOOKUP($A60,Строчный!$A:$A,Строчный!B:B,"ERR",0)),IF(_xlpm.CAPS=0,_xlpm.Style,UPPER(_xlpm.Style)))</f>
        <v>FK0891 BBALL CAP COT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</v>
      </c>
      <c r="E60" s="81" t="str">
        <f ca="1">PROPER(TRIM(_xlfn.XLOOKUP($A60,Строчный!$A:$A,Строчный!E:E,"ERR",0)))</f>
        <v>Adidas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ADIDAS</v>
      </c>
      <c r="H60" s="81" t="str">
        <f ca="1">LOWER(TRIM(_xlfn.XLOOKUP($A60,Строчный!$A:$A,Строчный!H:H,"ERR",0)))</f>
        <v>black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100%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PROPER(TRIM(_xlfn.XLOOKUP($A60,Строчный!$A:$A,Строчный!R:R,"ERR",0)))</f>
        <v>10216170/180222/3048837</v>
      </c>
      <c r="Q60" s="90">
        <f ca="1">VALUE(_xlfn.XLOOKUP($A60,Строчный!$A:$A,Строчный!N:N,"ERR",0))</f>
        <v>1316.7</v>
      </c>
      <c r="R60" s="89" t="str">
        <f ca="1">_xlfn.XLOOKUP($G60,Фабрика!A:A,Фабрика!B:B,"ERR",0)</f>
        <v>Adidas International Trading AG; Switzerland, Platz 1b, 6039 Root D4</v>
      </c>
      <c r="S60" s="80" t="str">
        <f ca="1">_xlfn.XLOOKUP(RIGHT(AA60,2),Размеры!D:D,Размеры!A:A,"ERR",0)</f>
        <v>61</v>
      </c>
      <c r="T60" s="80">
        <f ca="1">VALUE(_xlfn.XLOOKUP($AA60,Строчный!$S:$S,Строчный!U:U,"ERR",0))</f>
        <v>2</v>
      </c>
      <c r="U60" s="14" t="s">
        <v>265</v>
      </c>
      <c r="V60" s="101" t="str">
        <f t="shared" ca="1" si="3"/>
        <v>Бейсболка ADIDAS арт. FK0891 BBALL CAP COT (черный)</v>
      </c>
      <c r="W60" s="100" t="str">
        <f t="shared" ca="1" si="4"/>
        <v>Бейсболка ADIDAS арт. FK0891 BBALL CAP COT (черный) {black}</v>
      </c>
      <c r="X60" s="18" t="str">
        <f t="shared" ca="1" si="5"/>
        <v>черный</v>
      </c>
      <c r="Y60" s="18" t="str">
        <f t="shared" ca="1" si="6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56-006-09-61</v>
      </c>
      <c r="AB60" s="75" t="str">
        <f ca="1">VLOOKUP(C60,Группа!A:B,2,FALSE)</f>
        <v>Бейсболка</v>
      </c>
      <c r="AC60" s="97" t="str">
        <f ca="1">IFERROR(VLOOKUP(S60,Размеры!A:C,3,FALSE),"")</f>
        <v>61 XL</v>
      </c>
      <c r="AD60" s="97" t="str">
        <f ca="1">VLOOKUP(I60,ЦветПолный!A:B,2,FALSE)</f>
        <v>09</v>
      </c>
      <c r="AE60" s="97" t="str">
        <f ca="1">IFERROR(VLOOKUP(S60,Размеры!A:D,4,FALSE),"")</f>
        <v>61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56-006-09</v>
      </c>
      <c r="B61" s="107" t="str">
        <f ca="1">_xlfn.LET(_xlpm.CAPS,1,_xlpm.Style,TRIM(_xlfn.XLOOKUP($A61,Строчный!$A:$A,Строчный!B:B,"ERR",0)),IF(_xlpm.CAPS=0,_xlpm.Style,UPPER(_xlpm.Style)))</f>
        <v>FK0891 BBALL CAP COT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</v>
      </c>
      <c r="E61" s="81" t="str">
        <f ca="1">PROPER(TRIM(_xlfn.XLOOKUP($A61,Строчный!$A:$A,Строчный!E:E,"ERR",0)))</f>
        <v>Adidas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ADIDAS</v>
      </c>
      <c r="H61" s="81" t="str">
        <f ca="1">LOWER(TRIM(_xlfn.XLOOKUP($A61,Строчный!$A:$A,Строчный!H:H,"ERR",0)))</f>
        <v>black</v>
      </c>
      <c r="I61" s="81" t="str">
        <f ca="1">LOWER(TRIM(_xlfn.XLOOKUP($A61,Строчный!$A:$A,Строчный!I:I,"ERR",0)))</f>
        <v>черный</v>
      </c>
      <c r="J61" s="81" t="str">
        <f ca="1">SUBSTITUTE(LOWER(TRIM(_xlfn.XLOOKUP($A61,Строчный!$A:$A,Строчный!J:J,"ERR",0))),"подклад","Подклад")</f>
        <v>100%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PROPER(TRIM(_xlfn.XLOOKUP($A61,Строчный!$A:$A,Строчный!R:R,"ERR",0)))</f>
        <v>10216170/180222/3048837</v>
      </c>
      <c r="Q61" s="90">
        <f ca="1">VALUE(_xlfn.XLOOKUP($A61,Строчный!$A:$A,Строчный!N:N,"ERR",0))</f>
        <v>1316.7</v>
      </c>
      <c r="R61" s="89" t="str">
        <f ca="1">_xlfn.XLOOKUP($G61,Фабрика!A:A,Фабрика!B:B,"ERR",0)</f>
        <v>Adidas International Trading AG; Switzerland, Platz 1b, 6039 Root D4</v>
      </c>
      <c r="S61" s="80" t="str">
        <f ca="1">_xlfn.XLOOKUP(RIGHT(AA61,2),Размеры!D:D,Размеры!A:A,"ERR",0)</f>
        <v>57</v>
      </c>
      <c r="T61" s="80">
        <f ca="1">VALUE(_xlfn.XLOOKUP($AA61,Строчный!$S:$S,Строчный!U:U,"ERR",0))</f>
        <v>4</v>
      </c>
      <c r="U61" s="14" t="s">
        <v>265</v>
      </c>
      <c r="V61" s="101" t="str">
        <f t="shared" ca="1" si="3"/>
        <v>Бейсболка ADIDAS арт. FK0891 BBALL CAP COT (черный)</v>
      </c>
      <c r="W61" s="100" t="str">
        <f t="shared" ca="1" si="4"/>
        <v>Бейсболка ADIDAS арт. FK0891 BBALL CAP COT (черный) {black}</v>
      </c>
      <c r="X61" s="18" t="str">
        <f t="shared" ca="1" si="5"/>
        <v>черный</v>
      </c>
      <c r="Y61" s="18" t="str">
        <f t="shared" ca="1" si="6"/>
        <v>черный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черный</v>
      </c>
      <c r="AA61" s="73" t="str">
        <f ca="1"/>
        <v>56-006-09-57</v>
      </c>
      <c r="AB61" s="75" t="str">
        <f ca="1">VLOOKUP(C61,Группа!A:B,2,FALSE)</f>
        <v>Бейсболка</v>
      </c>
      <c r="AC61" s="97" t="str">
        <f ca="1">IFERROR(VLOOKUP(S61,Размеры!A:C,3,FALSE),"")</f>
        <v>57 M</v>
      </c>
      <c r="AD61" s="97" t="str">
        <f ca="1">VLOOKUP(I61,ЦветПолный!A:B,2,FALSE)</f>
        <v>09</v>
      </c>
      <c r="AE61" s="97" t="str">
        <f ca="1">IFERROR(VLOOKUP(S61,Размеры!A:D,4,FALSE),"")</f>
        <v>57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56-005-17</v>
      </c>
      <c r="B62" s="107" t="str">
        <f ca="1">_xlfn.LET(_xlpm.CAPS,1,_xlpm.Style,TRIM(_xlfn.XLOOKUP($A62,Строчный!$A:$A,Строчный!B:B,"ERR",0)),IF(_xlpm.CAPS=0,_xlpm.Style,UPPER(_xlpm.Style)))</f>
        <v>FK0890 BBALL CAP COT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</v>
      </c>
      <c r="E62" s="81" t="str">
        <f ca="1">PROPER(TRIM(_xlfn.XLOOKUP($A62,Строчный!$A:$A,Строчный!E:E,"ERR",0)))</f>
        <v>Adidas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ADIDAS</v>
      </c>
      <c r="H62" s="81" t="str">
        <f ca="1">LOWER(TRIM(_xlfn.XLOOKUP($A62,Строчный!$A:$A,Строчный!H:H,"ERR",0)))</f>
        <v>white</v>
      </c>
      <c r="I62" s="81" t="str">
        <f ca="1">LOWER(TRIM(_xlfn.XLOOKUP($A62,Строчный!$A:$A,Строчный!I:I,"ERR",0)))</f>
        <v>белый</v>
      </c>
      <c r="J62" s="81" t="str">
        <f ca="1">SUBSTITUTE(LOWER(TRIM(_xlfn.XLOOKUP($A62,Строчный!$A:$A,Строчный!J:J,"ERR",0))),"подклад","Подклад")</f>
        <v>100% полиэстер</v>
      </c>
      <c r="K62" s="81" t="str">
        <f ca="1">LOWER(TRIM(_xlfn.XLOOKUP($A62,Строчный!$A:$A,Строчный!K:K,"ERR",0)))</f>
        <v/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PROPER(TRIM(_xlfn.XLOOKUP($A62,Строчный!$A:$A,Строчный!R:R,"ERR",0)))</f>
        <v>10216170/280122/3024958</v>
      </c>
      <c r="Q62" s="90">
        <f ca="1">VALUE(_xlfn.XLOOKUP($A62,Строчный!$A:$A,Строчный!N:N,"ERR",0))</f>
        <v>1316.7</v>
      </c>
      <c r="R62" s="89" t="str">
        <f ca="1">_xlfn.XLOOKUP($G62,Фабрика!A:A,Фабрика!B:B,"ERR",0)</f>
        <v>Adidas International Trading AG; Switzerland, Platz 1b, 6039 Root D4</v>
      </c>
      <c r="S62" s="80" t="str">
        <f ca="1">_xlfn.XLOOKUP(RIGHT(AA62,2),Размеры!D:D,Размеры!A:A,"ERR",0)</f>
        <v>57</v>
      </c>
      <c r="T62" s="80">
        <f ca="1">VALUE(_xlfn.XLOOKUP($AA62,Строчный!$S:$S,Строчный!U:U,"ERR",0))</f>
        <v>3</v>
      </c>
      <c r="U62" s="14" t="s">
        <v>265</v>
      </c>
      <c r="V62" s="101" t="str">
        <f t="shared" ca="1" si="3"/>
        <v>Бейсболка ADIDAS арт. FK0890 BBALL CAP COT (белый)</v>
      </c>
      <c r="W62" s="100" t="str">
        <f t="shared" ca="1" si="4"/>
        <v>Бейсболка ADIDAS арт. FK0890 BBALL CAP COT (белый) {white}</v>
      </c>
      <c r="X62" s="18" t="str">
        <f t="shared" ca="1" si="5"/>
        <v>белый</v>
      </c>
      <c r="Y62" s="18" t="str">
        <f t="shared" ca="1" si="6"/>
        <v>белый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белый</v>
      </c>
      <c r="AA62" s="73" t="str">
        <f ca="1"/>
        <v>56-005-17-57</v>
      </c>
      <c r="AB62" s="75" t="str">
        <f ca="1">VLOOKUP(C62,Группа!A:B,2,FALSE)</f>
        <v>Бейсболка</v>
      </c>
      <c r="AC62" s="97" t="str">
        <f ca="1">IFERROR(VLOOKUP(S62,Размеры!A:C,3,FALSE),"")</f>
        <v>57 M</v>
      </c>
      <c r="AD62" s="97" t="str">
        <f ca="1">VLOOKUP(I62,ЦветПолный!A:B,2,FALSE)</f>
        <v>17</v>
      </c>
      <c r="AE62" s="97" t="str">
        <f ca="1">IFERROR(VLOOKUP(S62,Размеры!A:D,4,FALSE),"")</f>
        <v>57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0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56-004-17</v>
      </c>
      <c r="B63" s="107" t="str">
        <f ca="1">_xlfn.LET(_xlpm.CAPS,1,_xlpm.Style,TRIM(_xlfn.XLOOKUP($A63,Строчный!$A:$A,Строчный!B:B,"ERR",0)),IF(_xlpm.CAPS=0,_xlpm.Style,UPPER(_xlpm.Style)))</f>
        <v>FQ5411 BBALL 3S CAP CT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</v>
      </c>
      <c r="E63" s="81" t="str">
        <f ca="1">PROPER(TRIM(_xlfn.XLOOKUP($A63,Строчный!$A:$A,Строчный!E:E,"ERR",0)))</f>
        <v>Adidas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ADIDAS</v>
      </c>
      <c r="H63" s="81" t="str">
        <f ca="1">LOWER(TRIM(_xlfn.XLOOKUP($A63,Строчный!$A:$A,Строчный!H:H,"ERR",0)))</f>
        <v>white</v>
      </c>
      <c r="I63" s="81" t="str">
        <f ca="1">LOWER(TRIM(_xlfn.XLOOKUP($A63,Строчный!$A:$A,Строчный!I:I,"ERR",0)))</f>
        <v>белый</v>
      </c>
      <c r="J63" s="81" t="str">
        <f ca="1">SUBSTITUTE(LOWER(TRIM(_xlfn.XLOOKUP($A63,Строчный!$A:$A,Строчный!J:J,"ERR",0))),"подклад","Подклад")</f>
        <v>100%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PROPER(TRIM(_xlfn.XLOOKUP($A63,Строчный!$A:$A,Строчный!R:R,"ERR",0)))</f>
        <v>10216170/030222/3031956</v>
      </c>
      <c r="Q63" s="90">
        <f ca="1">VALUE(_xlfn.XLOOKUP($A63,Строчный!$A:$A,Строчный!N:N,"ERR",0))</f>
        <v>1316.7</v>
      </c>
      <c r="R63" s="89" t="str">
        <f ca="1">_xlfn.XLOOKUP($G63,Фабрика!A:A,Фабрика!B:B,"ERR",0)</f>
        <v>Adidas International Trading AG; Switzerland, Platz 1b, 6039 Root D4</v>
      </c>
      <c r="S63" s="80" t="str">
        <f ca="1">_xlfn.XLOOKUP(RIGHT(AA63,2),Размеры!D:D,Размеры!A:A,"ERR",0)</f>
        <v>61</v>
      </c>
      <c r="T63" s="80">
        <f ca="1">VALUE(_xlfn.XLOOKUP($AA63,Строчный!$S:$S,Строчный!U:U,"ERR",0))</f>
        <v>1</v>
      </c>
      <c r="U63" s="14" t="s">
        <v>265</v>
      </c>
      <c r="V63" s="101" t="str">
        <f t="shared" ca="1" si="3"/>
        <v>Бейсболка ADIDAS арт. FQ5411 BBALL 3S CAP CT (белый)</v>
      </c>
      <c r="W63" s="100" t="str">
        <f t="shared" ca="1" si="4"/>
        <v>Бейсболка ADIDAS арт. FQ5411 BBALL 3S CAP CT (белый) {white}</v>
      </c>
      <c r="X63" s="18" t="str">
        <f t="shared" ca="1" si="5"/>
        <v>белый</v>
      </c>
      <c r="Y63" s="18" t="str">
        <f t="shared" ca="1" si="6"/>
        <v>белый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белый</v>
      </c>
      <c r="AA63" s="73" t="str">
        <f ca="1"/>
        <v>56-004-17-61</v>
      </c>
      <c r="AB63" s="75" t="str">
        <f ca="1">VLOOKUP(C63,Группа!A:B,2,FALSE)</f>
        <v>Бейсболка</v>
      </c>
      <c r="AC63" s="97" t="str">
        <f ca="1">IFERROR(VLOOKUP(S63,Размеры!A:C,3,FALSE),"")</f>
        <v>61 XL</v>
      </c>
      <c r="AD63" s="97" t="str">
        <f ca="1">VLOOKUP(I63,ЦветПолный!A:B,2,FALSE)</f>
        <v>17</v>
      </c>
      <c r="AE63" s="97" t="str">
        <f ca="1">IFERROR(VLOOKUP(S63,Размеры!A:D,4,FALSE),"")</f>
        <v>61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56-004-17</v>
      </c>
      <c r="B64" s="107" t="str">
        <f ca="1">_xlfn.LET(_xlpm.CAPS,1,_xlpm.Style,TRIM(_xlfn.XLOOKUP($A64,Строчный!$A:$A,Строчный!B:B,"ERR",0)),IF(_xlpm.CAPS=0,_xlpm.Style,UPPER(_xlpm.Style)))</f>
        <v>FQ5411 BBALL 3S CAP CT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</v>
      </c>
      <c r="E64" s="81" t="str">
        <f ca="1">PROPER(TRIM(_xlfn.XLOOKUP($A64,Строчный!$A:$A,Строчный!E:E,"ERR",0)))</f>
        <v>Adidas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ADIDAS</v>
      </c>
      <c r="H64" s="81" t="str">
        <f ca="1">LOWER(TRIM(_xlfn.XLOOKUP($A64,Строчный!$A:$A,Строчный!H:H,"ERR",0)))</f>
        <v>white</v>
      </c>
      <c r="I64" s="81" t="str">
        <f ca="1">LOWER(TRIM(_xlfn.XLOOKUP($A64,Строчный!$A:$A,Строчный!I:I,"ERR",0)))</f>
        <v>белый</v>
      </c>
      <c r="J64" s="81" t="str">
        <f ca="1">SUBSTITUTE(LOWER(TRIM(_xlfn.XLOOKUP($A64,Строчный!$A:$A,Строчный!J:J,"ERR",0))),"подклад","Подклад")</f>
        <v>100%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PROPER(TRIM(_xlfn.XLOOKUP($A64,Строчный!$A:$A,Строчный!R:R,"ERR",0)))</f>
        <v>10216170/030222/3031956</v>
      </c>
      <c r="Q64" s="90">
        <f ca="1">VALUE(_xlfn.XLOOKUP($A64,Строчный!$A:$A,Строчный!N:N,"ERR",0))</f>
        <v>1316.7</v>
      </c>
      <c r="R64" s="89" t="str">
        <f ca="1">_xlfn.XLOOKUP($G64,Фабрика!A:A,Фабрика!B:B,"ERR",0)</f>
        <v>Adidas International Trading AG; Switzerland, Platz 1b, 6039 Root D4</v>
      </c>
      <c r="S64" s="80" t="str">
        <f ca="1">_xlfn.XLOOKUP(RIGHT(AA64,2),Размеры!D:D,Размеры!A:A,"ERR",0)</f>
        <v>57</v>
      </c>
      <c r="T64" s="80">
        <f ca="1">VALUE(_xlfn.XLOOKUP($AA64,Строчный!$S:$S,Строчный!U:U,"ERR",0))</f>
        <v>3</v>
      </c>
      <c r="U64" s="14" t="s">
        <v>265</v>
      </c>
      <c r="V64" s="101" t="str">
        <f t="shared" ca="1" si="3"/>
        <v>Бейсболка ADIDAS арт. FQ5411 BBALL 3S CAP CT (белый)</v>
      </c>
      <c r="W64" s="100" t="str">
        <f t="shared" ca="1" si="4"/>
        <v>Бейсболка ADIDAS арт. FQ5411 BBALL 3S CAP CT (белый) {white}</v>
      </c>
      <c r="X64" s="18" t="str">
        <f t="shared" ca="1" si="5"/>
        <v>белый</v>
      </c>
      <c r="Y64" s="18" t="str">
        <f t="shared" ca="1" si="6"/>
        <v>белый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белый</v>
      </c>
      <c r="AA64" s="73" t="str">
        <f ca="1"/>
        <v>56-004-17-57</v>
      </c>
      <c r="AB64" s="75" t="str">
        <f ca="1">VLOOKUP(C64,Группа!A:B,2,FALSE)</f>
        <v>Бейсболка</v>
      </c>
      <c r="AC64" s="97" t="str">
        <f ca="1">IFERROR(VLOOKUP(S64,Размеры!A:C,3,FALSE),"")</f>
        <v>57 M</v>
      </c>
      <c r="AD64" s="97" t="str">
        <f ca="1">VLOOKUP(I64,ЦветПолный!A:B,2,FALSE)</f>
        <v>17</v>
      </c>
      <c r="AE64" s="97" t="str">
        <f ca="1">IFERROR(VLOOKUP(S64,Размеры!A:D,4,FALSE),"")</f>
        <v>57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56-003-09</v>
      </c>
      <c r="B65" s="107" t="str">
        <f ca="1">_xlfn.LET(_xlpm.CAPS,1,_xlpm.Style,TRIM(_xlfn.XLOOKUP($A65,Строчный!$A:$A,Строчный!B:B,"ERR",0)),IF(_xlpm.CAPS=0,_xlpm.Style,UPPER(_xlpm.Style)))</f>
        <v>FK0894 BBALL 3S CAP CT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</v>
      </c>
      <c r="E65" s="81" t="str">
        <f ca="1">PROPER(TRIM(_xlfn.XLOOKUP($A65,Строчный!$A:$A,Строчный!E:E,"ERR",0)))</f>
        <v>Adidas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ADIDAS</v>
      </c>
      <c r="H65" s="81" t="str">
        <f ca="1">LOWER(TRIM(_xlfn.XLOOKUP($A65,Строчный!$A:$A,Строчный!H:H,"ERR",0)))</f>
        <v>black</v>
      </c>
      <c r="I65" s="81" t="str">
        <f ca="1">LOWER(TRIM(_xlfn.XLOOKUP($A65,Строчный!$A:$A,Строчный!I:I,"ERR",0)))</f>
        <v>черный</v>
      </c>
      <c r="J65" s="81" t="str">
        <f ca="1">SUBSTITUTE(LOWER(TRIM(_xlfn.XLOOKUP($A65,Строчный!$A:$A,Строчный!J:J,"ERR",0))),"подклад","Подклад")</f>
        <v>100%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PROPER(TRIM(_xlfn.XLOOKUP($A65,Строчный!$A:$A,Строчный!R:R,"ERR",0)))</f>
        <v>10216170/120122/3008448</v>
      </c>
      <c r="Q65" s="90">
        <f ca="1">VALUE(_xlfn.XLOOKUP($A65,Строчный!$A:$A,Строчный!N:N,"ERR",0))</f>
        <v>1316.7</v>
      </c>
      <c r="R65" s="89" t="str">
        <f ca="1">_xlfn.XLOOKUP($G65,Фабрика!A:A,Фабрика!B:B,"ERR",0)</f>
        <v>Adidas International Trading AG; Switzerland, Platz 1b, 6039 Root D4</v>
      </c>
      <c r="S65" s="80" t="str">
        <f ca="1">_xlfn.XLOOKUP(RIGHT(AA65,2),Размеры!D:D,Размеры!A:A,"ERR",0)</f>
        <v>57</v>
      </c>
      <c r="T65" s="80">
        <f ca="1">VALUE(_xlfn.XLOOKUP($AA65,Строчный!$S:$S,Строчный!U:U,"ERR",0))</f>
        <v>6</v>
      </c>
      <c r="U65" s="14" t="s">
        <v>265</v>
      </c>
      <c r="V65" s="101" t="str">
        <f t="shared" ca="1" si="3"/>
        <v>Бейсболка ADIDAS арт. FK0894 BBALL 3S CAP CT (черный)</v>
      </c>
      <c r="W65" s="100" t="str">
        <f t="shared" ca="1" si="4"/>
        <v>Бейсболка ADIDAS арт. FK0894 BBALL 3S CAP CT (черный) {black}</v>
      </c>
      <c r="X65" s="18" t="str">
        <f t="shared" ca="1" si="5"/>
        <v>черный</v>
      </c>
      <c r="Y65" s="18" t="str">
        <f t="shared" ca="1" si="6"/>
        <v>черный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черный</v>
      </c>
      <c r="AA65" s="73" t="str">
        <f ca="1"/>
        <v>56-003-09-57</v>
      </c>
      <c r="AB65" s="75" t="str">
        <f ca="1">VLOOKUP(C65,Группа!A:B,2,FALSE)</f>
        <v>Бейсболка</v>
      </c>
      <c r="AC65" s="97" t="str">
        <f ca="1">IFERROR(VLOOKUP(S65,Размеры!A:C,3,FALSE),"")</f>
        <v>57 M</v>
      </c>
      <c r="AD65" s="97" t="str">
        <f ca="1">VLOOKUP(I65,ЦветПолный!A:B,2,FALSE)</f>
        <v>09</v>
      </c>
      <c r="AE65" s="97" t="str">
        <f ca="1">IFERROR(VLOOKUP(S65,Размеры!A:D,4,FALSE),"")</f>
        <v>57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56-002-09</v>
      </c>
      <c r="B66" s="107" t="str">
        <f ca="1">_xlfn.LET(_xlpm.CAPS,1,_xlpm.Style,TRIM(_xlfn.XLOOKUP($A66,Строчный!$A:$A,Строчный!B:B,"ERR",0)),IF(_xlpm.CAPS=0,_xlpm.Style,UPPER(_xlpm.Style)))</f>
        <v>FL3713 BASEBALL BOLD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</v>
      </c>
      <c r="E66" s="81" t="str">
        <f ca="1">PROPER(TRIM(_xlfn.XLOOKUP($A66,Строчный!$A:$A,Строчный!E:E,"ERR",0)))</f>
        <v>Adidas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ADIDAS</v>
      </c>
      <c r="H66" s="81" t="str">
        <f ca="1">LOWER(TRIM(_xlfn.XLOOKUP($A66,Строчный!$A:$A,Строчный!H:H,"ERR",0)))</f>
        <v>black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100% полиэстер</v>
      </c>
      <c r="K66" s="81" t="str">
        <f ca="1">LOWER(TRIM(_xlfn.XLOOKUP($A66,Строчный!$A:$A,Строчный!K:K,"ERR",0)))</f>
        <v/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PROPER(TRIM(_xlfn.XLOOKUP($A66,Строчный!$A:$A,Строчный!R:R,"ERR",0)))</f>
        <v>10216170/280122/3024958</v>
      </c>
      <c r="Q66" s="90">
        <f ca="1">VALUE(_xlfn.XLOOKUP($A66,Строчный!$A:$A,Строчный!N:N,"ERR",0))</f>
        <v>1259.3699999999999</v>
      </c>
      <c r="R66" s="89" t="str">
        <f ca="1">_xlfn.XLOOKUP($G66,Фабрика!A:A,Фабрика!B:B,"ERR",0)</f>
        <v>Adidas International Trading AG; Switzerland, Platz 1b, 6039 Root D4</v>
      </c>
      <c r="S66" s="80" t="str">
        <f ca="1">_xlfn.XLOOKUP(RIGHT(AA66,2),Размеры!D:D,Размеры!A:A,"ERR",0)</f>
        <v>61</v>
      </c>
      <c r="T66" s="80">
        <f ca="1">VALUE(_xlfn.XLOOKUP($AA66,Строчный!$S:$S,Строчный!U:U,"ERR",0))</f>
        <v>3</v>
      </c>
      <c r="U66" s="14" t="s">
        <v>265</v>
      </c>
      <c r="V66" s="101" t="str">
        <f t="shared" ca="1" si="3"/>
        <v>Бейсболка ADIDAS арт. FL3713 BASEBALL BOLD (черный)</v>
      </c>
      <c r="W66" s="100" t="str">
        <f t="shared" ca="1" si="4"/>
        <v>Бейсболка ADIDAS арт. FL3713 BASEBALL BOLD (черный) {black}</v>
      </c>
      <c r="X66" s="18" t="str">
        <f t="shared" ca="1" si="5"/>
        <v>черный</v>
      </c>
      <c r="Y66" s="18" t="str">
        <f t="shared" ca="1" si="6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56-002-09-61</v>
      </c>
      <c r="AB66" s="75" t="str">
        <f ca="1">VLOOKUP(C66,Группа!A:B,2,FALSE)</f>
        <v>Бейсболка</v>
      </c>
      <c r="AC66" s="97" t="str">
        <f ca="1">IFERROR(VLOOKUP(S66,Размеры!A:C,3,FALSE),"")</f>
        <v>61 XL</v>
      </c>
      <c r="AD66" s="97" t="str">
        <f ca="1">VLOOKUP(I66,ЦветПолный!A:B,2,FALSE)</f>
        <v>09</v>
      </c>
      <c r="AE66" s="97" t="str">
        <f ca="1">IFERROR(VLOOKUP(S66,Размеры!A:D,4,FALSE),"")</f>
        <v>61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0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69" ca="1" si="7">LEFT(AA67,9)</f>
        <v>56-002-09</v>
      </c>
      <c r="B67" s="107" t="str">
        <f ca="1">_xlfn.LET(_xlpm.CAPS,1,_xlpm.Style,TRIM(_xlfn.XLOOKUP($A67,Строчный!$A:$A,Строчный!B:B,"ERR",0)),IF(_xlpm.CAPS=0,_xlpm.Style,UPPER(_xlpm.Style)))</f>
        <v>FL3713 BASEBALL BOLD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</v>
      </c>
      <c r="E67" s="81" t="str">
        <f ca="1">PROPER(TRIM(_xlfn.XLOOKUP($A67,Строчный!$A:$A,Строчный!E:E,"ERR",0)))</f>
        <v>Adidas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ADIDAS</v>
      </c>
      <c r="H67" s="81" t="str">
        <f ca="1">LOWER(TRIM(_xlfn.XLOOKUP($A67,Строчный!$A:$A,Строчный!H:H,"ERR",0)))</f>
        <v>black</v>
      </c>
      <c r="I67" s="81" t="str">
        <f ca="1">LOWER(TRIM(_xlfn.XLOOKUP($A67,Строчный!$A:$A,Строчный!I:I,"ERR",0)))</f>
        <v>черный</v>
      </c>
      <c r="J67" s="81" t="str">
        <f ca="1">SUBSTITUTE(LOWER(TRIM(_xlfn.XLOOKUP($A67,Строчный!$A:$A,Строчный!J:J,"ERR",0))),"подклад","Подклад")</f>
        <v>100% полиэстер</v>
      </c>
      <c r="K67" s="81" t="str">
        <f ca="1">LOWER(TRIM(_xlfn.XLOOKUP($A67,Строчный!$A:$A,Строчный!K:K,"ERR",0)))</f>
        <v/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PROPER(TRIM(_xlfn.XLOOKUP($A67,Строчный!$A:$A,Строчный!R:R,"ERR",0)))</f>
        <v>10216170/280122/3024958</v>
      </c>
      <c r="Q67" s="90">
        <f ca="1">VALUE(_xlfn.XLOOKUP($A67,Строчный!$A:$A,Строчный!N:N,"ERR",0))</f>
        <v>1259.3699999999999</v>
      </c>
      <c r="R67" s="89" t="str">
        <f ca="1">_xlfn.XLOOKUP($G67,Фабрика!A:A,Фабрика!B:B,"ERR",0)</f>
        <v>Adidas International Trading AG; Switzerland, Platz 1b, 6039 Root D4</v>
      </c>
      <c r="S67" s="80" t="str">
        <f ca="1">_xlfn.XLOOKUP(RIGHT(AA67,2),Размеры!D:D,Размеры!A:A,"ERR",0)</f>
        <v>57</v>
      </c>
      <c r="T67" s="80">
        <f ca="1">VALUE(_xlfn.XLOOKUP($AA67,Строчный!$S:$S,Строчный!U:U,"ERR",0))</f>
        <v>6</v>
      </c>
      <c r="U67" s="14" t="s">
        <v>265</v>
      </c>
      <c r="V67" s="101" t="str">
        <f t="shared" ref="V67:V69" ca="1" si="8">TRIM(CONCATENATE(AB67," ",G67," арт. ",B67," (",I67,")"))</f>
        <v>Бейсболка ADIDAS арт. FL3713 BASEBALL BOLD (черный)</v>
      </c>
      <c r="W67" s="100" t="str">
        <f t="shared" ref="W67:W69" ca="1" si="9">TRIM(CONCATENATE(AB67," ",G67," арт. ",B67," (",I67,") {",H67,"}"))</f>
        <v>Бейсболка ADIDAS арт. FL3713 BASEBALL BOLD (черный) {black}</v>
      </c>
      <c r="X67" s="18" t="str">
        <f t="shared" ref="X67:X69" ca="1" si="10">IFERROR(MID(I67,FIND("-",I67)+1,LEN(I67)),IFERROR(MID(I67,1,FIND("/",I67)-2),I67))</f>
        <v>черный</v>
      </c>
      <c r="Y67" s="18" t="str">
        <f t="shared" ref="Y67:Y69" ca="1" si="11">IFERROR(MID(I67,FIND("-",I67)+1,LEN(I67)),IFERROR(MID(I67,FIND("/",I67)+2,LEN(I67)),I67))</f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черный</v>
      </c>
      <c r="AA67" s="73" t="str">
        <f ca="1"/>
        <v>56-002-09-57</v>
      </c>
      <c r="AB67" s="75" t="str">
        <f ca="1">VLOOKUP(C67,Группа!A:B,2,FALSE)</f>
        <v>Бейсболка</v>
      </c>
      <c r="AC67" s="97" t="str">
        <f ca="1">IFERROR(VLOOKUP(S67,Размеры!A:C,3,FALSE),"")</f>
        <v>57 M</v>
      </c>
      <c r="AD67" s="97" t="str">
        <f ca="1">VLOOKUP(I67,ЦветПолный!A:B,2,FALSE)</f>
        <v>09</v>
      </c>
      <c r="AE67" s="97" t="str">
        <f ca="1">IFERROR(VLOOKUP(S67,Размеры!A:D,4,FALSE),"")</f>
        <v>57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0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56-001-09</v>
      </c>
      <c r="B68" s="107" t="str">
        <f ca="1">_xlfn.LET(_xlpm.CAPS,1,_xlpm.Style,TRIM(_xlfn.XLOOKUP($A68,Строчный!$A:$A,Строчный!B:B,"ERR",0)),IF(_xlpm.CAPS=0,_xlpm.Style,UPPER(_xlpm.Style)))</f>
        <v>EC3603 BASEB CLASS TRE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</v>
      </c>
      <c r="E68" s="81" t="str">
        <f ca="1">PROPER(TRIM(_xlfn.XLOOKUP($A68,Строчный!$A:$A,Строчный!E:E,"ERR",0)))</f>
        <v>Adidas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ADIDAS</v>
      </c>
      <c r="H68" s="81" t="str">
        <f ca="1">LOWER(TRIM(_xlfn.XLOOKUP($A68,Строчный!$A:$A,Строчный!H:H,"ERR",0)))</f>
        <v>black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100%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PROPER(TRIM(_xlfn.XLOOKUP($A68,Строчный!$A:$A,Строчный!R:R,"ERR",0)))</f>
        <v>10216170/120122/3008448</v>
      </c>
      <c r="Q68" s="90">
        <f ca="1">VALUE(_xlfn.XLOOKUP($A68,Строчный!$A:$A,Строчный!N:N,"ERR",0))</f>
        <v>1511.37</v>
      </c>
      <c r="R68" s="89" t="str">
        <f ca="1">_xlfn.XLOOKUP($G68,Фабрика!A:A,Фабрика!B:B,"ERR",0)</f>
        <v>Adidas International Trading AG; Switzerland, Platz 1b, 6039 Root D4</v>
      </c>
      <c r="S68" s="80" t="str">
        <f ca="1">_xlfn.XLOOKUP(RIGHT(AA68,2),Размеры!D:D,Размеры!A:A,"ERR",0)</f>
        <v>61</v>
      </c>
      <c r="T68" s="80">
        <f ca="1">VALUE(_xlfn.XLOOKUP($AA68,Строчный!$S:$S,Строчный!U:U,"ERR",0))</f>
        <v>1</v>
      </c>
      <c r="U68" s="14" t="s">
        <v>265</v>
      </c>
      <c r="V68" s="101" t="str">
        <f t="shared" ca="1" si="8"/>
        <v>Бейсболка ADIDAS арт. EC3603 BASEB CLASS TRE (черный)</v>
      </c>
      <c r="W68" s="100" t="str">
        <f t="shared" ca="1" si="9"/>
        <v>Бейсболка ADIDAS арт. EC3603 BASEB CLASS TRE (черный) {black}</v>
      </c>
      <c r="X68" s="18" t="str">
        <f t="shared" ca="1" si="10"/>
        <v>черный</v>
      </c>
      <c r="Y68" s="18" t="str">
        <f t="shared" ca="1" si="11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56-001-09-61</v>
      </c>
      <c r="AB68" s="75" t="str">
        <f ca="1">VLOOKUP(C68,Группа!A:B,2,FALSE)</f>
        <v>Бейсболка</v>
      </c>
      <c r="AC68" s="97" t="str">
        <f ca="1">IFERROR(VLOOKUP(S68,Размеры!A:C,3,FALSE),"")</f>
        <v>61 XL</v>
      </c>
      <c r="AD68" s="97" t="str">
        <f ca="1">VLOOKUP(I68,ЦветПолный!A:B,2,FALSE)</f>
        <v>09</v>
      </c>
      <c r="AE68" s="97" t="str">
        <f ca="1">IFERROR(VLOOKUP(S68,Размеры!A:D,4,FALSE),"")</f>
        <v>61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56-001-09</v>
      </c>
      <c r="B69" s="107" t="str">
        <f ca="1">_xlfn.LET(_xlpm.CAPS,1,_xlpm.Style,TRIM(_xlfn.XLOOKUP($A69,Строчный!$A:$A,Строчный!B:B,"ERR",0)),IF(_xlpm.CAPS=0,_xlpm.Style,UPPER(_xlpm.Style)))</f>
        <v>EC3603 BASEB CLASS TRE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</v>
      </c>
      <c r="E69" s="81" t="str">
        <f ca="1">PROPER(TRIM(_xlfn.XLOOKUP($A69,Строчный!$A:$A,Строчный!E:E,"ERR",0)))</f>
        <v>Adidas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ADIDAS</v>
      </c>
      <c r="H69" s="81" t="str">
        <f ca="1">LOWER(TRIM(_xlfn.XLOOKUP($A69,Строчный!$A:$A,Строчный!H:H,"ERR",0)))</f>
        <v>black</v>
      </c>
      <c r="I69" s="81" t="str">
        <f ca="1">LOWER(TRIM(_xlfn.XLOOKUP($A69,Строчный!$A:$A,Строчный!I:I,"ERR",0)))</f>
        <v>черный</v>
      </c>
      <c r="J69" s="81" t="str">
        <f ca="1">SUBSTITUTE(LOWER(TRIM(_xlfn.XLOOKUP($A69,Строчный!$A:$A,Строчный!J:J,"ERR",0))),"подклад","Подклад")</f>
        <v>100%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PROPER(TRIM(_xlfn.XLOOKUP($A69,Строчный!$A:$A,Строчный!R:R,"ERR",0)))</f>
        <v>10216170/120122/3008448</v>
      </c>
      <c r="Q69" s="90">
        <f ca="1">VALUE(_xlfn.XLOOKUP($A69,Строчный!$A:$A,Строчный!N:N,"ERR",0))</f>
        <v>1511.37</v>
      </c>
      <c r="R69" s="89" t="str">
        <f ca="1">_xlfn.XLOOKUP($G69,Фабрика!A:A,Фабрика!B:B,"ERR",0)</f>
        <v>Adidas International Trading AG; Switzerland, Platz 1b, 6039 Root D4</v>
      </c>
      <c r="S69" s="80" t="str">
        <f ca="1">_xlfn.XLOOKUP(RIGHT(AA69,2),Размеры!D:D,Размеры!A:A,"ERR",0)</f>
        <v>57</v>
      </c>
      <c r="T69" s="80">
        <f ca="1">VALUE(_xlfn.XLOOKUP($AA69,Строчный!$S:$S,Строчный!U:U,"ERR",0))</f>
        <v>4</v>
      </c>
      <c r="U69" s="14" t="s">
        <v>265</v>
      </c>
      <c r="V69" s="101" t="str">
        <f t="shared" ca="1" si="8"/>
        <v>Бейсболка ADIDAS арт. EC3603 BASEB CLASS TRE (черный)</v>
      </c>
      <c r="W69" s="100" t="str">
        <f t="shared" ca="1" si="9"/>
        <v>Бейсболка ADIDAS арт. EC3603 BASEB CLASS TRE (черный) {black}</v>
      </c>
      <c r="X69" s="18" t="str">
        <f t="shared" ca="1" si="10"/>
        <v>черный</v>
      </c>
      <c r="Y69" s="18" t="str">
        <f t="shared" ca="1" si="11"/>
        <v>черный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черный</v>
      </c>
      <c r="AA69" s="73" t="str">
        <f ca="1"/>
        <v>56-001-09-57</v>
      </c>
      <c r="AB69" s="75" t="str">
        <f ca="1">VLOOKUP(C69,Группа!A:B,2,FALSE)</f>
        <v>Бейсболка</v>
      </c>
      <c r="AC69" s="97" t="str">
        <f ca="1">IFERROR(VLOOKUP(S69,Размеры!A:C,3,FALSE),"")</f>
        <v>57 M</v>
      </c>
      <c r="AD69" s="97" t="str">
        <f ca="1">VLOOKUP(I69,ЦветПолный!A:B,2,FALSE)</f>
        <v>09</v>
      </c>
      <c r="AE69" s="97" t="str">
        <f ca="1">IFERROR(VLOOKUP(S69,Размеры!A:D,4,FALSE),"")</f>
        <v>57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</sheetData>
  <autoFilter ref="G1:AW69" xr:uid="{00000000-0009-0000-0000-000000000000}"/>
  <conditionalFormatting sqref="AT2:AT69">
    <cfRule type="expression" dxfId="42" priority="36">
      <formula>IFERROR(AT2,TRUE)</formula>
    </cfRule>
  </conditionalFormatting>
  <conditionalFormatting sqref="AU2:AU69">
    <cfRule type="expression" dxfId="41" priority="34">
      <formula>IFERROR(AU2,TRUE)</formula>
    </cfRule>
  </conditionalFormatting>
  <conditionalFormatting sqref="AH2:AH69 AF1:AF1048576">
    <cfRule type="cellIs" dxfId="40" priority="32" operator="lessThan">
      <formula>1</formula>
    </cfRule>
  </conditionalFormatting>
  <conditionalFormatting sqref="AC2:AS69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69">
    <cfRule type="expression" dxfId="37" priority="28">
      <formula>IFERROR(AV2,TRUE)</formula>
    </cfRule>
  </conditionalFormatting>
  <conditionalFormatting sqref="AW2:AW69">
    <cfRule type="expression" dxfId="36" priority="26">
      <formula>IFERROR(AW2,TRUE)</formula>
    </cfRule>
  </conditionalFormatting>
  <conditionalFormatting sqref="AE2:AE69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69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69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28520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28521</v>
      </c>
      <c r="B831" s="125" t="s">
        <v>28232</v>
      </c>
      <c r="C831" s="125">
        <v>1</v>
      </c>
    </row>
    <row r="832" spans="1:3" x14ac:dyDescent="0.25">
      <c r="A832" s="125" t="s">
        <v>29564</v>
      </c>
      <c r="B832" s="125" t="s">
        <v>28276</v>
      </c>
      <c r="C832" s="125">
        <v>1</v>
      </c>
    </row>
    <row r="833" spans="1:3" x14ac:dyDescent="0.25">
      <c r="A833" s="125" t="s">
        <v>29565</v>
      </c>
      <c r="B833" s="125" t="s">
        <v>28269</v>
      </c>
      <c r="C833" s="125">
        <v>1</v>
      </c>
    </row>
    <row r="834" spans="1:3" x14ac:dyDescent="0.25">
      <c r="A834" s="125" t="s">
        <v>29566</v>
      </c>
      <c r="B834" s="125" t="s">
        <v>28353</v>
      </c>
      <c r="C834" s="125">
        <v>1</v>
      </c>
    </row>
    <row r="835" spans="1:3" x14ac:dyDescent="0.25">
      <c r="A835" s="125" t="s">
        <v>29567</v>
      </c>
      <c r="B835" s="125" t="s">
        <v>28395</v>
      </c>
      <c r="C835" s="125">
        <v>1</v>
      </c>
    </row>
    <row r="836" spans="1:3" x14ac:dyDescent="0.25">
      <c r="A836" s="125" t="s">
        <v>29568</v>
      </c>
      <c r="B836" s="125" t="s">
        <v>28232</v>
      </c>
      <c r="C836" s="125">
        <v>1</v>
      </c>
    </row>
    <row r="837" spans="1:3" x14ac:dyDescent="0.25">
      <c r="A837" s="125" t="s">
        <v>29569</v>
      </c>
      <c r="B837" s="125" t="s">
        <v>28272</v>
      </c>
      <c r="C837" s="125">
        <v>1</v>
      </c>
    </row>
    <row r="838" spans="1:3" x14ac:dyDescent="0.25">
      <c r="A838" s="125" t="s">
        <v>29570</v>
      </c>
      <c r="B838" s="125" t="s">
        <v>28354</v>
      </c>
      <c r="C838" s="125">
        <v>1</v>
      </c>
    </row>
    <row r="839" spans="1:3" x14ac:dyDescent="0.25">
      <c r="A839" s="125" t="s">
        <v>29571</v>
      </c>
      <c r="B839" s="125" t="s">
        <v>28236</v>
      </c>
      <c r="C839" s="125">
        <v>1</v>
      </c>
    </row>
    <row r="840" spans="1:3" x14ac:dyDescent="0.25">
      <c r="A840" s="125" t="s">
        <v>29572</v>
      </c>
      <c r="B840" s="125" t="s">
        <v>28399</v>
      </c>
      <c r="C840" s="125">
        <v>1</v>
      </c>
    </row>
    <row r="841" spans="1:3" x14ac:dyDescent="0.25">
      <c r="A841" s="125" t="s">
        <v>29573</v>
      </c>
      <c r="B841" s="125" t="s">
        <v>28283</v>
      </c>
      <c r="C841" s="125">
        <v>1</v>
      </c>
    </row>
    <row r="842" spans="1:3" x14ac:dyDescent="0.25">
      <c r="A842" s="125" t="s">
        <v>29574</v>
      </c>
      <c r="B842" s="125" t="s">
        <v>28258</v>
      </c>
      <c r="C842" s="125">
        <v>1</v>
      </c>
    </row>
    <row r="843" spans="1:3" x14ac:dyDescent="0.25">
      <c r="A843" s="125" t="s">
        <v>29575</v>
      </c>
      <c r="B843" s="125" t="s">
        <v>28317</v>
      </c>
      <c r="C843" s="125">
        <v>1</v>
      </c>
    </row>
    <row r="844" spans="1:3" x14ac:dyDescent="0.25">
      <c r="A844" s="125" t="s">
        <v>29576</v>
      </c>
      <c r="B844" s="125" t="s">
        <v>28382</v>
      </c>
      <c r="C844" s="125">
        <v>1</v>
      </c>
    </row>
    <row r="845" spans="1:3" x14ac:dyDescent="0.25">
      <c r="A845" s="125" t="s">
        <v>29577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29578</v>
      </c>
      <c r="B24" s="135">
        <v>1</v>
      </c>
    </row>
    <row r="25" spans="1:2" x14ac:dyDescent="0.25">
      <c r="A25" s="34" t="s">
        <v>29582</v>
      </c>
      <c r="B25" s="135">
        <v>1</v>
      </c>
    </row>
    <row r="26" spans="1:2" x14ac:dyDescent="0.25">
      <c r="A26" s="34" t="s">
        <v>29583</v>
      </c>
      <c r="B26" s="135">
        <v>1</v>
      </c>
    </row>
    <row r="27" spans="1:2" x14ac:dyDescent="0.25">
      <c r="A27" s="34" t="s">
        <v>29584</v>
      </c>
      <c r="B27" s="135">
        <v>1</v>
      </c>
    </row>
    <row r="28" spans="1:2" x14ac:dyDescent="0.25">
      <c r="A28" s="34" t="s">
        <v>29585</v>
      </c>
      <c r="B28" s="135">
        <v>1</v>
      </c>
    </row>
    <row r="29" spans="1:2" x14ac:dyDescent="0.25">
      <c r="A29" s="34" t="s">
        <v>29586</v>
      </c>
      <c r="B29" s="135">
        <v>1</v>
      </c>
    </row>
    <row r="30" spans="1:2" x14ac:dyDescent="0.25">
      <c r="A30" s="136" t="s">
        <v>28407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C21" sqref="C21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28519</v>
      </c>
    </row>
    <row r="23" spans="1:2" x14ac:dyDescent="0.25">
      <c r="A23" s="34" t="s">
        <v>29578</v>
      </c>
      <c r="B23" s="34" t="s">
        <v>29579</v>
      </c>
    </row>
    <row r="24" spans="1:2" x14ac:dyDescent="0.25">
      <c r="A24" s="34" t="s">
        <v>29580</v>
      </c>
      <c r="B24" s="34" t="s">
        <v>29581</v>
      </c>
    </row>
    <row r="25" spans="1:2" x14ac:dyDescent="0.25">
      <c r="A25" s="34" t="s">
        <v>29582</v>
      </c>
      <c r="B25" s="34" t="s">
        <v>29752</v>
      </c>
    </row>
    <row r="26" spans="1:2" x14ac:dyDescent="0.25">
      <c r="A26" s="34" t="s">
        <v>29583</v>
      </c>
      <c r="B26" s="34" t="s">
        <v>29753</v>
      </c>
    </row>
    <row r="27" spans="1:2" x14ac:dyDescent="0.25">
      <c r="A27" s="34" t="s">
        <v>29584</v>
      </c>
      <c r="B27" s="34" t="s">
        <v>29754</v>
      </c>
    </row>
    <row r="28" spans="1:2" x14ac:dyDescent="0.25">
      <c r="A28" s="34" t="s">
        <v>29585</v>
      </c>
      <c r="B28" s="34" t="s">
        <v>29752</v>
      </c>
    </row>
    <row r="29" spans="1:2" x14ac:dyDescent="0.25">
      <c r="A29" s="34" t="s">
        <v>29586</v>
      </c>
      <c r="B29" s="34" t="s">
        <v>29755</v>
      </c>
    </row>
    <row r="30" spans="1:2" x14ac:dyDescent="0.25">
      <c r="A30" s="34" t="s">
        <v>28407</v>
      </c>
      <c r="B30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E26" sqref="E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29751</v>
      </c>
      <c r="B25" s="128">
        <v>1</v>
      </c>
    </row>
    <row r="26" spans="1:2" x14ac:dyDescent="0.25">
      <c r="A26" s="127" t="s">
        <v>26671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J24" sqref="J24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29642</v>
      </c>
      <c r="B2" s="80" t="s">
        <v>29587</v>
      </c>
      <c r="C2" s="80" t="s">
        <v>46</v>
      </c>
      <c r="D2" s="80" t="s">
        <v>47</v>
      </c>
      <c r="E2" s="80" t="s">
        <v>29697</v>
      </c>
      <c r="F2" s="80" t="s">
        <v>91</v>
      </c>
      <c r="G2" s="80" t="s">
        <v>29697</v>
      </c>
      <c r="H2" s="80" t="s">
        <v>29702</v>
      </c>
      <c r="I2" s="80" t="s">
        <v>1</v>
      </c>
      <c r="J2" s="83" t="s">
        <v>11</v>
      </c>
      <c r="K2" s="80" t="s">
        <v>25686</v>
      </c>
      <c r="L2" s="80" t="s">
        <v>25606</v>
      </c>
      <c r="M2" s="80" t="s">
        <v>12</v>
      </c>
      <c r="N2" s="80">
        <v>1511.37</v>
      </c>
      <c r="O2" s="80"/>
      <c r="P2" s="80"/>
      <c r="Q2" s="80"/>
      <c r="R2" s="146" t="s">
        <v>29717</v>
      </c>
      <c r="S2" s="103" t="str">
        <f>A2&amp;"-"&amp;T2</f>
        <v>56-001-09-</v>
      </c>
      <c r="Z2" s="81" t="s">
        <v>29750</v>
      </c>
      <c r="AA2" s="81">
        <v>4</v>
      </c>
      <c r="AE2" s="81">
        <v>1</v>
      </c>
    </row>
    <row r="3" spans="1:45" ht="15" customHeight="1" x14ac:dyDescent="0.2">
      <c r="A3" s="81" t="s">
        <v>29643</v>
      </c>
      <c r="B3" s="81" t="s">
        <v>29588</v>
      </c>
      <c r="C3" s="81" t="s">
        <v>46</v>
      </c>
      <c r="D3" s="81" t="s">
        <v>47</v>
      </c>
      <c r="E3" s="81" t="s">
        <v>29697</v>
      </c>
      <c r="F3" s="81" t="s">
        <v>91</v>
      </c>
      <c r="G3" s="81" t="s">
        <v>29697</v>
      </c>
      <c r="H3" s="81" t="s">
        <v>29702</v>
      </c>
      <c r="I3" s="81" t="s">
        <v>1</v>
      </c>
      <c r="J3" s="84" t="s">
        <v>29713</v>
      </c>
      <c r="L3" s="81" t="s">
        <v>25606</v>
      </c>
      <c r="M3" s="81" t="s">
        <v>12</v>
      </c>
      <c r="N3" s="81">
        <v>1259.3699999999999</v>
      </c>
      <c r="Q3" s="80"/>
      <c r="R3" s="146" t="s">
        <v>29718</v>
      </c>
      <c r="S3" s="103" t="str">
        <f t="shared" ref="S3:S56" si="0">A3&amp;"-"&amp;T3</f>
        <v>56-002-09-</v>
      </c>
      <c r="Z3" s="81" t="s">
        <v>29750</v>
      </c>
      <c r="AA3" s="81">
        <v>6</v>
      </c>
      <c r="AE3" s="81">
        <v>3</v>
      </c>
    </row>
    <row r="4" spans="1:45" ht="15" customHeight="1" x14ac:dyDescent="0.2">
      <c r="A4" s="81" t="s">
        <v>29644</v>
      </c>
      <c r="B4" s="81" t="s">
        <v>29589</v>
      </c>
      <c r="C4" s="81" t="s">
        <v>46</v>
      </c>
      <c r="D4" s="81" t="s">
        <v>47</v>
      </c>
      <c r="E4" s="81" t="s">
        <v>29697</v>
      </c>
      <c r="F4" s="81" t="s">
        <v>91</v>
      </c>
      <c r="G4" s="81" t="s">
        <v>29697</v>
      </c>
      <c r="H4" s="81" t="s">
        <v>29702</v>
      </c>
      <c r="I4" s="81" t="s">
        <v>1</v>
      </c>
      <c r="J4" s="84" t="s">
        <v>11</v>
      </c>
      <c r="K4" s="81" t="s">
        <v>25686</v>
      </c>
      <c r="L4" s="81" t="s">
        <v>25606</v>
      </c>
      <c r="M4" s="81" t="s">
        <v>12</v>
      </c>
      <c r="N4" s="81">
        <v>1316.7</v>
      </c>
      <c r="Q4" s="80"/>
      <c r="R4" s="146" t="s">
        <v>29717</v>
      </c>
      <c r="S4" s="103" t="str">
        <f t="shared" si="0"/>
        <v>56-003-09-</v>
      </c>
      <c r="Z4" s="81" t="s">
        <v>29750</v>
      </c>
      <c r="AA4" s="81">
        <v>6</v>
      </c>
      <c r="AE4" s="81" t="s">
        <v>29750</v>
      </c>
    </row>
    <row r="5" spans="1:45" ht="15" customHeight="1" x14ac:dyDescent="0.2">
      <c r="A5" s="81" t="s">
        <v>29645</v>
      </c>
      <c r="B5" s="81" t="s">
        <v>29590</v>
      </c>
      <c r="C5" s="81" t="s">
        <v>46</v>
      </c>
      <c r="D5" s="81" t="s">
        <v>47</v>
      </c>
      <c r="E5" s="81" t="s">
        <v>29697</v>
      </c>
      <c r="F5" s="81" t="s">
        <v>91</v>
      </c>
      <c r="G5" s="81" t="s">
        <v>29697</v>
      </c>
      <c r="H5" s="81" t="s">
        <v>29703</v>
      </c>
      <c r="I5" s="81" t="s">
        <v>100</v>
      </c>
      <c r="J5" s="84" t="s">
        <v>11</v>
      </c>
      <c r="K5" s="81" t="s">
        <v>25686</v>
      </c>
      <c r="L5" s="81" t="s">
        <v>25606</v>
      </c>
      <c r="M5" s="81" t="s">
        <v>12</v>
      </c>
      <c r="N5" s="81">
        <v>1316.7</v>
      </c>
      <c r="Q5" s="80"/>
      <c r="R5" s="146" t="s">
        <v>29719</v>
      </c>
      <c r="S5" s="103" t="str">
        <f t="shared" si="0"/>
        <v>56-004-17-</v>
      </c>
      <c r="Z5" s="81" t="s">
        <v>29750</v>
      </c>
      <c r="AA5" s="81">
        <v>3</v>
      </c>
      <c r="AE5" s="81">
        <v>1</v>
      </c>
    </row>
    <row r="6" spans="1:45" ht="15" customHeight="1" x14ac:dyDescent="0.2">
      <c r="A6" s="81" t="s">
        <v>29646</v>
      </c>
      <c r="B6" s="81" t="s">
        <v>29591</v>
      </c>
      <c r="C6" s="81" t="s">
        <v>46</v>
      </c>
      <c r="D6" s="81" t="s">
        <v>47</v>
      </c>
      <c r="E6" s="81" t="s">
        <v>29697</v>
      </c>
      <c r="F6" s="81" t="s">
        <v>91</v>
      </c>
      <c r="G6" s="81" t="s">
        <v>29697</v>
      </c>
      <c r="H6" s="81" t="s">
        <v>29703</v>
      </c>
      <c r="I6" s="81" t="s">
        <v>100</v>
      </c>
      <c r="J6" s="84" t="s">
        <v>59</v>
      </c>
      <c r="L6" s="81" t="s">
        <v>25606</v>
      </c>
      <c r="M6" s="81" t="s">
        <v>12</v>
      </c>
      <c r="N6" s="81">
        <v>1316.7</v>
      </c>
      <c r="Q6" s="80"/>
      <c r="R6" s="146" t="s">
        <v>29718</v>
      </c>
      <c r="S6" s="103" t="str">
        <f t="shared" si="0"/>
        <v>56-005-17-</v>
      </c>
      <c r="Z6" s="81" t="s">
        <v>29750</v>
      </c>
      <c r="AA6" s="81">
        <v>3</v>
      </c>
      <c r="AE6" s="81" t="s">
        <v>29750</v>
      </c>
    </row>
    <row r="7" spans="1:45" ht="15" customHeight="1" x14ac:dyDescent="0.2">
      <c r="A7" s="81" t="s">
        <v>29647</v>
      </c>
      <c r="B7" s="81" t="s">
        <v>29592</v>
      </c>
      <c r="C7" s="81" t="s">
        <v>46</v>
      </c>
      <c r="D7" s="81" t="s">
        <v>47</v>
      </c>
      <c r="E7" s="81" t="s">
        <v>29697</v>
      </c>
      <c r="F7" s="81" t="s">
        <v>91</v>
      </c>
      <c r="G7" s="81" t="s">
        <v>29697</v>
      </c>
      <c r="H7" s="81" t="s">
        <v>29702</v>
      </c>
      <c r="I7" s="81" t="s">
        <v>1</v>
      </c>
      <c r="J7" s="84" t="s">
        <v>11</v>
      </c>
      <c r="K7" s="81" t="s">
        <v>25686</v>
      </c>
      <c r="L7" s="81" t="s">
        <v>25606</v>
      </c>
      <c r="M7" s="81" t="s">
        <v>12</v>
      </c>
      <c r="N7" s="81">
        <v>1316.7</v>
      </c>
      <c r="Q7" s="80"/>
      <c r="R7" s="146" t="s">
        <v>29720</v>
      </c>
      <c r="S7" s="103" t="str">
        <f t="shared" si="0"/>
        <v>56-006-09-</v>
      </c>
      <c r="Z7" s="81" t="s">
        <v>29750</v>
      </c>
      <c r="AA7" s="81">
        <v>4</v>
      </c>
      <c r="AE7" s="81">
        <v>2</v>
      </c>
    </row>
    <row r="8" spans="1:45" ht="15" customHeight="1" x14ac:dyDescent="0.2">
      <c r="A8" s="81" t="s">
        <v>29648</v>
      </c>
      <c r="B8" s="81" t="s">
        <v>29593</v>
      </c>
      <c r="C8" s="81" t="s">
        <v>46</v>
      </c>
      <c r="D8" s="81" t="s">
        <v>47</v>
      </c>
      <c r="E8" s="81" t="s">
        <v>29697</v>
      </c>
      <c r="F8" s="81" t="s">
        <v>91</v>
      </c>
      <c r="G8" s="81" t="s">
        <v>29697</v>
      </c>
      <c r="H8" s="81" t="s">
        <v>29702</v>
      </c>
      <c r="I8" s="81" t="s">
        <v>1</v>
      </c>
      <c r="J8" s="84" t="s">
        <v>29714</v>
      </c>
      <c r="K8" s="81" t="s">
        <v>25686</v>
      </c>
      <c r="L8" s="81" t="s">
        <v>25606</v>
      </c>
      <c r="M8" s="81" t="s">
        <v>12</v>
      </c>
      <c r="N8" s="81">
        <v>938.7</v>
      </c>
      <c r="Q8" s="80"/>
      <c r="R8" s="146" t="s">
        <v>29721</v>
      </c>
      <c r="S8" s="103" t="str">
        <f t="shared" si="0"/>
        <v>56-007-09-</v>
      </c>
      <c r="Z8" s="81" t="s">
        <v>29750</v>
      </c>
      <c r="AA8" s="81">
        <v>4</v>
      </c>
      <c r="AE8" s="81">
        <v>2</v>
      </c>
    </row>
    <row r="9" spans="1:45" ht="15" customHeight="1" x14ac:dyDescent="0.2">
      <c r="A9" s="81" t="s">
        <v>29649</v>
      </c>
      <c r="B9" s="81" t="s">
        <v>29594</v>
      </c>
      <c r="C9" s="81" t="s">
        <v>46</v>
      </c>
      <c r="D9" s="81" t="s">
        <v>47</v>
      </c>
      <c r="E9" s="81" t="s">
        <v>29697</v>
      </c>
      <c r="F9" s="81" t="s">
        <v>91</v>
      </c>
      <c r="G9" s="81" t="s">
        <v>29697</v>
      </c>
      <c r="H9" s="81" t="s">
        <v>29702</v>
      </c>
      <c r="I9" s="81" t="s">
        <v>1</v>
      </c>
      <c r="J9" s="84" t="s">
        <v>11</v>
      </c>
      <c r="K9" s="81" t="s">
        <v>25686</v>
      </c>
      <c r="L9" s="81" t="s">
        <v>25606</v>
      </c>
      <c r="M9" s="81" t="s">
        <v>12</v>
      </c>
      <c r="N9" s="81">
        <v>1316.7</v>
      </c>
      <c r="Q9" s="80"/>
      <c r="R9" s="146" t="s">
        <v>29722</v>
      </c>
      <c r="S9" s="103" t="str">
        <f t="shared" si="0"/>
        <v>56-008-09-</v>
      </c>
      <c r="Z9" s="81" t="s">
        <v>29750</v>
      </c>
      <c r="AA9" s="81">
        <v>4</v>
      </c>
      <c r="AE9" s="81">
        <v>2</v>
      </c>
    </row>
    <row r="10" spans="1:45" ht="15" customHeight="1" x14ac:dyDescent="0.2">
      <c r="A10" s="81" t="s">
        <v>29650</v>
      </c>
      <c r="B10" s="81" t="s">
        <v>29595</v>
      </c>
      <c r="C10" s="81" t="s">
        <v>46</v>
      </c>
      <c r="D10" s="81" t="s">
        <v>47</v>
      </c>
      <c r="E10" s="81" t="s">
        <v>29697</v>
      </c>
      <c r="F10" s="81" t="s">
        <v>91</v>
      </c>
      <c r="G10" s="81" t="s">
        <v>29697</v>
      </c>
      <c r="H10" s="81" t="s">
        <v>29702</v>
      </c>
      <c r="I10" s="81" t="s">
        <v>1</v>
      </c>
      <c r="J10" s="84" t="s">
        <v>59</v>
      </c>
      <c r="L10" s="81" t="s">
        <v>25606</v>
      </c>
      <c r="M10" s="81" t="s">
        <v>12</v>
      </c>
      <c r="N10" s="81">
        <v>1259.3699999999999</v>
      </c>
      <c r="Q10" s="80"/>
      <c r="R10" s="146" t="s">
        <v>29723</v>
      </c>
      <c r="S10" s="103" t="str">
        <f t="shared" si="0"/>
        <v>56-009-09-</v>
      </c>
      <c r="Z10" s="81" t="s">
        <v>29750</v>
      </c>
      <c r="AA10" s="81">
        <v>6</v>
      </c>
      <c r="AE10" s="81">
        <v>1</v>
      </c>
    </row>
    <row r="11" spans="1:45" ht="15" customHeight="1" x14ac:dyDescent="0.2">
      <c r="A11" s="81" t="s">
        <v>29651</v>
      </c>
      <c r="B11" s="81" t="s">
        <v>29596</v>
      </c>
      <c r="C11" s="81" t="s">
        <v>46</v>
      </c>
      <c r="D11" s="81" t="s">
        <v>47</v>
      </c>
      <c r="E11" s="81" t="s">
        <v>29697</v>
      </c>
      <c r="F11" s="81" t="s">
        <v>91</v>
      </c>
      <c r="G11" s="81" t="s">
        <v>29697</v>
      </c>
      <c r="H11" s="81" t="s">
        <v>29702</v>
      </c>
      <c r="I11" s="81" t="s">
        <v>1</v>
      </c>
      <c r="J11" s="84" t="s">
        <v>11</v>
      </c>
      <c r="K11" s="81" t="s">
        <v>25686</v>
      </c>
      <c r="L11" s="81" t="s">
        <v>25606</v>
      </c>
      <c r="M11" s="81" t="s">
        <v>12</v>
      </c>
      <c r="N11" s="81">
        <v>1316.7</v>
      </c>
      <c r="Q11" s="80"/>
      <c r="R11" s="146" t="s">
        <v>29724</v>
      </c>
      <c r="S11" s="103" t="str">
        <f t="shared" si="0"/>
        <v>56-010-09-</v>
      </c>
      <c r="Z11" s="81" t="s">
        <v>29750</v>
      </c>
      <c r="AA11" s="81">
        <v>2</v>
      </c>
      <c r="AE11" s="81">
        <v>2</v>
      </c>
    </row>
    <row r="12" spans="1:45" ht="15" customHeight="1" x14ac:dyDescent="0.2">
      <c r="A12" s="81" t="s">
        <v>29652</v>
      </c>
      <c r="B12" s="81" t="s">
        <v>29597</v>
      </c>
      <c r="C12" s="81" t="s">
        <v>46</v>
      </c>
      <c r="D12" s="81" t="s">
        <v>47</v>
      </c>
      <c r="E12" s="81" t="s">
        <v>29697</v>
      </c>
      <c r="F12" s="81" t="s">
        <v>91</v>
      </c>
      <c r="G12" s="81" t="s">
        <v>29697</v>
      </c>
      <c r="H12" s="81" t="s">
        <v>29702</v>
      </c>
      <c r="I12" s="81" t="s">
        <v>1</v>
      </c>
      <c r="J12" s="84" t="s">
        <v>59</v>
      </c>
      <c r="L12" s="81" t="s">
        <v>25606</v>
      </c>
      <c r="M12" s="81" t="s">
        <v>12</v>
      </c>
      <c r="N12" s="81">
        <v>1820.7</v>
      </c>
      <c r="Q12" s="80"/>
      <c r="R12" s="146" t="s">
        <v>29725</v>
      </c>
      <c r="S12" s="103" t="str">
        <f t="shared" si="0"/>
        <v>56-011-09-</v>
      </c>
      <c r="Z12" s="81" t="s">
        <v>29750</v>
      </c>
      <c r="AA12" s="81">
        <v>3</v>
      </c>
      <c r="AE12" s="81">
        <v>1</v>
      </c>
    </row>
    <row r="13" spans="1:45" ht="15" customHeight="1" x14ac:dyDescent="0.2">
      <c r="A13" s="80" t="s">
        <v>29653</v>
      </c>
      <c r="B13" s="81" t="s">
        <v>29598</v>
      </c>
      <c r="C13" s="81" t="s">
        <v>46</v>
      </c>
      <c r="D13" s="81" t="s">
        <v>47</v>
      </c>
      <c r="E13" s="81" t="s">
        <v>29697</v>
      </c>
      <c r="F13" s="81" t="s">
        <v>91</v>
      </c>
      <c r="G13" s="81" t="s">
        <v>29697</v>
      </c>
      <c r="H13" s="81" t="s">
        <v>29704</v>
      </c>
      <c r="I13" s="80" t="s">
        <v>220</v>
      </c>
      <c r="J13" s="84" t="s">
        <v>11</v>
      </c>
      <c r="K13" s="81" t="s">
        <v>25686</v>
      </c>
      <c r="L13" s="81" t="s">
        <v>25604</v>
      </c>
      <c r="M13" s="81" t="s">
        <v>12</v>
      </c>
      <c r="N13" s="81">
        <v>1511.37</v>
      </c>
      <c r="Q13" s="80"/>
      <c r="R13" s="146" t="s">
        <v>29722</v>
      </c>
      <c r="S13" s="103" t="str">
        <f t="shared" si="0"/>
        <v>56-012-34-</v>
      </c>
      <c r="Z13" s="81" t="s">
        <v>29750</v>
      </c>
      <c r="AA13" s="81">
        <v>3</v>
      </c>
      <c r="AE13" s="81" t="s">
        <v>29750</v>
      </c>
    </row>
    <row r="14" spans="1:45" ht="15" customHeight="1" x14ac:dyDescent="0.2">
      <c r="A14" s="81" t="s">
        <v>29654</v>
      </c>
      <c r="B14" s="81" t="s">
        <v>29599</v>
      </c>
      <c r="C14" s="81" t="s">
        <v>46</v>
      </c>
      <c r="D14" s="81" t="s">
        <v>47</v>
      </c>
      <c r="E14" s="81" t="s">
        <v>29697</v>
      </c>
      <c r="F14" s="81" t="s">
        <v>91</v>
      </c>
      <c r="G14" s="81" t="s">
        <v>29697</v>
      </c>
      <c r="H14" s="81" t="s">
        <v>29702</v>
      </c>
      <c r="I14" s="81" t="s">
        <v>1</v>
      </c>
      <c r="J14" s="84" t="s">
        <v>11</v>
      </c>
      <c r="K14" s="81" t="s">
        <v>25686</v>
      </c>
      <c r="L14" s="81" t="s">
        <v>25606</v>
      </c>
      <c r="M14" s="81" t="s">
        <v>12</v>
      </c>
      <c r="N14" s="81">
        <v>1511.37</v>
      </c>
      <c r="Q14" s="80"/>
      <c r="R14" s="146" t="s">
        <v>29726</v>
      </c>
      <c r="S14" s="103" t="str">
        <f t="shared" si="0"/>
        <v>56-013-09-</v>
      </c>
      <c r="Z14" s="81" t="s">
        <v>29750</v>
      </c>
      <c r="AA14" s="81">
        <v>3</v>
      </c>
      <c r="AE14" s="81" t="s">
        <v>29750</v>
      </c>
    </row>
    <row r="15" spans="1:45" ht="15" customHeight="1" x14ac:dyDescent="0.2">
      <c r="A15" s="81" t="s">
        <v>29655</v>
      </c>
      <c r="B15" s="81" t="s">
        <v>29600</v>
      </c>
      <c r="C15" s="81" t="s">
        <v>46</v>
      </c>
      <c r="D15" s="81" t="s">
        <v>47</v>
      </c>
      <c r="E15" s="81" t="s">
        <v>29697</v>
      </c>
      <c r="F15" s="81" t="s">
        <v>91</v>
      </c>
      <c r="G15" s="81" t="s">
        <v>29697</v>
      </c>
      <c r="H15" s="81" t="s">
        <v>29705</v>
      </c>
      <c r="I15" s="81" t="s">
        <v>25520</v>
      </c>
      <c r="J15" s="84" t="s">
        <v>11</v>
      </c>
      <c r="K15" s="81" t="s">
        <v>25686</v>
      </c>
      <c r="L15" s="81" t="s">
        <v>25606</v>
      </c>
      <c r="M15" s="81" t="s">
        <v>12</v>
      </c>
      <c r="N15" s="81">
        <v>1511.37</v>
      </c>
      <c r="Q15" s="80"/>
      <c r="R15" s="146" t="s">
        <v>29717</v>
      </c>
      <c r="S15" s="103" t="str">
        <f t="shared" si="0"/>
        <v>56-014-41-</v>
      </c>
      <c r="Z15" s="81">
        <v>1</v>
      </c>
      <c r="AA15" s="81">
        <v>3</v>
      </c>
      <c r="AE15" s="81" t="s">
        <v>29750</v>
      </c>
    </row>
    <row r="16" spans="1:45" ht="15" customHeight="1" x14ac:dyDescent="0.2">
      <c r="A16" s="81" t="s">
        <v>29656</v>
      </c>
      <c r="B16" s="81" t="s">
        <v>29601</v>
      </c>
      <c r="C16" s="81" t="s">
        <v>46</v>
      </c>
      <c r="D16" s="81" t="s">
        <v>47</v>
      </c>
      <c r="E16" s="81" t="s">
        <v>29697</v>
      </c>
      <c r="F16" s="81" t="s">
        <v>91</v>
      </c>
      <c r="G16" s="81" t="s">
        <v>29697</v>
      </c>
      <c r="H16" s="81" t="s">
        <v>29702</v>
      </c>
      <c r="I16" s="81" t="s">
        <v>1</v>
      </c>
      <c r="J16" s="84" t="s">
        <v>59</v>
      </c>
      <c r="L16" s="81" t="s">
        <v>25606</v>
      </c>
      <c r="M16" s="81" t="s">
        <v>12</v>
      </c>
      <c r="N16" s="81">
        <v>1889.37</v>
      </c>
      <c r="Q16" s="80"/>
      <c r="R16" s="146" t="s">
        <v>29727</v>
      </c>
      <c r="S16" s="103" t="str">
        <f t="shared" si="0"/>
        <v>56-015-09-</v>
      </c>
      <c r="Z16" s="81" t="s">
        <v>29750</v>
      </c>
      <c r="AA16" s="81">
        <v>3</v>
      </c>
      <c r="AE16" s="81">
        <v>1</v>
      </c>
    </row>
    <row r="17" spans="1:31" ht="15" customHeight="1" x14ac:dyDescent="0.2">
      <c r="A17" s="81" t="s">
        <v>29657</v>
      </c>
      <c r="B17" s="81" t="s">
        <v>29602</v>
      </c>
      <c r="C17" s="81" t="s">
        <v>46</v>
      </c>
      <c r="D17" s="81" t="s">
        <v>47</v>
      </c>
      <c r="E17" s="81" t="s">
        <v>29697</v>
      </c>
      <c r="F17" s="81" t="s">
        <v>91</v>
      </c>
      <c r="G17" s="81" t="s">
        <v>29697</v>
      </c>
      <c r="H17" s="81" t="s">
        <v>29706</v>
      </c>
      <c r="I17" s="81" t="s">
        <v>27</v>
      </c>
      <c r="J17" s="84" t="s">
        <v>29714</v>
      </c>
      <c r="K17" s="81" t="s">
        <v>25686</v>
      </c>
      <c r="L17" s="81" t="s">
        <v>25606</v>
      </c>
      <c r="M17" s="81" t="s">
        <v>12</v>
      </c>
      <c r="N17" s="81">
        <v>1259.3699999999999</v>
      </c>
      <c r="Q17" s="80"/>
      <c r="R17" s="146" t="s">
        <v>29718</v>
      </c>
      <c r="S17" s="103" t="str">
        <f t="shared" si="0"/>
        <v>56-016-06-</v>
      </c>
      <c r="Z17" s="81" t="s">
        <v>29750</v>
      </c>
      <c r="AA17" s="81">
        <v>3</v>
      </c>
      <c r="AE17" s="81">
        <v>1</v>
      </c>
    </row>
    <row r="18" spans="1:31" ht="15" customHeight="1" x14ac:dyDescent="0.2">
      <c r="A18" s="81" t="s">
        <v>29658</v>
      </c>
      <c r="B18" s="81" t="s">
        <v>29603</v>
      </c>
      <c r="C18" s="81" t="s">
        <v>46</v>
      </c>
      <c r="D18" s="81" t="s">
        <v>47</v>
      </c>
      <c r="E18" s="81" t="s">
        <v>29697</v>
      </c>
      <c r="F18" s="81" t="s">
        <v>91</v>
      </c>
      <c r="G18" s="81" t="s">
        <v>29697</v>
      </c>
      <c r="H18" s="81" t="s">
        <v>29707</v>
      </c>
      <c r="I18" s="81" t="s">
        <v>52</v>
      </c>
      <c r="J18" s="84" t="s">
        <v>29714</v>
      </c>
      <c r="K18" s="81" t="s">
        <v>25686</v>
      </c>
      <c r="L18" s="81" t="s">
        <v>25606</v>
      </c>
      <c r="M18" s="81" t="s">
        <v>12</v>
      </c>
      <c r="N18" s="81">
        <v>1259.3699999999999</v>
      </c>
      <c r="Q18" s="80"/>
      <c r="R18" s="146" t="s">
        <v>29728</v>
      </c>
      <c r="S18" s="103" t="str">
        <f t="shared" si="0"/>
        <v>56-017-02-</v>
      </c>
      <c r="Z18" s="81" t="s">
        <v>29750</v>
      </c>
      <c r="AA18" s="81">
        <v>2</v>
      </c>
      <c r="AE18" s="81" t="s">
        <v>29750</v>
      </c>
    </row>
    <row r="19" spans="1:31" ht="15" customHeight="1" x14ac:dyDescent="0.2">
      <c r="A19" s="81" t="s">
        <v>29659</v>
      </c>
      <c r="B19" s="81" t="s">
        <v>29604</v>
      </c>
      <c r="C19" s="81" t="s">
        <v>46</v>
      </c>
      <c r="D19" s="81" t="s">
        <v>47</v>
      </c>
      <c r="E19" s="81" t="s">
        <v>29697</v>
      </c>
      <c r="F19" s="81" t="s">
        <v>91</v>
      </c>
      <c r="G19" s="81" t="s">
        <v>29697</v>
      </c>
      <c r="H19" s="81" t="s">
        <v>29708</v>
      </c>
      <c r="I19" s="81" t="s">
        <v>25451</v>
      </c>
      <c r="J19" s="84" t="s">
        <v>59</v>
      </c>
      <c r="L19" s="81" t="s">
        <v>25606</v>
      </c>
      <c r="M19" s="81" t="s">
        <v>12</v>
      </c>
      <c r="N19" s="81">
        <v>1889.37</v>
      </c>
      <c r="Q19" s="80"/>
      <c r="R19" s="146" t="s">
        <v>29726</v>
      </c>
      <c r="S19" s="103" t="str">
        <f t="shared" si="0"/>
        <v>56-018-35-</v>
      </c>
      <c r="Z19" s="81" t="s">
        <v>29750</v>
      </c>
      <c r="AA19" s="81">
        <v>3</v>
      </c>
      <c r="AE19" s="81" t="s">
        <v>29750</v>
      </c>
    </row>
    <row r="20" spans="1:31" ht="15" customHeight="1" x14ac:dyDescent="0.2">
      <c r="A20" s="81" t="s">
        <v>29660</v>
      </c>
      <c r="B20" s="81" t="s">
        <v>29605</v>
      </c>
      <c r="C20" s="81" t="s">
        <v>46</v>
      </c>
      <c r="D20" s="81" t="s">
        <v>92</v>
      </c>
      <c r="E20" s="81" t="s">
        <v>29697</v>
      </c>
      <c r="F20" s="81" t="s">
        <v>91</v>
      </c>
      <c r="G20" s="81" t="s">
        <v>29697</v>
      </c>
      <c r="H20" s="81" t="s">
        <v>29702</v>
      </c>
      <c r="I20" s="81" t="s">
        <v>1</v>
      </c>
      <c r="J20" s="84" t="s">
        <v>26538</v>
      </c>
      <c r="L20" s="81" t="s">
        <v>25606</v>
      </c>
      <c r="M20" s="81" t="s">
        <v>12</v>
      </c>
      <c r="N20" s="81">
        <v>1511.37</v>
      </c>
      <c r="Q20" s="80"/>
      <c r="R20" s="146" t="s">
        <v>29726</v>
      </c>
      <c r="S20" s="103" t="str">
        <f t="shared" si="0"/>
        <v>56-019-09-</v>
      </c>
      <c r="Z20" s="81" t="s">
        <v>29750</v>
      </c>
      <c r="AA20" s="81">
        <v>3</v>
      </c>
      <c r="AE20" s="81" t="s">
        <v>29750</v>
      </c>
    </row>
    <row r="21" spans="1:31" ht="15" customHeight="1" x14ac:dyDescent="0.2">
      <c r="A21" s="81" t="s">
        <v>29661</v>
      </c>
      <c r="B21" s="81" t="s">
        <v>29606</v>
      </c>
      <c r="C21" s="81" t="s">
        <v>46</v>
      </c>
      <c r="D21" s="81" t="s">
        <v>47</v>
      </c>
      <c r="E21" s="81" t="s">
        <v>29698</v>
      </c>
      <c r="F21" s="81" t="s">
        <v>91</v>
      </c>
      <c r="G21" s="81" t="s">
        <v>29698</v>
      </c>
      <c r="H21" s="81" t="s">
        <v>29703</v>
      </c>
      <c r="I21" s="81" t="s">
        <v>100</v>
      </c>
      <c r="J21" s="84" t="s">
        <v>11</v>
      </c>
      <c r="K21" s="81" t="s">
        <v>25686</v>
      </c>
      <c r="L21" s="81" t="s">
        <v>25606</v>
      </c>
      <c r="M21" s="81" t="s">
        <v>29746</v>
      </c>
      <c r="N21" s="81">
        <v>5489</v>
      </c>
      <c r="Q21" s="80"/>
      <c r="R21" s="146" t="s">
        <v>29729</v>
      </c>
      <c r="S21" s="103" t="str">
        <f t="shared" si="0"/>
        <v>56-020-17-</v>
      </c>
      <c r="V21" s="81">
        <v>1</v>
      </c>
    </row>
    <row r="22" spans="1:31" ht="15" customHeight="1" x14ac:dyDescent="0.2">
      <c r="A22" s="81" t="s">
        <v>29662</v>
      </c>
      <c r="B22" s="81" t="s">
        <v>29607</v>
      </c>
      <c r="C22" s="81" t="s">
        <v>46</v>
      </c>
      <c r="D22" s="81" t="s">
        <v>47</v>
      </c>
      <c r="E22" s="81" t="s">
        <v>29698</v>
      </c>
      <c r="F22" s="81" t="s">
        <v>91</v>
      </c>
      <c r="G22" s="81" t="s">
        <v>29698</v>
      </c>
      <c r="H22" s="81" t="s">
        <v>29709</v>
      </c>
      <c r="I22" s="81" t="s">
        <v>141</v>
      </c>
      <c r="J22" s="84" t="s">
        <v>11</v>
      </c>
      <c r="K22" s="81" t="s">
        <v>25686</v>
      </c>
      <c r="L22" s="81" t="s">
        <v>25606</v>
      </c>
      <c r="M22" s="81" t="s">
        <v>29747</v>
      </c>
      <c r="N22" s="81">
        <v>4614.5</v>
      </c>
      <c r="Q22" s="80"/>
      <c r="R22" s="146" t="s">
        <v>29729</v>
      </c>
      <c r="S22" s="103" t="str">
        <f t="shared" si="0"/>
        <v>56-021-18-</v>
      </c>
      <c r="V22" s="81">
        <v>1</v>
      </c>
    </row>
    <row r="23" spans="1:31" ht="15" customHeight="1" x14ac:dyDescent="0.2">
      <c r="A23" s="81" t="s">
        <v>29663</v>
      </c>
      <c r="B23" s="81" t="s">
        <v>29608</v>
      </c>
      <c r="C23" s="81" t="s">
        <v>46</v>
      </c>
      <c r="D23" s="81" t="s">
        <v>47</v>
      </c>
      <c r="E23" s="81" t="s">
        <v>29698</v>
      </c>
      <c r="F23" s="81" t="s">
        <v>91</v>
      </c>
      <c r="G23" s="81" t="s">
        <v>29698</v>
      </c>
      <c r="H23" s="81" t="s">
        <v>29707</v>
      </c>
      <c r="I23" s="81" t="s">
        <v>52</v>
      </c>
      <c r="J23" s="83" t="s">
        <v>11</v>
      </c>
      <c r="K23" s="81" t="s">
        <v>25686</v>
      </c>
      <c r="L23" s="81" t="s">
        <v>25606</v>
      </c>
      <c r="M23" s="81" t="s">
        <v>29746</v>
      </c>
      <c r="N23" s="81">
        <v>4944.5</v>
      </c>
      <c r="Q23" s="80"/>
      <c r="R23" s="146" t="s">
        <v>29730</v>
      </c>
      <c r="S23" s="103" t="str">
        <f t="shared" si="0"/>
        <v>56-022-02-</v>
      </c>
      <c r="V23" s="81">
        <v>1</v>
      </c>
    </row>
    <row r="24" spans="1:31" ht="15" customHeight="1" x14ac:dyDescent="0.2">
      <c r="A24" s="81" t="s">
        <v>29664</v>
      </c>
      <c r="B24" s="81" t="s">
        <v>29609</v>
      </c>
      <c r="C24" s="81" t="s">
        <v>46</v>
      </c>
      <c r="D24" s="81" t="s">
        <v>47</v>
      </c>
      <c r="E24" s="81" t="s">
        <v>29698</v>
      </c>
      <c r="F24" s="81" t="s">
        <v>91</v>
      </c>
      <c r="G24" s="81" t="s">
        <v>29698</v>
      </c>
      <c r="H24" s="81" t="s">
        <v>29710</v>
      </c>
      <c r="I24" s="81" t="s">
        <v>23</v>
      </c>
      <c r="J24" s="84" t="s">
        <v>11</v>
      </c>
      <c r="K24" s="81" t="s">
        <v>25686</v>
      </c>
      <c r="L24" s="81" t="s">
        <v>25606</v>
      </c>
      <c r="M24" s="81" t="s">
        <v>29747</v>
      </c>
      <c r="N24" s="81">
        <v>4944.5</v>
      </c>
      <c r="Q24" s="80"/>
      <c r="R24" s="146" t="s">
        <v>29730</v>
      </c>
      <c r="S24" s="103" t="str">
        <f t="shared" si="0"/>
        <v>56-023-16-</v>
      </c>
      <c r="V24" s="81">
        <v>2</v>
      </c>
    </row>
    <row r="25" spans="1:31" ht="15" customHeight="1" x14ac:dyDescent="0.2">
      <c r="A25" s="81" t="s">
        <v>29665</v>
      </c>
      <c r="B25" s="81" t="s">
        <v>29610</v>
      </c>
      <c r="C25" s="81" t="s">
        <v>46</v>
      </c>
      <c r="D25" s="81" t="s">
        <v>47</v>
      </c>
      <c r="E25" s="81" t="s">
        <v>29699</v>
      </c>
      <c r="F25" s="81" t="s">
        <v>91</v>
      </c>
      <c r="G25" s="81" t="s">
        <v>29699</v>
      </c>
      <c r="H25" s="81" t="s">
        <v>29702</v>
      </c>
      <c r="I25" s="81" t="s">
        <v>1</v>
      </c>
      <c r="J25" s="84" t="s">
        <v>59</v>
      </c>
      <c r="L25" s="81" t="s">
        <v>25606</v>
      </c>
      <c r="M25" s="81" t="s">
        <v>29748</v>
      </c>
      <c r="N25" s="81">
        <v>1194</v>
      </c>
      <c r="Q25" s="80"/>
      <c r="R25" s="146" t="s">
        <v>29731</v>
      </c>
      <c r="S25" s="103" t="str">
        <f t="shared" si="0"/>
        <v>56-024-09-</v>
      </c>
      <c r="V25" s="81" t="s">
        <v>29750</v>
      </c>
      <c r="AA25" s="81">
        <v>6</v>
      </c>
    </row>
    <row r="26" spans="1:31" ht="15" customHeight="1" x14ac:dyDescent="0.2">
      <c r="A26" s="81" t="s">
        <v>29666</v>
      </c>
      <c r="B26" s="81" t="s">
        <v>29611</v>
      </c>
      <c r="C26" s="81" t="s">
        <v>46</v>
      </c>
      <c r="D26" s="81" t="s">
        <v>47</v>
      </c>
      <c r="E26" s="81" t="s">
        <v>29699</v>
      </c>
      <c r="F26" s="81" t="s">
        <v>91</v>
      </c>
      <c r="G26" s="81" t="s">
        <v>29699</v>
      </c>
      <c r="H26" s="81" t="s">
        <v>29706</v>
      </c>
      <c r="I26" s="81" t="s">
        <v>27</v>
      </c>
      <c r="J26" s="84" t="s">
        <v>59</v>
      </c>
      <c r="L26" s="81" t="s">
        <v>25606</v>
      </c>
      <c r="M26" s="81" t="s">
        <v>29748</v>
      </c>
      <c r="N26" s="81">
        <v>1194</v>
      </c>
      <c r="Q26" s="80"/>
      <c r="R26" s="146" t="s">
        <v>29732</v>
      </c>
      <c r="S26" s="103" t="str">
        <f t="shared" si="0"/>
        <v>56-025-06-</v>
      </c>
      <c r="V26" s="81" t="s">
        <v>29750</v>
      </c>
      <c r="AA26" s="81">
        <v>3</v>
      </c>
    </row>
    <row r="27" spans="1:31" ht="15" customHeight="1" x14ac:dyDescent="0.2">
      <c r="A27" s="81" t="s">
        <v>29667</v>
      </c>
      <c r="B27" s="81" t="s">
        <v>29612</v>
      </c>
      <c r="C27" s="81" t="s">
        <v>46</v>
      </c>
      <c r="D27" s="81" t="s">
        <v>47</v>
      </c>
      <c r="E27" s="81" t="s">
        <v>29699</v>
      </c>
      <c r="F27" s="81" t="s">
        <v>91</v>
      </c>
      <c r="G27" s="81" t="s">
        <v>29699</v>
      </c>
      <c r="H27" s="81" t="s">
        <v>29702</v>
      </c>
      <c r="I27" s="81" t="s">
        <v>1</v>
      </c>
      <c r="J27" s="84" t="s">
        <v>11</v>
      </c>
      <c r="K27" s="81" t="s">
        <v>25686</v>
      </c>
      <c r="L27" s="81" t="s">
        <v>25606</v>
      </c>
      <c r="M27" s="81" t="s">
        <v>29749</v>
      </c>
      <c r="N27" s="81">
        <v>894</v>
      </c>
      <c r="Q27" s="80"/>
      <c r="R27" s="146" t="s">
        <v>29733</v>
      </c>
      <c r="S27" s="103" t="str">
        <f t="shared" si="0"/>
        <v>56-026-09-</v>
      </c>
      <c r="V27" s="81">
        <v>3</v>
      </c>
      <c r="AA27" s="81" t="s">
        <v>29750</v>
      </c>
    </row>
    <row r="28" spans="1:31" ht="15" customHeight="1" x14ac:dyDescent="0.2">
      <c r="A28" s="81" t="s">
        <v>29668</v>
      </c>
      <c r="B28" s="81" t="s">
        <v>29613</v>
      </c>
      <c r="C28" s="81" t="s">
        <v>46</v>
      </c>
      <c r="D28" s="81" t="s">
        <v>47</v>
      </c>
      <c r="E28" s="81" t="s">
        <v>29699</v>
      </c>
      <c r="F28" s="81" t="s">
        <v>91</v>
      </c>
      <c r="G28" s="81" t="s">
        <v>29699</v>
      </c>
      <c r="H28" s="81" t="s">
        <v>29702</v>
      </c>
      <c r="I28" s="81" t="s">
        <v>1</v>
      </c>
      <c r="J28" s="84" t="s">
        <v>59</v>
      </c>
      <c r="L28" s="81" t="s">
        <v>25606</v>
      </c>
      <c r="M28" s="81" t="s">
        <v>29746</v>
      </c>
      <c r="N28" s="81">
        <v>1674</v>
      </c>
      <c r="Q28" s="80"/>
      <c r="R28" s="146" t="s">
        <v>29734</v>
      </c>
      <c r="S28" s="103" t="str">
        <f t="shared" si="0"/>
        <v>56-027-09-</v>
      </c>
      <c r="V28" s="81">
        <v>6</v>
      </c>
      <c r="AA28" s="81" t="s">
        <v>29750</v>
      </c>
    </row>
    <row r="29" spans="1:31" ht="15" customHeight="1" x14ac:dyDescent="0.2">
      <c r="A29" s="81" t="s">
        <v>29669</v>
      </c>
      <c r="B29" s="81" t="s">
        <v>29614</v>
      </c>
      <c r="C29" s="81" t="s">
        <v>46</v>
      </c>
      <c r="D29" s="81" t="s">
        <v>47</v>
      </c>
      <c r="E29" s="81" t="s">
        <v>29699</v>
      </c>
      <c r="F29" s="81" t="s">
        <v>91</v>
      </c>
      <c r="G29" s="81" t="s">
        <v>29699</v>
      </c>
      <c r="H29" s="81" t="s">
        <v>29702</v>
      </c>
      <c r="I29" s="81" t="s">
        <v>1</v>
      </c>
      <c r="J29" s="84" t="s">
        <v>11</v>
      </c>
      <c r="K29" s="81" t="s">
        <v>25686</v>
      </c>
      <c r="L29" s="81" t="s">
        <v>25606</v>
      </c>
      <c r="M29" s="81" t="s">
        <v>29746</v>
      </c>
      <c r="N29" s="81">
        <v>1434</v>
      </c>
      <c r="Q29" s="80"/>
      <c r="R29" s="146" t="s">
        <v>29734</v>
      </c>
      <c r="S29" s="103" t="str">
        <f t="shared" si="0"/>
        <v>56-028-09-</v>
      </c>
      <c r="V29" s="81">
        <v>5</v>
      </c>
      <c r="AA29" s="81" t="s">
        <v>29750</v>
      </c>
    </row>
    <row r="30" spans="1:31" ht="15" customHeight="1" x14ac:dyDescent="0.2">
      <c r="A30" s="81" t="s">
        <v>29670</v>
      </c>
      <c r="B30" s="81" t="s">
        <v>29615</v>
      </c>
      <c r="C30" s="81" t="s">
        <v>46</v>
      </c>
      <c r="D30" s="81" t="s">
        <v>47</v>
      </c>
      <c r="E30" s="81" t="s">
        <v>29699</v>
      </c>
      <c r="F30" s="81" t="s">
        <v>91</v>
      </c>
      <c r="G30" s="81" t="s">
        <v>29699</v>
      </c>
      <c r="H30" s="81" t="s">
        <v>29702</v>
      </c>
      <c r="I30" s="81" t="s">
        <v>1</v>
      </c>
      <c r="J30" s="84" t="s">
        <v>25725</v>
      </c>
      <c r="L30" s="81" t="s">
        <v>25606</v>
      </c>
      <c r="M30" s="81" t="s">
        <v>29748</v>
      </c>
      <c r="N30" s="81">
        <v>2094</v>
      </c>
      <c r="Q30" s="80"/>
      <c r="R30" s="146" t="s">
        <v>29735</v>
      </c>
      <c r="S30" s="103" t="str">
        <f t="shared" si="0"/>
        <v>56-029-09-</v>
      </c>
      <c r="V30" s="81">
        <v>3</v>
      </c>
      <c r="AA30" s="81" t="s">
        <v>29750</v>
      </c>
    </row>
    <row r="31" spans="1:31" ht="15" customHeight="1" x14ac:dyDescent="0.2">
      <c r="A31" s="81" t="s">
        <v>29671</v>
      </c>
      <c r="B31" s="81" t="s">
        <v>29616</v>
      </c>
      <c r="C31" s="81" t="s">
        <v>46</v>
      </c>
      <c r="D31" s="81" t="s">
        <v>47</v>
      </c>
      <c r="E31" s="81" t="s">
        <v>29699</v>
      </c>
      <c r="F31" s="81" t="s">
        <v>91</v>
      </c>
      <c r="G31" s="81" t="s">
        <v>29699</v>
      </c>
      <c r="H31" s="81" t="s">
        <v>29703</v>
      </c>
      <c r="I31" s="81" t="s">
        <v>100</v>
      </c>
      <c r="J31" s="84" t="s">
        <v>11</v>
      </c>
      <c r="K31" s="81" t="s">
        <v>25686</v>
      </c>
      <c r="L31" s="81" t="s">
        <v>25606</v>
      </c>
      <c r="M31" s="81" t="s">
        <v>29749</v>
      </c>
      <c r="N31" s="81">
        <v>894</v>
      </c>
      <c r="Q31" s="80"/>
      <c r="R31" s="146" t="s">
        <v>29733</v>
      </c>
      <c r="S31" s="103" t="str">
        <f t="shared" si="0"/>
        <v>56-030-17-</v>
      </c>
      <c r="V31" s="81">
        <v>3</v>
      </c>
      <c r="AA31" s="81" t="s">
        <v>29750</v>
      </c>
    </row>
    <row r="32" spans="1:31" ht="15" customHeight="1" x14ac:dyDescent="0.2">
      <c r="A32" s="81" t="s">
        <v>29672</v>
      </c>
      <c r="B32" s="81" t="s">
        <v>29617</v>
      </c>
      <c r="C32" s="81" t="s">
        <v>46</v>
      </c>
      <c r="D32" s="81" t="s">
        <v>47</v>
      </c>
      <c r="E32" s="81" t="s">
        <v>29699</v>
      </c>
      <c r="F32" s="81" t="s">
        <v>91</v>
      </c>
      <c r="G32" s="81" t="s">
        <v>29699</v>
      </c>
      <c r="H32" s="81" t="s">
        <v>29704</v>
      </c>
      <c r="I32" s="81" t="s">
        <v>220</v>
      </c>
      <c r="J32" s="84" t="s">
        <v>11</v>
      </c>
      <c r="K32" s="81" t="s">
        <v>25686</v>
      </c>
      <c r="L32" s="81" t="s">
        <v>25604</v>
      </c>
      <c r="M32" s="81" t="s">
        <v>29749</v>
      </c>
      <c r="N32" s="81">
        <v>894</v>
      </c>
      <c r="Q32" s="80"/>
      <c r="R32" s="146" t="s">
        <v>29733</v>
      </c>
      <c r="S32" s="103" t="str">
        <f t="shared" si="0"/>
        <v>56-031-34-</v>
      </c>
      <c r="V32" s="81">
        <v>3</v>
      </c>
      <c r="AA32" s="81" t="s">
        <v>29750</v>
      </c>
    </row>
    <row r="33" spans="1:27" ht="15" customHeight="1" x14ac:dyDescent="0.2">
      <c r="A33" s="81" t="s">
        <v>29673</v>
      </c>
      <c r="B33" s="81" t="s">
        <v>29618</v>
      </c>
      <c r="C33" s="81" t="s">
        <v>46</v>
      </c>
      <c r="D33" s="81" t="s">
        <v>47</v>
      </c>
      <c r="E33" s="81" t="s">
        <v>29699</v>
      </c>
      <c r="F33" s="81" t="s">
        <v>91</v>
      </c>
      <c r="G33" s="81" t="s">
        <v>29699</v>
      </c>
      <c r="H33" s="81" t="s">
        <v>29705</v>
      </c>
      <c r="I33" s="81" t="s">
        <v>25520</v>
      </c>
      <c r="J33" s="84" t="s">
        <v>11</v>
      </c>
      <c r="K33" s="81" t="s">
        <v>25686</v>
      </c>
      <c r="L33" s="81" t="s">
        <v>25606</v>
      </c>
      <c r="M33" s="81" t="s">
        <v>29749</v>
      </c>
      <c r="N33" s="81">
        <v>894</v>
      </c>
      <c r="Q33" s="80"/>
      <c r="R33" s="146" t="s">
        <v>29733</v>
      </c>
      <c r="S33" s="103" t="str">
        <f t="shared" si="0"/>
        <v>56-032-41-</v>
      </c>
      <c r="V33" s="81">
        <v>3</v>
      </c>
      <c r="AA33" s="81" t="s">
        <v>29750</v>
      </c>
    </row>
    <row r="34" spans="1:27" ht="15" customHeight="1" x14ac:dyDescent="0.2">
      <c r="A34" s="81" t="s">
        <v>29674</v>
      </c>
      <c r="B34" s="81" t="s">
        <v>29619</v>
      </c>
      <c r="C34" s="81" t="s">
        <v>46</v>
      </c>
      <c r="D34" s="81" t="s">
        <v>47</v>
      </c>
      <c r="E34" s="81" t="s">
        <v>29699</v>
      </c>
      <c r="F34" s="81" t="s">
        <v>91</v>
      </c>
      <c r="G34" s="81" t="s">
        <v>29699</v>
      </c>
      <c r="H34" s="81" t="s">
        <v>29706</v>
      </c>
      <c r="I34" s="81" t="s">
        <v>27</v>
      </c>
      <c r="J34" s="84" t="s">
        <v>11</v>
      </c>
      <c r="K34" s="81" t="s">
        <v>25686</v>
      </c>
      <c r="L34" s="81" t="s">
        <v>25606</v>
      </c>
      <c r="M34" s="81" t="s">
        <v>29749</v>
      </c>
      <c r="N34" s="81">
        <v>1494</v>
      </c>
      <c r="Q34" s="80"/>
      <c r="R34" s="146" t="s">
        <v>29733</v>
      </c>
      <c r="S34" s="103" t="str">
        <f t="shared" si="0"/>
        <v>56-033-06-</v>
      </c>
      <c r="V34" s="81">
        <v>3</v>
      </c>
      <c r="AA34" s="81" t="s">
        <v>29750</v>
      </c>
    </row>
    <row r="35" spans="1:27" ht="15" customHeight="1" x14ac:dyDescent="0.2">
      <c r="A35" s="81" t="s">
        <v>29675</v>
      </c>
      <c r="B35" s="81" t="s">
        <v>29620</v>
      </c>
      <c r="C35" s="81" t="s">
        <v>46</v>
      </c>
      <c r="D35" s="81" t="s">
        <v>92</v>
      </c>
      <c r="E35" s="81" t="s">
        <v>29699</v>
      </c>
      <c r="F35" s="81" t="s">
        <v>91</v>
      </c>
      <c r="G35" s="81" t="s">
        <v>29699</v>
      </c>
      <c r="H35" s="81" t="s">
        <v>29702</v>
      </c>
      <c r="I35" s="81" t="s">
        <v>1</v>
      </c>
      <c r="J35" s="84" t="s">
        <v>59</v>
      </c>
      <c r="L35" s="81" t="s">
        <v>25606</v>
      </c>
      <c r="M35" s="81" t="s">
        <v>29746</v>
      </c>
      <c r="N35" s="81">
        <v>1314</v>
      </c>
      <c r="Q35" s="80"/>
      <c r="R35" s="146" t="s">
        <v>29734</v>
      </c>
      <c r="S35" s="103" t="str">
        <f t="shared" si="0"/>
        <v>56-034-09-</v>
      </c>
      <c r="V35" s="81">
        <v>1</v>
      </c>
      <c r="AA35" s="81" t="s">
        <v>29750</v>
      </c>
    </row>
    <row r="36" spans="1:27" ht="15" customHeight="1" x14ac:dyDescent="0.2">
      <c r="A36" s="81" t="s">
        <v>29676</v>
      </c>
      <c r="B36" s="81" t="s">
        <v>29621</v>
      </c>
      <c r="C36" s="81" t="s">
        <v>46</v>
      </c>
      <c r="D36" s="81" t="s">
        <v>92</v>
      </c>
      <c r="E36" s="81" t="s">
        <v>29699</v>
      </c>
      <c r="F36" s="81" t="s">
        <v>91</v>
      </c>
      <c r="G36" s="81" t="s">
        <v>29699</v>
      </c>
      <c r="H36" s="81" t="s">
        <v>29702</v>
      </c>
      <c r="I36" s="81" t="s">
        <v>1</v>
      </c>
      <c r="J36" s="84" t="s">
        <v>29715</v>
      </c>
      <c r="L36" s="81" t="s">
        <v>25606</v>
      </c>
      <c r="M36" s="81" t="s">
        <v>29746</v>
      </c>
      <c r="N36" s="81">
        <v>1794</v>
      </c>
      <c r="Q36" s="80"/>
      <c r="R36" s="146" t="s">
        <v>29734</v>
      </c>
      <c r="S36" s="103" t="str">
        <f t="shared" si="0"/>
        <v>56-035-09-</v>
      </c>
      <c r="V36" s="81">
        <v>5</v>
      </c>
      <c r="AA36" s="81" t="s">
        <v>29750</v>
      </c>
    </row>
    <row r="37" spans="1:27" ht="15" customHeight="1" x14ac:dyDescent="0.2">
      <c r="A37" s="81" t="s">
        <v>29677</v>
      </c>
      <c r="B37" s="81" t="s">
        <v>29622</v>
      </c>
      <c r="C37" s="81" t="s">
        <v>46</v>
      </c>
      <c r="D37" s="81" t="s">
        <v>92</v>
      </c>
      <c r="E37" s="81" t="s">
        <v>29699</v>
      </c>
      <c r="F37" s="81" t="s">
        <v>91</v>
      </c>
      <c r="G37" s="81" t="s">
        <v>29699</v>
      </c>
      <c r="H37" s="81" t="s">
        <v>29704</v>
      </c>
      <c r="I37" s="81" t="s">
        <v>220</v>
      </c>
      <c r="J37" s="84" t="s">
        <v>29716</v>
      </c>
      <c r="L37" s="81" t="s">
        <v>29745</v>
      </c>
      <c r="M37" s="81" t="s">
        <v>29746</v>
      </c>
      <c r="N37" s="81">
        <v>1794</v>
      </c>
      <c r="Q37" s="80"/>
      <c r="R37" s="146" t="s">
        <v>29734</v>
      </c>
      <c r="S37" s="103" t="str">
        <f t="shared" si="0"/>
        <v>56-036-34-</v>
      </c>
      <c r="V37" s="81">
        <v>3</v>
      </c>
      <c r="AA37" s="81" t="s">
        <v>29750</v>
      </c>
    </row>
    <row r="38" spans="1:27" ht="15" customHeight="1" x14ac:dyDescent="0.2">
      <c r="A38" s="81" t="s">
        <v>29678</v>
      </c>
      <c r="B38" s="81" t="s">
        <v>29623</v>
      </c>
      <c r="C38" s="81" t="s">
        <v>46</v>
      </c>
      <c r="D38" s="81" t="s">
        <v>47</v>
      </c>
      <c r="E38" s="81" t="s">
        <v>29699</v>
      </c>
      <c r="F38" s="81" t="s">
        <v>91</v>
      </c>
      <c r="G38" s="81" t="s">
        <v>29699</v>
      </c>
      <c r="H38" s="81" t="s">
        <v>29702</v>
      </c>
      <c r="I38" s="81" t="s">
        <v>1</v>
      </c>
      <c r="J38" s="84" t="s">
        <v>11</v>
      </c>
      <c r="K38" s="81" t="s">
        <v>25686</v>
      </c>
      <c r="L38" s="81" t="s">
        <v>25606</v>
      </c>
      <c r="M38" s="81" t="s">
        <v>29749</v>
      </c>
      <c r="N38" s="81">
        <v>894</v>
      </c>
      <c r="Q38" s="80"/>
      <c r="R38" s="146" t="s">
        <v>29733</v>
      </c>
      <c r="S38" s="103" t="str">
        <f t="shared" si="0"/>
        <v>56-037-09-</v>
      </c>
      <c r="V38" s="81">
        <v>3</v>
      </c>
      <c r="AA38" s="81" t="s">
        <v>29750</v>
      </c>
    </row>
    <row r="39" spans="1:27" ht="15" customHeight="1" x14ac:dyDescent="0.2">
      <c r="A39" s="81" t="s">
        <v>29679</v>
      </c>
      <c r="B39" s="81" t="s">
        <v>29624</v>
      </c>
      <c r="C39" s="81" t="s">
        <v>46</v>
      </c>
      <c r="D39" s="81" t="s">
        <v>47</v>
      </c>
      <c r="E39" s="81" t="s">
        <v>29699</v>
      </c>
      <c r="F39" s="81" t="s">
        <v>91</v>
      </c>
      <c r="G39" s="81" t="s">
        <v>29699</v>
      </c>
      <c r="H39" s="81" t="s">
        <v>29711</v>
      </c>
      <c r="I39" s="81" t="s">
        <v>28</v>
      </c>
      <c r="J39" s="84" t="s">
        <v>59</v>
      </c>
      <c r="L39" s="81" t="s">
        <v>25606</v>
      </c>
      <c r="M39" s="81" t="s">
        <v>29746</v>
      </c>
      <c r="N39" s="81">
        <v>1434</v>
      </c>
      <c r="Q39" s="80"/>
      <c r="R39" s="146" t="s">
        <v>29734</v>
      </c>
      <c r="S39" s="103" t="str">
        <f t="shared" si="0"/>
        <v>56-038-80-</v>
      </c>
      <c r="V39" s="81">
        <v>3</v>
      </c>
      <c r="AA39" s="81" t="s">
        <v>29750</v>
      </c>
    </row>
    <row r="40" spans="1:27" ht="15" customHeight="1" x14ac:dyDescent="0.2">
      <c r="A40" s="81" t="s">
        <v>29680</v>
      </c>
      <c r="B40" s="81" t="s">
        <v>29625</v>
      </c>
      <c r="C40" s="81" t="s">
        <v>46</v>
      </c>
      <c r="D40" s="81" t="s">
        <v>47</v>
      </c>
      <c r="E40" s="81" t="s">
        <v>29699</v>
      </c>
      <c r="F40" s="81" t="s">
        <v>91</v>
      </c>
      <c r="G40" s="81" t="s">
        <v>29699</v>
      </c>
      <c r="H40" s="81" t="s">
        <v>29711</v>
      </c>
      <c r="I40" s="81" t="s">
        <v>28</v>
      </c>
      <c r="J40" s="84" t="s">
        <v>59</v>
      </c>
      <c r="L40" s="81" t="s">
        <v>25606</v>
      </c>
      <c r="M40" s="81" t="s">
        <v>29746</v>
      </c>
      <c r="N40" s="81">
        <v>1194</v>
      </c>
      <c r="Q40" s="80"/>
      <c r="R40" s="146" t="s">
        <v>29734</v>
      </c>
      <c r="S40" s="103" t="str">
        <f t="shared" si="0"/>
        <v>56-039-80-</v>
      </c>
      <c r="V40" s="81">
        <v>3</v>
      </c>
      <c r="AA40" s="81" t="s">
        <v>29750</v>
      </c>
    </row>
    <row r="41" spans="1:27" ht="15" customHeight="1" x14ac:dyDescent="0.2">
      <c r="A41" s="81" t="s">
        <v>29681</v>
      </c>
      <c r="B41" s="81" t="s">
        <v>29626</v>
      </c>
      <c r="C41" s="81" t="s">
        <v>46</v>
      </c>
      <c r="D41" s="81" t="s">
        <v>47</v>
      </c>
      <c r="E41" s="81" t="s">
        <v>29699</v>
      </c>
      <c r="F41" s="81" t="s">
        <v>91</v>
      </c>
      <c r="G41" s="81" t="s">
        <v>29699</v>
      </c>
      <c r="H41" s="81" t="s">
        <v>29703</v>
      </c>
      <c r="I41" s="81" t="s">
        <v>100</v>
      </c>
      <c r="J41" s="84" t="s">
        <v>11</v>
      </c>
      <c r="K41" s="81" t="s">
        <v>25686</v>
      </c>
      <c r="L41" s="81" t="s">
        <v>25606</v>
      </c>
      <c r="M41" s="81" t="s">
        <v>29749</v>
      </c>
      <c r="N41" s="81">
        <v>894</v>
      </c>
      <c r="Q41" s="80"/>
      <c r="R41" s="146" t="s">
        <v>29733</v>
      </c>
      <c r="S41" s="103" t="str">
        <f t="shared" si="0"/>
        <v>56-040-17-</v>
      </c>
      <c r="V41" s="81">
        <v>2</v>
      </c>
      <c r="AA41" s="81" t="s">
        <v>29750</v>
      </c>
    </row>
    <row r="42" spans="1:27" ht="15" customHeight="1" x14ac:dyDescent="0.2">
      <c r="A42" s="81" t="s">
        <v>29682</v>
      </c>
      <c r="B42" s="81" t="s">
        <v>29627</v>
      </c>
      <c r="C42" s="81" t="s">
        <v>46</v>
      </c>
      <c r="D42" s="81" t="s">
        <v>47</v>
      </c>
      <c r="E42" s="81" t="s">
        <v>29699</v>
      </c>
      <c r="F42" s="81" t="s">
        <v>91</v>
      </c>
      <c r="G42" s="81" t="s">
        <v>29699</v>
      </c>
      <c r="H42" s="81" t="s">
        <v>29702</v>
      </c>
      <c r="I42" s="81" t="s">
        <v>1</v>
      </c>
      <c r="J42" s="84" t="s">
        <v>11</v>
      </c>
      <c r="K42" s="81" t="s">
        <v>25686</v>
      </c>
      <c r="L42" s="81" t="s">
        <v>25606</v>
      </c>
      <c r="M42" s="81" t="s">
        <v>29748</v>
      </c>
      <c r="N42" s="81">
        <v>1314</v>
      </c>
      <c r="Q42" s="80"/>
      <c r="R42" s="146" t="s">
        <v>29735</v>
      </c>
      <c r="S42" s="103" t="str">
        <f t="shared" si="0"/>
        <v>56-041-09-</v>
      </c>
      <c r="V42" s="81" t="s">
        <v>29750</v>
      </c>
      <c r="AA42" s="81">
        <v>3</v>
      </c>
    </row>
    <row r="43" spans="1:27" ht="15" customHeight="1" x14ac:dyDescent="0.2">
      <c r="A43" s="81" t="s">
        <v>29683</v>
      </c>
      <c r="B43" s="81" t="s">
        <v>29628</v>
      </c>
      <c r="C43" s="81" t="s">
        <v>46</v>
      </c>
      <c r="D43" s="81" t="s">
        <v>47</v>
      </c>
      <c r="E43" s="81" t="s">
        <v>29699</v>
      </c>
      <c r="F43" s="81" t="s">
        <v>91</v>
      </c>
      <c r="G43" s="81" t="s">
        <v>29699</v>
      </c>
      <c r="H43" s="81" t="s">
        <v>29702</v>
      </c>
      <c r="I43" s="81" t="s">
        <v>1</v>
      </c>
      <c r="J43" s="84" t="s">
        <v>25725</v>
      </c>
      <c r="L43" s="81" t="s">
        <v>25606</v>
      </c>
      <c r="M43" s="81" t="s">
        <v>29746</v>
      </c>
      <c r="N43" s="81">
        <v>1794</v>
      </c>
      <c r="Q43" s="80"/>
      <c r="R43" s="146" t="s">
        <v>29736</v>
      </c>
      <c r="S43" s="103" t="str">
        <f t="shared" si="0"/>
        <v>56-042-09-</v>
      </c>
      <c r="V43" s="81">
        <v>3</v>
      </c>
      <c r="AA43" s="81" t="s">
        <v>29750</v>
      </c>
    </row>
    <row r="44" spans="1:27" ht="15" customHeight="1" x14ac:dyDescent="0.2">
      <c r="A44" s="81" t="s">
        <v>29684</v>
      </c>
      <c r="B44" s="81" t="s">
        <v>29629</v>
      </c>
      <c r="C44" s="81" t="s">
        <v>46</v>
      </c>
      <c r="D44" s="81" t="s">
        <v>47</v>
      </c>
      <c r="E44" s="81" t="s">
        <v>29699</v>
      </c>
      <c r="F44" s="81" t="s">
        <v>91</v>
      </c>
      <c r="G44" s="81" t="s">
        <v>29699</v>
      </c>
      <c r="H44" s="81" t="s">
        <v>29702</v>
      </c>
      <c r="I44" s="81" t="s">
        <v>1</v>
      </c>
      <c r="J44" s="84" t="s">
        <v>11</v>
      </c>
      <c r="K44" s="81" t="s">
        <v>25686</v>
      </c>
      <c r="L44" s="81" t="s">
        <v>25606</v>
      </c>
      <c r="M44" s="81" t="s">
        <v>29749</v>
      </c>
      <c r="N44" s="81">
        <v>894</v>
      </c>
      <c r="Q44" s="80"/>
      <c r="R44" s="146" t="s">
        <v>29737</v>
      </c>
      <c r="S44" s="103" t="str">
        <f t="shared" si="0"/>
        <v>56-043-09-</v>
      </c>
      <c r="V44" s="81" t="s">
        <v>29750</v>
      </c>
      <c r="AA44" s="81">
        <v>6</v>
      </c>
    </row>
    <row r="45" spans="1:27" ht="15" customHeight="1" x14ac:dyDescent="0.2">
      <c r="A45" s="81" t="s">
        <v>29685</v>
      </c>
      <c r="B45" s="81" t="s">
        <v>29630</v>
      </c>
      <c r="C45" s="81" t="s">
        <v>46</v>
      </c>
      <c r="D45" s="81" t="s">
        <v>47</v>
      </c>
      <c r="E45" s="81" t="s">
        <v>29699</v>
      </c>
      <c r="F45" s="81" t="s">
        <v>91</v>
      </c>
      <c r="G45" s="81" t="s">
        <v>29699</v>
      </c>
      <c r="H45" s="81" t="s">
        <v>29703</v>
      </c>
      <c r="I45" s="81" t="s">
        <v>100</v>
      </c>
      <c r="J45" s="84" t="s">
        <v>11</v>
      </c>
      <c r="K45" s="81" t="s">
        <v>25686</v>
      </c>
      <c r="L45" s="81" t="s">
        <v>25606</v>
      </c>
      <c r="M45" s="81" t="s">
        <v>29749</v>
      </c>
      <c r="N45" s="81">
        <v>894</v>
      </c>
      <c r="Q45" s="80"/>
      <c r="R45" s="146" t="s">
        <v>29737</v>
      </c>
      <c r="S45" s="103" t="str">
        <f t="shared" si="0"/>
        <v>56-044-17-</v>
      </c>
      <c r="V45" s="81" t="s">
        <v>29750</v>
      </c>
      <c r="AA45" s="81">
        <v>3</v>
      </c>
    </row>
    <row r="46" spans="1:27" ht="15" customHeight="1" x14ac:dyDescent="0.2">
      <c r="A46" s="81" t="s">
        <v>29686</v>
      </c>
      <c r="B46" s="81" t="s">
        <v>29631</v>
      </c>
      <c r="C46" s="81" t="s">
        <v>46</v>
      </c>
      <c r="D46" s="81" t="s">
        <v>47</v>
      </c>
      <c r="E46" s="81" t="s">
        <v>29700</v>
      </c>
      <c r="F46" s="81" t="s">
        <v>91</v>
      </c>
      <c r="G46" s="81" t="s">
        <v>29700</v>
      </c>
      <c r="H46" s="81" t="s">
        <v>29702</v>
      </c>
      <c r="I46" s="81" t="s">
        <v>1</v>
      </c>
      <c r="J46" s="84" t="s">
        <v>59</v>
      </c>
      <c r="L46" s="81" t="s">
        <v>25606</v>
      </c>
      <c r="M46" s="81" t="s">
        <v>29746</v>
      </c>
      <c r="N46" s="81">
        <v>1259.3699999999999</v>
      </c>
      <c r="Q46" s="80"/>
      <c r="R46" s="146" t="s">
        <v>29738</v>
      </c>
      <c r="S46" s="103" t="str">
        <f t="shared" si="0"/>
        <v>56-045-09-</v>
      </c>
      <c r="Z46" s="81" t="s">
        <v>29750</v>
      </c>
      <c r="AA46" s="81">
        <v>4</v>
      </c>
    </row>
    <row r="47" spans="1:27" ht="15" customHeight="1" x14ac:dyDescent="0.2">
      <c r="A47" s="81" t="s">
        <v>29687</v>
      </c>
      <c r="B47" s="81" t="s">
        <v>29632</v>
      </c>
      <c r="C47" s="81" t="s">
        <v>46</v>
      </c>
      <c r="D47" s="81" t="s">
        <v>47</v>
      </c>
      <c r="E47" s="81" t="s">
        <v>29700</v>
      </c>
      <c r="F47" s="81" t="s">
        <v>91</v>
      </c>
      <c r="G47" s="81" t="s">
        <v>29700</v>
      </c>
      <c r="H47" s="81" t="s">
        <v>29704</v>
      </c>
      <c r="I47" s="81" t="s">
        <v>220</v>
      </c>
      <c r="J47" s="84" t="s">
        <v>11</v>
      </c>
      <c r="K47" s="81" t="s">
        <v>25686</v>
      </c>
      <c r="L47" s="81" t="s">
        <v>29745</v>
      </c>
      <c r="M47" s="81" t="s">
        <v>29746</v>
      </c>
      <c r="N47" s="81">
        <v>1259.3699999999999</v>
      </c>
      <c r="Q47" s="80"/>
      <c r="R47" s="146" t="s">
        <v>29739</v>
      </c>
      <c r="S47" s="103" t="str">
        <f t="shared" si="0"/>
        <v>56-046-34-</v>
      </c>
      <c r="Z47" s="81" t="s">
        <v>29750</v>
      </c>
      <c r="AA47" s="81">
        <v>2</v>
      </c>
    </row>
    <row r="48" spans="1:27" ht="15" customHeight="1" x14ac:dyDescent="0.2">
      <c r="A48" s="81" t="s">
        <v>29688</v>
      </c>
      <c r="B48" s="81" t="s">
        <v>29633</v>
      </c>
      <c r="C48" s="81" t="s">
        <v>46</v>
      </c>
      <c r="D48" s="81" t="s">
        <v>47</v>
      </c>
      <c r="E48" s="81" t="s">
        <v>29700</v>
      </c>
      <c r="F48" s="81" t="s">
        <v>91</v>
      </c>
      <c r="G48" s="81" t="s">
        <v>29700</v>
      </c>
      <c r="H48" s="81" t="s">
        <v>29712</v>
      </c>
      <c r="I48" s="81" t="s">
        <v>147</v>
      </c>
      <c r="J48" s="84" t="s">
        <v>11</v>
      </c>
      <c r="K48" s="81" t="s">
        <v>25686</v>
      </c>
      <c r="L48" s="81" t="s">
        <v>25606</v>
      </c>
      <c r="M48" s="81" t="s">
        <v>29746</v>
      </c>
      <c r="N48" s="81">
        <v>1259.3699999999999</v>
      </c>
      <c r="Q48" s="80"/>
      <c r="R48" s="146" t="s">
        <v>29728</v>
      </c>
      <c r="S48" s="103" t="str">
        <f t="shared" si="0"/>
        <v>56-047-19-</v>
      </c>
      <c r="Z48" s="81" t="s">
        <v>29750</v>
      </c>
      <c r="AA48" s="81">
        <v>2</v>
      </c>
    </row>
    <row r="49" spans="1:29" ht="15" customHeight="1" x14ac:dyDescent="0.2">
      <c r="A49" s="81" t="s">
        <v>29689</v>
      </c>
      <c r="B49" s="81" t="s">
        <v>29634</v>
      </c>
      <c r="C49" s="81" t="s">
        <v>46</v>
      </c>
      <c r="D49" s="81" t="s">
        <v>47</v>
      </c>
      <c r="E49" s="81" t="s">
        <v>29700</v>
      </c>
      <c r="F49" s="81" t="s">
        <v>91</v>
      </c>
      <c r="G49" s="81" t="s">
        <v>29700</v>
      </c>
      <c r="H49" s="81" t="s">
        <v>29711</v>
      </c>
      <c r="I49" s="81" t="s">
        <v>28</v>
      </c>
      <c r="J49" s="84" t="s">
        <v>11</v>
      </c>
      <c r="K49" s="81" t="s">
        <v>25686</v>
      </c>
      <c r="L49" s="81" t="s">
        <v>25606</v>
      </c>
      <c r="M49" s="81" t="s">
        <v>29746</v>
      </c>
      <c r="N49" s="81">
        <v>1259.3699999999999</v>
      </c>
      <c r="Q49" s="80"/>
      <c r="R49" s="146" t="s">
        <v>29724</v>
      </c>
      <c r="S49" s="103" t="str">
        <f t="shared" si="0"/>
        <v>56-048-80-</v>
      </c>
      <c r="Z49" s="81" t="s">
        <v>29750</v>
      </c>
      <c r="AA49" s="81">
        <v>2</v>
      </c>
    </row>
    <row r="50" spans="1:29" ht="15" customHeight="1" x14ac:dyDescent="0.2">
      <c r="A50" s="81" t="s">
        <v>29690</v>
      </c>
      <c r="B50" s="81" t="s">
        <v>29635</v>
      </c>
      <c r="C50" s="81" t="s">
        <v>46</v>
      </c>
      <c r="D50" s="81" t="s">
        <v>47</v>
      </c>
      <c r="E50" s="81" t="s">
        <v>29700</v>
      </c>
      <c r="F50" s="81" t="s">
        <v>91</v>
      </c>
      <c r="G50" s="81" t="s">
        <v>29700</v>
      </c>
      <c r="H50" s="81" t="s">
        <v>29706</v>
      </c>
      <c r="I50" s="81" t="s">
        <v>27</v>
      </c>
      <c r="J50" s="84" t="s">
        <v>59</v>
      </c>
      <c r="L50" s="81" t="s">
        <v>25606</v>
      </c>
      <c r="M50" s="81" t="s">
        <v>29746</v>
      </c>
      <c r="N50" s="81">
        <v>1889.37</v>
      </c>
      <c r="Q50" s="80"/>
      <c r="R50" s="146" t="s">
        <v>29740</v>
      </c>
      <c r="S50" s="103" t="str">
        <f t="shared" si="0"/>
        <v>56-049-06-</v>
      </c>
      <c r="Z50" s="81" t="s">
        <v>29750</v>
      </c>
      <c r="AA50" s="81">
        <v>2</v>
      </c>
    </row>
    <row r="51" spans="1:29" ht="15" customHeight="1" x14ac:dyDescent="0.2">
      <c r="A51" s="81" t="s">
        <v>29691</v>
      </c>
      <c r="B51" s="81" t="s">
        <v>29636</v>
      </c>
      <c r="C51" s="81" t="s">
        <v>46</v>
      </c>
      <c r="D51" s="81" t="s">
        <v>47</v>
      </c>
      <c r="E51" s="81" t="s">
        <v>29700</v>
      </c>
      <c r="F51" s="81" t="s">
        <v>91</v>
      </c>
      <c r="G51" s="81" t="s">
        <v>29700</v>
      </c>
      <c r="H51" s="81" t="s">
        <v>29702</v>
      </c>
      <c r="I51" s="81" t="s">
        <v>1</v>
      </c>
      <c r="J51" s="84" t="s">
        <v>26526</v>
      </c>
      <c r="L51" s="81" t="s">
        <v>25606</v>
      </c>
      <c r="M51" s="81" t="s">
        <v>29746</v>
      </c>
      <c r="N51" s="81">
        <v>1889.37</v>
      </c>
      <c r="Q51" s="80"/>
      <c r="R51" s="146" t="s">
        <v>29741</v>
      </c>
      <c r="S51" s="103" t="str">
        <f t="shared" si="0"/>
        <v>56-050-09-</v>
      </c>
      <c r="Z51" s="81">
        <v>1</v>
      </c>
      <c r="AA51" s="81">
        <v>2</v>
      </c>
    </row>
    <row r="52" spans="1:29" ht="15" customHeight="1" x14ac:dyDescent="0.2">
      <c r="A52" s="81" t="s">
        <v>29692</v>
      </c>
      <c r="B52" s="81" t="s">
        <v>29637</v>
      </c>
      <c r="C52" s="81" t="s">
        <v>46</v>
      </c>
      <c r="D52" s="81" t="s">
        <v>47</v>
      </c>
      <c r="E52" s="81" t="s">
        <v>29701</v>
      </c>
      <c r="F52" s="81" t="s">
        <v>91</v>
      </c>
      <c r="G52" s="81" t="s">
        <v>29701</v>
      </c>
      <c r="H52" s="81" t="s">
        <v>29711</v>
      </c>
      <c r="I52" s="81" t="s">
        <v>28</v>
      </c>
      <c r="J52" s="84" t="s">
        <v>59</v>
      </c>
      <c r="L52" s="81" t="s">
        <v>25606</v>
      </c>
      <c r="M52" s="81" t="s">
        <v>29746</v>
      </c>
      <c r="N52" s="81">
        <v>1439.4</v>
      </c>
      <c r="Q52" s="80"/>
      <c r="R52" s="146" t="s">
        <v>29742</v>
      </c>
      <c r="S52" s="103" t="str">
        <f t="shared" si="0"/>
        <v>56-051-80-</v>
      </c>
      <c r="AC52" s="81">
        <v>3</v>
      </c>
    </row>
    <row r="53" spans="1:29" ht="15" customHeight="1" x14ac:dyDescent="0.2">
      <c r="A53" s="81" t="s">
        <v>29693</v>
      </c>
      <c r="B53" s="81" t="s">
        <v>29638</v>
      </c>
      <c r="C53" s="81" t="s">
        <v>46</v>
      </c>
      <c r="D53" s="81" t="s">
        <v>47</v>
      </c>
      <c r="E53" s="81" t="s">
        <v>29701</v>
      </c>
      <c r="F53" s="81" t="s">
        <v>91</v>
      </c>
      <c r="G53" s="81" t="s">
        <v>29701</v>
      </c>
      <c r="H53" s="81" t="s">
        <v>29709</v>
      </c>
      <c r="I53" s="81" t="s">
        <v>141</v>
      </c>
      <c r="J53" s="84" t="s">
        <v>59</v>
      </c>
      <c r="L53" s="81" t="s">
        <v>25606</v>
      </c>
      <c r="M53" s="81" t="s">
        <v>29746</v>
      </c>
      <c r="N53" s="81">
        <v>1439.4</v>
      </c>
      <c r="Q53" s="80"/>
      <c r="R53" s="146" t="s">
        <v>29743</v>
      </c>
      <c r="S53" s="103" t="str">
        <f t="shared" si="0"/>
        <v>56-052-18-</v>
      </c>
      <c r="AC53" s="81">
        <v>2</v>
      </c>
    </row>
    <row r="54" spans="1:29" ht="15" customHeight="1" x14ac:dyDescent="0.2">
      <c r="A54" s="81" t="s">
        <v>29694</v>
      </c>
      <c r="B54" s="81" t="s">
        <v>29639</v>
      </c>
      <c r="C54" s="81" t="s">
        <v>46</v>
      </c>
      <c r="D54" s="81" t="s">
        <v>47</v>
      </c>
      <c r="E54" s="81" t="s">
        <v>29701</v>
      </c>
      <c r="F54" s="81" t="s">
        <v>91</v>
      </c>
      <c r="G54" s="81" t="s">
        <v>29701</v>
      </c>
      <c r="H54" s="81" t="s">
        <v>29703</v>
      </c>
      <c r="I54" s="81" t="s">
        <v>100</v>
      </c>
      <c r="J54" s="84" t="s">
        <v>59</v>
      </c>
      <c r="L54" s="81" t="s">
        <v>25606</v>
      </c>
      <c r="M54" s="81" t="s">
        <v>29747</v>
      </c>
      <c r="N54" s="81">
        <v>1979.4</v>
      </c>
      <c r="Q54" s="80"/>
      <c r="R54" s="146" t="s">
        <v>29744</v>
      </c>
      <c r="S54" s="103" t="str">
        <f t="shared" si="0"/>
        <v>56-053-17-</v>
      </c>
      <c r="AC54" s="81">
        <v>2</v>
      </c>
    </row>
    <row r="55" spans="1:29" ht="15" customHeight="1" x14ac:dyDescent="0.2">
      <c r="A55" s="81" t="s">
        <v>29695</v>
      </c>
      <c r="B55" s="81" t="s">
        <v>29640</v>
      </c>
      <c r="C55" s="81" t="s">
        <v>46</v>
      </c>
      <c r="D55" s="81" t="s">
        <v>47</v>
      </c>
      <c r="E55" s="81" t="s">
        <v>29701</v>
      </c>
      <c r="F55" s="81" t="s">
        <v>91</v>
      </c>
      <c r="G55" s="81" t="s">
        <v>29701</v>
      </c>
      <c r="H55" s="81" t="s">
        <v>29703</v>
      </c>
      <c r="I55" s="81" t="s">
        <v>100</v>
      </c>
      <c r="J55" s="84" t="s">
        <v>26230</v>
      </c>
      <c r="L55" s="81" t="s">
        <v>25606</v>
      </c>
      <c r="M55" s="81" t="s">
        <v>29746</v>
      </c>
      <c r="N55" s="81">
        <v>1379.4</v>
      </c>
      <c r="Q55" s="80"/>
      <c r="R55" s="146" t="s">
        <v>29743</v>
      </c>
      <c r="S55" s="103" t="str">
        <f t="shared" si="0"/>
        <v>56-054-17-</v>
      </c>
      <c r="AC55" s="81">
        <v>2</v>
      </c>
    </row>
    <row r="56" spans="1:29" ht="15" customHeight="1" x14ac:dyDescent="0.2">
      <c r="A56" s="81" t="s">
        <v>29696</v>
      </c>
      <c r="B56" s="81" t="s">
        <v>29641</v>
      </c>
      <c r="C56" s="81" t="s">
        <v>46</v>
      </c>
      <c r="D56" s="81" t="s">
        <v>92</v>
      </c>
      <c r="E56" s="81" t="s">
        <v>29701</v>
      </c>
      <c r="F56" s="81" t="s">
        <v>91</v>
      </c>
      <c r="G56" s="81" t="s">
        <v>29701</v>
      </c>
      <c r="H56" s="81" t="s">
        <v>29711</v>
      </c>
      <c r="I56" s="81" t="s">
        <v>28</v>
      </c>
      <c r="J56" s="84" t="s">
        <v>26538</v>
      </c>
      <c r="L56" s="81" t="s">
        <v>25606</v>
      </c>
      <c r="M56" s="81" t="s">
        <v>29746</v>
      </c>
      <c r="N56" s="81">
        <v>1979.4</v>
      </c>
      <c r="Q56" s="80"/>
      <c r="R56" s="146" t="s">
        <v>29743</v>
      </c>
      <c r="S56" s="103" t="str">
        <f t="shared" si="0"/>
        <v>56-055-80-</v>
      </c>
      <c r="V56" s="81">
        <v>3</v>
      </c>
      <c r="AC56" s="81" t="s">
        <v>29750</v>
      </c>
    </row>
    <row r="57" spans="1:29" ht="15" customHeight="1" x14ac:dyDescent="0.2">
      <c r="Q57" s="80"/>
      <c r="R57" s="146"/>
    </row>
    <row r="58" spans="1:29" ht="15" customHeight="1" x14ac:dyDescent="0.2">
      <c r="Q58" s="80"/>
      <c r="R58" s="146"/>
    </row>
    <row r="59" spans="1:29" ht="15" customHeight="1" x14ac:dyDescent="0.2">
      <c r="Q59" s="80"/>
      <c r="R59" s="146"/>
    </row>
    <row r="60" spans="1:29" ht="15" customHeight="1" x14ac:dyDescent="0.2">
      <c r="Q60" s="80"/>
      <c r="R60" s="146"/>
    </row>
    <row r="61" spans="1:29" ht="15" customHeight="1" x14ac:dyDescent="0.2">
      <c r="Q61" s="80"/>
      <c r="R61" s="146"/>
    </row>
    <row r="62" spans="1:29" ht="15" customHeight="1" x14ac:dyDescent="0.2">
      <c r="Q62" s="80"/>
      <c r="R62" s="146"/>
    </row>
    <row r="63" spans="1:29" ht="15" customHeight="1" x14ac:dyDescent="0.2">
      <c r="Q63" s="80"/>
      <c r="R63" s="146"/>
    </row>
    <row r="64" spans="1:29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69"/>
  <sheetViews>
    <sheetView workbookViewId="0">
      <pane ySplit="1" topLeftCell="A2" activePane="bottomLeft" state="frozen"/>
      <selection activeCell="C1" sqref="C1"/>
      <selection pane="bottomLeft" activeCell="A1298" sqref="A1298:S13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28429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29642</v>
      </c>
      <c r="B2" s="102" t="s">
        <v>29587</v>
      </c>
      <c r="C2" s="102" t="s">
        <v>46</v>
      </c>
      <c r="D2" s="102" t="s">
        <v>47</v>
      </c>
      <c r="E2" s="102" t="s">
        <v>29697</v>
      </c>
      <c r="F2" s="102" t="s">
        <v>91</v>
      </c>
      <c r="G2" s="102" t="s">
        <v>29697</v>
      </c>
      <c r="H2" s="102" t="s">
        <v>29702</v>
      </c>
      <c r="I2" s="102" t="s">
        <v>1</v>
      </c>
      <c r="J2" s="102" t="s">
        <v>11</v>
      </c>
      <c r="K2" s="102" t="s">
        <v>25686</v>
      </c>
      <c r="L2" s="102" t="s">
        <v>25606</v>
      </c>
      <c r="M2" s="102" t="s">
        <v>12</v>
      </c>
      <c r="N2" s="102">
        <v>1511.37</v>
      </c>
      <c r="R2" t="s">
        <v>29717</v>
      </c>
      <c r="S2" t="str">
        <f>A2&amp;"-"&amp;T2</f>
        <v>56-001-09-57</v>
      </c>
      <c r="T2" s="129" t="s">
        <v>28353</v>
      </c>
      <c r="U2" s="112">
        <v>4</v>
      </c>
    </row>
    <row r="3" spans="1:21" x14ac:dyDescent="0.2">
      <c r="A3" s="102" t="s">
        <v>29642</v>
      </c>
      <c r="B3" s="102" t="s">
        <v>29587</v>
      </c>
      <c r="C3" s="102" t="s">
        <v>46</v>
      </c>
      <c r="D3" s="102" t="s">
        <v>47</v>
      </c>
      <c r="E3" s="102" t="s">
        <v>29697</v>
      </c>
      <c r="F3" s="102" t="s">
        <v>91</v>
      </c>
      <c r="G3" s="102" t="s">
        <v>29697</v>
      </c>
      <c r="H3" s="102" t="s">
        <v>29702</v>
      </c>
      <c r="I3" s="102" t="s">
        <v>1</v>
      </c>
      <c r="J3" s="102" t="s">
        <v>11</v>
      </c>
      <c r="K3" s="102" t="s">
        <v>25686</v>
      </c>
      <c r="L3" s="102" t="s">
        <v>25606</v>
      </c>
      <c r="M3" s="102" t="s">
        <v>12</v>
      </c>
      <c r="N3" s="102">
        <v>1511.37</v>
      </c>
      <c r="R3" t="s">
        <v>29717</v>
      </c>
      <c r="S3" t="str">
        <f>A3&amp;"-"&amp;T3</f>
        <v>56-001-09-61</v>
      </c>
      <c r="T3" s="129" t="s">
        <v>28354</v>
      </c>
      <c r="U3" s="112">
        <v>1</v>
      </c>
    </row>
    <row r="4" spans="1:21" x14ac:dyDescent="0.2">
      <c r="A4" s="102" t="s">
        <v>29643</v>
      </c>
      <c r="B4" s="102" t="s">
        <v>29588</v>
      </c>
      <c r="C4" s="102" t="s">
        <v>46</v>
      </c>
      <c r="D4" s="102" t="s">
        <v>47</v>
      </c>
      <c r="E4" s="102" t="s">
        <v>29697</v>
      </c>
      <c r="F4" s="102" t="s">
        <v>91</v>
      </c>
      <c r="G4" s="102" t="s">
        <v>29697</v>
      </c>
      <c r="H4" s="102" t="s">
        <v>29702</v>
      </c>
      <c r="I4" s="102" t="s">
        <v>1</v>
      </c>
      <c r="J4" s="102" t="s">
        <v>29713</v>
      </c>
      <c r="L4" s="102" t="s">
        <v>25606</v>
      </c>
      <c r="M4" s="102" t="s">
        <v>12</v>
      </c>
      <c r="N4" s="102">
        <v>1259.3699999999999</v>
      </c>
      <c r="R4" t="s">
        <v>29718</v>
      </c>
      <c r="S4" t="str">
        <f t="shared" ref="S4:S8" si="0">A4&amp;"-"&amp;T4</f>
        <v>56-002-09-57</v>
      </c>
      <c r="T4" s="129" t="s">
        <v>28353</v>
      </c>
      <c r="U4" s="112">
        <v>6</v>
      </c>
    </row>
    <row r="5" spans="1:21" x14ac:dyDescent="0.2">
      <c r="A5" s="102" t="s">
        <v>29643</v>
      </c>
      <c r="B5" s="102" t="s">
        <v>29588</v>
      </c>
      <c r="C5" s="102" t="s">
        <v>46</v>
      </c>
      <c r="D5" s="102" t="s">
        <v>47</v>
      </c>
      <c r="E5" s="102" t="s">
        <v>29697</v>
      </c>
      <c r="F5" s="102" t="s">
        <v>91</v>
      </c>
      <c r="G5" s="102" t="s">
        <v>29697</v>
      </c>
      <c r="H5" s="102" t="s">
        <v>29702</v>
      </c>
      <c r="I5" s="102" t="s">
        <v>1</v>
      </c>
      <c r="J5" s="102" t="s">
        <v>29713</v>
      </c>
      <c r="L5" s="102" t="s">
        <v>25606</v>
      </c>
      <c r="M5" s="102" t="s">
        <v>12</v>
      </c>
      <c r="N5" s="102">
        <v>1259.3699999999999</v>
      </c>
      <c r="R5" t="s">
        <v>29718</v>
      </c>
      <c r="S5" t="str">
        <f t="shared" si="0"/>
        <v>56-002-09-61</v>
      </c>
      <c r="T5" s="129" t="s">
        <v>28354</v>
      </c>
      <c r="U5" s="112">
        <v>3</v>
      </c>
    </row>
    <row r="6" spans="1:21" x14ac:dyDescent="0.2">
      <c r="A6" s="102" t="s">
        <v>29644</v>
      </c>
      <c r="B6" s="102" t="s">
        <v>29589</v>
      </c>
      <c r="C6" s="102" t="s">
        <v>46</v>
      </c>
      <c r="D6" s="102" t="s">
        <v>47</v>
      </c>
      <c r="E6" s="102" t="s">
        <v>29697</v>
      </c>
      <c r="F6" s="102" t="s">
        <v>91</v>
      </c>
      <c r="G6" s="102" t="s">
        <v>29697</v>
      </c>
      <c r="H6" s="102" t="s">
        <v>29702</v>
      </c>
      <c r="I6" s="102" t="s">
        <v>1</v>
      </c>
      <c r="J6" s="102" t="s">
        <v>11</v>
      </c>
      <c r="K6" s="102" t="s">
        <v>25686</v>
      </c>
      <c r="L6" s="102" t="s">
        <v>25606</v>
      </c>
      <c r="M6" s="102" t="s">
        <v>12</v>
      </c>
      <c r="N6" s="102">
        <v>1316.7</v>
      </c>
      <c r="R6" t="s">
        <v>29717</v>
      </c>
      <c r="S6" t="str">
        <f t="shared" si="0"/>
        <v>56-003-09-57</v>
      </c>
      <c r="T6" s="129" t="s">
        <v>28353</v>
      </c>
      <c r="U6" s="112">
        <v>6</v>
      </c>
    </row>
    <row r="7" spans="1:21" x14ac:dyDescent="0.2">
      <c r="A7" s="102" t="s">
        <v>29645</v>
      </c>
      <c r="B7" s="102" t="s">
        <v>29590</v>
      </c>
      <c r="C7" s="102" t="s">
        <v>46</v>
      </c>
      <c r="D7" s="102" t="s">
        <v>47</v>
      </c>
      <c r="E7" s="102" t="s">
        <v>29697</v>
      </c>
      <c r="F7" s="102" t="s">
        <v>91</v>
      </c>
      <c r="G7" s="102" t="s">
        <v>29697</v>
      </c>
      <c r="H7" s="102" t="s">
        <v>29703</v>
      </c>
      <c r="I7" s="102" t="s">
        <v>100</v>
      </c>
      <c r="J7" s="102" t="s">
        <v>11</v>
      </c>
      <c r="K7" s="102" t="s">
        <v>25686</v>
      </c>
      <c r="L7" s="102" t="s">
        <v>25606</v>
      </c>
      <c r="M7" s="102" t="s">
        <v>12</v>
      </c>
      <c r="N7" s="102">
        <v>1316.7</v>
      </c>
      <c r="R7" t="s">
        <v>29719</v>
      </c>
      <c r="S7" t="str">
        <f t="shared" si="0"/>
        <v>56-004-17-57</v>
      </c>
      <c r="T7" s="129" t="s">
        <v>28353</v>
      </c>
      <c r="U7" s="112">
        <v>3</v>
      </c>
    </row>
    <row r="8" spans="1:21" x14ac:dyDescent="0.2">
      <c r="A8" s="102" t="s">
        <v>29645</v>
      </c>
      <c r="B8" s="102" t="s">
        <v>29590</v>
      </c>
      <c r="C8" s="102" t="s">
        <v>46</v>
      </c>
      <c r="D8" s="102" t="s">
        <v>47</v>
      </c>
      <c r="E8" s="102" t="s">
        <v>29697</v>
      </c>
      <c r="F8" s="102" t="s">
        <v>91</v>
      </c>
      <c r="G8" s="102" t="s">
        <v>29697</v>
      </c>
      <c r="H8" s="102" t="s">
        <v>29703</v>
      </c>
      <c r="I8" s="102" t="s">
        <v>100</v>
      </c>
      <c r="J8" s="102" t="s">
        <v>11</v>
      </c>
      <c r="K8" s="102" t="s">
        <v>25686</v>
      </c>
      <c r="L8" s="102" t="s">
        <v>25606</v>
      </c>
      <c r="M8" s="102" t="s">
        <v>12</v>
      </c>
      <c r="N8" s="102">
        <v>1316.7</v>
      </c>
      <c r="R8" t="s">
        <v>29719</v>
      </c>
      <c r="S8" t="str">
        <f t="shared" si="0"/>
        <v>56-004-17-61</v>
      </c>
      <c r="T8" s="129" t="s">
        <v>28354</v>
      </c>
      <c r="U8" s="112">
        <v>1</v>
      </c>
    </row>
    <row r="9" spans="1:21" x14ac:dyDescent="0.2">
      <c r="A9" s="102" t="s">
        <v>29646</v>
      </c>
      <c r="B9" s="102" t="s">
        <v>29591</v>
      </c>
      <c r="C9" s="102" t="s">
        <v>46</v>
      </c>
      <c r="D9" s="102" t="s">
        <v>47</v>
      </c>
      <c r="E9" s="102" t="s">
        <v>29697</v>
      </c>
      <c r="F9" s="102" t="s">
        <v>91</v>
      </c>
      <c r="G9" s="102" t="s">
        <v>29697</v>
      </c>
      <c r="H9" s="102" t="s">
        <v>29703</v>
      </c>
      <c r="I9" s="102" t="s">
        <v>100</v>
      </c>
      <c r="J9" s="102" t="s">
        <v>59</v>
      </c>
      <c r="L9" s="102" t="s">
        <v>25606</v>
      </c>
      <c r="M9" s="102" t="s">
        <v>12</v>
      </c>
      <c r="N9" s="102">
        <v>1316.7</v>
      </c>
      <c r="R9" t="s">
        <v>29718</v>
      </c>
      <c r="S9" t="str">
        <f t="shared" ref="S9:S12" si="1">A9&amp;"-"&amp;T9</f>
        <v>56-005-17-57</v>
      </c>
      <c r="T9" s="129" t="s">
        <v>28353</v>
      </c>
      <c r="U9" s="112">
        <v>3</v>
      </c>
    </row>
    <row r="10" spans="1:21" x14ac:dyDescent="0.2">
      <c r="A10" s="102" t="s">
        <v>29647</v>
      </c>
      <c r="B10" s="102" t="s">
        <v>29592</v>
      </c>
      <c r="C10" s="102" t="s">
        <v>46</v>
      </c>
      <c r="D10" s="102" t="s">
        <v>47</v>
      </c>
      <c r="E10" s="102" t="s">
        <v>29697</v>
      </c>
      <c r="F10" s="102" t="s">
        <v>91</v>
      </c>
      <c r="G10" s="102" t="s">
        <v>29697</v>
      </c>
      <c r="H10" s="102" t="s">
        <v>29702</v>
      </c>
      <c r="I10" s="102" t="s">
        <v>1</v>
      </c>
      <c r="J10" s="102" t="s">
        <v>11</v>
      </c>
      <c r="K10" s="102" t="s">
        <v>25686</v>
      </c>
      <c r="L10" s="102" t="s">
        <v>25606</v>
      </c>
      <c r="M10" s="102" t="s">
        <v>12</v>
      </c>
      <c r="N10" s="102">
        <v>1316.7</v>
      </c>
      <c r="R10" t="s">
        <v>29720</v>
      </c>
      <c r="S10" t="str">
        <f t="shared" si="1"/>
        <v>56-006-09-57</v>
      </c>
      <c r="T10" s="129" t="s">
        <v>28353</v>
      </c>
      <c r="U10" s="112">
        <v>4</v>
      </c>
    </row>
    <row r="11" spans="1:21" x14ac:dyDescent="0.2">
      <c r="A11" s="102" t="s">
        <v>29647</v>
      </c>
      <c r="B11" s="102" t="s">
        <v>29592</v>
      </c>
      <c r="C11" s="102" t="s">
        <v>46</v>
      </c>
      <c r="D11" s="102" t="s">
        <v>47</v>
      </c>
      <c r="E11" s="102" t="s">
        <v>29697</v>
      </c>
      <c r="F11" s="102" t="s">
        <v>91</v>
      </c>
      <c r="G11" s="102" t="s">
        <v>29697</v>
      </c>
      <c r="H11" s="102" t="s">
        <v>29702</v>
      </c>
      <c r="I11" s="102" t="s">
        <v>1</v>
      </c>
      <c r="J11" s="102" t="s">
        <v>11</v>
      </c>
      <c r="K11" s="102" t="s">
        <v>25686</v>
      </c>
      <c r="L11" s="102" t="s">
        <v>25606</v>
      </c>
      <c r="M11" s="102" t="s">
        <v>12</v>
      </c>
      <c r="N11" s="102">
        <v>1316.7</v>
      </c>
      <c r="R11" t="s">
        <v>29720</v>
      </c>
      <c r="S11" t="str">
        <f t="shared" si="1"/>
        <v>56-006-09-61</v>
      </c>
      <c r="T11" s="129" t="s">
        <v>28354</v>
      </c>
      <c r="U11" s="112">
        <v>2</v>
      </c>
    </row>
    <row r="12" spans="1:21" x14ac:dyDescent="0.2">
      <c r="A12" s="102" t="s">
        <v>29648</v>
      </c>
      <c r="B12" s="102" t="s">
        <v>29593</v>
      </c>
      <c r="C12" s="102" t="s">
        <v>46</v>
      </c>
      <c r="D12" s="102" t="s">
        <v>47</v>
      </c>
      <c r="E12" s="102" t="s">
        <v>29697</v>
      </c>
      <c r="F12" s="102" t="s">
        <v>91</v>
      </c>
      <c r="G12" s="102" t="s">
        <v>29697</v>
      </c>
      <c r="H12" s="102" t="s">
        <v>29702</v>
      </c>
      <c r="I12" s="102" t="s">
        <v>1</v>
      </c>
      <c r="J12" s="102" t="s">
        <v>29714</v>
      </c>
      <c r="K12" s="102" t="s">
        <v>25686</v>
      </c>
      <c r="L12" s="102" t="s">
        <v>25606</v>
      </c>
      <c r="M12" s="102" t="s">
        <v>12</v>
      </c>
      <c r="N12" s="102">
        <v>938.7</v>
      </c>
      <c r="R12" t="s">
        <v>29721</v>
      </c>
      <c r="S12" t="str">
        <f t="shared" si="1"/>
        <v>56-007-09-57</v>
      </c>
      <c r="T12" s="129" t="s">
        <v>28353</v>
      </c>
      <c r="U12" s="112">
        <v>4</v>
      </c>
    </row>
    <row r="13" spans="1:21" x14ac:dyDescent="0.2">
      <c r="A13" s="102" t="s">
        <v>29648</v>
      </c>
      <c r="B13" s="102" t="s">
        <v>29593</v>
      </c>
      <c r="C13" s="102" t="s">
        <v>46</v>
      </c>
      <c r="D13" s="102" t="s">
        <v>47</v>
      </c>
      <c r="E13" s="102" t="s">
        <v>29697</v>
      </c>
      <c r="F13" s="102" t="s">
        <v>91</v>
      </c>
      <c r="G13" s="102" t="s">
        <v>29697</v>
      </c>
      <c r="H13" s="102" t="s">
        <v>29702</v>
      </c>
      <c r="I13" s="102" t="s">
        <v>1</v>
      </c>
      <c r="J13" s="102" t="s">
        <v>29714</v>
      </c>
      <c r="K13" s="102" t="s">
        <v>25686</v>
      </c>
      <c r="L13" s="102" t="s">
        <v>25606</v>
      </c>
      <c r="M13" s="102" t="s">
        <v>12</v>
      </c>
      <c r="N13" s="102">
        <v>938.7</v>
      </c>
      <c r="R13" t="s">
        <v>29721</v>
      </c>
      <c r="S13" t="str">
        <f t="shared" ref="S13:S17" si="2">A13&amp;"-"&amp;T13</f>
        <v>56-007-09-61</v>
      </c>
      <c r="T13" s="129" t="s">
        <v>28354</v>
      </c>
      <c r="U13" s="112">
        <v>2</v>
      </c>
    </row>
    <row r="14" spans="1:21" x14ac:dyDescent="0.2">
      <c r="A14" s="102" t="s">
        <v>29649</v>
      </c>
      <c r="B14" s="102" t="s">
        <v>29594</v>
      </c>
      <c r="C14" s="102" t="s">
        <v>46</v>
      </c>
      <c r="D14" s="102" t="s">
        <v>47</v>
      </c>
      <c r="E14" s="102" t="s">
        <v>29697</v>
      </c>
      <c r="F14" s="102" t="s">
        <v>91</v>
      </c>
      <c r="G14" s="102" t="s">
        <v>29697</v>
      </c>
      <c r="H14" s="102" t="s">
        <v>29702</v>
      </c>
      <c r="I14" s="102" t="s">
        <v>1</v>
      </c>
      <c r="J14" s="102" t="s">
        <v>11</v>
      </c>
      <c r="K14" s="102" t="s">
        <v>25686</v>
      </c>
      <c r="L14" s="102" t="s">
        <v>25606</v>
      </c>
      <c r="M14" s="102" t="s">
        <v>12</v>
      </c>
      <c r="N14" s="102">
        <v>1316.7</v>
      </c>
      <c r="R14" t="s">
        <v>29722</v>
      </c>
      <c r="S14" t="str">
        <f t="shared" si="2"/>
        <v>56-008-09-57</v>
      </c>
      <c r="T14" s="129" t="s">
        <v>28353</v>
      </c>
      <c r="U14" s="112">
        <v>4</v>
      </c>
    </row>
    <row r="15" spans="1:21" x14ac:dyDescent="0.2">
      <c r="A15" s="102" t="s">
        <v>29649</v>
      </c>
      <c r="B15" s="102" t="s">
        <v>29594</v>
      </c>
      <c r="C15" s="102" t="s">
        <v>46</v>
      </c>
      <c r="D15" s="102" t="s">
        <v>47</v>
      </c>
      <c r="E15" s="102" t="s">
        <v>29697</v>
      </c>
      <c r="F15" s="102" t="s">
        <v>91</v>
      </c>
      <c r="G15" s="102" t="s">
        <v>29697</v>
      </c>
      <c r="H15" s="102" t="s">
        <v>29702</v>
      </c>
      <c r="I15" s="102" t="s">
        <v>1</v>
      </c>
      <c r="J15" s="102" t="s">
        <v>11</v>
      </c>
      <c r="K15" s="102" t="s">
        <v>25686</v>
      </c>
      <c r="L15" s="102" t="s">
        <v>25606</v>
      </c>
      <c r="M15" s="102" t="s">
        <v>12</v>
      </c>
      <c r="N15" s="102">
        <v>1316.7</v>
      </c>
      <c r="R15" t="s">
        <v>29722</v>
      </c>
      <c r="S15" t="str">
        <f t="shared" si="2"/>
        <v>56-008-09-61</v>
      </c>
      <c r="T15" s="129" t="s">
        <v>28354</v>
      </c>
      <c r="U15" s="112">
        <v>2</v>
      </c>
    </row>
    <row r="16" spans="1:21" x14ac:dyDescent="0.2">
      <c r="A16" s="102" t="s">
        <v>29650</v>
      </c>
      <c r="B16" s="102" t="s">
        <v>29595</v>
      </c>
      <c r="C16" s="102" t="s">
        <v>46</v>
      </c>
      <c r="D16" s="102" t="s">
        <v>47</v>
      </c>
      <c r="E16" s="102" t="s">
        <v>29697</v>
      </c>
      <c r="F16" s="102" t="s">
        <v>91</v>
      </c>
      <c r="G16" s="102" t="s">
        <v>29697</v>
      </c>
      <c r="H16" s="102" t="s">
        <v>29702</v>
      </c>
      <c r="I16" s="102" t="s">
        <v>1</v>
      </c>
      <c r="J16" s="102" t="s">
        <v>59</v>
      </c>
      <c r="L16" s="102" t="s">
        <v>25606</v>
      </c>
      <c r="M16" s="102" t="s">
        <v>12</v>
      </c>
      <c r="N16" s="102">
        <v>1259.3699999999999</v>
      </c>
      <c r="R16" t="s">
        <v>29723</v>
      </c>
      <c r="S16" t="str">
        <f t="shared" si="2"/>
        <v>56-009-09-57</v>
      </c>
      <c r="T16" s="129" t="s">
        <v>28353</v>
      </c>
      <c r="U16" s="112">
        <v>6</v>
      </c>
    </row>
    <row r="17" spans="1:21" x14ac:dyDescent="0.2">
      <c r="A17" s="102" t="s">
        <v>29650</v>
      </c>
      <c r="B17" s="102" t="s">
        <v>29595</v>
      </c>
      <c r="C17" s="102" t="s">
        <v>46</v>
      </c>
      <c r="D17" s="102" t="s">
        <v>47</v>
      </c>
      <c r="E17" s="102" t="s">
        <v>29697</v>
      </c>
      <c r="F17" s="102" t="s">
        <v>91</v>
      </c>
      <c r="G17" s="102" t="s">
        <v>29697</v>
      </c>
      <c r="H17" s="102" t="s">
        <v>29702</v>
      </c>
      <c r="I17" s="102" t="s">
        <v>1</v>
      </c>
      <c r="J17" s="102" t="s">
        <v>59</v>
      </c>
      <c r="L17" s="102" t="s">
        <v>25606</v>
      </c>
      <c r="M17" s="102" t="s">
        <v>12</v>
      </c>
      <c r="N17" s="102">
        <v>1259.3699999999999</v>
      </c>
      <c r="R17" t="s">
        <v>29723</v>
      </c>
      <c r="S17" t="str">
        <f t="shared" si="2"/>
        <v>56-009-09-61</v>
      </c>
      <c r="T17" s="129" t="s">
        <v>28354</v>
      </c>
      <c r="U17" s="112">
        <v>1</v>
      </c>
    </row>
    <row r="18" spans="1:21" x14ac:dyDescent="0.2">
      <c r="A18" s="102" t="s">
        <v>29651</v>
      </c>
      <c r="B18" s="102" t="s">
        <v>29596</v>
      </c>
      <c r="C18" s="102" t="s">
        <v>46</v>
      </c>
      <c r="D18" s="102" t="s">
        <v>47</v>
      </c>
      <c r="E18" s="102" t="s">
        <v>29697</v>
      </c>
      <c r="F18" s="102" t="s">
        <v>91</v>
      </c>
      <c r="G18" s="102" t="s">
        <v>29697</v>
      </c>
      <c r="H18" s="102" t="s">
        <v>29702</v>
      </c>
      <c r="I18" s="102" t="s">
        <v>1</v>
      </c>
      <c r="J18" s="102" t="s">
        <v>11</v>
      </c>
      <c r="K18" s="102" t="s">
        <v>25686</v>
      </c>
      <c r="L18" s="102" t="s">
        <v>25606</v>
      </c>
      <c r="M18" s="102" t="s">
        <v>12</v>
      </c>
      <c r="N18" s="102">
        <v>1316.7</v>
      </c>
      <c r="R18" t="s">
        <v>29724</v>
      </c>
      <c r="S18" t="str">
        <f t="shared" ref="S18:S22" si="3">A18&amp;"-"&amp;T18</f>
        <v>56-010-09-57</v>
      </c>
      <c r="T18" s="129" t="s">
        <v>28353</v>
      </c>
      <c r="U18" s="112">
        <v>2</v>
      </c>
    </row>
    <row r="19" spans="1:21" x14ac:dyDescent="0.2">
      <c r="A19" s="102" t="s">
        <v>29651</v>
      </c>
      <c r="B19" s="102" t="s">
        <v>29596</v>
      </c>
      <c r="C19" s="102" t="s">
        <v>46</v>
      </c>
      <c r="D19" s="102" t="s">
        <v>47</v>
      </c>
      <c r="E19" s="102" t="s">
        <v>29697</v>
      </c>
      <c r="F19" s="102" t="s">
        <v>91</v>
      </c>
      <c r="G19" s="102" t="s">
        <v>29697</v>
      </c>
      <c r="H19" s="102" t="s">
        <v>29702</v>
      </c>
      <c r="I19" s="102" t="s">
        <v>1</v>
      </c>
      <c r="J19" s="102" t="s">
        <v>11</v>
      </c>
      <c r="K19" s="102" t="s">
        <v>25686</v>
      </c>
      <c r="L19" s="102" t="s">
        <v>25606</v>
      </c>
      <c r="M19" s="102" t="s">
        <v>12</v>
      </c>
      <c r="N19" s="102">
        <v>1316.7</v>
      </c>
      <c r="R19" t="s">
        <v>29724</v>
      </c>
      <c r="S19" t="str">
        <f t="shared" si="3"/>
        <v>56-010-09-61</v>
      </c>
      <c r="T19" s="129" t="s">
        <v>28354</v>
      </c>
      <c r="U19" s="112">
        <v>2</v>
      </c>
    </row>
    <row r="20" spans="1:21" x14ac:dyDescent="0.2">
      <c r="A20" s="102" t="s">
        <v>29652</v>
      </c>
      <c r="B20" s="102" t="s">
        <v>29597</v>
      </c>
      <c r="C20" s="102" t="s">
        <v>46</v>
      </c>
      <c r="D20" s="102" t="s">
        <v>47</v>
      </c>
      <c r="E20" s="102" t="s">
        <v>29697</v>
      </c>
      <c r="F20" s="102" t="s">
        <v>91</v>
      </c>
      <c r="G20" s="102" t="s">
        <v>29697</v>
      </c>
      <c r="H20" s="102" t="s">
        <v>29702</v>
      </c>
      <c r="I20" s="102" t="s">
        <v>1</v>
      </c>
      <c r="J20" s="102" t="s">
        <v>59</v>
      </c>
      <c r="L20" s="102" t="s">
        <v>25606</v>
      </c>
      <c r="M20" s="102" t="s">
        <v>12</v>
      </c>
      <c r="N20" s="102">
        <v>1820.7</v>
      </c>
      <c r="R20" t="s">
        <v>29725</v>
      </c>
      <c r="S20" t="str">
        <f t="shared" si="3"/>
        <v>56-011-09-57</v>
      </c>
      <c r="T20" s="129" t="s">
        <v>28353</v>
      </c>
      <c r="U20" s="112">
        <v>3</v>
      </c>
    </row>
    <row r="21" spans="1:21" x14ac:dyDescent="0.2">
      <c r="A21" s="102" t="s">
        <v>29652</v>
      </c>
      <c r="B21" s="102" t="s">
        <v>29597</v>
      </c>
      <c r="C21" s="102" t="s">
        <v>46</v>
      </c>
      <c r="D21" s="102" t="s">
        <v>47</v>
      </c>
      <c r="E21" s="102" t="s">
        <v>29697</v>
      </c>
      <c r="F21" s="102" t="s">
        <v>91</v>
      </c>
      <c r="G21" s="102" t="s">
        <v>29697</v>
      </c>
      <c r="H21" s="102" t="s">
        <v>29702</v>
      </c>
      <c r="I21" s="102" t="s">
        <v>1</v>
      </c>
      <c r="J21" s="102" t="s">
        <v>59</v>
      </c>
      <c r="L21" s="102" t="s">
        <v>25606</v>
      </c>
      <c r="M21" s="102" t="s">
        <v>12</v>
      </c>
      <c r="N21" s="102">
        <v>1820.7</v>
      </c>
      <c r="R21" t="s">
        <v>29725</v>
      </c>
      <c r="S21" t="str">
        <f t="shared" si="3"/>
        <v>56-011-09-61</v>
      </c>
      <c r="T21" s="129" t="s">
        <v>28354</v>
      </c>
      <c r="U21" s="112">
        <v>1</v>
      </c>
    </row>
    <row r="22" spans="1:21" x14ac:dyDescent="0.2">
      <c r="A22" s="102" t="s">
        <v>29653</v>
      </c>
      <c r="B22" s="102" t="s">
        <v>29598</v>
      </c>
      <c r="C22" s="102" t="s">
        <v>46</v>
      </c>
      <c r="D22" s="102" t="s">
        <v>47</v>
      </c>
      <c r="E22" s="102" t="s">
        <v>29697</v>
      </c>
      <c r="F22" s="102" t="s">
        <v>91</v>
      </c>
      <c r="G22" s="102" t="s">
        <v>29697</v>
      </c>
      <c r="H22" s="102" t="s">
        <v>29704</v>
      </c>
      <c r="I22" s="102" t="s">
        <v>220</v>
      </c>
      <c r="J22" s="102" t="s">
        <v>11</v>
      </c>
      <c r="K22" s="102" t="s">
        <v>25686</v>
      </c>
      <c r="L22" s="102" t="s">
        <v>25604</v>
      </c>
      <c r="M22" s="102" t="s">
        <v>12</v>
      </c>
      <c r="N22" s="102">
        <v>1511.37</v>
      </c>
      <c r="R22" t="s">
        <v>29722</v>
      </c>
      <c r="S22" t="str">
        <f t="shared" si="3"/>
        <v>56-012-34-57</v>
      </c>
      <c r="T22" s="129" t="s">
        <v>28353</v>
      </c>
      <c r="U22" s="112">
        <v>3</v>
      </c>
    </row>
    <row r="23" spans="1:21" x14ac:dyDescent="0.2">
      <c r="A23" s="102" t="s">
        <v>29654</v>
      </c>
      <c r="B23" s="102" t="s">
        <v>29599</v>
      </c>
      <c r="C23" s="102" t="s">
        <v>46</v>
      </c>
      <c r="D23" s="102" t="s">
        <v>47</v>
      </c>
      <c r="E23" s="102" t="s">
        <v>29697</v>
      </c>
      <c r="F23" s="102" t="s">
        <v>91</v>
      </c>
      <c r="G23" s="102" t="s">
        <v>29697</v>
      </c>
      <c r="H23" s="102" t="s">
        <v>29702</v>
      </c>
      <c r="I23" s="102" t="s">
        <v>1</v>
      </c>
      <c r="J23" s="102" t="s">
        <v>11</v>
      </c>
      <c r="K23" s="102" t="s">
        <v>25686</v>
      </c>
      <c r="L23" s="102" t="s">
        <v>25606</v>
      </c>
      <c r="M23" s="102" t="s">
        <v>12</v>
      </c>
      <c r="N23" s="102">
        <v>1511.37</v>
      </c>
      <c r="R23" t="s">
        <v>29726</v>
      </c>
      <c r="S23" t="str">
        <f t="shared" ref="S23:S26" si="4">A23&amp;"-"&amp;T23</f>
        <v>56-013-09-57</v>
      </c>
      <c r="T23" s="129" t="s">
        <v>28353</v>
      </c>
      <c r="U23" s="112">
        <v>3</v>
      </c>
    </row>
    <row r="24" spans="1:21" x14ac:dyDescent="0.2">
      <c r="A24" s="102" t="s">
        <v>29655</v>
      </c>
      <c r="B24" s="102" t="s">
        <v>29600</v>
      </c>
      <c r="C24" s="102" t="s">
        <v>46</v>
      </c>
      <c r="D24" s="102" t="s">
        <v>47</v>
      </c>
      <c r="E24" s="102" t="s">
        <v>29697</v>
      </c>
      <c r="F24" s="102" t="s">
        <v>91</v>
      </c>
      <c r="G24" s="102" t="s">
        <v>29697</v>
      </c>
      <c r="H24" s="102" t="s">
        <v>29705</v>
      </c>
      <c r="I24" s="102" t="s">
        <v>25520</v>
      </c>
      <c r="J24" s="102" t="s">
        <v>11</v>
      </c>
      <c r="K24" s="102" t="s">
        <v>25686</v>
      </c>
      <c r="L24" s="102" t="s">
        <v>25606</v>
      </c>
      <c r="M24" s="102" t="s">
        <v>12</v>
      </c>
      <c r="N24" s="102">
        <v>1511.37</v>
      </c>
      <c r="R24" t="s">
        <v>29717</v>
      </c>
      <c r="S24" t="str">
        <f t="shared" si="4"/>
        <v>56-014-41-56</v>
      </c>
      <c r="T24" s="129" t="s">
        <v>28269</v>
      </c>
      <c r="U24" s="112">
        <v>1</v>
      </c>
    </row>
    <row r="25" spans="1:21" x14ac:dyDescent="0.2">
      <c r="A25" s="102" t="s">
        <v>29655</v>
      </c>
      <c r="B25" s="102" t="s">
        <v>29600</v>
      </c>
      <c r="C25" s="102" t="s">
        <v>46</v>
      </c>
      <c r="D25" s="102" t="s">
        <v>47</v>
      </c>
      <c r="E25" s="102" t="s">
        <v>29697</v>
      </c>
      <c r="F25" s="102" t="s">
        <v>91</v>
      </c>
      <c r="G25" s="102" t="s">
        <v>29697</v>
      </c>
      <c r="H25" s="102" t="s">
        <v>29705</v>
      </c>
      <c r="I25" s="102" t="s">
        <v>25520</v>
      </c>
      <c r="J25" s="102" t="s">
        <v>11</v>
      </c>
      <c r="K25" s="102" t="s">
        <v>25686</v>
      </c>
      <c r="L25" s="102" t="s">
        <v>25606</v>
      </c>
      <c r="M25" s="102" t="s">
        <v>12</v>
      </c>
      <c r="N25" s="102">
        <v>1511.37</v>
      </c>
      <c r="R25" t="s">
        <v>29717</v>
      </c>
      <c r="S25" t="str">
        <f t="shared" si="4"/>
        <v>56-014-41-57</v>
      </c>
      <c r="T25" s="129" t="s">
        <v>28353</v>
      </c>
      <c r="U25" s="112">
        <v>3</v>
      </c>
    </row>
    <row r="26" spans="1:21" x14ac:dyDescent="0.2">
      <c r="A26" s="102" t="s">
        <v>29656</v>
      </c>
      <c r="B26" s="102" t="s">
        <v>29601</v>
      </c>
      <c r="C26" s="102" t="s">
        <v>46</v>
      </c>
      <c r="D26" s="102" t="s">
        <v>47</v>
      </c>
      <c r="E26" s="102" t="s">
        <v>29697</v>
      </c>
      <c r="F26" s="102" t="s">
        <v>91</v>
      </c>
      <c r="G26" s="102" t="s">
        <v>29697</v>
      </c>
      <c r="H26" s="102" t="s">
        <v>29702</v>
      </c>
      <c r="I26" s="102" t="s">
        <v>1</v>
      </c>
      <c r="J26" s="102" t="s">
        <v>59</v>
      </c>
      <c r="L26" s="102" t="s">
        <v>25606</v>
      </c>
      <c r="M26" s="102" t="s">
        <v>12</v>
      </c>
      <c r="N26" s="102">
        <v>1889.37</v>
      </c>
      <c r="R26" t="s">
        <v>29727</v>
      </c>
      <c r="S26" t="str">
        <f t="shared" si="4"/>
        <v>56-015-09-57</v>
      </c>
      <c r="T26" s="129" t="s">
        <v>28353</v>
      </c>
      <c r="U26" s="112">
        <v>3</v>
      </c>
    </row>
    <row r="27" spans="1:21" x14ac:dyDescent="0.2">
      <c r="A27" s="102" t="s">
        <v>29656</v>
      </c>
      <c r="B27" s="102" t="s">
        <v>29601</v>
      </c>
      <c r="C27" s="102" t="s">
        <v>46</v>
      </c>
      <c r="D27" s="102" t="s">
        <v>47</v>
      </c>
      <c r="E27" s="102" t="s">
        <v>29697</v>
      </c>
      <c r="F27" s="102" t="s">
        <v>91</v>
      </c>
      <c r="G27" s="102" t="s">
        <v>29697</v>
      </c>
      <c r="H27" s="102" t="s">
        <v>29702</v>
      </c>
      <c r="I27" s="102" t="s">
        <v>1</v>
      </c>
      <c r="J27" s="102" t="s">
        <v>59</v>
      </c>
      <c r="L27" s="102" t="s">
        <v>25606</v>
      </c>
      <c r="M27" s="102" t="s">
        <v>12</v>
      </c>
      <c r="N27" s="102">
        <v>1889.37</v>
      </c>
      <c r="R27" t="s">
        <v>29727</v>
      </c>
      <c r="S27" t="str">
        <f t="shared" ref="S27:S30" si="5">A27&amp;"-"&amp;T27</f>
        <v>56-015-09-61</v>
      </c>
      <c r="T27" s="129" t="s">
        <v>28354</v>
      </c>
      <c r="U27" s="112">
        <v>1</v>
      </c>
    </row>
    <row r="28" spans="1:21" x14ac:dyDescent="0.2">
      <c r="A28" s="102" t="s">
        <v>29657</v>
      </c>
      <c r="B28" s="102" t="s">
        <v>29602</v>
      </c>
      <c r="C28" s="102" t="s">
        <v>46</v>
      </c>
      <c r="D28" s="102" t="s">
        <v>47</v>
      </c>
      <c r="E28" s="102" t="s">
        <v>29697</v>
      </c>
      <c r="F28" s="102" t="s">
        <v>91</v>
      </c>
      <c r="G28" s="102" t="s">
        <v>29697</v>
      </c>
      <c r="H28" s="102" t="s">
        <v>29706</v>
      </c>
      <c r="I28" s="102" t="s">
        <v>27</v>
      </c>
      <c r="J28" s="102" t="s">
        <v>29714</v>
      </c>
      <c r="K28" s="102" t="s">
        <v>25686</v>
      </c>
      <c r="L28" s="102" t="s">
        <v>25606</v>
      </c>
      <c r="M28" s="102" t="s">
        <v>12</v>
      </c>
      <c r="N28" s="102">
        <v>1259.3699999999999</v>
      </c>
      <c r="R28" t="s">
        <v>29718</v>
      </c>
      <c r="S28" t="str">
        <f t="shared" si="5"/>
        <v>56-016-06-57</v>
      </c>
      <c r="T28" s="129" t="s">
        <v>28353</v>
      </c>
      <c r="U28" s="112">
        <v>3</v>
      </c>
    </row>
    <row r="29" spans="1:21" x14ac:dyDescent="0.2">
      <c r="A29" s="102" t="s">
        <v>29657</v>
      </c>
      <c r="B29" s="102" t="s">
        <v>29602</v>
      </c>
      <c r="C29" s="102" t="s">
        <v>46</v>
      </c>
      <c r="D29" s="102" t="s">
        <v>47</v>
      </c>
      <c r="E29" s="102" t="s">
        <v>29697</v>
      </c>
      <c r="F29" s="102" t="s">
        <v>91</v>
      </c>
      <c r="G29" s="102" t="s">
        <v>29697</v>
      </c>
      <c r="H29" s="102" t="s">
        <v>29706</v>
      </c>
      <c r="I29" s="102" t="s">
        <v>27</v>
      </c>
      <c r="J29" s="102" t="s">
        <v>29714</v>
      </c>
      <c r="K29" s="102" t="s">
        <v>25686</v>
      </c>
      <c r="L29" s="102" t="s">
        <v>25606</v>
      </c>
      <c r="M29" s="102" t="s">
        <v>12</v>
      </c>
      <c r="N29" s="102">
        <v>1259.3699999999999</v>
      </c>
      <c r="R29" t="s">
        <v>29718</v>
      </c>
      <c r="S29" t="str">
        <f t="shared" si="5"/>
        <v>56-016-06-61</v>
      </c>
      <c r="T29" s="129" t="s">
        <v>28354</v>
      </c>
      <c r="U29" s="112">
        <v>1</v>
      </c>
    </row>
    <row r="30" spans="1:21" x14ac:dyDescent="0.2">
      <c r="A30" s="102" t="s">
        <v>29658</v>
      </c>
      <c r="B30" s="102" t="s">
        <v>29603</v>
      </c>
      <c r="C30" s="102" t="s">
        <v>46</v>
      </c>
      <c r="D30" s="102" t="s">
        <v>47</v>
      </c>
      <c r="E30" s="102" t="s">
        <v>29697</v>
      </c>
      <c r="F30" s="102" t="s">
        <v>91</v>
      </c>
      <c r="G30" s="102" t="s">
        <v>29697</v>
      </c>
      <c r="H30" s="102" t="s">
        <v>29707</v>
      </c>
      <c r="I30" s="102" t="s">
        <v>52</v>
      </c>
      <c r="J30" s="102" t="s">
        <v>29714</v>
      </c>
      <c r="K30" s="102" t="s">
        <v>25686</v>
      </c>
      <c r="L30" s="102" t="s">
        <v>25606</v>
      </c>
      <c r="M30" s="102" t="s">
        <v>12</v>
      </c>
      <c r="N30" s="102">
        <v>1259.3699999999999</v>
      </c>
      <c r="R30" t="s">
        <v>29728</v>
      </c>
      <c r="S30" t="str">
        <f t="shared" si="5"/>
        <v>56-017-02-57</v>
      </c>
      <c r="T30" s="129" t="s">
        <v>28353</v>
      </c>
      <c r="U30" s="112">
        <v>2</v>
      </c>
    </row>
    <row r="31" spans="1:21" x14ac:dyDescent="0.2">
      <c r="A31" s="102" t="s">
        <v>29659</v>
      </c>
      <c r="B31" s="102" t="s">
        <v>29604</v>
      </c>
      <c r="C31" s="102" t="s">
        <v>46</v>
      </c>
      <c r="D31" s="102" t="s">
        <v>47</v>
      </c>
      <c r="E31" s="102" t="s">
        <v>29697</v>
      </c>
      <c r="F31" s="102" t="s">
        <v>91</v>
      </c>
      <c r="G31" s="102" t="s">
        <v>29697</v>
      </c>
      <c r="H31" s="102" t="s">
        <v>29708</v>
      </c>
      <c r="I31" s="102" t="s">
        <v>25451</v>
      </c>
      <c r="J31" s="102" t="s">
        <v>59</v>
      </c>
      <c r="L31" s="102" t="s">
        <v>25606</v>
      </c>
      <c r="M31" s="102" t="s">
        <v>12</v>
      </c>
      <c r="N31" s="102">
        <v>1889.37</v>
      </c>
      <c r="R31" t="s">
        <v>29726</v>
      </c>
      <c r="S31" t="str">
        <f t="shared" ref="S31:S33" si="6">A31&amp;"-"&amp;T31</f>
        <v>56-018-35-57</v>
      </c>
      <c r="T31" s="129" t="s">
        <v>28353</v>
      </c>
      <c r="U31" s="112">
        <v>3</v>
      </c>
    </row>
    <row r="32" spans="1:21" x14ac:dyDescent="0.2">
      <c r="A32" s="102" t="s">
        <v>29660</v>
      </c>
      <c r="B32" s="102" t="s">
        <v>29605</v>
      </c>
      <c r="C32" s="102" t="s">
        <v>46</v>
      </c>
      <c r="D32" s="102" t="s">
        <v>92</v>
      </c>
      <c r="E32" s="102" t="s">
        <v>29697</v>
      </c>
      <c r="F32" s="102" t="s">
        <v>91</v>
      </c>
      <c r="G32" s="102" t="s">
        <v>29697</v>
      </c>
      <c r="H32" s="102" t="s">
        <v>29702</v>
      </c>
      <c r="I32" s="102" t="s">
        <v>1</v>
      </c>
      <c r="J32" s="102" t="s">
        <v>26538</v>
      </c>
      <c r="L32" s="102" t="s">
        <v>25606</v>
      </c>
      <c r="M32" s="102" t="s">
        <v>12</v>
      </c>
      <c r="N32" s="102">
        <v>1511.37</v>
      </c>
      <c r="R32" t="s">
        <v>29726</v>
      </c>
      <c r="S32" t="str">
        <f t="shared" si="6"/>
        <v>56-019-09-57</v>
      </c>
      <c r="T32" s="129" t="s">
        <v>28353</v>
      </c>
      <c r="U32" s="112">
        <v>3</v>
      </c>
    </row>
    <row r="33" spans="1:21" x14ac:dyDescent="0.2">
      <c r="A33" s="102" t="s">
        <v>29661</v>
      </c>
      <c r="B33" s="102" t="s">
        <v>29606</v>
      </c>
      <c r="C33" s="102" t="s">
        <v>46</v>
      </c>
      <c r="D33" s="102" t="s">
        <v>47</v>
      </c>
      <c r="E33" s="102" t="s">
        <v>29698</v>
      </c>
      <c r="F33" s="102" t="s">
        <v>91</v>
      </c>
      <c r="G33" s="102" t="s">
        <v>29698</v>
      </c>
      <c r="H33" s="102" t="s">
        <v>29703</v>
      </c>
      <c r="I33" s="102" t="s">
        <v>100</v>
      </c>
      <c r="J33" s="102" t="s">
        <v>11</v>
      </c>
      <c r="K33" s="102" t="s">
        <v>25686</v>
      </c>
      <c r="L33" s="102" t="s">
        <v>25606</v>
      </c>
      <c r="M33" s="102" t="s">
        <v>29746</v>
      </c>
      <c r="N33" s="102">
        <v>5489</v>
      </c>
      <c r="R33" t="s">
        <v>29729</v>
      </c>
      <c r="S33" t="str">
        <f t="shared" si="6"/>
        <v>56-020-17-00</v>
      </c>
      <c r="T33" s="129" t="s">
        <v>25307</v>
      </c>
      <c r="U33" s="112">
        <v>1</v>
      </c>
    </row>
    <row r="34" spans="1:21" x14ac:dyDescent="0.2">
      <c r="A34" s="102" t="s">
        <v>29662</v>
      </c>
      <c r="B34" s="102" t="s">
        <v>29607</v>
      </c>
      <c r="C34" s="102" t="s">
        <v>46</v>
      </c>
      <c r="D34" s="102" t="s">
        <v>47</v>
      </c>
      <c r="E34" s="102" t="s">
        <v>29698</v>
      </c>
      <c r="F34" s="102" t="s">
        <v>91</v>
      </c>
      <c r="G34" s="102" t="s">
        <v>29698</v>
      </c>
      <c r="H34" s="102" t="s">
        <v>29709</v>
      </c>
      <c r="I34" s="102" t="s">
        <v>141</v>
      </c>
      <c r="J34" s="102" t="s">
        <v>11</v>
      </c>
      <c r="K34" s="102" t="s">
        <v>25686</v>
      </c>
      <c r="L34" s="102" t="s">
        <v>25606</v>
      </c>
      <c r="M34" s="102" t="s">
        <v>29747</v>
      </c>
      <c r="N34" s="102">
        <v>4614.5</v>
      </c>
      <c r="R34" t="s">
        <v>29729</v>
      </c>
      <c r="S34" t="str">
        <f t="shared" ref="S34:S36" si="7">A34&amp;"-"&amp;T34</f>
        <v>56-021-18-00</v>
      </c>
      <c r="T34" s="129" t="s">
        <v>25307</v>
      </c>
      <c r="U34" s="112">
        <v>1</v>
      </c>
    </row>
    <row r="35" spans="1:21" x14ac:dyDescent="0.2">
      <c r="A35" s="102" t="s">
        <v>29663</v>
      </c>
      <c r="B35" s="102" t="s">
        <v>29608</v>
      </c>
      <c r="C35" s="102" t="s">
        <v>46</v>
      </c>
      <c r="D35" s="102" t="s">
        <v>47</v>
      </c>
      <c r="E35" s="102" t="s">
        <v>29698</v>
      </c>
      <c r="F35" s="102" t="s">
        <v>91</v>
      </c>
      <c r="G35" s="102" t="s">
        <v>29698</v>
      </c>
      <c r="H35" s="102" t="s">
        <v>29707</v>
      </c>
      <c r="I35" s="102" t="s">
        <v>52</v>
      </c>
      <c r="J35" s="102" t="s">
        <v>11</v>
      </c>
      <c r="K35" s="102" t="s">
        <v>25686</v>
      </c>
      <c r="L35" s="102" t="s">
        <v>25606</v>
      </c>
      <c r="M35" s="102" t="s">
        <v>29746</v>
      </c>
      <c r="N35" s="102">
        <v>4944.5</v>
      </c>
      <c r="R35" t="s">
        <v>29730</v>
      </c>
      <c r="S35" t="str">
        <f t="shared" si="7"/>
        <v>56-022-02-00</v>
      </c>
      <c r="T35" s="129" t="s">
        <v>25307</v>
      </c>
      <c r="U35" s="112">
        <v>1</v>
      </c>
    </row>
    <row r="36" spans="1:21" x14ac:dyDescent="0.2">
      <c r="A36" s="102" t="s">
        <v>29664</v>
      </c>
      <c r="B36" s="102" t="s">
        <v>29609</v>
      </c>
      <c r="C36" s="102" t="s">
        <v>46</v>
      </c>
      <c r="D36" s="102" t="s">
        <v>47</v>
      </c>
      <c r="E36" s="102" t="s">
        <v>29698</v>
      </c>
      <c r="F36" s="102" t="s">
        <v>91</v>
      </c>
      <c r="G36" s="102" t="s">
        <v>29698</v>
      </c>
      <c r="H36" s="102" t="s">
        <v>29710</v>
      </c>
      <c r="I36" s="102" t="s">
        <v>23</v>
      </c>
      <c r="J36" s="102" t="s">
        <v>11</v>
      </c>
      <c r="K36" s="102" t="s">
        <v>25686</v>
      </c>
      <c r="L36" s="102" t="s">
        <v>25606</v>
      </c>
      <c r="M36" s="102" t="s">
        <v>29747</v>
      </c>
      <c r="N36" s="102">
        <v>4944.5</v>
      </c>
      <c r="R36" t="s">
        <v>29730</v>
      </c>
      <c r="S36" t="str">
        <f t="shared" si="7"/>
        <v>56-023-16-00</v>
      </c>
      <c r="T36" s="129" t="s">
        <v>25307</v>
      </c>
      <c r="U36" s="112">
        <v>2</v>
      </c>
    </row>
    <row r="37" spans="1:21" x14ac:dyDescent="0.2">
      <c r="A37" s="102" t="s">
        <v>29665</v>
      </c>
      <c r="B37" s="102" t="s">
        <v>29610</v>
      </c>
      <c r="C37" s="102" t="s">
        <v>46</v>
      </c>
      <c r="D37" s="102" t="s">
        <v>47</v>
      </c>
      <c r="E37" s="102" t="s">
        <v>29699</v>
      </c>
      <c r="F37" s="102" t="s">
        <v>91</v>
      </c>
      <c r="G37" s="102" t="s">
        <v>29699</v>
      </c>
      <c r="H37" s="102" t="s">
        <v>29702</v>
      </c>
      <c r="I37" s="102" t="s">
        <v>1</v>
      </c>
      <c r="J37" s="102" t="s">
        <v>59</v>
      </c>
      <c r="L37" s="102" t="s">
        <v>25606</v>
      </c>
      <c r="M37" s="102" t="s">
        <v>29748</v>
      </c>
      <c r="N37" s="102">
        <v>1194</v>
      </c>
      <c r="R37" t="s">
        <v>29731</v>
      </c>
      <c r="S37" t="str">
        <f t="shared" ref="S37:S38" si="8">A37&amp;"-"&amp;T37</f>
        <v>56-024-09-57</v>
      </c>
      <c r="T37" s="129" t="s">
        <v>28353</v>
      </c>
      <c r="U37" s="112">
        <v>6</v>
      </c>
    </row>
    <row r="38" spans="1:21" x14ac:dyDescent="0.2">
      <c r="A38" s="102" t="s">
        <v>29666</v>
      </c>
      <c r="B38" s="102" t="s">
        <v>29611</v>
      </c>
      <c r="C38" s="102" t="s">
        <v>46</v>
      </c>
      <c r="D38" s="102" t="s">
        <v>47</v>
      </c>
      <c r="E38" s="102" t="s">
        <v>29699</v>
      </c>
      <c r="F38" s="102" t="s">
        <v>91</v>
      </c>
      <c r="G38" s="102" t="s">
        <v>29699</v>
      </c>
      <c r="H38" s="102" t="s">
        <v>29706</v>
      </c>
      <c r="I38" s="102" t="s">
        <v>27</v>
      </c>
      <c r="J38" s="102" t="s">
        <v>59</v>
      </c>
      <c r="L38" s="102" t="s">
        <v>25606</v>
      </c>
      <c r="M38" s="102" t="s">
        <v>29748</v>
      </c>
      <c r="N38" s="102">
        <v>1194</v>
      </c>
      <c r="R38" t="s">
        <v>29732</v>
      </c>
      <c r="S38" t="str">
        <f t="shared" si="8"/>
        <v>56-025-06-57</v>
      </c>
      <c r="T38" s="129" t="s">
        <v>28353</v>
      </c>
      <c r="U38" s="112">
        <v>3</v>
      </c>
    </row>
    <row r="39" spans="1:21" x14ac:dyDescent="0.2">
      <c r="A39" s="102" t="s">
        <v>29667</v>
      </c>
      <c r="B39" s="102" t="s">
        <v>29612</v>
      </c>
      <c r="C39" s="102" t="s">
        <v>46</v>
      </c>
      <c r="D39" s="102" t="s">
        <v>47</v>
      </c>
      <c r="E39" s="102" t="s">
        <v>29699</v>
      </c>
      <c r="F39" s="102" t="s">
        <v>91</v>
      </c>
      <c r="G39" s="102" t="s">
        <v>29699</v>
      </c>
      <c r="H39" s="102" t="s">
        <v>29702</v>
      </c>
      <c r="I39" s="102" t="s">
        <v>1</v>
      </c>
      <c r="J39" s="102" t="s">
        <v>11</v>
      </c>
      <c r="K39" s="102" t="s">
        <v>25686</v>
      </c>
      <c r="L39" s="102" t="s">
        <v>25606</v>
      </c>
      <c r="M39" s="102" t="s">
        <v>29749</v>
      </c>
      <c r="N39" s="102">
        <v>894</v>
      </c>
      <c r="R39" t="s">
        <v>29733</v>
      </c>
      <c r="S39" t="str">
        <f t="shared" ref="S39:S41" si="9">A39&amp;"-"&amp;T39</f>
        <v>56-026-09-00</v>
      </c>
      <c r="T39" s="129" t="s">
        <v>25307</v>
      </c>
      <c r="U39" s="112">
        <v>3</v>
      </c>
    </row>
    <row r="40" spans="1:21" x14ac:dyDescent="0.2">
      <c r="A40" s="102" t="s">
        <v>29668</v>
      </c>
      <c r="B40" s="102" t="s">
        <v>29613</v>
      </c>
      <c r="C40" s="102" t="s">
        <v>46</v>
      </c>
      <c r="D40" s="102" t="s">
        <v>47</v>
      </c>
      <c r="E40" s="102" t="s">
        <v>29699</v>
      </c>
      <c r="F40" s="102" t="s">
        <v>91</v>
      </c>
      <c r="G40" s="102" t="s">
        <v>29699</v>
      </c>
      <c r="H40" s="102" t="s">
        <v>29702</v>
      </c>
      <c r="I40" s="102" t="s">
        <v>1</v>
      </c>
      <c r="J40" s="102" t="s">
        <v>59</v>
      </c>
      <c r="L40" s="102" t="s">
        <v>25606</v>
      </c>
      <c r="M40" s="102" t="s">
        <v>29746</v>
      </c>
      <c r="N40" s="102">
        <v>1674</v>
      </c>
      <c r="R40" t="s">
        <v>29734</v>
      </c>
      <c r="S40" t="str">
        <f t="shared" si="9"/>
        <v>56-027-09-00</v>
      </c>
      <c r="T40" s="129" t="s">
        <v>25307</v>
      </c>
      <c r="U40" s="112">
        <v>6</v>
      </c>
    </row>
    <row r="41" spans="1:21" x14ac:dyDescent="0.2">
      <c r="A41" s="102" t="s">
        <v>29669</v>
      </c>
      <c r="B41" s="102" t="s">
        <v>29614</v>
      </c>
      <c r="C41" s="102" t="s">
        <v>46</v>
      </c>
      <c r="D41" s="102" t="s">
        <v>47</v>
      </c>
      <c r="E41" s="102" t="s">
        <v>29699</v>
      </c>
      <c r="F41" s="102" t="s">
        <v>91</v>
      </c>
      <c r="G41" s="102" t="s">
        <v>29699</v>
      </c>
      <c r="H41" s="102" t="s">
        <v>29702</v>
      </c>
      <c r="I41" s="102" t="s">
        <v>1</v>
      </c>
      <c r="J41" s="102" t="s">
        <v>11</v>
      </c>
      <c r="K41" s="102" t="s">
        <v>25686</v>
      </c>
      <c r="L41" s="102" t="s">
        <v>25606</v>
      </c>
      <c r="M41" s="102" t="s">
        <v>29746</v>
      </c>
      <c r="N41" s="102">
        <v>1434</v>
      </c>
      <c r="R41" t="s">
        <v>29734</v>
      </c>
      <c r="S41" t="str">
        <f t="shared" si="9"/>
        <v>56-028-09-00</v>
      </c>
      <c r="T41" s="129" t="s">
        <v>25307</v>
      </c>
      <c r="U41" s="112">
        <v>5</v>
      </c>
    </row>
    <row r="42" spans="1:21" x14ac:dyDescent="0.2">
      <c r="A42" s="102" t="s">
        <v>29670</v>
      </c>
      <c r="B42" s="102" t="s">
        <v>29615</v>
      </c>
      <c r="C42" s="102" t="s">
        <v>46</v>
      </c>
      <c r="D42" s="102" t="s">
        <v>47</v>
      </c>
      <c r="E42" s="102" t="s">
        <v>29699</v>
      </c>
      <c r="F42" s="102" t="s">
        <v>91</v>
      </c>
      <c r="G42" s="102" t="s">
        <v>29699</v>
      </c>
      <c r="H42" s="102" t="s">
        <v>29702</v>
      </c>
      <c r="I42" s="102" t="s">
        <v>1</v>
      </c>
      <c r="J42" s="102" t="s">
        <v>25725</v>
      </c>
      <c r="L42" s="102" t="s">
        <v>25606</v>
      </c>
      <c r="M42" s="102" t="s">
        <v>29748</v>
      </c>
      <c r="N42" s="102">
        <v>2094</v>
      </c>
      <c r="R42" t="s">
        <v>29735</v>
      </c>
      <c r="S42" t="str">
        <f t="shared" ref="S42:S44" si="10">A42&amp;"-"&amp;T42</f>
        <v>56-029-09-00</v>
      </c>
      <c r="T42" s="129" t="s">
        <v>25307</v>
      </c>
      <c r="U42" s="112">
        <v>3</v>
      </c>
    </row>
    <row r="43" spans="1:21" x14ac:dyDescent="0.2">
      <c r="A43" s="102" t="s">
        <v>29671</v>
      </c>
      <c r="B43" s="102" t="s">
        <v>29616</v>
      </c>
      <c r="C43" s="102" t="s">
        <v>46</v>
      </c>
      <c r="D43" s="102" t="s">
        <v>47</v>
      </c>
      <c r="E43" s="102" t="s">
        <v>29699</v>
      </c>
      <c r="F43" s="102" t="s">
        <v>91</v>
      </c>
      <c r="G43" s="102" t="s">
        <v>29699</v>
      </c>
      <c r="H43" s="102" t="s">
        <v>29703</v>
      </c>
      <c r="I43" s="102" t="s">
        <v>100</v>
      </c>
      <c r="J43" s="102" t="s">
        <v>11</v>
      </c>
      <c r="K43" s="102" t="s">
        <v>25686</v>
      </c>
      <c r="L43" s="102" t="s">
        <v>25606</v>
      </c>
      <c r="M43" s="102" t="s">
        <v>29749</v>
      </c>
      <c r="N43" s="102">
        <v>894</v>
      </c>
      <c r="R43" t="s">
        <v>29733</v>
      </c>
      <c r="S43" t="str">
        <f t="shared" si="10"/>
        <v>56-030-17-00</v>
      </c>
      <c r="T43" s="129" t="s">
        <v>25307</v>
      </c>
      <c r="U43" s="112">
        <v>3</v>
      </c>
    </row>
    <row r="44" spans="1:21" x14ac:dyDescent="0.2">
      <c r="A44" s="102" t="s">
        <v>29672</v>
      </c>
      <c r="B44" s="102" t="s">
        <v>29617</v>
      </c>
      <c r="C44" s="102" t="s">
        <v>46</v>
      </c>
      <c r="D44" s="102" t="s">
        <v>47</v>
      </c>
      <c r="E44" s="102" t="s">
        <v>29699</v>
      </c>
      <c r="F44" s="102" t="s">
        <v>91</v>
      </c>
      <c r="G44" s="102" t="s">
        <v>29699</v>
      </c>
      <c r="H44" s="102" t="s">
        <v>29704</v>
      </c>
      <c r="I44" s="102" t="s">
        <v>220</v>
      </c>
      <c r="J44" s="102" t="s">
        <v>11</v>
      </c>
      <c r="K44" s="102" t="s">
        <v>25686</v>
      </c>
      <c r="L44" s="102" t="s">
        <v>25604</v>
      </c>
      <c r="M44" s="102" t="s">
        <v>29749</v>
      </c>
      <c r="N44" s="102">
        <v>894</v>
      </c>
      <c r="R44" t="s">
        <v>29733</v>
      </c>
      <c r="S44" t="str">
        <f t="shared" si="10"/>
        <v>56-031-34-00</v>
      </c>
      <c r="T44" s="129" t="s">
        <v>25307</v>
      </c>
      <c r="U44" s="112">
        <v>3</v>
      </c>
    </row>
    <row r="45" spans="1:21" x14ac:dyDescent="0.2">
      <c r="A45" s="102" t="s">
        <v>29673</v>
      </c>
      <c r="B45" s="102" t="s">
        <v>29618</v>
      </c>
      <c r="C45" s="102" t="s">
        <v>46</v>
      </c>
      <c r="D45" s="102" t="s">
        <v>47</v>
      </c>
      <c r="E45" s="102" t="s">
        <v>29699</v>
      </c>
      <c r="F45" s="102" t="s">
        <v>91</v>
      </c>
      <c r="G45" s="102" t="s">
        <v>29699</v>
      </c>
      <c r="H45" s="102" t="s">
        <v>29705</v>
      </c>
      <c r="I45" s="102" t="s">
        <v>25520</v>
      </c>
      <c r="J45" s="102" t="s">
        <v>11</v>
      </c>
      <c r="K45" s="102" t="s">
        <v>25686</v>
      </c>
      <c r="L45" s="102" t="s">
        <v>25606</v>
      </c>
      <c r="M45" s="102" t="s">
        <v>29749</v>
      </c>
      <c r="N45" s="102">
        <v>894</v>
      </c>
      <c r="R45" t="s">
        <v>29733</v>
      </c>
      <c r="S45" t="str">
        <f t="shared" ref="S45:S46" si="11">A45&amp;"-"&amp;T45</f>
        <v>56-032-41-00</v>
      </c>
      <c r="T45" s="129" t="s">
        <v>25307</v>
      </c>
      <c r="U45" s="112">
        <v>3</v>
      </c>
    </row>
    <row r="46" spans="1:21" x14ac:dyDescent="0.2">
      <c r="A46" s="102" t="s">
        <v>29674</v>
      </c>
      <c r="B46" s="102" t="s">
        <v>29619</v>
      </c>
      <c r="C46" s="102" t="s">
        <v>46</v>
      </c>
      <c r="D46" s="102" t="s">
        <v>47</v>
      </c>
      <c r="E46" s="102" t="s">
        <v>29699</v>
      </c>
      <c r="F46" s="102" t="s">
        <v>91</v>
      </c>
      <c r="G46" s="102" t="s">
        <v>29699</v>
      </c>
      <c r="H46" s="102" t="s">
        <v>29706</v>
      </c>
      <c r="I46" s="102" t="s">
        <v>27</v>
      </c>
      <c r="J46" s="102" t="s">
        <v>11</v>
      </c>
      <c r="K46" s="102" t="s">
        <v>25686</v>
      </c>
      <c r="L46" s="102" t="s">
        <v>25606</v>
      </c>
      <c r="M46" s="102" t="s">
        <v>29749</v>
      </c>
      <c r="N46" s="102">
        <v>1494</v>
      </c>
      <c r="R46" t="s">
        <v>29733</v>
      </c>
      <c r="S46" t="str">
        <f t="shared" si="11"/>
        <v>56-033-06-00</v>
      </c>
      <c r="T46" s="129" t="s">
        <v>25307</v>
      </c>
      <c r="U46" s="112">
        <v>3</v>
      </c>
    </row>
    <row r="47" spans="1:21" x14ac:dyDescent="0.2">
      <c r="A47" s="102" t="s">
        <v>29675</v>
      </c>
      <c r="B47" s="102" t="s">
        <v>29620</v>
      </c>
      <c r="C47" s="102" t="s">
        <v>46</v>
      </c>
      <c r="D47" s="102" t="s">
        <v>92</v>
      </c>
      <c r="E47" s="102" t="s">
        <v>29699</v>
      </c>
      <c r="F47" s="102" t="s">
        <v>91</v>
      </c>
      <c r="G47" s="102" t="s">
        <v>29699</v>
      </c>
      <c r="H47" s="102" t="s">
        <v>29702</v>
      </c>
      <c r="I47" s="102" t="s">
        <v>1</v>
      </c>
      <c r="J47" s="102" t="s">
        <v>59</v>
      </c>
      <c r="L47" s="102" t="s">
        <v>25606</v>
      </c>
      <c r="M47" s="102" t="s">
        <v>29746</v>
      </c>
      <c r="N47" s="102">
        <v>1314</v>
      </c>
      <c r="R47" t="s">
        <v>29734</v>
      </c>
      <c r="S47" t="str">
        <f t="shared" ref="S47:S49" si="12">A47&amp;"-"&amp;T47</f>
        <v>56-034-09-00</v>
      </c>
      <c r="T47" s="129" t="s">
        <v>25307</v>
      </c>
      <c r="U47" s="112">
        <v>1</v>
      </c>
    </row>
    <row r="48" spans="1:21" x14ac:dyDescent="0.2">
      <c r="A48" s="102" t="s">
        <v>29676</v>
      </c>
      <c r="B48" s="102" t="s">
        <v>29621</v>
      </c>
      <c r="C48" s="102" t="s">
        <v>46</v>
      </c>
      <c r="D48" s="102" t="s">
        <v>92</v>
      </c>
      <c r="E48" s="102" t="s">
        <v>29699</v>
      </c>
      <c r="F48" s="102" t="s">
        <v>91</v>
      </c>
      <c r="G48" s="102" t="s">
        <v>29699</v>
      </c>
      <c r="H48" s="102" t="s">
        <v>29702</v>
      </c>
      <c r="I48" s="102" t="s">
        <v>1</v>
      </c>
      <c r="J48" s="102" t="s">
        <v>29715</v>
      </c>
      <c r="L48" s="102" t="s">
        <v>25606</v>
      </c>
      <c r="M48" s="102" t="s">
        <v>29746</v>
      </c>
      <c r="N48" s="102">
        <v>1794</v>
      </c>
      <c r="R48" t="s">
        <v>29734</v>
      </c>
      <c r="S48" t="str">
        <f t="shared" si="12"/>
        <v>56-035-09-00</v>
      </c>
      <c r="T48" s="129" t="s">
        <v>25307</v>
      </c>
      <c r="U48" s="112">
        <v>5</v>
      </c>
    </row>
    <row r="49" spans="1:21" x14ac:dyDescent="0.2">
      <c r="A49" s="102" t="s">
        <v>29677</v>
      </c>
      <c r="B49" s="102" t="s">
        <v>29622</v>
      </c>
      <c r="C49" s="102" t="s">
        <v>46</v>
      </c>
      <c r="D49" s="102" t="s">
        <v>92</v>
      </c>
      <c r="E49" s="102" t="s">
        <v>29699</v>
      </c>
      <c r="F49" s="102" t="s">
        <v>91</v>
      </c>
      <c r="G49" s="102" t="s">
        <v>29699</v>
      </c>
      <c r="H49" s="102" t="s">
        <v>29704</v>
      </c>
      <c r="I49" s="102" t="s">
        <v>220</v>
      </c>
      <c r="J49" s="102" t="s">
        <v>29716</v>
      </c>
      <c r="L49" s="102" t="s">
        <v>29745</v>
      </c>
      <c r="M49" s="102" t="s">
        <v>29746</v>
      </c>
      <c r="N49" s="102">
        <v>1794</v>
      </c>
      <c r="R49" t="s">
        <v>29734</v>
      </c>
      <c r="S49" t="str">
        <f t="shared" si="12"/>
        <v>56-036-34-00</v>
      </c>
      <c r="T49" s="129" t="s">
        <v>25307</v>
      </c>
      <c r="U49" s="112">
        <v>3</v>
      </c>
    </row>
    <row r="50" spans="1:21" x14ac:dyDescent="0.2">
      <c r="A50" s="102" t="s">
        <v>29678</v>
      </c>
      <c r="B50" s="102" t="s">
        <v>29623</v>
      </c>
      <c r="C50" s="102" t="s">
        <v>46</v>
      </c>
      <c r="D50" s="102" t="s">
        <v>47</v>
      </c>
      <c r="E50" s="102" t="s">
        <v>29699</v>
      </c>
      <c r="F50" s="102" t="s">
        <v>91</v>
      </c>
      <c r="G50" s="102" t="s">
        <v>29699</v>
      </c>
      <c r="H50" s="102" t="s">
        <v>29702</v>
      </c>
      <c r="I50" s="102" t="s">
        <v>1</v>
      </c>
      <c r="J50" s="102" t="s">
        <v>11</v>
      </c>
      <c r="K50" s="102" t="s">
        <v>25686</v>
      </c>
      <c r="L50" s="102" t="s">
        <v>25606</v>
      </c>
      <c r="M50" s="102" t="s">
        <v>29749</v>
      </c>
      <c r="N50" s="102">
        <v>894</v>
      </c>
      <c r="R50" t="s">
        <v>29733</v>
      </c>
      <c r="S50" t="str">
        <f t="shared" ref="S50:S52" si="13">A50&amp;"-"&amp;T50</f>
        <v>56-037-09-00</v>
      </c>
      <c r="T50" s="129" t="s">
        <v>25307</v>
      </c>
      <c r="U50" s="112">
        <v>3</v>
      </c>
    </row>
    <row r="51" spans="1:21" x14ac:dyDescent="0.2">
      <c r="A51" s="102" t="s">
        <v>29679</v>
      </c>
      <c r="B51" s="102" t="s">
        <v>29624</v>
      </c>
      <c r="C51" s="102" t="s">
        <v>46</v>
      </c>
      <c r="D51" s="102" t="s">
        <v>47</v>
      </c>
      <c r="E51" s="102" t="s">
        <v>29699</v>
      </c>
      <c r="F51" s="102" t="s">
        <v>91</v>
      </c>
      <c r="G51" s="102" t="s">
        <v>29699</v>
      </c>
      <c r="H51" s="102" t="s">
        <v>29711</v>
      </c>
      <c r="I51" s="102" t="s">
        <v>28</v>
      </c>
      <c r="J51" s="102" t="s">
        <v>59</v>
      </c>
      <c r="L51" s="102" t="s">
        <v>25606</v>
      </c>
      <c r="M51" s="102" t="s">
        <v>29746</v>
      </c>
      <c r="N51" s="102">
        <v>1434</v>
      </c>
      <c r="R51" t="s">
        <v>29734</v>
      </c>
      <c r="S51" t="str">
        <f t="shared" si="13"/>
        <v>56-038-80-00</v>
      </c>
      <c r="T51" s="129" t="s">
        <v>25307</v>
      </c>
      <c r="U51" s="112">
        <v>3</v>
      </c>
    </row>
    <row r="52" spans="1:21" x14ac:dyDescent="0.2">
      <c r="A52" s="102" t="s">
        <v>29680</v>
      </c>
      <c r="B52" s="102" t="s">
        <v>29625</v>
      </c>
      <c r="C52" s="102" t="s">
        <v>46</v>
      </c>
      <c r="D52" s="102" t="s">
        <v>47</v>
      </c>
      <c r="E52" s="102" t="s">
        <v>29699</v>
      </c>
      <c r="F52" s="102" t="s">
        <v>91</v>
      </c>
      <c r="G52" s="102" t="s">
        <v>29699</v>
      </c>
      <c r="H52" s="102" t="s">
        <v>29711</v>
      </c>
      <c r="I52" s="102" t="s">
        <v>28</v>
      </c>
      <c r="J52" s="102" t="s">
        <v>59</v>
      </c>
      <c r="L52" s="102" t="s">
        <v>25606</v>
      </c>
      <c r="M52" s="102" t="s">
        <v>29746</v>
      </c>
      <c r="N52" s="102">
        <v>1194</v>
      </c>
      <c r="R52" t="s">
        <v>29734</v>
      </c>
      <c r="S52" t="str">
        <f t="shared" si="13"/>
        <v>56-039-80-00</v>
      </c>
      <c r="T52" s="129" t="s">
        <v>25307</v>
      </c>
      <c r="U52" s="112">
        <v>3</v>
      </c>
    </row>
    <row r="53" spans="1:21" x14ac:dyDescent="0.2">
      <c r="A53" s="102" t="s">
        <v>29681</v>
      </c>
      <c r="B53" s="102" t="s">
        <v>29626</v>
      </c>
      <c r="C53" s="102" t="s">
        <v>46</v>
      </c>
      <c r="D53" s="102" t="s">
        <v>47</v>
      </c>
      <c r="E53" s="102" t="s">
        <v>29699</v>
      </c>
      <c r="F53" s="102" t="s">
        <v>91</v>
      </c>
      <c r="G53" s="102" t="s">
        <v>29699</v>
      </c>
      <c r="H53" s="102" t="s">
        <v>29703</v>
      </c>
      <c r="I53" s="102" t="s">
        <v>100</v>
      </c>
      <c r="J53" s="102" t="s">
        <v>11</v>
      </c>
      <c r="K53" s="102" t="s">
        <v>25686</v>
      </c>
      <c r="L53" s="102" t="s">
        <v>25606</v>
      </c>
      <c r="M53" s="102" t="s">
        <v>29749</v>
      </c>
      <c r="N53" s="102">
        <v>894</v>
      </c>
      <c r="R53" t="s">
        <v>29733</v>
      </c>
      <c r="S53" t="str">
        <f t="shared" ref="S53:S54" si="14">A53&amp;"-"&amp;T53</f>
        <v>56-040-17-00</v>
      </c>
      <c r="T53" s="129" t="s">
        <v>25307</v>
      </c>
      <c r="U53" s="112">
        <v>2</v>
      </c>
    </row>
    <row r="54" spans="1:21" x14ac:dyDescent="0.2">
      <c r="A54" s="102" t="s">
        <v>29682</v>
      </c>
      <c r="B54" s="102" t="s">
        <v>29627</v>
      </c>
      <c r="C54" s="102" t="s">
        <v>46</v>
      </c>
      <c r="D54" s="102" t="s">
        <v>47</v>
      </c>
      <c r="E54" s="102" t="s">
        <v>29699</v>
      </c>
      <c r="F54" s="102" t="s">
        <v>91</v>
      </c>
      <c r="G54" s="102" t="s">
        <v>29699</v>
      </c>
      <c r="H54" s="102" t="s">
        <v>29702</v>
      </c>
      <c r="I54" s="102" t="s">
        <v>1</v>
      </c>
      <c r="J54" s="102" t="s">
        <v>11</v>
      </c>
      <c r="K54" s="102" t="s">
        <v>25686</v>
      </c>
      <c r="L54" s="102" t="s">
        <v>25606</v>
      </c>
      <c r="M54" s="102" t="s">
        <v>29748</v>
      </c>
      <c r="N54" s="102">
        <v>1314</v>
      </c>
      <c r="R54" t="s">
        <v>29735</v>
      </c>
      <c r="S54" t="str">
        <f t="shared" si="14"/>
        <v>56-041-09-57</v>
      </c>
      <c r="T54" s="129" t="s">
        <v>28353</v>
      </c>
      <c r="U54" s="112">
        <v>3</v>
      </c>
    </row>
    <row r="55" spans="1:21" x14ac:dyDescent="0.2">
      <c r="A55" s="102" t="s">
        <v>29683</v>
      </c>
      <c r="B55" s="102" t="s">
        <v>29628</v>
      </c>
      <c r="C55" s="102" t="s">
        <v>46</v>
      </c>
      <c r="D55" s="102" t="s">
        <v>47</v>
      </c>
      <c r="E55" s="102" t="s">
        <v>29699</v>
      </c>
      <c r="F55" s="102" t="s">
        <v>91</v>
      </c>
      <c r="G55" s="102" t="s">
        <v>29699</v>
      </c>
      <c r="H55" s="102" t="s">
        <v>29702</v>
      </c>
      <c r="I55" s="102" t="s">
        <v>1</v>
      </c>
      <c r="J55" s="102" t="s">
        <v>25725</v>
      </c>
      <c r="L55" s="102" t="s">
        <v>25606</v>
      </c>
      <c r="M55" s="102" t="s">
        <v>29746</v>
      </c>
      <c r="N55" s="102">
        <v>1794</v>
      </c>
      <c r="R55" t="s">
        <v>29736</v>
      </c>
      <c r="S55" t="str">
        <f t="shared" ref="S55:S57" si="15">A55&amp;"-"&amp;T55</f>
        <v>56-042-09-00</v>
      </c>
      <c r="T55" s="129" t="s">
        <v>25307</v>
      </c>
      <c r="U55" s="112">
        <v>3</v>
      </c>
    </row>
    <row r="56" spans="1:21" x14ac:dyDescent="0.2">
      <c r="A56" s="102" t="s">
        <v>29684</v>
      </c>
      <c r="B56" s="102" t="s">
        <v>29629</v>
      </c>
      <c r="C56" s="102" t="s">
        <v>46</v>
      </c>
      <c r="D56" s="102" t="s">
        <v>47</v>
      </c>
      <c r="E56" s="102" t="s">
        <v>29699</v>
      </c>
      <c r="F56" s="102" t="s">
        <v>91</v>
      </c>
      <c r="G56" s="102" t="s">
        <v>29699</v>
      </c>
      <c r="H56" s="102" t="s">
        <v>29702</v>
      </c>
      <c r="I56" s="102" t="s">
        <v>1</v>
      </c>
      <c r="J56" s="102" t="s">
        <v>11</v>
      </c>
      <c r="K56" s="102" t="s">
        <v>25686</v>
      </c>
      <c r="L56" s="102" t="s">
        <v>25606</v>
      </c>
      <c r="M56" s="102" t="s">
        <v>29749</v>
      </c>
      <c r="N56" s="102">
        <v>894</v>
      </c>
      <c r="R56" t="s">
        <v>29737</v>
      </c>
      <c r="S56" t="str">
        <f t="shared" si="15"/>
        <v>56-043-09-57</v>
      </c>
      <c r="T56" s="129" t="s">
        <v>28353</v>
      </c>
      <c r="U56" s="112">
        <v>6</v>
      </c>
    </row>
    <row r="57" spans="1:21" x14ac:dyDescent="0.2">
      <c r="A57" s="102" t="s">
        <v>29685</v>
      </c>
      <c r="B57" s="102" t="s">
        <v>29630</v>
      </c>
      <c r="C57" s="102" t="s">
        <v>46</v>
      </c>
      <c r="D57" s="102" t="s">
        <v>47</v>
      </c>
      <c r="E57" s="102" t="s">
        <v>29699</v>
      </c>
      <c r="F57" s="102" t="s">
        <v>91</v>
      </c>
      <c r="G57" s="102" t="s">
        <v>29699</v>
      </c>
      <c r="H57" s="102" t="s">
        <v>29703</v>
      </c>
      <c r="I57" s="102" t="s">
        <v>100</v>
      </c>
      <c r="J57" s="102" t="s">
        <v>11</v>
      </c>
      <c r="K57" s="102" t="s">
        <v>25686</v>
      </c>
      <c r="L57" s="102" t="s">
        <v>25606</v>
      </c>
      <c r="M57" s="102" t="s">
        <v>29749</v>
      </c>
      <c r="N57" s="102">
        <v>894</v>
      </c>
      <c r="R57" t="s">
        <v>29737</v>
      </c>
      <c r="S57" t="str">
        <f t="shared" si="15"/>
        <v>56-044-17-57</v>
      </c>
      <c r="T57" s="129" t="s">
        <v>28353</v>
      </c>
      <c r="U57" s="112">
        <v>3</v>
      </c>
    </row>
    <row r="58" spans="1:21" x14ac:dyDescent="0.2">
      <c r="A58" s="102" t="s">
        <v>29686</v>
      </c>
      <c r="B58" s="102" t="s">
        <v>29631</v>
      </c>
      <c r="C58" s="102" t="s">
        <v>46</v>
      </c>
      <c r="D58" s="102" t="s">
        <v>47</v>
      </c>
      <c r="E58" s="102" t="s">
        <v>29700</v>
      </c>
      <c r="F58" s="102" t="s">
        <v>91</v>
      </c>
      <c r="G58" s="102" t="s">
        <v>29700</v>
      </c>
      <c r="H58" s="102" t="s">
        <v>29702</v>
      </c>
      <c r="I58" s="102" t="s">
        <v>1</v>
      </c>
      <c r="J58" s="102" t="s">
        <v>59</v>
      </c>
      <c r="L58" s="102" t="s">
        <v>25606</v>
      </c>
      <c r="M58" s="102" t="s">
        <v>29746</v>
      </c>
      <c r="N58" s="102">
        <v>1259.3699999999999</v>
      </c>
      <c r="R58" t="s">
        <v>29738</v>
      </c>
      <c r="S58" t="str">
        <f t="shared" ref="S58:S60" si="16">A58&amp;"-"&amp;T58</f>
        <v>56-045-09-57</v>
      </c>
      <c r="T58" s="129" t="s">
        <v>28353</v>
      </c>
      <c r="U58" s="112">
        <v>4</v>
      </c>
    </row>
    <row r="59" spans="1:21" x14ac:dyDescent="0.2">
      <c r="A59" s="102" t="s">
        <v>29687</v>
      </c>
      <c r="B59" s="102" t="s">
        <v>29632</v>
      </c>
      <c r="C59" s="102" t="s">
        <v>46</v>
      </c>
      <c r="D59" s="102" t="s">
        <v>47</v>
      </c>
      <c r="E59" s="102" t="s">
        <v>29700</v>
      </c>
      <c r="F59" s="102" t="s">
        <v>91</v>
      </c>
      <c r="G59" s="102" t="s">
        <v>29700</v>
      </c>
      <c r="H59" s="102" t="s">
        <v>29704</v>
      </c>
      <c r="I59" s="102" t="s">
        <v>220</v>
      </c>
      <c r="J59" s="102" t="s">
        <v>11</v>
      </c>
      <c r="K59" s="102" t="s">
        <v>25686</v>
      </c>
      <c r="L59" s="102" t="s">
        <v>29745</v>
      </c>
      <c r="M59" s="102" t="s">
        <v>29746</v>
      </c>
      <c r="N59" s="102">
        <v>1259.3699999999999</v>
      </c>
      <c r="R59" t="s">
        <v>29739</v>
      </c>
      <c r="S59" t="str">
        <f t="shared" si="16"/>
        <v>56-046-34-57</v>
      </c>
      <c r="T59" s="129" t="s">
        <v>28353</v>
      </c>
      <c r="U59" s="112">
        <v>2</v>
      </c>
    </row>
    <row r="60" spans="1:21" x14ac:dyDescent="0.2">
      <c r="A60" s="102" t="s">
        <v>29688</v>
      </c>
      <c r="B60" s="102" t="s">
        <v>29633</v>
      </c>
      <c r="C60" s="102" t="s">
        <v>46</v>
      </c>
      <c r="D60" s="102" t="s">
        <v>47</v>
      </c>
      <c r="E60" s="102" t="s">
        <v>29700</v>
      </c>
      <c r="F60" s="102" t="s">
        <v>91</v>
      </c>
      <c r="G60" s="102" t="s">
        <v>29700</v>
      </c>
      <c r="H60" s="102" t="s">
        <v>29712</v>
      </c>
      <c r="I60" s="102" t="s">
        <v>147</v>
      </c>
      <c r="J60" s="102" t="s">
        <v>11</v>
      </c>
      <c r="K60" s="102" t="s">
        <v>25686</v>
      </c>
      <c r="L60" s="102" t="s">
        <v>25606</v>
      </c>
      <c r="M60" s="102" t="s">
        <v>29746</v>
      </c>
      <c r="N60" s="102">
        <v>1259.3699999999999</v>
      </c>
      <c r="R60" t="s">
        <v>29728</v>
      </c>
      <c r="S60" t="str">
        <f t="shared" si="16"/>
        <v>56-047-19-57</v>
      </c>
      <c r="T60" s="129" t="s">
        <v>28353</v>
      </c>
      <c r="U60" s="112">
        <v>2</v>
      </c>
    </row>
    <row r="61" spans="1:21" x14ac:dyDescent="0.2">
      <c r="A61" s="102" t="s">
        <v>29689</v>
      </c>
      <c r="B61" s="102" t="s">
        <v>29634</v>
      </c>
      <c r="C61" s="102" t="s">
        <v>46</v>
      </c>
      <c r="D61" s="102" t="s">
        <v>47</v>
      </c>
      <c r="E61" s="102" t="s">
        <v>29700</v>
      </c>
      <c r="F61" s="102" t="s">
        <v>91</v>
      </c>
      <c r="G61" s="102" t="s">
        <v>29700</v>
      </c>
      <c r="H61" s="102" t="s">
        <v>29711</v>
      </c>
      <c r="I61" s="102" t="s">
        <v>28</v>
      </c>
      <c r="J61" s="102" t="s">
        <v>11</v>
      </c>
      <c r="K61" s="102" t="s">
        <v>25686</v>
      </c>
      <c r="L61" s="102" t="s">
        <v>25606</v>
      </c>
      <c r="M61" s="102" t="s">
        <v>29746</v>
      </c>
      <c r="N61" s="102">
        <v>1259.3699999999999</v>
      </c>
      <c r="R61" t="s">
        <v>29724</v>
      </c>
      <c r="S61" t="str">
        <f t="shared" ref="S61:S62" si="17">A61&amp;"-"&amp;T61</f>
        <v>56-048-80-57</v>
      </c>
      <c r="T61" s="129" t="s">
        <v>28353</v>
      </c>
      <c r="U61" s="112">
        <v>2</v>
      </c>
    </row>
    <row r="62" spans="1:21" x14ac:dyDescent="0.2">
      <c r="A62" s="102" t="s">
        <v>29690</v>
      </c>
      <c r="B62" s="102" t="s">
        <v>29635</v>
      </c>
      <c r="C62" s="102" t="s">
        <v>46</v>
      </c>
      <c r="D62" s="102" t="s">
        <v>47</v>
      </c>
      <c r="E62" s="102" t="s">
        <v>29700</v>
      </c>
      <c r="F62" s="102" t="s">
        <v>91</v>
      </c>
      <c r="G62" s="102" t="s">
        <v>29700</v>
      </c>
      <c r="H62" s="102" t="s">
        <v>29706</v>
      </c>
      <c r="I62" s="102" t="s">
        <v>27</v>
      </c>
      <c r="J62" s="102" t="s">
        <v>59</v>
      </c>
      <c r="L62" s="102" t="s">
        <v>25606</v>
      </c>
      <c r="M62" s="102" t="s">
        <v>29746</v>
      </c>
      <c r="N62" s="102">
        <v>1889.37</v>
      </c>
      <c r="R62" t="s">
        <v>29740</v>
      </c>
      <c r="S62" t="str">
        <f t="shared" si="17"/>
        <v>56-049-06-57</v>
      </c>
      <c r="T62" s="129" t="s">
        <v>28353</v>
      </c>
      <c r="U62" s="112">
        <v>2</v>
      </c>
    </row>
    <row r="63" spans="1:21" x14ac:dyDescent="0.2">
      <c r="A63" s="102" t="s">
        <v>29691</v>
      </c>
      <c r="B63" s="102" t="s">
        <v>29636</v>
      </c>
      <c r="C63" s="102" t="s">
        <v>46</v>
      </c>
      <c r="D63" s="102" t="s">
        <v>47</v>
      </c>
      <c r="E63" s="102" t="s">
        <v>29700</v>
      </c>
      <c r="F63" s="102" t="s">
        <v>91</v>
      </c>
      <c r="G63" s="102" t="s">
        <v>29700</v>
      </c>
      <c r="H63" s="102" t="s">
        <v>29702</v>
      </c>
      <c r="I63" s="102" t="s">
        <v>1</v>
      </c>
      <c r="J63" s="102" t="s">
        <v>26526</v>
      </c>
      <c r="L63" s="102" t="s">
        <v>25606</v>
      </c>
      <c r="M63" s="102" t="s">
        <v>29746</v>
      </c>
      <c r="N63" s="102">
        <v>1889.37</v>
      </c>
      <c r="R63" t="s">
        <v>29741</v>
      </c>
      <c r="S63" t="str">
        <f t="shared" ref="S63:S66" si="18">A63&amp;"-"&amp;T63</f>
        <v>56-050-09-56</v>
      </c>
      <c r="T63" s="129" t="s">
        <v>28269</v>
      </c>
      <c r="U63" s="112">
        <v>1</v>
      </c>
    </row>
    <row r="64" spans="1:21" x14ac:dyDescent="0.2">
      <c r="A64" s="102" t="s">
        <v>29691</v>
      </c>
      <c r="B64" s="102" t="s">
        <v>29636</v>
      </c>
      <c r="C64" s="102" t="s">
        <v>46</v>
      </c>
      <c r="D64" s="102" t="s">
        <v>47</v>
      </c>
      <c r="E64" s="102" t="s">
        <v>29700</v>
      </c>
      <c r="F64" s="102" t="s">
        <v>91</v>
      </c>
      <c r="G64" s="102" t="s">
        <v>29700</v>
      </c>
      <c r="H64" s="102" t="s">
        <v>29702</v>
      </c>
      <c r="I64" s="102" t="s">
        <v>1</v>
      </c>
      <c r="J64" s="102" t="s">
        <v>26526</v>
      </c>
      <c r="L64" s="102" t="s">
        <v>25606</v>
      </c>
      <c r="M64" s="102" t="s">
        <v>29746</v>
      </c>
      <c r="N64" s="102">
        <v>1889.37</v>
      </c>
      <c r="R64" t="s">
        <v>29741</v>
      </c>
      <c r="S64" t="str">
        <f t="shared" si="18"/>
        <v>56-050-09-57</v>
      </c>
      <c r="T64" s="129" t="s">
        <v>28353</v>
      </c>
      <c r="U64" s="112">
        <v>2</v>
      </c>
    </row>
    <row r="65" spans="1:21" x14ac:dyDescent="0.2">
      <c r="A65" s="102" t="s">
        <v>29692</v>
      </c>
      <c r="B65" s="102" t="s">
        <v>29637</v>
      </c>
      <c r="C65" s="102" t="s">
        <v>46</v>
      </c>
      <c r="D65" s="102" t="s">
        <v>47</v>
      </c>
      <c r="E65" s="102" t="s">
        <v>29701</v>
      </c>
      <c r="F65" s="102" t="s">
        <v>91</v>
      </c>
      <c r="G65" s="102" t="s">
        <v>29701</v>
      </c>
      <c r="H65" s="102" t="s">
        <v>29711</v>
      </c>
      <c r="I65" s="102" t="s">
        <v>28</v>
      </c>
      <c r="J65" s="102" t="s">
        <v>59</v>
      </c>
      <c r="L65" s="102" t="s">
        <v>25606</v>
      </c>
      <c r="M65" s="102" t="s">
        <v>29746</v>
      </c>
      <c r="N65" s="102">
        <v>1439.4</v>
      </c>
      <c r="R65" t="s">
        <v>29742</v>
      </c>
      <c r="S65" t="str">
        <f t="shared" si="18"/>
        <v>56-051-80-59</v>
      </c>
      <c r="T65" s="129" t="s">
        <v>28349</v>
      </c>
      <c r="U65" s="112">
        <v>3</v>
      </c>
    </row>
    <row r="66" spans="1:21" x14ac:dyDescent="0.2">
      <c r="A66" s="102" t="s">
        <v>29693</v>
      </c>
      <c r="B66" s="102" t="s">
        <v>29638</v>
      </c>
      <c r="C66" s="102" t="s">
        <v>46</v>
      </c>
      <c r="D66" s="102" t="s">
        <v>47</v>
      </c>
      <c r="E66" s="102" t="s">
        <v>29701</v>
      </c>
      <c r="F66" s="102" t="s">
        <v>91</v>
      </c>
      <c r="G66" s="102" t="s">
        <v>29701</v>
      </c>
      <c r="H66" s="102" t="s">
        <v>29709</v>
      </c>
      <c r="I66" s="102" t="s">
        <v>141</v>
      </c>
      <c r="J66" s="102" t="s">
        <v>59</v>
      </c>
      <c r="L66" s="102" t="s">
        <v>25606</v>
      </c>
      <c r="M66" s="102" t="s">
        <v>29746</v>
      </c>
      <c r="N66" s="102">
        <v>1439.4</v>
      </c>
      <c r="R66" t="s">
        <v>29743</v>
      </c>
      <c r="S66" t="str">
        <f t="shared" si="18"/>
        <v>56-052-18-59</v>
      </c>
      <c r="T66" s="129" t="s">
        <v>28349</v>
      </c>
      <c r="U66" s="112">
        <v>2</v>
      </c>
    </row>
    <row r="67" spans="1:21" x14ac:dyDescent="0.2">
      <c r="A67" s="102" t="s">
        <v>29694</v>
      </c>
      <c r="B67" s="102" t="s">
        <v>29639</v>
      </c>
      <c r="C67" s="102" t="s">
        <v>46</v>
      </c>
      <c r="D67" s="102" t="s">
        <v>47</v>
      </c>
      <c r="E67" s="102" t="s">
        <v>29701</v>
      </c>
      <c r="F67" s="102" t="s">
        <v>91</v>
      </c>
      <c r="G67" s="102" t="s">
        <v>29701</v>
      </c>
      <c r="H67" s="102" t="s">
        <v>29703</v>
      </c>
      <c r="I67" s="102" t="s">
        <v>100</v>
      </c>
      <c r="J67" s="102" t="s">
        <v>59</v>
      </c>
      <c r="L67" s="102" t="s">
        <v>25606</v>
      </c>
      <c r="M67" s="102" t="s">
        <v>29747</v>
      </c>
      <c r="N67" s="102">
        <v>1979.4</v>
      </c>
      <c r="R67" t="s">
        <v>29744</v>
      </c>
      <c r="S67" t="str">
        <f t="shared" ref="S67:S69" si="19">A67&amp;"-"&amp;T67</f>
        <v>56-053-17-59</v>
      </c>
      <c r="T67" s="129" t="s">
        <v>28349</v>
      </c>
      <c r="U67" s="112">
        <v>2</v>
      </c>
    </row>
    <row r="68" spans="1:21" x14ac:dyDescent="0.2">
      <c r="A68" s="102" t="s">
        <v>29695</v>
      </c>
      <c r="B68" s="102" t="s">
        <v>29640</v>
      </c>
      <c r="C68" s="102" t="s">
        <v>46</v>
      </c>
      <c r="D68" s="102" t="s">
        <v>47</v>
      </c>
      <c r="E68" s="102" t="s">
        <v>29701</v>
      </c>
      <c r="F68" s="102" t="s">
        <v>91</v>
      </c>
      <c r="G68" s="102" t="s">
        <v>29701</v>
      </c>
      <c r="H68" s="102" t="s">
        <v>29703</v>
      </c>
      <c r="I68" s="102" t="s">
        <v>100</v>
      </c>
      <c r="J68" s="102" t="s">
        <v>26230</v>
      </c>
      <c r="L68" s="102" t="s">
        <v>25606</v>
      </c>
      <c r="M68" s="102" t="s">
        <v>29746</v>
      </c>
      <c r="N68" s="102">
        <v>1379.4</v>
      </c>
      <c r="R68" t="s">
        <v>29743</v>
      </c>
      <c r="S68" t="str">
        <f t="shared" si="19"/>
        <v>56-054-17-59</v>
      </c>
      <c r="T68" s="129" t="s">
        <v>28349</v>
      </c>
      <c r="U68" s="112">
        <v>2</v>
      </c>
    </row>
    <row r="69" spans="1:21" x14ac:dyDescent="0.2">
      <c r="A69" s="102" t="s">
        <v>29696</v>
      </c>
      <c r="B69" s="102" t="s">
        <v>29641</v>
      </c>
      <c r="C69" s="102" t="s">
        <v>46</v>
      </c>
      <c r="D69" s="102" t="s">
        <v>92</v>
      </c>
      <c r="E69" s="102" t="s">
        <v>29701</v>
      </c>
      <c r="F69" s="102" t="s">
        <v>91</v>
      </c>
      <c r="G69" s="102" t="s">
        <v>29701</v>
      </c>
      <c r="H69" s="102" t="s">
        <v>29711</v>
      </c>
      <c r="I69" s="102" t="s">
        <v>28</v>
      </c>
      <c r="J69" s="102" t="s">
        <v>26538</v>
      </c>
      <c r="L69" s="102" t="s">
        <v>25606</v>
      </c>
      <c r="M69" s="102" t="s">
        <v>29746</v>
      </c>
      <c r="N69" s="102">
        <v>1979.4</v>
      </c>
      <c r="R69" t="s">
        <v>29743</v>
      </c>
      <c r="S69" t="str">
        <f t="shared" si="19"/>
        <v>56-055-80-00</v>
      </c>
      <c r="T69" s="129" t="s">
        <v>25307</v>
      </c>
      <c r="U69" s="112">
        <v>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B2" sqref="B2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UNDER ARMOUR</v>
      </c>
      <c r="C2" s="67" t="str">
        <f>_xlfn.LET(_xlpm.Letter,LEFT(ADDRESS(1,COLUMN(Строчный!S1),4,1,)),"Строчный!"&amp;_xlpm.Letter&amp;"1:"&amp;_xlpm.Letter&amp;COUNTA(Строчный!S:S))</f>
        <v>Строчный!S1:S69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2022-04-12T14:16:36Z</dcterms:modified>
</cp:coreProperties>
</file>