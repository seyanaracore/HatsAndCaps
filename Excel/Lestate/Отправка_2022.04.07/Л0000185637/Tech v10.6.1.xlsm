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07\Л0000185637\"/>
    </mc:Choice>
  </mc:AlternateContent>
  <xr:revisionPtr revIDLastSave="0" documentId="13_ncr:1_{107DB2E1-ADFE-49CB-8C85-64366C103F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AY12" i="1"/>
  <c r="AX12" i="1"/>
  <c r="AT12" i="1"/>
  <c r="BC12" i="1" s="1"/>
  <c r="T12" i="1"/>
  <c r="E12" i="1"/>
  <c r="A12" i="1"/>
  <c r="D37" i="4"/>
  <c r="D36" i="4"/>
  <c r="D35" i="4"/>
  <c r="D34" i="4"/>
  <c r="D33" i="4"/>
  <c r="D32" i="4"/>
  <c r="D31" i="4"/>
  <c r="D38" i="4"/>
  <c r="AW12" i="1"/>
  <c r="AV12" i="1"/>
  <c r="AZ12" i="1" l="1"/>
  <c r="BA12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V9273" i="8" s="1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V9281" i="8" s="1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V9289" i="8" s="1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V9297" i="8" s="1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V9321" i="8" s="1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V9329" i="8" s="1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V9337" i="8" s="1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V9345" i="8" s="1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V9353" i="8" s="1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V9361" i="8" s="1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V9377" i="8" s="1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V9393" i="8" s="1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V9401" i="8" s="1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V9409" i="8" s="1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V9425" i="8" s="1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V9433" i="8" s="1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V9449" i="8" s="1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V9457" i="8" s="1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V9465" i="8" s="1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V9473" i="8" s="1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V9481" i="8" s="1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V9489" i="8" s="1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V9497" i="8" s="1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V9505" i="8" s="1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V9521" i="8" s="1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V9537" i="8" s="1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V9553" i="8" s="1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V9561" i="8" s="1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V9569" i="8" s="1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V9577" i="8" s="1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V9585" i="8" s="1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V9601" i="8" s="1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V9609" i="8" s="1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V9617" i="8" s="1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V9625" i="8" s="1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V9641" i="8" s="1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V9649" i="8" s="1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V9657" i="8" s="1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V9665" i="8" s="1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V9673" i="8" s="1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V9681" i="8" s="1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V9689" i="8" s="1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V9697" i="8" s="1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V9705" i="8" s="1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V9713" i="8" s="1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V9721" i="8" s="1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V9729" i="8" s="1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V9745" i="8" s="1"/>
  <c r="W9746" i="8"/>
  <c r="W9747" i="8"/>
  <c r="V9747" i="8" s="1"/>
  <c r="W9748" i="8"/>
  <c r="W9749" i="8"/>
  <c r="V9749" i="8" s="1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V9761" i="8" s="1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V9769" i="8" s="1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V9777" i="8" s="1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V9785" i="8" s="1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V9793" i="8" s="1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V9801" i="8" s="1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V9809" i="8" s="1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V9817" i="8" s="1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V9833" i="8" s="1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V9849" i="8" s="1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V9865" i="8" s="1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V9881" i="8" s="1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V9889" i="8" s="1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V9897" i="8" s="1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V9905" i="8" s="1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V9913" i="8" s="1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V9921" i="8" s="1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V9929" i="8" s="1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V9937" i="8" s="1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V9953" i="8" s="1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V9961" i="8" s="1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V9969" i="8" s="1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V9977" i="8" s="1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V9985" i="8" s="1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V9993" i="8" s="1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66" i="8"/>
  <c r="V9268" i="8"/>
  <c r="V9270" i="8"/>
  <c r="V9274" i="8"/>
  <c r="V9275" i="8"/>
  <c r="V9276" i="8"/>
  <c r="V9278" i="8"/>
  <c r="V9282" i="8"/>
  <c r="V9284" i="8"/>
  <c r="V9286" i="8"/>
  <c r="V9290" i="8"/>
  <c r="V9291" i="8"/>
  <c r="V9292" i="8"/>
  <c r="V9294" i="8"/>
  <c r="V9298" i="8"/>
  <c r="V9300" i="8"/>
  <c r="V9302" i="8"/>
  <c r="V9306" i="8"/>
  <c r="V9307" i="8"/>
  <c r="V9308" i="8"/>
  <c r="V9310" i="8"/>
  <c r="V9313" i="8"/>
  <c r="V9314" i="8"/>
  <c r="V9316" i="8"/>
  <c r="V9318" i="8"/>
  <c r="V9322" i="8"/>
  <c r="V9323" i="8"/>
  <c r="V9324" i="8"/>
  <c r="V9326" i="8"/>
  <c r="V9330" i="8"/>
  <c r="V9332" i="8"/>
  <c r="V9334" i="8"/>
  <c r="V9338" i="8"/>
  <c r="V9339" i="8"/>
  <c r="V9340" i="8"/>
  <c r="V9342" i="8"/>
  <c r="V9346" i="8"/>
  <c r="V9348" i="8"/>
  <c r="V9350" i="8"/>
  <c r="V9354" i="8"/>
  <c r="V9355" i="8"/>
  <c r="V9356" i="8"/>
  <c r="V9358" i="8"/>
  <c r="V9362" i="8"/>
  <c r="V9364" i="8"/>
  <c r="V9366" i="8"/>
  <c r="V9370" i="8"/>
  <c r="V9371" i="8"/>
  <c r="V9372" i="8"/>
  <c r="V9374" i="8"/>
  <c r="V9378" i="8"/>
  <c r="V9380" i="8"/>
  <c r="V9382" i="8"/>
  <c r="V9385" i="8"/>
  <c r="V9386" i="8"/>
  <c r="V9387" i="8"/>
  <c r="V9388" i="8"/>
  <c r="V9390" i="8"/>
  <c r="V9394" i="8"/>
  <c r="V9396" i="8"/>
  <c r="V9398" i="8"/>
  <c r="V9402" i="8"/>
  <c r="V9403" i="8"/>
  <c r="V9404" i="8"/>
  <c r="V9406" i="8"/>
  <c r="V9410" i="8"/>
  <c r="V9412" i="8"/>
  <c r="V9414" i="8"/>
  <c r="V9418" i="8"/>
  <c r="V9419" i="8"/>
  <c r="V9420" i="8"/>
  <c r="V9422" i="8"/>
  <c r="V9426" i="8"/>
  <c r="V9428" i="8"/>
  <c r="V9430" i="8"/>
  <c r="V9434" i="8"/>
  <c r="V9435" i="8"/>
  <c r="V9436" i="8"/>
  <c r="V9438" i="8"/>
  <c r="V9441" i="8"/>
  <c r="V9442" i="8"/>
  <c r="V9444" i="8"/>
  <c r="V9446" i="8"/>
  <c r="V9450" i="8"/>
  <c r="V9451" i="8"/>
  <c r="V9452" i="8"/>
  <c r="V9454" i="8"/>
  <c r="V9458" i="8"/>
  <c r="V9460" i="8"/>
  <c r="V9462" i="8"/>
  <c r="V9466" i="8"/>
  <c r="V9467" i="8"/>
  <c r="V9468" i="8"/>
  <c r="V9470" i="8"/>
  <c r="V9474" i="8"/>
  <c r="V9476" i="8"/>
  <c r="V9478" i="8"/>
  <c r="V9482" i="8"/>
  <c r="V9484" i="8"/>
  <c r="V9486" i="8"/>
  <c r="V9490" i="8"/>
  <c r="V9492" i="8"/>
  <c r="V9494" i="8"/>
  <c r="V9498" i="8"/>
  <c r="V9499" i="8"/>
  <c r="V9500" i="8"/>
  <c r="V9502" i="8"/>
  <c r="V9506" i="8"/>
  <c r="V9508" i="8"/>
  <c r="V9510" i="8"/>
  <c r="V9514" i="8"/>
  <c r="V9515" i="8"/>
  <c r="V9516" i="8"/>
  <c r="V9518" i="8"/>
  <c r="V9522" i="8"/>
  <c r="V9524" i="8"/>
  <c r="V9526" i="8"/>
  <c r="V9529" i="8"/>
  <c r="V9530" i="8"/>
  <c r="V9532" i="8"/>
  <c r="V9534" i="8"/>
  <c r="V9538" i="8"/>
  <c r="V9540" i="8"/>
  <c r="V9542" i="8"/>
  <c r="V9545" i="8"/>
  <c r="V9546" i="8"/>
  <c r="V9547" i="8"/>
  <c r="V9548" i="8"/>
  <c r="V9550" i="8"/>
  <c r="V9554" i="8"/>
  <c r="V9556" i="8"/>
  <c r="V9558" i="8"/>
  <c r="V9562" i="8"/>
  <c r="V9563" i="8"/>
  <c r="V9564" i="8"/>
  <c r="V9566" i="8"/>
  <c r="V9570" i="8"/>
  <c r="V9572" i="8"/>
  <c r="V9574" i="8"/>
  <c r="V9578" i="8"/>
  <c r="V9580" i="8"/>
  <c r="V9582" i="8"/>
  <c r="V9586" i="8"/>
  <c r="V9588" i="8"/>
  <c r="V9590" i="8"/>
  <c r="V9594" i="8"/>
  <c r="V9595" i="8"/>
  <c r="V9596" i="8"/>
  <c r="V9598" i="8"/>
  <c r="V9602" i="8"/>
  <c r="V9604" i="8"/>
  <c r="V9606" i="8"/>
  <c r="V9610" i="8"/>
  <c r="V9612" i="8"/>
  <c r="V9614" i="8"/>
  <c r="V9618" i="8"/>
  <c r="V9620" i="8"/>
  <c r="V9622" i="8"/>
  <c r="V9626" i="8"/>
  <c r="V9627" i="8"/>
  <c r="V9628" i="8"/>
  <c r="V9630" i="8"/>
  <c r="V9633" i="8"/>
  <c r="V9634" i="8"/>
  <c r="V9636" i="8"/>
  <c r="V9638" i="8"/>
  <c r="V9642" i="8"/>
  <c r="V9643" i="8"/>
  <c r="V9644" i="8"/>
  <c r="V9646" i="8"/>
  <c r="V9650" i="8"/>
  <c r="V9652" i="8"/>
  <c r="V9654" i="8"/>
  <c r="V9658" i="8"/>
  <c r="V9660" i="8"/>
  <c r="V9662" i="8"/>
  <c r="V9666" i="8"/>
  <c r="V9668" i="8"/>
  <c r="V9670" i="8"/>
  <c r="V9674" i="8"/>
  <c r="V9675" i="8"/>
  <c r="V9676" i="8"/>
  <c r="V9678" i="8"/>
  <c r="V9682" i="8"/>
  <c r="V9684" i="8"/>
  <c r="V9686" i="8"/>
  <c r="V9690" i="8"/>
  <c r="V9691" i="8"/>
  <c r="V9692" i="8"/>
  <c r="V9694" i="8"/>
  <c r="V9698" i="8"/>
  <c r="V9700" i="8"/>
  <c r="V9702" i="8"/>
  <c r="V9706" i="8"/>
  <c r="V9708" i="8"/>
  <c r="V9710" i="8"/>
  <c r="V9714" i="8"/>
  <c r="V9716" i="8"/>
  <c r="V9718" i="8"/>
  <c r="V9722" i="8"/>
  <c r="V9723" i="8"/>
  <c r="V9724" i="8"/>
  <c r="V9726" i="8"/>
  <c r="V9730" i="8"/>
  <c r="V9732" i="8"/>
  <c r="V9734" i="8"/>
  <c r="V9737" i="8"/>
  <c r="V9738" i="8"/>
  <c r="V9740" i="8"/>
  <c r="V9742" i="8"/>
  <c r="V9746" i="8"/>
  <c r="V9748" i="8"/>
  <c r="V9750" i="8"/>
  <c r="V9753" i="8"/>
  <c r="V9754" i="8"/>
  <c r="V9755" i="8"/>
  <c r="V9756" i="8"/>
  <c r="V9758" i="8"/>
  <c r="V9762" i="8"/>
  <c r="V9764" i="8"/>
  <c r="V9766" i="8"/>
  <c r="V9770" i="8"/>
  <c r="V9771" i="8"/>
  <c r="V9772" i="8"/>
  <c r="V9774" i="8"/>
  <c r="V9778" i="8"/>
  <c r="V9780" i="8"/>
  <c r="V9782" i="8"/>
  <c r="V9786" i="8"/>
  <c r="V9788" i="8"/>
  <c r="V9790" i="8"/>
  <c r="V9794" i="8"/>
  <c r="V9796" i="8"/>
  <c r="V9798" i="8"/>
  <c r="V9802" i="8"/>
  <c r="V9803" i="8"/>
  <c r="V9804" i="8"/>
  <c r="V9806" i="8"/>
  <c r="V9810" i="8"/>
  <c r="V9811" i="8"/>
  <c r="V9812" i="8"/>
  <c r="V9814" i="8"/>
  <c r="V9818" i="8"/>
  <c r="V9820" i="8"/>
  <c r="V9822" i="8"/>
  <c r="V9825" i="8"/>
  <c r="V9826" i="8"/>
  <c r="V9828" i="8"/>
  <c r="V9830" i="8"/>
  <c r="V9834" i="8"/>
  <c r="V9836" i="8"/>
  <c r="V9838" i="8"/>
  <c r="V9841" i="8"/>
  <c r="V9842" i="8"/>
  <c r="V9844" i="8"/>
  <c r="V9846" i="8"/>
  <c r="V9850" i="8"/>
  <c r="V9852" i="8"/>
  <c r="V9854" i="8"/>
  <c r="V9857" i="8"/>
  <c r="V9858" i="8"/>
  <c r="V9860" i="8"/>
  <c r="V9862" i="8"/>
  <c r="V9866" i="8"/>
  <c r="V9868" i="8"/>
  <c r="V9870" i="8"/>
  <c r="V9873" i="8"/>
  <c r="V9874" i="8"/>
  <c r="V9875" i="8"/>
  <c r="V9876" i="8"/>
  <c r="V9878" i="8"/>
  <c r="V9882" i="8"/>
  <c r="V9884" i="8"/>
  <c r="V9886" i="8"/>
  <c r="V9890" i="8"/>
  <c r="V9892" i="8"/>
  <c r="V9894" i="8"/>
  <c r="V9898" i="8"/>
  <c r="V9900" i="8"/>
  <c r="V9902" i="8"/>
  <c r="V9906" i="8"/>
  <c r="V9907" i="8"/>
  <c r="V9908" i="8"/>
  <c r="V9910" i="8"/>
  <c r="V9914" i="8"/>
  <c r="V9916" i="8"/>
  <c r="V9918" i="8"/>
  <c r="V9922" i="8"/>
  <c r="V9923" i="8"/>
  <c r="V9924" i="8"/>
  <c r="V9926" i="8"/>
  <c r="V9930" i="8"/>
  <c r="V9932" i="8"/>
  <c r="V9934" i="8"/>
  <c r="V9938" i="8"/>
  <c r="V9940" i="8"/>
  <c r="V9942" i="8"/>
  <c r="V9943" i="8"/>
  <c r="V9945" i="8"/>
  <c r="V9946" i="8"/>
  <c r="V9948" i="8"/>
  <c r="V9950" i="8"/>
  <c r="V9951" i="8"/>
  <c r="V9954" i="8"/>
  <c r="V9956" i="8"/>
  <c r="V9958" i="8"/>
  <c r="V9959" i="8"/>
  <c r="V9962" i="8"/>
  <c r="V9964" i="8"/>
  <c r="V9966" i="8"/>
  <c r="V9967" i="8"/>
  <c r="V9970" i="8"/>
  <c r="V9972" i="8"/>
  <c r="V9974" i="8"/>
  <c r="V9975" i="8"/>
  <c r="V9978" i="8"/>
  <c r="V9980" i="8"/>
  <c r="V9982" i="8"/>
  <c r="V9983" i="8"/>
  <c r="V9986" i="8"/>
  <c r="V9988" i="8"/>
  <c r="V9990" i="8"/>
  <c r="V9991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D6012" i="8"/>
  <c r="AC6013" i="8"/>
  <c r="AE6013" i="8" s="1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E6125" i="8" s="1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E6189" i="8" s="1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E6197" i="8" s="1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E6214" i="8" s="1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E6849" i="8" s="1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E7136" i="8" s="1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E7268" i="8" s="1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E7276" i="8" s="1"/>
  <c r="AD7276" i="8"/>
  <c r="AC7277" i="8"/>
  <c r="AD7277" i="8"/>
  <c r="AC7278" i="8"/>
  <c r="AD7278" i="8"/>
  <c r="AC7279" i="8"/>
  <c r="AD7279" i="8"/>
  <c r="AC7280" i="8"/>
  <c r="AE7280" i="8" s="1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E7687" i="8" s="1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E7765" i="8" s="1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E8188" i="8" s="1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 s="1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12" i="1" l="1"/>
  <c r="BF12" i="1" s="1"/>
  <c r="AE8558" i="8"/>
  <c r="AE8554" i="8"/>
  <c r="AE8526" i="8"/>
  <c r="AE8522" i="8"/>
  <c r="AE8494" i="8"/>
  <c r="AE8478" i="8"/>
  <c r="AE8474" i="8"/>
  <c r="AE8470" i="8"/>
  <c r="AE8458" i="8"/>
  <c r="AE8186" i="8"/>
  <c r="AE8182" i="8"/>
  <c r="AE8170" i="8"/>
  <c r="AE8166" i="8"/>
  <c r="AE8162" i="8"/>
  <c r="AE8106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215" i="8"/>
  <c r="AE6211" i="8"/>
  <c r="AE6207" i="8"/>
  <c r="AE6199" i="8"/>
  <c r="AE6191" i="8"/>
  <c r="AE6187" i="8"/>
  <c r="AE6143" i="8"/>
  <c r="AE6127" i="8"/>
  <c r="AE6123" i="8"/>
  <c r="AE6015" i="8"/>
  <c r="AE9376" i="8"/>
  <c r="AE9280" i="8"/>
  <c r="AE9216" i="8"/>
  <c r="AE9212" i="8"/>
  <c r="AE9208" i="8"/>
  <c r="AE9200" i="8"/>
  <c r="AE8937" i="8"/>
  <c r="AE7762" i="8"/>
  <c r="AE7738" i="8"/>
  <c r="AE7730" i="8"/>
  <c r="AE7726" i="8"/>
  <c r="AE7566" i="8"/>
  <c r="AE7554" i="8"/>
  <c r="AE7550" i="8"/>
  <c r="AE7542" i="8"/>
  <c r="AE7462" i="8"/>
  <c r="AE7454" i="8"/>
  <c r="AE7438" i="8"/>
  <c r="AE9048" i="8"/>
  <c r="AE9024" i="8"/>
  <c r="AE9008" i="8"/>
  <c r="AE8996" i="8"/>
  <c r="AE8584" i="8"/>
  <c r="AE7996" i="8"/>
  <c r="AE7872" i="8"/>
  <c r="AE7868" i="8"/>
  <c r="AE7852" i="8"/>
  <c r="AE7025" i="8"/>
  <c r="AE6985" i="8"/>
  <c r="AE6913" i="8"/>
  <c r="AE6897" i="8"/>
  <c r="AE6873" i="8"/>
  <c r="AE9878" i="8"/>
  <c r="AE9858" i="8"/>
  <c r="AE9042" i="8"/>
  <c r="AE8970" i="8"/>
  <c r="AE7711" i="8"/>
  <c r="AE9985" i="8"/>
  <c r="AE9949" i="8"/>
  <c r="AE9909" i="8"/>
  <c r="AE9905" i="8"/>
  <c r="AE9901" i="8"/>
  <c r="AE9897" i="8"/>
  <c r="AE9889" i="8"/>
  <c r="AE9849" i="8"/>
  <c r="AE9661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6623" i="8"/>
  <c r="AE6587" i="8"/>
  <c r="AE6431" i="8"/>
  <c r="AE6423" i="8"/>
  <c r="AE6375" i="8"/>
  <c r="AE6327" i="8"/>
  <c r="AE9245" i="8"/>
  <c r="AE9229" i="8"/>
  <c r="AE9221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999" i="8"/>
  <c r="AE9959" i="8"/>
  <c r="AE9911" i="8"/>
  <c r="AE9863" i="8"/>
  <c r="AE8890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784" i="8"/>
  <c r="AE7776" i="8"/>
  <c r="AE7768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9383" i="8"/>
  <c r="AE9211" i="8"/>
  <c r="AE8430" i="8"/>
  <c r="AE8139" i="8"/>
  <c r="AE8067" i="8"/>
  <c r="AE7907" i="8"/>
  <c r="AE7843" i="8"/>
  <c r="AE6992" i="8"/>
  <c r="AE6976" i="8"/>
  <c r="AE6968" i="8"/>
  <c r="AE6960" i="8"/>
  <c r="AE6928" i="8"/>
  <c r="AE6912" i="8"/>
  <c r="AE6888" i="8"/>
  <c r="AE6864" i="8"/>
  <c r="AE6856" i="8"/>
  <c r="AE9806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A22" i="8"/>
  <c r="X22" i="8" s="1"/>
  <c r="A23" i="8"/>
  <c r="X23" i="8" s="1"/>
  <c r="A25" i="8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46" i="8" l="1"/>
  <c r="X25" i="8"/>
  <c r="X21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D12" i="1" l="1"/>
  <c r="B12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<sst xmlns="http://schemas.openxmlformats.org/spreadsheetml/2006/main" count="2607" uniqueCount="1014">
  <si>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</si>
  <si>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</si>
  <si>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</si>
  <si>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</si>
  <si>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</si>
  <si>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</si>
  <si>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</si>
  <si>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</si>
  <si>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</si>
  <si>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</si>
  <si>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</si>
  <si>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</si>
  <si>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</si>
  <si>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</si>
  <si>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</si>
  <si>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</si>
  <si>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</si>
  <si>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</si>
  <si>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</si>
  <si>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</si>
  <si>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</si>
  <si>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</si>
  <si>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</si>
  <si>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</si>
  <si>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</si>
  <si>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</si>
  <si>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</si>
  <si>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</si>
  <si>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</si>
  <si>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</si>
  <si>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</si>
  <si>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</si>
  <si>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</si>
  <si>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</si>
  <si>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</si>
  <si>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</si>
  <si>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</si>
  <si>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</si>
  <si>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</si>
  <si>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</si>
  <si>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</si>
  <si>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</si>
  <si>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</si>
  <si>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</si>
  <si>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</si>
  <si>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</si>
  <si>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</si>
  <si>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</si>
  <si>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</si>
  <si>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</si>
  <si>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</si>
  <si>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</si>
  <si>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</si>
  <si>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</si>
  <si>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</si>
  <si>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</si>
  <si>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</si>
  <si>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</si>
  <si>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</si>
  <si>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</si>
  <si>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</si>
  <si>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</si>
  <si>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</si>
  <si>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</si>
  <si>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</si>
  <si>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</si>
  <si>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</si>
  <si>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</si>
  <si>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</si>
  <si>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</si>
  <si>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</si>
  <si>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</si>
  <si>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</si>
  <si>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</si>
  <si>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</si>
  <si>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</si>
  <si>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</si>
  <si>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</si>
  <si>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</si>
  <si>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</si>
  <si>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</si>
  <si>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</si>
  <si>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</si>
  <si>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</si>
  <si>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</si>
  <si>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</si>
  <si>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</si>
  <si>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</si>
  <si>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</si>
  <si>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</si>
  <si>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</si>
  <si>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</si>
  <si>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</si>
  <si>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</si>
  <si>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</si>
  <si>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</si>
  <si>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</si>
  <si>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</si>
  <si>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</si>
  <si>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</si>
  <si>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</si>
  <si>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</si>
  <si>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</si>
  <si>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</si>
  <si>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</si>
  <si>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</si>
  <si>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</si>
  <si>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</si>
  <si>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</si>
  <si>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</si>
  <si>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</si>
  <si>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</si>
  <si>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</si>
  <si>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</si>
  <si>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</si>
  <si>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</si>
  <si>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</si>
  <si>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</si>
  <si>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</si>
  <si>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</si>
  <si>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</si>
  <si>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</si>
  <si>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</si>
  <si>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</si>
  <si>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</si>
  <si>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</si>
  <si>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</si>
  <si>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</si>
  <si>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</si>
  <si>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</si>
  <si>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</si>
  <si>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</si>
  <si>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</si>
  <si>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</si>
  <si>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</si>
  <si>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</si>
  <si>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</si>
  <si>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</si>
  <si>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</si>
  <si>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</si>
  <si>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</si>
  <si>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</si>
  <si>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</si>
  <si>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</si>
  <si>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</si>
  <si>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</si>
  <si>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</si>
  <si>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</si>
  <si>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</si>
  <si>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</si>
  <si>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</si>
  <si>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</si>
  <si>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</si>
  <si>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</si>
  <si>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</si>
  <si>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</si>
  <si>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</si>
  <si>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</si>
  <si>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</si>
  <si>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</si>
  <si>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</si>
  <si>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</si>
  <si>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</si>
  <si>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</si>
  <si>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</si>
  <si>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</si>
  <si>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</si>
  <si>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</si>
  <si>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</si>
  <si>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</si>
  <si>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</si>
  <si>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</si>
  <si>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</si>
  <si>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</si>
  <si>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</si>
  <si>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</si>
  <si>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</si>
  <si>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</si>
  <si>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</si>
  <si>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</si>
  <si>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</si>
  <si>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</si>
  <si>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</si>
  <si>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</si>
  <si>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</si>
  <si>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</si>
  <si>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</si>
  <si>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</si>
  <si>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</si>
  <si>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</si>
  <si>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</si>
  <si>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</si>
  <si>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</si>
  <si>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</si>
  <si>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</si>
  <si>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</si>
  <si>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</si>
  <si>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</si>
  <si>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</si>
  <si>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</si>
  <si>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</si>
  <si>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</si>
  <si>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</si>
  <si>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</si>
  <si>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</si>
  <si>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</si>
  <si>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</si>
  <si>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</si>
  <si>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</si>
  <si>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</si>
  <si>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</si>
  <si>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</si>
  <si>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</si>
  <si>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</si>
  <si>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</si>
  <si>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</si>
  <si>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</si>
  <si>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</si>
  <si>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</si>
  <si>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</si>
  <si>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</si>
  <si>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</si>
  <si>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</si>
  <si>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</si>
  <si>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</si>
  <si>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</si>
  <si>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</si>
  <si>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</si>
  <si>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</si>
  <si>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</si>
  <si>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</si>
  <si>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</si>
  <si>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</si>
  <si>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</si>
  <si>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</si>
  <si>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</si>
  <si>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</si>
  <si>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</si>
  <si>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</si>
  <si>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</si>
  <si>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</si>
  <si>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</si>
  <si>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</si>
  <si>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</si>
  <si>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</si>
  <si>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</si>
  <si>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</si>
  <si>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</si>
  <si>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</si>
  <si>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</si>
  <si>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</si>
  <si>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</si>
  <si>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</si>
  <si>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</si>
  <si>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</si>
  <si>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</si>
  <si>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</si>
  <si>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</si>
  <si>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</si>
  <si>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</si>
  <si>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</si>
  <si>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</si>
  <si>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</si>
  <si>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</si>
  <si>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</si>
  <si>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</si>
  <si>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</si>
  <si>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</si>
  <si>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</si>
  <si>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</si>
  <si>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</si>
  <si>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</si>
  <si>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</si>
  <si>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</si>
  <si>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</si>
  <si>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</si>
  <si>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</si>
  <si>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</si>
  <si>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</si>
  <si>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</si>
  <si>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</si>
  <si>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</si>
  <si>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</si>
  <si>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</si>
  <si>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</si>
  <si>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</si>
  <si>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</si>
  <si>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</si>
  <si>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</si>
  <si>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</si>
  <si>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</si>
  <si>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</si>
  <si>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</si>
  <si>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</si>
  <si>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</si>
  <si>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</si>
  <si>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</si>
  <si>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</si>
  <si>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</si>
  <si>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</si>
  <si>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</si>
  <si>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</si>
  <si>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</si>
  <si>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</si>
  <si>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</si>
  <si>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</si>
  <si>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</si>
  <si>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</si>
  <si>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</si>
  <si>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</si>
  <si>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</si>
  <si>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</si>
  <si>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</si>
  <si>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</si>
  <si>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</si>
  <si>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</si>
  <si>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</si>
  <si>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</si>
  <si>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</si>
  <si>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</si>
  <si>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</si>
  <si>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</si>
  <si>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</si>
  <si>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</si>
  <si>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</si>
  <si>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</si>
  <si>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</si>
  <si>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</si>
  <si>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</si>
  <si>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</si>
  <si>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</si>
  <si>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</si>
  <si>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</si>
  <si>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</si>
  <si>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</si>
  <si>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</si>
  <si>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</si>
  <si>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</si>
  <si>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</si>
  <si>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</si>
  <si>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</si>
  <si>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</si>
  <si>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</si>
  <si>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</si>
  <si>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</si>
  <si>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</si>
  <si>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</si>
  <si>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</si>
  <si>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</si>
  <si>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</si>
  <si>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</si>
  <si>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</si>
  <si>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</si>
  <si>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</si>
  <si>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</si>
  <si>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</si>
  <si>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</si>
  <si>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</si>
  <si>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</si>
  <si>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</si>
  <si>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</si>
  <si>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</si>
  <si>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</si>
  <si>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</si>
  <si>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</si>
  <si>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</si>
  <si>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</si>
  <si>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</si>
  <si>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</si>
  <si>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</si>
  <si>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</si>
  <si>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</si>
  <si>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</si>
  <si>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</si>
  <si>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</si>
  <si>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</si>
  <si>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</si>
  <si>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</si>
  <si>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</si>
  <si>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</si>
  <si>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</si>
  <si>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</si>
  <si>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</si>
  <si>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</si>
  <si>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</si>
  <si>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</si>
  <si>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</si>
  <si>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</si>
  <si>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</si>
  <si>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</si>
  <si>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</si>
  <si>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</si>
  <si>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</si>
  <si>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</si>
  <si>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</si>
  <si>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</si>
  <si>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</si>
  <si>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</si>
  <si>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</si>
  <si>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</si>
  <si>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</si>
  <si>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</si>
  <si>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</si>
  <si>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</si>
  <si>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</si>
  <si>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</si>
  <si>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</si>
  <si>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</si>
  <si>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</si>
  <si>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</si>
  <si>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</si>
  <si>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</si>
  <si>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</si>
  <si>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</si>
  <si>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</si>
  <si>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</si>
  <si>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</si>
  <si>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</si>
  <si>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</si>
  <si>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</si>
  <si>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</si>
  <si>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</si>
  <si>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</si>
  <si>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</si>
  <si>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</si>
  <si>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</si>
  <si>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</si>
  <si>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</si>
  <si>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</si>
  <si>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</si>
  <si>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</si>
  <si>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</si>
  <si>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</si>
  <si>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</si>
  <si>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</si>
  <si>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</si>
  <si>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</si>
  <si>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</si>
  <si>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</si>
  <si>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</si>
  <si>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</si>
  <si>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</si>
  <si>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</si>
  <si>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</si>
  <si>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</si>
  <si>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</si>
  <si>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</si>
  <si>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</si>
  <si>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</si>
  <si>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</si>
  <si>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</si>
  <si>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</si>
  <si>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</si>
  <si>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</si>
  <si>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</si>
  <si>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</si>
  <si>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</si>
  <si>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</si>
  <si>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</si>
  <si>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</si>
  <si>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</si>
  <si>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</si>
  <si>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</si>
  <si>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</si>
  <si>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</si>
  <si>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</si>
  <si>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</si>
  <si>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</si>
  <si>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</si>
  <si>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</si>
  <si>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</si>
  <si>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</si>
  <si>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</si>
  <si>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</si>
  <si>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</si>
  <si>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</si>
  <si>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</si>
  <si>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</si>
  <si>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</si>
  <si>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</si>
  <si>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</si>
  <si>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</si>
  <si>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</si>
  <si>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</si>
  <si>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</si>
  <si>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</si>
  <si>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</si>
  <si>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</si>
  <si>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</si>
  <si>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</si>
  <si>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</si>
  <si>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</si>
  <si>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</si>
  <si>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</si>
  <si>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</si>
  <si>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</si>
  <si>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</si>
  <si>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</si>
  <si>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</si>
  <si>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</si>
  <si>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</si>
  <si>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</si>
  <si>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</si>
  <si>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</si>
  <si>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</si>
  <si>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</si>
  <si>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</si>
  <si>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</si>
  <si>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</si>
  <si>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</si>
  <si>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</si>
  <si>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</si>
  <si>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</si>
  <si>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</si>
  <si>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</si>
  <si>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</si>
  <si>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</si>
  <si>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</si>
  <si>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</si>
  <si>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</si>
  <si>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</si>
  <si>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</si>
  <si>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</si>
  <si>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</si>
  <si>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</si>
  <si>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</si>
  <si>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</si>
  <si>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</si>
  <si>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</si>
  <si>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</si>
  <si>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</si>
  <si>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</si>
  <si>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</si>
  <si>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</si>
  <si>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</si>
  <si>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</si>
  <si>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</si>
  <si>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</si>
  <si>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</si>
  <si>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</si>
  <si>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</si>
  <si>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</si>
  <si>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</si>
  <si>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</si>
  <si>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</si>
  <si>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</si>
  <si>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</si>
  <si>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</si>
  <si>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</si>
  <si>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</si>
  <si>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</si>
  <si>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</si>
  <si>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</si>
  <si>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</si>
  <si>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</si>
  <si>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</si>
  <si>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</si>
  <si>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</si>
  <si>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</si>
  <si>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</si>
  <si>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</si>
  <si>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</si>
  <si>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</si>
  <si>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</si>
  <si>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</si>
  <si>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</si>
  <si>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</si>
  <si>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</si>
  <si>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</si>
  <si>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</si>
  <si>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</si>
  <si>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</si>
  <si>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</si>
  <si>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</si>
  <si>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</si>
  <si>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</si>
  <si>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</si>
  <si>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</si>
  <si>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</si>
  <si>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</si>
  <si>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</si>
  <si>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</si>
  <si>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</si>
  <si>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</si>
  <si>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</si>
  <si>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</si>
  <si>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</si>
  <si>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</si>
  <si>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</si>
  <si>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</si>
  <si>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</si>
  <si>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</si>
  <si>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</si>
  <si>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</si>
  <si>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</si>
  <si>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</si>
  <si>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</si>
  <si>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</si>
  <si>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</si>
  <si>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</si>
  <si>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</si>
  <si>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</si>
  <si>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</si>
  <si>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</si>
  <si>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</si>
  <si>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</si>
  <si>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</si>
  <si>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</si>
  <si>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</si>
  <si>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</si>
  <si>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</si>
  <si>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</si>
  <si>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</si>
  <si>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</si>
  <si>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</si>
  <si>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</si>
  <si>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</si>
  <si>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</si>
  <si>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</si>
  <si>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</si>
  <si>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</si>
  <si>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</si>
  <si>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</si>
  <si>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</si>
  <si>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</si>
  <si>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</si>
  <si>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</si>
  <si>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</si>
  <si>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</si>
  <si>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</si>
  <si>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</si>
  <si>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</si>
  <si>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</si>
  <si>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</si>
  <si>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</si>
  <si>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</si>
  <si>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</si>
  <si>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</si>
  <si>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</si>
  <si>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</si>
  <si>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</si>
  <si>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</si>
  <si>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</si>
  <si>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</si>
  <si>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</si>
  <si>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</si>
  <si>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</si>
  <si>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</si>
  <si>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</si>
  <si>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</si>
  <si>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</si>
  <si>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</si>
  <si>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</si>
  <si>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</si>
  <si>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</si>
  <si>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</si>
  <si>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</si>
  <si>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</si>
  <si>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</si>
  <si>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</si>
  <si>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</si>
  <si>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</si>
  <si>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</si>
  <si>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</si>
  <si>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</si>
  <si>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</si>
  <si>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</si>
  <si>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</si>
  <si>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</si>
  <si>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</si>
  <si>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</si>
  <si>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</si>
  <si>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</si>
  <si>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</si>
  <si>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</si>
  <si>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</si>
  <si>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</si>
  <si>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</si>
  <si>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</si>
  <si>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</si>
  <si>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</si>
  <si>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</si>
  <si>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</si>
  <si>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</si>
  <si>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</si>
  <si>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</si>
  <si>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</si>
  <si>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</si>
  <si>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</si>
  <si>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</si>
  <si>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</si>
  <si>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</si>
  <si>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</si>
  <si>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</si>
  <si>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</si>
  <si>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</si>
  <si>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</si>
  <si>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</si>
  <si>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</si>
  <si>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</si>
  <si>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</si>
  <si>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</si>
  <si>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</si>
  <si>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</si>
  <si>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</si>
  <si>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</si>
  <si>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</si>
  <si>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</si>
  <si>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</si>
  <si>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</si>
  <si>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</si>
  <si>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</si>
  <si>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</si>
  <si>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</si>
  <si>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</si>
  <si>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</si>
  <si>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</si>
  <si>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</si>
  <si>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</si>
  <si>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</si>
  <si>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</si>
  <si>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</si>
  <si>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</si>
  <si>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</si>
  <si>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</si>
  <si>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</si>
  <si>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</si>
  <si>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</si>
  <si>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</si>
  <si>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</si>
  <si>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</si>
  <si>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</si>
  <si>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</si>
  <si>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</si>
  <si>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</si>
  <si>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</si>
  <si>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</si>
  <si>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</si>
  <si>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</si>
  <si>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</si>
  <si>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</si>
  <si>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</si>
  <si>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</si>
  <si>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</si>
  <si>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</si>
  <si>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</si>
  <si>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</si>
  <si>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</si>
  <si>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</si>
  <si>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</si>
  <si>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</si>
  <si>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</si>
  <si>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</si>
  <si>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</si>
  <si>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</si>
  <si>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</si>
  <si>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</si>
  <si>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</si>
  <si>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</si>
  <si>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</si>
  <si>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</si>
  <si>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</si>
  <si>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</si>
  <si>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</si>
  <si>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</si>
  <si>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</si>
  <si>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</si>
  <si>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</si>
  <si>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</si>
  <si>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</si>
  <si>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</si>
  <si>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</si>
  <si>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</si>
  <si>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</si>
  <si>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</si>
  <si>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</si>
  <si>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</si>
  <si>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</si>
  <si>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</si>
  <si>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</si>
  <si>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</si>
  <si>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</si>
  <si>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</si>
  <si>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</si>
  <si>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</si>
  <si>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</si>
  <si>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</si>
  <si>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</si>
  <si>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</si>
  <si>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</si>
  <si>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</si>
  <si>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</si>
  <si>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</si>
  <si>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</si>
  <si>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</si>
  <si>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</si>
  <si>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</si>
  <si>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</si>
  <si>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</si>
  <si>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</si>
  <si>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</si>
  <si>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</si>
  <si>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</si>
  <si>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</si>
  <si>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</si>
  <si>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</si>
  <si>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</si>
  <si>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</si>
  <si>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</si>
  <si>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</si>
  <si>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</si>
  <si>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</si>
  <si>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</si>
  <si>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</si>
  <si>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</si>
  <si>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</si>
  <si>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</si>
  <si>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</si>
  <si>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</si>
  <si>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</si>
  <si>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</si>
  <si>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</si>
  <si>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</si>
  <si>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</si>
  <si>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</si>
  <si>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</si>
  <si>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</si>
  <si>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</si>
  <si>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</si>
  <si>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</si>
  <si>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</si>
  <si>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</si>
  <si>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</si>
  <si>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</si>
  <si>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</si>
  <si>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</si>
  <si>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</si>
  <si>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</si>
  <si>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</si>
  <si>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</si>
  <si>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</si>
  <si>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</si>
  <si>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</si>
  <si>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</si>
  <si>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</si>
  <si>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</si>
  <si>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</si>
  <si>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</si>
  <si>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</si>
  <si>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</si>
  <si>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</si>
  <si>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</si>
  <si>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</si>
  <si>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</si>
  <si>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</si>
  <si>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</si>
  <si>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</si>
  <si>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</si>
  <si>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</si>
  <si>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</si>
  <si>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</si>
  <si>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</si>
  <si>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</si>
  <si>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</si>
  <si>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</si>
  <si>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</si>
  <si>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</si>
  <si>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</si>
  <si>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</si>
  <si>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</si>
  <si>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</si>
  <si>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</si>
  <si>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</si>
  <si>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</si>
  <si>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</si>
  <si>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</si>
  <si>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</si>
  <si>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</si>
  <si>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</si>
  <si>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</si>
  <si>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</si>
  <si>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</si>
  <si>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</si>
  <si>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</si>
  <si>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</si>
  <si>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</si>
  <si>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</si>
  <si>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</si>
  <si>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</si>
  <si>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</si>
  <si>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</si>
  <si>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</si>
  <si>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EC3603</t>
  </si>
  <si>
    <t>FL3713</t>
  </si>
  <si>
    <t>FK0894</t>
  </si>
  <si>
    <t>FQ5411</t>
  </si>
  <si>
    <t>FK0890</t>
  </si>
  <si>
    <t>FK0891</t>
  </si>
  <si>
    <t>DM6178</t>
  </si>
  <si>
    <t>GE0750</t>
  </si>
  <si>
    <t>GM4508</t>
  </si>
  <si>
    <t>GN2052</t>
  </si>
  <si>
    <t>GN2291</t>
  </si>
  <si>
    <t>HE9766</t>
  </si>
  <si>
    <t>HD9699</t>
  </si>
  <si>
    <t>HD9700</t>
  </si>
  <si>
    <t>HD7045</t>
  </si>
  <si>
    <t>HD7239</t>
  </si>
  <si>
    <t>HD2224</t>
  </si>
  <si>
    <t>HD9755</t>
  </si>
  <si>
    <t>HD9695</t>
  </si>
  <si>
    <t>3S CAP</t>
  </si>
  <si>
    <t>100% хлопок</t>
  </si>
  <si>
    <t>10216170/070122/3004177</t>
  </si>
  <si>
    <t>black</t>
  </si>
  <si>
    <t>ERR</t>
  </si>
  <si>
    <t>cn</t>
  </si>
  <si>
    <t>RK2450800</t>
  </si>
  <si>
    <t>RK2450DP4</t>
  </si>
  <si>
    <t>RK741502S</t>
  </si>
  <si>
    <t>RK7415HDE</t>
  </si>
  <si>
    <t>КИТАЙ</t>
  </si>
  <si>
    <t>ВЬЕТНАМ</t>
  </si>
  <si>
    <t>ФИЛИППИНЫ</t>
  </si>
  <si>
    <t>БАНГЛАДЕШ</t>
  </si>
  <si>
    <t>Филиппины</t>
  </si>
  <si>
    <t>PH</t>
  </si>
  <si>
    <t>2126901</t>
  </si>
  <si>
    <t>2126907</t>
  </si>
  <si>
    <t>2241674</t>
  </si>
  <si>
    <t>2344502</t>
  </si>
  <si>
    <t>2353501</t>
  </si>
  <si>
    <t>2359301</t>
  </si>
  <si>
    <t>2241675</t>
  </si>
  <si>
    <t>2241678</t>
  </si>
  <si>
    <t>2241679</t>
  </si>
  <si>
    <t>2255417</t>
  </si>
  <si>
    <t>2342801</t>
  </si>
  <si>
    <t>2343801</t>
  </si>
  <si>
    <t>2343805</t>
  </si>
  <si>
    <t>2366901</t>
  </si>
  <si>
    <t>2367503</t>
  </si>
  <si>
    <t>2371104</t>
  </si>
  <si>
    <t>2241685</t>
  </si>
  <si>
    <t>2375801</t>
  </si>
  <si>
    <t>2390901</t>
  </si>
  <si>
    <t>5291901</t>
  </si>
  <si>
    <t>5291902</t>
  </si>
  <si>
    <t>GP0124</t>
  </si>
  <si>
    <t>HD9885</t>
  </si>
  <si>
    <t>HD9884</t>
  </si>
  <si>
    <t>HD9887</t>
  </si>
  <si>
    <t>HE2381</t>
  </si>
  <si>
    <t>HE2388</t>
  </si>
  <si>
    <t>1361532-012</t>
  </si>
  <si>
    <t>1361532-601</t>
  </si>
  <si>
    <t>1361562-100</t>
  </si>
  <si>
    <t>1369785-100</t>
  </si>
  <si>
    <t>1369804-012</t>
  </si>
  <si>
    <t>56-001-</t>
  </si>
  <si>
    <t>56-002-</t>
  </si>
  <si>
    <t>56-003-</t>
  </si>
  <si>
    <t>56-004-</t>
  </si>
  <si>
    <t>56-005-</t>
  </si>
  <si>
    <t>56-006-</t>
  </si>
  <si>
    <t>56-007-</t>
  </si>
  <si>
    <t>56-008-</t>
  </si>
  <si>
    <t>56-009-</t>
  </si>
  <si>
    <t>56-010-</t>
  </si>
  <si>
    <t>56-011-</t>
  </si>
  <si>
    <t>56-012-</t>
  </si>
  <si>
    <t>56-013-</t>
  </si>
  <si>
    <t>56-014-</t>
  </si>
  <si>
    <t>56-015-</t>
  </si>
  <si>
    <t>56-016-</t>
  </si>
  <si>
    <t>56-017-</t>
  </si>
  <si>
    <t>56-018-</t>
  </si>
  <si>
    <t>56-019-</t>
  </si>
  <si>
    <t>56-020-</t>
  </si>
  <si>
    <t>56-021-</t>
  </si>
  <si>
    <t>56-022-</t>
  </si>
  <si>
    <t>56-023-</t>
  </si>
  <si>
    <t>56-024-</t>
  </si>
  <si>
    <t>56-025-</t>
  </si>
  <si>
    <t>56-026-</t>
  </si>
  <si>
    <t>56-027-</t>
  </si>
  <si>
    <t>56-028-</t>
  </si>
  <si>
    <t>56-029-</t>
  </si>
  <si>
    <t>56-030-</t>
  </si>
  <si>
    <t>56-031-</t>
  </si>
  <si>
    <t>56-032-</t>
  </si>
  <si>
    <t>56-033-</t>
  </si>
  <si>
    <t>56-034-</t>
  </si>
  <si>
    <t>56-035-</t>
  </si>
  <si>
    <t>56-036-</t>
  </si>
  <si>
    <t>56-037-</t>
  </si>
  <si>
    <t>56-038-</t>
  </si>
  <si>
    <t>56-039-</t>
  </si>
  <si>
    <t>56-040-</t>
  </si>
  <si>
    <t>56-041-</t>
  </si>
  <si>
    <t>56-042-</t>
  </si>
  <si>
    <t>56-043-</t>
  </si>
  <si>
    <t>56-044-</t>
  </si>
  <si>
    <t>56-045-</t>
  </si>
  <si>
    <t>56-046-</t>
  </si>
  <si>
    <t>56-047-</t>
  </si>
  <si>
    <t>56-048-</t>
  </si>
  <si>
    <t>56-049-</t>
  </si>
  <si>
    <t>56-050-</t>
  </si>
  <si>
    <t>56-051-</t>
  </si>
  <si>
    <t>56-052-</t>
  </si>
  <si>
    <t>56-053-</t>
  </si>
  <si>
    <t>56-054-</t>
  </si>
  <si>
    <t>56-055-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</si>
</sst>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AD58" sqref="AD58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1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Adidas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2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2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2" ca="1" si="3">IF(AU2&lt;&gt;"",VLOOKUP(AU2,INDIRECT(SUBSTITUTE($J2," ","")&amp;"Manufactures"),2,0),"Требуется код страны")</f>
        <v>Требуется код страны</v>
      </c>
      <c r="AX2" s="141">
        <f t="shared" ref="AX2:AX12" si="4">0.05+0.05</f>
        <v>0.1</v>
      </c>
      <c r="AY2" s="56">
        <f t="shared" ref="AY2:AY12" si="5">IF(AX2&lt;&gt;"",AX2*1.5,"Требуется нетто")</f>
        <v>0.15000000000000002</v>
      </c>
      <c r="AZ2" s="56" t="str">
        <f t="shared" ref="AZ2:AZ12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2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1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12" si="9">IFERROR(IF(BE2,"-",IFERROR(IF(BD2&gt;0,0,1),"")),"")</f>
        <v/>
      </c>
      <c r="BG2" s="88"/>
    </row>
    <row r="3" spans="1:59" ht="98.1" hidden="1" customHeight="1">
      <c r="A3" s="43"/>
      <c r="C3" s="145"/>
      <c r="D3" s="43"/>
      <c r="F3" s="43"/>
      <c r="G3" s="56"/>
      <c r="H3" s="43"/>
      <c r="I3" s="134"/>
      <c r="J3" s="57"/>
      <c r="K3" s="99"/>
      <c r="L3" s="150"/>
      <c r="M3" s="62"/>
      <c r="N3" s="56"/>
      <c r="O3" s="62"/>
      <c r="P3" s="62"/>
      <c r="Q3" s="152"/>
      <c r="R3" s="64"/>
      <c r="S3" s="56"/>
      <c r="T3" s="59"/>
      <c r="U3" s="59"/>
      <c r="V3" s="58"/>
      <c r="Y3" s="58"/>
      <c r="AA3" s="58"/>
      <c r="AC3" s="58"/>
      <c r="AE3" s="58"/>
      <c r="AG3" s="58"/>
      <c r="AT3" s="57"/>
      <c r="AU3" s="153"/>
      <c r="AV3" s="56"/>
      <c r="BC3" s="154"/>
      <c r="BE3" s="155"/>
      <c r="BF3" s="72"/>
    </row>
    <row r="4" spans="1:59" ht="98.1" hidden="1" customHeight="1">
      <c r="A4" s="43"/>
      <c r="C4" s="145"/>
      <c r="D4" s="43"/>
      <c r="F4" s="43"/>
      <c r="G4" s="56"/>
      <c r="H4" s="43"/>
      <c r="J4" s="57"/>
      <c r="K4" s="98"/>
      <c r="L4" s="151"/>
      <c r="M4" s="62"/>
      <c r="N4" s="56"/>
      <c r="O4" s="62"/>
      <c r="P4" s="62"/>
      <c r="Q4" s="152"/>
      <c r="R4" s="64"/>
      <c r="S4" s="62"/>
      <c r="T4" s="58"/>
      <c r="U4" s="59"/>
      <c r="V4" s="58"/>
      <c r="Y4" s="58"/>
      <c r="AA4" s="58"/>
      <c r="AC4" s="58"/>
      <c r="AE4" s="58"/>
      <c r="AG4" s="58"/>
      <c r="AT4" s="57"/>
      <c r="AU4" s="153"/>
      <c r="AV4" s="56"/>
      <c r="BC4" s="154"/>
      <c r="BE4" s="155"/>
      <c r="BF4" s="72"/>
    </row>
    <row r="5" spans="1:59" ht="98.1" hidden="1" customHeight="1">
      <c r="A5" s="43"/>
      <c r="C5" s="145"/>
      <c r="D5" s="43"/>
      <c r="F5" s="43"/>
      <c r="G5" s="56"/>
      <c r="H5" s="43"/>
      <c r="J5" s="57"/>
      <c r="K5" s="98"/>
      <c r="L5" s="151"/>
      <c r="M5" s="62"/>
      <c r="N5" s="56"/>
      <c r="O5" s="62"/>
      <c r="P5" s="62"/>
      <c r="Q5" s="152"/>
      <c r="R5" s="64"/>
      <c r="S5" s="56"/>
      <c r="T5" s="59"/>
      <c r="U5" s="59"/>
      <c r="V5" s="58"/>
      <c r="Y5" s="58"/>
      <c r="AA5" s="58"/>
      <c r="AC5" s="58"/>
      <c r="AE5" s="58"/>
      <c r="AG5" s="58"/>
      <c r="AT5" s="57"/>
      <c r="AU5" s="153"/>
      <c r="AV5" s="56"/>
      <c r="BC5" s="154"/>
      <c r="BE5" s="155"/>
      <c r="BF5" s="72"/>
    </row>
    <row r="6" spans="1:59" ht="98.1" hidden="1" customHeight="1">
      <c r="A6" s="43"/>
      <c r="C6" s="146"/>
      <c r="D6" s="43"/>
      <c r="F6" s="43"/>
      <c r="G6" s="56"/>
      <c r="H6" s="43"/>
      <c r="J6" s="57"/>
      <c r="K6" s="100"/>
      <c r="L6" s="151"/>
      <c r="M6" s="62"/>
      <c r="N6" s="56"/>
      <c r="O6" s="62"/>
      <c r="P6" s="62"/>
      <c r="Q6" s="152"/>
      <c r="R6" s="64"/>
      <c r="S6" s="56"/>
      <c r="T6" s="59"/>
      <c r="U6" s="59"/>
      <c r="V6" s="58"/>
      <c r="Y6" s="58"/>
      <c r="AA6" s="58"/>
      <c r="AC6" s="58"/>
      <c r="AE6" s="58"/>
      <c r="AG6" s="58"/>
      <c r="AT6" s="57"/>
      <c r="AU6" s="153"/>
      <c r="AV6" s="56"/>
      <c r="BC6" s="154"/>
      <c r="BE6" s="155"/>
      <c r="BF6" s="72"/>
    </row>
    <row r="7" spans="1:59" ht="98.1" hidden="1" customHeight="1">
      <c r="A7" s="43"/>
      <c r="C7" s="146"/>
      <c r="D7" s="43"/>
      <c r="F7" s="43"/>
      <c r="G7" s="56"/>
      <c r="H7" s="43"/>
      <c r="J7" s="57"/>
      <c r="K7" s="100"/>
      <c r="L7" s="151"/>
      <c r="M7" s="62"/>
      <c r="N7" s="56"/>
      <c r="O7" s="62"/>
      <c r="P7" s="62"/>
      <c r="Q7" s="152"/>
      <c r="R7" s="64"/>
      <c r="S7" s="62"/>
      <c r="T7" s="58"/>
      <c r="U7" s="59"/>
      <c r="V7" s="58"/>
      <c r="Y7" s="58"/>
      <c r="AA7" s="58"/>
      <c r="AC7" s="58"/>
      <c r="AE7" s="58"/>
      <c r="AG7" s="58"/>
      <c r="AT7" s="57"/>
      <c r="AU7" s="153"/>
      <c r="AV7" s="56"/>
      <c r="BC7" s="154"/>
      <c r="BE7" s="155"/>
      <c r="BF7" s="72"/>
    </row>
    <row r="8" spans="1:59" ht="98.1" hidden="1" customHeight="1">
      <c r="A8" s="43"/>
      <c r="C8" s="146"/>
      <c r="D8" s="43"/>
      <c r="F8" s="43"/>
      <c r="G8" s="56"/>
      <c r="H8" s="43"/>
      <c r="J8" s="57"/>
      <c r="K8" s="100"/>
      <c r="L8" s="151"/>
      <c r="M8" s="62"/>
      <c r="N8" s="56"/>
      <c r="O8" s="62"/>
      <c r="P8" s="62"/>
      <c r="Q8" s="152"/>
      <c r="R8" s="64"/>
      <c r="S8" s="56"/>
      <c r="T8" s="59"/>
      <c r="U8" s="59"/>
      <c r="V8" s="58"/>
      <c r="Y8" s="58"/>
      <c r="AA8" s="58"/>
      <c r="AC8" s="58"/>
      <c r="AE8" s="58"/>
      <c r="AG8" s="58"/>
      <c r="AT8" s="57"/>
      <c r="AU8" s="153"/>
      <c r="AV8" s="56"/>
      <c r="BC8" s="154"/>
      <c r="BE8" s="155"/>
      <c r="BF8" s="72"/>
    </row>
    <row r="9" spans="1:59" ht="98.1" hidden="1" customHeight="1">
      <c r="A9" s="43"/>
      <c r="C9" s="146"/>
      <c r="D9" s="43"/>
      <c r="F9" s="43"/>
      <c r="G9" s="56"/>
      <c r="H9" s="43"/>
      <c r="J9" s="57"/>
      <c r="K9" s="100"/>
      <c r="L9" s="151"/>
      <c r="M9" s="62"/>
      <c r="N9" s="56"/>
      <c r="O9" s="62"/>
      <c r="P9" s="62"/>
      <c r="Q9" s="152"/>
      <c r="R9" s="64"/>
      <c r="S9" s="56"/>
      <c r="T9" s="59"/>
      <c r="U9" s="59"/>
      <c r="V9" s="58"/>
      <c r="Y9" s="58"/>
      <c r="AA9" s="58"/>
      <c r="AC9" s="58"/>
      <c r="AE9" s="58"/>
      <c r="AG9" s="58"/>
      <c r="AT9" s="57"/>
      <c r="AU9" s="153"/>
      <c r="AV9" s="56"/>
      <c r="BC9" s="154"/>
      <c r="BE9" s="155"/>
      <c r="BF9" s="72"/>
    </row>
    <row r="10" spans="1:59" ht="98.1" hidden="1" customHeight="1">
      <c r="A10" s="43"/>
      <c r="C10" s="146"/>
      <c r="D10" s="43"/>
      <c r="F10" s="43"/>
      <c r="G10" s="56"/>
      <c r="H10" s="43"/>
      <c r="J10" s="57"/>
      <c r="K10" s="100"/>
      <c r="L10" s="151"/>
      <c r="M10" s="62"/>
      <c r="N10" s="56"/>
      <c r="O10" s="62"/>
      <c r="P10" s="62"/>
      <c r="Q10" s="152"/>
      <c r="R10" s="64"/>
      <c r="S10" s="56"/>
      <c r="T10" s="59"/>
      <c r="U10" s="59"/>
      <c r="V10" s="58"/>
      <c r="Y10" s="58"/>
      <c r="AA10" s="58"/>
      <c r="AC10" s="58"/>
      <c r="AE10" s="58"/>
      <c r="AG10" s="58"/>
      <c r="AT10" s="57"/>
      <c r="AU10" s="153"/>
      <c r="AV10" s="56"/>
      <c r="BC10" s="154"/>
      <c r="BE10" s="155"/>
      <c r="BF10" s="72"/>
    </row>
    <row r="11" spans="1:59" ht="98.1" hidden="1" customHeight="1">
      <c r="A11" s="43"/>
      <c r="C11" s="146"/>
      <c r="D11" s="43"/>
      <c r="F11" s="43"/>
      <c r="G11" s="56"/>
      <c r="H11" s="43"/>
      <c r="J11" s="57"/>
      <c r="K11" s="100"/>
      <c r="L11" s="151"/>
      <c r="M11" s="62"/>
      <c r="N11" s="56"/>
      <c r="O11" s="62"/>
      <c r="P11" s="62"/>
      <c r="Q11" s="152"/>
      <c r="R11" s="64"/>
      <c r="S11" s="62"/>
      <c r="T11" s="58"/>
      <c r="U11" s="59"/>
      <c r="V11" s="58"/>
      <c r="Y11" s="58"/>
      <c r="AA11" s="58"/>
      <c r="AC11" s="58"/>
      <c r="AE11" s="58"/>
      <c r="AG11" s="58"/>
      <c r="AT11" s="57"/>
      <c r="AU11" s="153"/>
      <c r="AV11" s="56"/>
      <c r="BC11" s="154"/>
      <c r="BE11" s="155"/>
      <c r="BF11" s="72"/>
    </row>
    <row r="12" spans="1:59" ht="98.1" customHeight="1">
      <c r="A12" s="43" t="str">
        <f t="shared" si="0"/>
        <v>GN2052black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56-010-09</v>
      </c>
      <c r="C12" s="146" t="s">
        <v>901</v>
      </c>
      <c r="D12" s="43" t="s">
        <v>911</v>
      </c>
      <c r="E12" s="43" t="str">
        <f>IF(F12&lt;&gt;"",IFERROR(VLOOKUP(F12,Категории!A:B,2,0),""),"Требуется категория")</f>
        <v>Бейсболки</v>
      </c>
      <c r="F12" s="43" t="s">
        <v>327</v>
      </c>
      <c r="G12" s="56" t="s">
        <v>887</v>
      </c>
      <c r="H12" s="43" t="s">
        <v>388</v>
      </c>
      <c r="J12" s="57" t="s">
        <v>887</v>
      </c>
      <c r="K12" s="100" t="s">
        <v>914</v>
      </c>
      <c r="L12" s="151" t="s">
        <v>53</v>
      </c>
      <c r="M12" s="62"/>
      <c r="N12" s="56" t="s">
        <v>913</v>
      </c>
      <c r="O12" s="62"/>
      <c r="P12" s="62"/>
      <c r="Q12" s="152" t="s">
        <v>912</v>
      </c>
      <c r="R12" s="64"/>
      <c r="S12" s="56" t="s">
        <v>43</v>
      </c>
      <c r="T12" s="59" t="str">
        <f>IF(S12&lt;&gt;"",IFERROR(VLOOKUP(S12,MaterialsTypes!F:G,2,0),IFERROR(VLOOKUP(Q12,MaterialsTypes100,2,0),"")),IFERROR(VLOOKUP(Q12,MaterialsTypes100,2,0),""))</f>
        <v>Текстиль, ткань</v>
      </c>
      <c r="U12" s="59" t="s">
        <v>382</v>
      </c>
      <c r="V12" s="58"/>
      <c r="Y12" s="58"/>
      <c r="AA12" s="58">
        <v>2</v>
      </c>
      <c r="AC12" s="58"/>
      <c r="AE12" s="58"/>
      <c r="AG12" s="58"/>
      <c r="AT12" s="57">
        <f t="shared" si="1"/>
        <v>2</v>
      </c>
      <c r="AU12" s="153" t="s">
        <v>916</v>
      </c>
      <c r="AV12" s="56" t="str">
        <f t="shared" ca="1" si="2"/>
        <v>ERR</v>
      </c>
      <c r="AW12" s="43" t="str">
        <f t="shared" ca="1" si="3"/>
        <v>Китай</v>
      </c>
      <c r="AX12" s="74">
        <f t="shared" si="4"/>
        <v>0.1</v>
      </c>
      <c r="AY12" s="43">
        <f t="shared" si="5"/>
        <v>0.15000000000000002</v>
      </c>
      <c r="AZ12" s="43">
        <f t="shared" si="6"/>
        <v>0.2</v>
      </c>
      <c r="BA12" s="43">
        <f t="shared" si="7"/>
        <v>0.30000000000000004</v>
      </c>
      <c r="BB12" s="139">
        <v>1316.7</v>
      </c>
      <c r="BC12" s="154">
        <f t="shared" si="8"/>
        <v>2633.4</v>
      </c>
      <c r="BD12" s="45">
        <f>IF(A12&lt;&gt;"",IF(_xlfn.XLOOKUP(A12,'1C'!A:A,'1C'!A:A,0,0)&gt;0,1,0),"")</f>
        <v>0</v>
      </c>
      <c r="BE12" s="155">
        <f>IF(C12&lt;&gt;"",IF(_xlfn.XLOOKUP(TEXT(C12,"###"),'1C'!W:W,'1C'!D:D,0,0)&gt;0,0,1),"")</f>
        <v>1</v>
      </c>
      <c r="BF12" s="72" t="str">
        <f t="shared" si="9"/>
        <v>-</v>
      </c>
    </row>
    <row r="13" spans="1:59" ht="98.1" hidden="1" customHeight="1">
      <c r="A13" s="43"/>
      <c r="C13" s="146"/>
      <c r="D13" s="43"/>
      <c r="F13" s="43"/>
      <c r="G13" s="56"/>
      <c r="H13" s="43"/>
      <c r="J13" s="57"/>
      <c r="K13" s="100"/>
      <c r="L13" s="151"/>
      <c r="M13" s="62"/>
      <c r="N13" s="56"/>
      <c r="O13" s="62"/>
      <c r="P13" s="62"/>
      <c r="Q13" s="152"/>
      <c r="R13" s="64"/>
      <c r="S13" s="62"/>
      <c r="T13" s="58"/>
      <c r="U13" s="59"/>
      <c r="V13" s="58"/>
      <c r="Y13" s="58"/>
      <c r="AA13" s="58"/>
      <c r="AC13" s="58"/>
      <c r="AE13" s="58"/>
      <c r="AG13" s="58"/>
      <c r="AT13" s="57"/>
      <c r="AU13" s="153"/>
      <c r="AV13" s="56"/>
      <c r="BC13" s="154"/>
      <c r="BE13" s="155"/>
      <c r="BF13" s="72"/>
    </row>
    <row r="14" spans="1:59" ht="98.1" hidden="1" customHeight="1">
      <c r="A14" s="43"/>
      <c r="C14" s="146"/>
      <c r="D14" s="43"/>
      <c r="F14" s="43"/>
      <c r="G14" s="56"/>
      <c r="H14" s="43"/>
      <c r="J14" s="57"/>
      <c r="K14" s="100"/>
      <c r="L14" s="151"/>
      <c r="M14" s="62"/>
      <c r="N14" s="56"/>
      <c r="O14" s="62"/>
      <c r="P14" s="62"/>
      <c r="Q14" s="152"/>
      <c r="R14" s="64"/>
      <c r="S14" s="56"/>
      <c r="T14" s="59"/>
      <c r="U14" s="59"/>
      <c r="V14" s="58"/>
      <c r="Y14" s="58"/>
      <c r="AA14" s="58"/>
      <c r="AC14" s="58"/>
      <c r="AE14" s="58"/>
      <c r="AG14" s="58"/>
      <c r="AT14" s="57"/>
      <c r="AU14" s="153"/>
      <c r="AV14" s="56"/>
      <c r="BC14" s="154"/>
      <c r="BE14" s="155"/>
      <c r="BF14" s="72"/>
    </row>
    <row r="15" spans="1:59" ht="98.1" hidden="1" customHeight="1">
      <c r="A15" s="43"/>
      <c r="C15" s="146"/>
      <c r="D15" s="43"/>
      <c r="F15" s="43"/>
      <c r="G15" s="56"/>
      <c r="H15" s="43"/>
      <c r="J15" s="57"/>
      <c r="K15" s="100"/>
      <c r="L15" s="151"/>
      <c r="M15" s="62"/>
      <c r="N15" s="56"/>
      <c r="O15" s="62"/>
      <c r="P15" s="62"/>
      <c r="Q15" s="152"/>
      <c r="R15" s="64"/>
      <c r="S15" s="56"/>
      <c r="T15" s="59"/>
      <c r="U15" s="59"/>
      <c r="V15" s="58"/>
      <c r="Y15" s="58"/>
      <c r="AA15" s="58"/>
      <c r="AC15" s="58"/>
      <c r="AE15" s="58"/>
      <c r="AG15" s="58"/>
      <c r="AT15" s="57"/>
      <c r="AU15" s="153"/>
      <c r="AV15" s="56"/>
      <c r="BC15" s="154"/>
      <c r="BE15" s="155"/>
      <c r="BF15" s="72"/>
    </row>
    <row r="16" spans="1:59" ht="98.1" hidden="1" customHeight="1">
      <c r="A16" s="43"/>
      <c r="C16" s="146"/>
      <c r="D16" s="43"/>
      <c r="F16" s="43"/>
      <c r="G16" s="56"/>
      <c r="H16" s="43"/>
      <c r="J16" s="57"/>
      <c r="K16" s="100"/>
      <c r="L16" s="151"/>
      <c r="M16" s="62"/>
      <c r="N16" s="56"/>
      <c r="O16" s="62"/>
      <c r="P16" s="62"/>
      <c r="Q16" s="152"/>
      <c r="R16" s="64"/>
      <c r="S16" s="56"/>
      <c r="T16" s="59"/>
      <c r="U16" s="59"/>
      <c r="V16" s="58"/>
      <c r="Y16" s="58"/>
      <c r="AA16" s="58"/>
      <c r="AC16" s="58"/>
      <c r="AE16" s="58"/>
      <c r="AG16" s="58"/>
      <c r="AT16" s="57"/>
      <c r="AU16" s="153"/>
      <c r="AV16" s="56"/>
      <c r="BC16" s="154"/>
      <c r="BE16" s="155"/>
      <c r="BF16" s="72"/>
    </row>
    <row r="17" spans="1:58" ht="98.1" hidden="1" customHeight="1">
      <c r="A17" s="43"/>
      <c r="C17" s="146"/>
      <c r="D17" s="43"/>
      <c r="F17" s="43"/>
      <c r="G17" s="56"/>
      <c r="H17" s="43"/>
      <c r="J17" s="57"/>
      <c r="K17" s="100"/>
      <c r="L17" s="151"/>
      <c r="M17" s="62"/>
      <c r="N17" s="56"/>
      <c r="O17" s="62"/>
      <c r="P17" s="62"/>
      <c r="Q17" s="152"/>
      <c r="R17" s="64"/>
      <c r="S17" s="62"/>
      <c r="T17" s="58"/>
      <c r="U17" s="59"/>
      <c r="V17" s="58"/>
      <c r="Y17" s="58"/>
      <c r="AA17" s="58"/>
      <c r="AC17" s="58"/>
      <c r="AE17" s="58"/>
      <c r="AG17" s="58"/>
      <c r="AT17" s="57"/>
      <c r="AU17" s="153"/>
      <c r="AV17" s="56"/>
      <c r="BC17" s="154"/>
      <c r="BE17" s="155"/>
      <c r="BF17" s="72"/>
    </row>
    <row r="18" spans="1:58" ht="98.1" hidden="1" customHeight="1">
      <c r="A18" s="43"/>
      <c r="C18" s="146"/>
      <c r="D18" s="43"/>
      <c r="F18" s="43"/>
      <c r="G18" s="56"/>
      <c r="H18" s="43"/>
      <c r="J18" s="57"/>
      <c r="K18" s="100"/>
      <c r="L18" s="151"/>
      <c r="M18" s="62"/>
      <c r="N18" s="56"/>
      <c r="O18" s="62"/>
      <c r="P18" s="62"/>
      <c r="Q18" s="152"/>
      <c r="R18" s="64"/>
      <c r="S18" s="56"/>
      <c r="T18" s="59"/>
      <c r="U18" s="59"/>
      <c r="V18" s="58"/>
      <c r="Y18" s="58"/>
      <c r="AA18" s="58"/>
      <c r="AC18" s="58"/>
      <c r="AE18" s="58"/>
      <c r="AG18" s="58"/>
      <c r="AT18" s="57"/>
      <c r="AU18" s="153"/>
      <c r="AV18" s="56"/>
      <c r="BC18" s="154"/>
      <c r="BE18" s="155"/>
      <c r="BF18" s="72"/>
    </row>
    <row r="19" spans="1:58" ht="98.1" hidden="1" customHeight="1">
      <c r="A19" s="43"/>
      <c r="C19" s="146"/>
      <c r="D19" s="43"/>
      <c r="F19" s="43"/>
      <c r="G19" s="56"/>
      <c r="H19" s="43"/>
      <c r="J19" s="57"/>
      <c r="K19" s="100"/>
      <c r="L19" s="151"/>
      <c r="M19" s="62"/>
      <c r="N19" s="56"/>
      <c r="O19" s="62"/>
      <c r="P19" s="62"/>
      <c r="Q19" s="152"/>
      <c r="R19" s="64"/>
      <c r="S19" s="56"/>
      <c r="T19" s="59"/>
      <c r="U19" s="59"/>
      <c r="V19" s="58"/>
      <c r="Y19" s="58"/>
      <c r="AA19" s="58"/>
      <c r="AC19" s="58"/>
      <c r="AE19" s="58"/>
      <c r="AG19" s="58"/>
      <c r="AT19" s="57"/>
      <c r="AU19" s="153"/>
      <c r="AV19" s="56"/>
      <c r="BC19" s="154"/>
      <c r="BE19" s="155"/>
      <c r="BF19" s="72"/>
    </row>
    <row r="20" spans="1:58" ht="98.1" hidden="1" customHeight="1">
      <c r="A20" s="43"/>
      <c r="C20" s="146"/>
      <c r="D20" s="43"/>
      <c r="F20" s="43"/>
      <c r="G20" s="56"/>
      <c r="H20" s="43"/>
      <c r="J20" s="57"/>
      <c r="K20" s="100"/>
      <c r="L20" s="151"/>
      <c r="M20" s="62"/>
      <c r="N20" s="56"/>
      <c r="O20" s="62"/>
      <c r="P20" s="62"/>
      <c r="Q20" s="152"/>
      <c r="R20" s="64"/>
      <c r="S20" s="62"/>
      <c r="T20" s="58"/>
      <c r="U20" s="59"/>
      <c r="V20" s="58"/>
      <c r="Y20" s="58"/>
      <c r="AA20" s="58"/>
      <c r="AC20" s="58"/>
      <c r="AE20" s="58"/>
      <c r="AG20" s="58"/>
      <c r="AT20" s="57"/>
      <c r="AU20" s="153"/>
      <c r="AV20" s="56"/>
      <c r="BC20" s="154"/>
      <c r="BE20" s="155"/>
      <c r="BF20" s="72"/>
    </row>
    <row r="21" spans="1:58" ht="98.1" hidden="1" customHeight="1">
      <c r="A21" s="43"/>
      <c r="C21" s="146"/>
      <c r="D21" s="43"/>
      <c r="F21" s="43"/>
      <c r="G21" s="56"/>
      <c r="H21" s="43"/>
      <c r="J21" s="57"/>
      <c r="K21" s="100"/>
      <c r="L21" s="151"/>
      <c r="M21" s="62"/>
      <c r="N21" s="56"/>
      <c r="O21" s="62"/>
      <c r="P21" s="62"/>
      <c r="Q21" s="152"/>
      <c r="R21" s="64"/>
      <c r="S21" s="62"/>
      <c r="T21" s="58"/>
      <c r="U21" s="59"/>
      <c r="V21" s="58"/>
      <c r="Y21" s="58"/>
      <c r="AA21" s="58"/>
      <c r="AC21" s="58"/>
      <c r="AE21" s="58"/>
      <c r="AG21" s="58"/>
      <c r="AT21" s="57"/>
      <c r="AU21" s="153"/>
      <c r="AV21" s="56"/>
      <c r="BC21" s="154"/>
      <c r="BE21" s="155"/>
      <c r="BF21" s="72"/>
    </row>
    <row r="22" spans="1:58" ht="98.1" hidden="1" customHeight="1">
      <c r="A22" s="43"/>
      <c r="C22" s="146"/>
      <c r="D22" s="43"/>
      <c r="F22" s="43"/>
      <c r="G22" s="56"/>
      <c r="H22" s="43"/>
      <c r="J22" s="57"/>
      <c r="K22" s="100"/>
      <c r="L22" s="151"/>
      <c r="M22" s="62"/>
      <c r="N22" s="56"/>
      <c r="O22" s="62"/>
      <c r="P22" s="62"/>
      <c r="Q22" s="152"/>
      <c r="R22" s="64"/>
      <c r="S22" s="56"/>
      <c r="T22" s="59"/>
      <c r="U22" s="59"/>
      <c r="V22" s="58"/>
      <c r="Y22" s="58"/>
      <c r="AA22" s="58"/>
      <c r="AC22" s="58"/>
      <c r="AE22" s="58"/>
      <c r="AG22" s="58"/>
      <c r="AT22" s="57"/>
      <c r="AU22" s="153"/>
      <c r="AV22" s="56"/>
      <c r="BC22" s="154"/>
      <c r="BE22" s="155"/>
      <c r="BF22" s="72"/>
    </row>
    <row r="23" spans="1:58" ht="98.1" hidden="1" customHeight="1">
      <c r="A23" s="43"/>
      <c r="C23" s="146"/>
      <c r="D23" s="43"/>
      <c r="F23" s="43"/>
      <c r="G23" s="56"/>
      <c r="H23" s="43"/>
      <c r="J23" s="57"/>
      <c r="K23" s="100"/>
      <c r="L23" s="151"/>
      <c r="M23" s="62"/>
      <c r="N23" s="56"/>
      <c r="O23" s="62"/>
      <c r="P23" s="62"/>
      <c r="Q23" s="152"/>
      <c r="R23" s="64"/>
      <c r="S23" s="56"/>
      <c r="T23" s="59"/>
      <c r="U23" s="59"/>
      <c r="V23" s="58"/>
      <c r="Y23" s="58"/>
      <c r="AA23" s="58"/>
      <c r="AC23" s="58"/>
      <c r="AE23" s="58"/>
      <c r="AG23" s="58"/>
      <c r="AT23" s="57"/>
      <c r="AU23" s="153"/>
      <c r="AV23" s="56"/>
      <c r="BC23" s="154"/>
      <c r="BE23" s="155"/>
      <c r="BF23" s="72"/>
    </row>
    <row r="24" spans="1:58" ht="98.1" hidden="1" customHeight="1">
      <c r="A24" s="43"/>
      <c r="C24" s="146"/>
      <c r="D24" s="43"/>
      <c r="F24" s="43"/>
      <c r="G24" s="56"/>
      <c r="H24" s="43"/>
      <c r="J24" s="57"/>
      <c r="K24" s="100"/>
      <c r="L24" s="151"/>
      <c r="M24" s="62"/>
      <c r="N24" s="56"/>
      <c r="O24" s="62"/>
      <c r="P24" s="62"/>
      <c r="Q24" s="152"/>
      <c r="R24" s="64"/>
      <c r="S24" s="56"/>
      <c r="T24" s="59"/>
      <c r="U24" s="59"/>
      <c r="V24" s="58"/>
      <c r="Y24" s="58"/>
      <c r="AA24" s="58"/>
      <c r="AC24" s="58"/>
      <c r="AE24" s="58"/>
      <c r="AG24" s="58"/>
      <c r="AT24" s="57"/>
      <c r="AU24" s="153"/>
      <c r="AV24" s="56"/>
      <c r="BC24" s="154"/>
      <c r="BE24" s="155"/>
      <c r="BF24" s="72"/>
    </row>
    <row r="25" spans="1:58" ht="98.1" hidden="1" customHeight="1">
      <c r="A25" s="43"/>
      <c r="C25" s="146"/>
      <c r="D25" s="43"/>
      <c r="F25" s="43"/>
      <c r="G25" s="56"/>
      <c r="H25" s="43"/>
      <c r="J25" s="57"/>
      <c r="K25" s="100"/>
      <c r="L25" s="151"/>
      <c r="M25" s="62"/>
      <c r="N25" s="56"/>
      <c r="O25" s="62"/>
      <c r="P25" s="62"/>
      <c r="Q25" s="152"/>
      <c r="R25" s="64"/>
      <c r="S25" s="56"/>
      <c r="T25" s="59"/>
      <c r="U25" s="59"/>
      <c r="V25" s="58"/>
      <c r="Y25" s="58"/>
      <c r="AA25" s="58"/>
      <c r="AC25" s="58"/>
      <c r="AE25" s="58"/>
      <c r="AG25" s="58"/>
      <c r="AT25" s="57"/>
      <c r="AU25" s="153"/>
      <c r="AV25" s="56"/>
      <c r="BC25" s="154"/>
      <c r="BE25" s="155"/>
      <c r="BF25" s="72"/>
    </row>
    <row r="26" spans="1:58" ht="98.1" hidden="1" customHeight="1">
      <c r="A26" s="43"/>
      <c r="C26" s="146"/>
      <c r="D26" s="43"/>
      <c r="F26" s="43"/>
      <c r="G26" s="56"/>
      <c r="H26" s="43"/>
      <c r="J26" s="57"/>
      <c r="K26" s="100"/>
      <c r="L26" s="151"/>
      <c r="M26" s="62"/>
      <c r="N26" s="56"/>
      <c r="O26" s="62"/>
      <c r="P26" s="62"/>
      <c r="Q26" s="152"/>
      <c r="R26" s="64"/>
      <c r="S26" s="62"/>
      <c r="T26" s="58"/>
      <c r="U26" s="59"/>
      <c r="V26" s="58"/>
      <c r="Y26" s="58"/>
      <c r="AA26" s="58"/>
      <c r="AC26" s="58"/>
      <c r="AE26" s="58"/>
      <c r="AG26" s="58"/>
      <c r="AT26" s="57"/>
      <c r="AU26" s="153"/>
      <c r="AV26" s="56"/>
      <c r="BC26" s="154"/>
      <c r="BE26" s="155"/>
      <c r="BF26" s="72"/>
    </row>
    <row r="27" spans="1:58" ht="98.1" hidden="1" customHeight="1">
      <c r="A27" s="43"/>
      <c r="C27" s="146"/>
      <c r="D27" s="43"/>
      <c r="F27" s="43"/>
      <c r="G27" s="56"/>
      <c r="H27" s="43"/>
      <c r="J27" s="57"/>
      <c r="K27" s="100"/>
      <c r="L27" s="151"/>
      <c r="M27" s="62"/>
      <c r="N27" s="56"/>
      <c r="O27" s="62"/>
      <c r="P27" s="62"/>
      <c r="Q27" s="152"/>
      <c r="R27" s="64"/>
      <c r="S27" s="62"/>
      <c r="T27" s="58"/>
      <c r="U27" s="59"/>
      <c r="V27" s="58"/>
      <c r="Y27" s="58"/>
      <c r="AA27" s="58"/>
      <c r="AC27" s="58"/>
      <c r="AE27" s="58"/>
      <c r="AG27" s="58"/>
      <c r="AT27" s="57"/>
      <c r="AU27" s="153"/>
      <c r="AV27" s="56"/>
      <c r="BC27" s="154"/>
      <c r="BE27" s="155"/>
      <c r="BF27" s="72"/>
    </row>
    <row r="28" spans="1:58" ht="98.1" hidden="1" customHeight="1">
      <c r="A28" s="43"/>
      <c r="C28" s="146"/>
      <c r="D28" s="43"/>
      <c r="F28" s="43"/>
      <c r="G28" s="56"/>
      <c r="H28" s="43"/>
      <c r="J28" s="57"/>
      <c r="K28" s="100"/>
      <c r="L28" s="151"/>
      <c r="M28" s="62"/>
      <c r="N28" s="56"/>
      <c r="O28" s="62"/>
      <c r="P28" s="62"/>
      <c r="Q28" s="152"/>
      <c r="R28" s="64"/>
      <c r="S28" s="56"/>
      <c r="T28" s="59"/>
      <c r="U28" s="59"/>
      <c r="V28" s="58"/>
      <c r="Y28" s="58"/>
      <c r="AA28" s="58"/>
      <c r="AC28" s="58"/>
      <c r="AE28" s="58"/>
      <c r="AG28" s="58"/>
      <c r="AT28" s="57"/>
      <c r="AU28" s="153"/>
      <c r="AV28" s="56"/>
      <c r="BC28" s="154"/>
      <c r="BE28" s="155"/>
      <c r="BF28" s="72"/>
    </row>
    <row r="29" spans="1:58" ht="98.1" hidden="1" customHeight="1">
      <c r="A29" s="43"/>
      <c r="C29" s="146"/>
      <c r="D29" s="43"/>
      <c r="F29" s="43"/>
      <c r="G29" s="56"/>
      <c r="H29" s="43"/>
      <c r="J29" s="57"/>
      <c r="K29" s="100"/>
      <c r="L29" s="151"/>
      <c r="M29" s="62"/>
      <c r="N29" s="56"/>
      <c r="O29" s="62"/>
      <c r="P29" s="62"/>
      <c r="Q29" s="152"/>
      <c r="R29" s="64"/>
      <c r="S29" s="62"/>
      <c r="T29" s="58"/>
      <c r="U29" s="59"/>
      <c r="V29" s="58"/>
      <c r="Y29" s="58"/>
      <c r="AA29" s="58"/>
      <c r="AC29" s="58"/>
      <c r="AE29" s="58"/>
      <c r="AG29" s="58"/>
      <c r="AT29" s="57"/>
      <c r="AU29" s="153"/>
      <c r="AV29" s="56"/>
      <c r="BC29" s="154"/>
      <c r="BE29" s="155"/>
      <c r="BF29" s="72"/>
    </row>
    <row r="30" spans="1:58" ht="98.1" hidden="1" customHeight="1">
      <c r="A30" s="43"/>
      <c r="C30" s="146"/>
      <c r="D30" s="43"/>
      <c r="F30" s="43"/>
      <c r="G30" s="56"/>
      <c r="H30" s="43"/>
      <c r="J30" s="59"/>
      <c r="K30" s="100"/>
      <c r="L30" s="151"/>
      <c r="M30" s="62"/>
      <c r="N30" s="56"/>
      <c r="O30" s="62"/>
      <c r="P30" s="62"/>
      <c r="Q30" s="152"/>
      <c r="R30" s="64"/>
      <c r="S30" s="56"/>
      <c r="T30" s="59"/>
      <c r="U30" s="59"/>
      <c r="V30" s="58"/>
      <c r="Y30" s="58"/>
      <c r="AA30" s="58"/>
      <c r="AC30" s="58"/>
      <c r="AE30" s="58"/>
      <c r="AG30" s="58"/>
      <c r="AT30" s="57"/>
      <c r="AU30" s="153"/>
      <c r="AV30" s="56"/>
      <c r="BC30" s="154"/>
      <c r="BE30" s="155"/>
      <c r="BF30" s="72"/>
    </row>
    <row r="31" spans="1:58" ht="98.1" hidden="1" customHeight="1">
      <c r="A31" s="43"/>
      <c r="C31" s="146"/>
      <c r="D31" s="43"/>
      <c r="F31" s="43"/>
      <c r="G31" s="56"/>
      <c r="H31" s="43"/>
      <c r="J31" s="59"/>
      <c r="K31" s="100"/>
      <c r="L31" s="151"/>
      <c r="M31" s="62"/>
      <c r="N31" s="56"/>
      <c r="O31" s="62"/>
      <c r="P31" s="62"/>
      <c r="Q31" s="152"/>
      <c r="R31" s="64"/>
      <c r="S31" s="62"/>
      <c r="T31" s="58"/>
      <c r="U31" s="59"/>
      <c r="V31" s="58"/>
      <c r="Y31" s="58"/>
      <c r="AA31" s="58"/>
      <c r="AC31" s="58"/>
      <c r="AE31" s="58"/>
      <c r="AG31" s="58"/>
      <c r="AT31" s="57"/>
      <c r="AU31" s="153"/>
      <c r="AV31" s="56"/>
      <c r="BC31" s="154"/>
      <c r="BE31" s="155"/>
      <c r="BF31" s="72"/>
    </row>
    <row r="32" spans="1:58" ht="98.1" hidden="1" customHeight="1">
      <c r="A32" s="43"/>
      <c r="C32" s="146"/>
      <c r="D32" s="43"/>
      <c r="F32" s="43"/>
      <c r="G32" s="56"/>
      <c r="H32" s="43"/>
      <c r="J32" s="59"/>
      <c r="K32" s="100"/>
      <c r="L32" s="151"/>
      <c r="M32" s="62"/>
      <c r="N32" s="56"/>
      <c r="O32" s="62"/>
      <c r="P32" s="62"/>
      <c r="Q32" s="152"/>
      <c r="R32" s="64"/>
      <c r="S32" s="56"/>
      <c r="T32" s="59"/>
      <c r="U32" s="59"/>
      <c r="V32" s="58"/>
      <c r="Y32" s="58"/>
      <c r="AA32" s="58"/>
      <c r="AC32" s="58"/>
      <c r="AE32" s="58"/>
      <c r="AG32" s="58"/>
      <c r="AT32" s="57"/>
      <c r="AU32" s="153"/>
      <c r="AV32" s="56"/>
      <c r="BC32" s="154"/>
      <c r="BE32" s="155"/>
      <c r="BF32" s="72"/>
    </row>
    <row r="33" spans="1:58" ht="98.1" hidden="1" customHeight="1">
      <c r="A33" s="43"/>
      <c r="C33" s="146"/>
      <c r="D33" s="43"/>
      <c r="F33" s="43"/>
      <c r="G33" s="56"/>
      <c r="H33" s="43"/>
      <c r="J33" s="59"/>
      <c r="K33" s="100"/>
      <c r="L33" s="151"/>
      <c r="M33" s="62"/>
      <c r="N33" s="56"/>
      <c r="O33" s="62"/>
      <c r="P33" s="62"/>
      <c r="Q33" s="152"/>
      <c r="R33" s="64"/>
      <c r="S33" s="56"/>
      <c r="T33" s="59"/>
      <c r="U33" s="59"/>
      <c r="V33" s="58"/>
      <c r="Y33" s="58"/>
      <c r="AA33" s="58"/>
      <c r="AC33" s="58"/>
      <c r="AE33" s="58"/>
      <c r="AG33" s="58"/>
      <c r="AT33" s="57"/>
      <c r="AU33" s="153"/>
      <c r="AV33" s="56"/>
      <c r="BC33" s="154"/>
      <c r="BE33" s="155"/>
      <c r="BF33" s="72"/>
    </row>
    <row r="34" spans="1:58" ht="98.1" hidden="1" customHeight="1">
      <c r="A34" s="43"/>
      <c r="C34" s="146"/>
      <c r="D34" s="43"/>
      <c r="F34" s="43"/>
      <c r="G34" s="56"/>
      <c r="H34" s="43"/>
      <c r="J34" s="59"/>
      <c r="K34" s="100"/>
      <c r="L34" s="151"/>
      <c r="M34" s="62"/>
      <c r="N34" s="56"/>
      <c r="O34" s="62"/>
      <c r="P34" s="62"/>
      <c r="Q34" s="152"/>
      <c r="R34" s="64"/>
      <c r="S34" s="56"/>
      <c r="T34" s="59"/>
      <c r="U34" s="59"/>
      <c r="V34" s="58"/>
      <c r="Y34" s="58"/>
      <c r="AA34" s="58"/>
      <c r="AC34" s="58"/>
      <c r="AE34" s="58"/>
      <c r="AG34" s="58"/>
      <c r="AT34" s="57"/>
      <c r="AU34" s="153"/>
      <c r="AV34" s="56"/>
      <c r="BC34" s="154"/>
      <c r="BE34" s="155"/>
      <c r="BF34" s="72"/>
    </row>
    <row r="35" spans="1:58" ht="98.1" hidden="1" customHeight="1">
      <c r="A35" s="43"/>
      <c r="C35" s="146"/>
      <c r="D35" s="43"/>
      <c r="F35" s="43"/>
      <c r="G35" s="56"/>
      <c r="H35" s="43"/>
      <c r="J35" s="59"/>
      <c r="K35" s="100"/>
      <c r="L35" s="151"/>
      <c r="M35" s="62"/>
      <c r="N35" s="56"/>
      <c r="O35" s="62"/>
      <c r="P35" s="62"/>
      <c r="Q35" s="152"/>
      <c r="R35" s="64"/>
      <c r="S35" s="56"/>
      <c r="T35" s="59"/>
      <c r="U35" s="59"/>
      <c r="V35" s="58"/>
      <c r="Y35" s="58"/>
      <c r="AA35" s="58"/>
      <c r="AC35" s="58"/>
      <c r="AE35" s="58"/>
      <c r="AG35" s="58"/>
      <c r="AT35" s="57"/>
      <c r="AU35" s="153"/>
      <c r="AV35" s="56"/>
      <c r="BC35" s="154"/>
      <c r="BE35" s="155"/>
      <c r="BF35" s="72"/>
    </row>
    <row r="36" spans="1:58" ht="98.1" hidden="1" customHeight="1">
      <c r="A36" s="43"/>
      <c r="C36" s="146"/>
      <c r="D36" s="43"/>
      <c r="F36" s="43"/>
      <c r="G36" s="56"/>
      <c r="H36" s="43"/>
      <c r="J36" s="59"/>
      <c r="K36" s="100"/>
      <c r="L36" s="151"/>
      <c r="M36" s="62"/>
      <c r="N36" s="56"/>
      <c r="O36" s="62"/>
      <c r="P36" s="62"/>
      <c r="Q36" s="152"/>
      <c r="R36" s="64"/>
      <c r="S36" s="62"/>
      <c r="T36" s="58"/>
      <c r="U36" s="59"/>
      <c r="V36" s="58"/>
      <c r="Y36" s="58"/>
      <c r="AA36" s="58"/>
      <c r="AC36" s="58"/>
      <c r="AE36" s="58"/>
      <c r="AG36" s="58"/>
      <c r="AU36" s="153"/>
      <c r="AV36" s="56"/>
      <c r="BC36" s="154"/>
      <c r="BE36" s="155"/>
      <c r="BF36" s="72"/>
    </row>
    <row r="37" spans="1:58" ht="98.1" hidden="1" customHeight="1">
      <c r="A37" s="43"/>
      <c r="C37" s="146"/>
      <c r="D37" s="43"/>
      <c r="F37" s="43"/>
      <c r="G37" s="56"/>
      <c r="H37" s="43"/>
      <c r="J37" s="43"/>
      <c r="L37" s="151"/>
      <c r="M37" s="62"/>
      <c r="N37" s="56"/>
      <c r="O37" s="62"/>
      <c r="P37" s="62"/>
      <c r="Q37" s="152"/>
      <c r="R37" s="64"/>
      <c r="S37" s="62"/>
      <c r="T37" s="58"/>
      <c r="U37" s="59"/>
      <c r="V37" s="58"/>
      <c r="Y37" s="58"/>
      <c r="AA37" s="58"/>
      <c r="AC37" s="58"/>
      <c r="AE37" s="58"/>
      <c r="AG37" s="58"/>
      <c r="AU37" s="153"/>
      <c r="AV37" s="56"/>
      <c r="BC37" s="154"/>
      <c r="BE37" s="155"/>
      <c r="BF37" s="72"/>
    </row>
    <row r="38" spans="1:58" ht="98.1" hidden="1" customHeight="1">
      <c r="A38" s="43"/>
      <c r="C38" s="146"/>
      <c r="D38" s="43"/>
      <c r="F38" s="43"/>
      <c r="G38" s="56"/>
      <c r="H38" s="43"/>
      <c r="J38" s="43"/>
      <c r="L38" s="151"/>
      <c r="M38" s="62"/>
      <c r="N38" s="56"/>
      <c r="O38" s="62"/>
      <c r="P38" s="62"/>
      <c r="Q38" s="152"/>
      <c r="R38" s="64"/>
      <c r="S38" s="62"/>
      <c r="T38" s="58"/>
      <c r="U38" s="59"/>
      <c r="V38" s="58"/>
      <c r="Y38" s="58"/>
      <c r="AA38" s="58"/>
      <c r="AC38" s="58"/>
      <c r="AE38" s="58"/>
      <c r="AG38" s="58"/>
      <c r="AU38" s="153"/>
      <c r="AV38" s="56"/>
      <c r="BC38" s="154"/>
      <c r="BE38" s="155"/>
      <c r="BF38" s="72"/>
    </row>
    <row r="39" spans="1:58" ht="98.1" hidden="1" customHeight="1">
      <c r="A39" s="43"/>
      <c r="C39" s="146"/>
      <c r="D39" s="43"/>
      <c r="F39" s="43"/>
      <c r="G39" s="56"/>
      <c r="H39" s="43"/>
      <c r="J39" s="43"/>
      <c r="L39" s="151"/>
      <c r="M39" s="62"/>
      <c r="N39" s="56"/>
      <c r="O39" s="62"/>
      <c r="P39" s="62"/>
      <c r="Q39" s="152"/>
      <c r="R39" s="64"/>
      <c r="S39" s="56"/>
      <c r="T39" s="59"/>
      <c r="U39" s="59"/>
      <c r="V39" s="58"/>
      <c r="Y39" s="58"/>
      <c r="AA39" s="58"/>
      <c r="AC39" s="58"/>
      <c r="AE39" s="58"/>
      <c r="AG39" s="58"/>
      <c r="AU39" s="153"/>
      <c r="AV39" s="56"/>
      <c r="BC39" s="154"/>
      <c r="BE39" s="155"/>
      <c r="BF39" s="72"/>
    </row>
    <row r="40" spans="1:58" ht="98.1" hidden="1" customHeight="1">
      <c r="A40" s="43"/>
      <c r="C40" s="146"/>
      <c r="D40" s="43"/>
      <c r="F40" s="43"/>
      <c r="G40" s="56"/>
      <c r="H40" s="43"/>
      <c r="J40" s="43"/>
      <c r="L40" s="151"/>
      <c r="M40" s="62"/>
      <c r="N40" s="56"/>
      <c r="O40" s="62"/>
      <c r="P40" s="62"/>
      <c r="Q40" s="152"/>
      <c r="R40" s="64"/>
      <c r="S40" s="62"/>
      <c r="T40" s="58"/>
      <c r="U40" s="59"/>
      <c r="V40" s="58"/>
      <c r="Y40" s="58"/>
      <c r="AA40" s="58"/>
      <c r="AC40" s="58"/>
      <c r="AE40" s="58"/>
      <c r="AG40" s="58"/>
      <c r="AU40" s="153"/>
      <c r="AV40" s="56"/>
      <c r="BC40" s="154"/>
      <c r="BE40" s="155"/>
      <c r="BF40" s="72"/>
    </row>
    <row r="41" spans="1:58" ht="98.1" hidden="1" customHeight="1">
      <c r="A41" s="43"/>
      <c r="C41" s="146"/>
      <c r="D41" s="43"/>
      <c r="F41" s="43"/>
      <c r="G41" s="56"/>
      <c r="H41" s="43"/>
      <c r="J41" s="43"/>
      <c r="L41" s="156"/>
      <c r="M41" s="62"/>
      <c r="N41" s="56"/>
      <c r="O41" s="62"/>
      <c r="P41" s="62"/>
      <c r="Q41" s="152"/>
      <c r="R41" s="64"/>
      <c r="S41" s="62"/>
      <c r="T41" s="58"/>
      <c r="U41" s="59"/>
      <c r="V41" s="58"/>
      <c r="Y41" s="58"/>
      <c r="AA41" s="58"/>
      <c r="AC41" s="58"/>
      <c r="AE41" s="58"/>
      <c r="AG41" s="58"/>
      <c r="AU41" s="153"/>
      <c r="AV41" s="56"/>
      <c r="BC41" s="154"/>
      <c r="BE41" s="155"/>
      <c r="BF41" s="72"/>
    </row>
    <row r="42" spans="1:58" ht="98.1" hidden="1" customHeight="1">
      <c r="A42" s="43"/>
      <c r="C42" s="146"/>
      <c r="D42" s="43"/>
      <c r="F42" s="43"/>
      <c r="G42" s="56"/>
      <c r="H42" s="43"/>
      <c r="J42" s="43"/>
      <c r="L42" s="151"/>
      <c r="M42" s="62"/>
      <c r="N42" s="56"/>
      <c r="O42" s="62"/>
      <c r="P42" s="62"/>
      <c r="Q42" s="152"/>
      <c r="R42" s="64"/>
      <c r="S42" s="56"/>
      <c r="T42" s="59"/>
      <c r="U42" s="59"/>
      <c r="V42" s="58"/>
      <c r="Y42" s="58"/>
      <c r="AA42" s="58"/>
      <c r="AC42" s="58"/>
      <c r="AE42" s="58"/>
      <c r="AG42" s="58"/>
      <c r="AU42" s="153"/>
      <c r="AV42" s="56"/>
      <c r="BC42" s="154"/>
      <c r="BE42" s="155"/>
      <c r="BF42" s="72"/>
    </row>
    <row r="43" spans="1:58" ht="98.1" hidden="1" customHeight="1">
      <c r="A43" s="43"/>
      <c r="C43" s="146"/>
      <c r="D43" s="43"/>
      <c r="F43" s="43"/>
      <c r="G43" s="56"/>
      <c r="H43" s="43"/>
      <c r="J43" s="43"/>
      <c r="L43" s="151"/>
      <c r="M43" s="62"/>
      <c r="N43" s="56"/>
      <c r="O43" s="62"/>
      <c r="P43" s="62"/>
      <c r="Q43" s="152"/>
      <c r="R43" s="64"/>
      <c r="S43" s="56"/>
      <c r="T43" s="59"/>
      <c r="U43" s="59"/>
      <c r="V43" s="58"/>
      <c r="Y43" s="58"/>
      <c r="AA43" s="58"/>
      <c r="AC43" s="58"/>
      <c r="AE43" s="58"/>
      <c r="AG43" s="58"/>
      <c r="AU43" s="153"/>
      <c r="AV43" s="56"/>
      <c r="BC43" s="154"/>
      <c r="BE43" s="155"/>
      <c r="BF43" s="72"/>
    </row>
    <row r="44" spans="1:58" ht="98.1" hidden="1" customHeight="1">
      <c r="A44" s="43"/>
      <c r="C44" s="146"/>
      <c r="D44" s="43"/>
      <c r="F44" s="43"/>
      <c r="G44" s="56"/>
      <c r="H44" s="43"/>
      <c r="J44" s="43"/>
      <c r="L44" s="156"/>
      <c r="M44" s="62"/>
      <c r="N44" s="56"/>
      <c r="O44" s="62"/>
      <c r="P44" s="62"/>
      <c r="Q44" s="152"/>
      <c r="R44" s="64"/>
      <c r="S44" s="62"/>
      <c r="T44" s="58"/>
      <c r="U44" s="59"/>
      <c r="V44" s="58"/>
      <c r="Y44" s="58"/>
      <c r="AA44" s="58"/>
      <c r="AC44" s="58"/>
      <c r="AE44" s="58"/>
      <c r="AG44" s="58"/>
      <c r="AU44" s="153"/>
      <c r="AV44" s="56"/>
      <c r="BC44" s="154"/>
      <c r="BE44" s="155"/>
      <c r="BF44" s="72"/>
    </row>
    <row r="45" spans="1:58" ht="98.1" hidden="1" customHeight="1">
      <c r="A45" s="43"/>
      <c r="C45" s="146"/>
      <c r="D45" s="43"/>
      <c r="F45" s="43"/>
      <c r="G45" s="56"/>
      <c r="H45" s="43"/>
      <c r="J45" s="43"/>
      <c r="L45" s="151"/>
      <c r="M45" s="62"/>
      <c r="N45" s="56"/>
      <c r="O45" s="62"/>
      <c r="P45" s="62"/>
      <c r="Q45" s="152"/>
      <c r="R45" s="64"/>
      <c r="S45" s="56"/>
      <c r="T45" s="59"/>
      <c r="U45" s="59"/>
      <c r="V45" s="58"/>
      <c r="Y45" s="58"/>
      <c r="AA45" s="58"/>
      <c r="AC45" s="58"/>
      <c r="AE45" s="58"/>
      <c r="AG45" s="58"/>
      <c r="AU45" s="153"/>
      <c r="AV45" s="56"/>
      <c r="BC45" s="154"/>
      <c r="BE45" s="155"/>
      <c r="BF45" s="72"/>
    </row>
    <row r="46" spans="1:58" ht="98.1" hidden="1" customHeight="1">
      <c r="A46" s="43"/>
      <c r="C46" s="146"/>
      <c r="D46" s="43"/>
      <c r="F46" s="43"/>
      <c r="G46" s="56"/>
      <c r="H46" s="43"/>
      <c r="J46" s="43"/>
      <c r="L46" s="156"/>
      <c r="M46" s="62"/>
      <c r="N46" s="56"/>
      <c r="O46" s="62"/>
      <c r="P46" s="62"/>
      <c r="Q46" s="152"/>
      <c r="R46" s="64"/>
      <c r="S46" s="56"/>
      <c r="T46" s="59"/>
      <c r="U46" s="59"/>
      <c r="V46" s="58"/>
      <c r="Y46" s="58"/>
      <c r="AA46" s="58"/>
      <c r="AC46" s="58"/>
      <c r="AE46" s="58"/>
      <c r="AG46" s="58"/>
      <c r="AU46" s="153"/>
      <c r="AV46" s="56"/>
      <c r="BC46" s="154"/>
      <c r="BE46" s="155"/>
      <c r="BF46" s="72"/>
    </row>
    <row r="47" spans="1:58" ht="98.1" hidden="1" customHeight="1">
      <c r="A47" s="43"/>
      <c r="C47" s="146"/>
      <c r="D47" s="43"/>
      <c r="F47" s="43"/>
      <c r="G47" s="56"/>
      <c r="H47" s="43"/>
      <c r="J47" s="43"/>
      <c r="L47" s="156"/>
      <c r="M47" s="62"/>
      <c r="N47" s="56"/>
      <c r="O47" s="62"/>
      <c r="P47" s="62"/>
      <c r="Q47" s="152"/>
      <c r="R47" s="64"/>
      <c r="S47" s="62"/>
      <c r="T47" s="58"/>
      <c r="U47" s="59"/>
      <c r="V47" s="58"/>
      <c r="Y47" s="58"/>
      <c r="AA47" s="58"/>
      <c r="AC47" s="58"/>
      <c r="AE47" s="58"/>
      <c r="AG47" s="58"/>
      <c r="AU47" s="153"/>
      <c r="AV47" s="56"/>
      <c r="BC47" s="154"/>
      <c r="BE47" s="155"/>
      <c r="BF47" s="72"/>
    </row>
    <row r="48" spans="1:58" ht="98.1" hidden="1" customHeight="1">
      <c r="A48" s="43"/>
      <c r="C48" s="146"/>
      <c r="D48" s="43"/>
      <c r="F48" s="43"/>
      <c r="G48" s="56"/>
      <c r="H48" s="43"/>
      <c r="J48" s="43"/>
      <c r="L48" s="156"/>
      <c r="M48" s="62"/>
      <c r="N48" s="56"/>
      <c r="O48" s="62"/>
      <c r="P48" s="62"/>
      <c r="Q48" s="152"/>
      <c r="R48" s="64"/>
      <c r="S48" s="56"/>
      <c r="T48" s="59"/>
      <c r="U48" s="59"/>
      <c r="V48" s="58"/>
      <c r="Y48" s="58"/>
      <c r="AA48" s="58"/>
      <c r="AC48" s="58"/>
      <c r="AE48" s="58"/>
      <c r="AG48" s="58"/>
      <c r="AU48" s="153"/>
      <c r="AV48" s="56"/>
      <c r="BC48" s="154"/>
      <c r="BE48" s="155"/>
      <c r="BF48" s="72"/>
    </row>
    <row r="49" spans="1:58" ht="98.1" hidden="1" customHeight="1">
      <c r="A49" s="43"/>
      <c r="C49" s="146"/>
      <c r="D49" s="43"/>
      <c r="F49" s="43"/>
      <c r="G49" s="56"/>
      <c r="H49" s="43"/>
      <c r="J49" s="43"/>
      <c r="L49" s="156"/>
      <c r="M49" s="62"/>
      <c r="N49" s="56"/>
      <c r="O49" s="62"/>
      <c r="P49" s="62"/>
      <c r="Q49" s="152"/>
      <c r="R49" s="64"/>
      <c r="S49" s="56"/>
      <c r="T49" s="59"/>
      <c r="U49" s="59"/>
      <c r="V49" s="58"/>
      <c r="Y49" s="58"/>
      <c r="AA49" s="58"/>
      <c r="AC49" s="58"/>
      <c r="AE49" s="58"/>
      <c r="AG49" s="58"/>
      <c r="AU49" s="153"/>
      <c r="AV49" s="56"/>
      <c r="BC49" s="154"/>
      <c r="BE49" s="155"/>
      <c r="BF49" s="72"/>
    </row>
    <row r="50" spans="1:58" ht="98.1" hidden="1" customHeight="1">
      <c r="A50" s="43"/>
      <c r="C50" s="146"/>
      <c r="D50" s="43"/>
      <c r="F50" s="43"/>
      <c r="G50" s="56"/>
      <c r="H50" s="43"/>
      <c r="J50" s="43"/>
      <c r="L50" s="151"/>
      <c r="M50" s="62"/>
      <c r="N50" s="56"/>
      <c r="O50" s="62"/>
      <c r="P50" s="62"/>
      <c r="Q50" s="152"/>
      <c r="R50" s="64"/>
      <c r="S50" s="56"/>
      <c r="T50" s="59"/>
      <c r="U50" s="59"/>
      <c r="V50" s="58"/>
      <c r="Y50" s="58"/>
      <c r="AA50" s="58"/>
      <c r="AC50" s="58"/>
      <c r="AE50" s="58"/>
      <c r="AG50" s="58"/>
      <c r="AU50" s="153"/>
      <c r="AV50" s="56"/>
      <c r="BC50" s="154"/>
      <c r="BE50" s="155"/>
      <c r="BF50" s="72"/>
    </row>
    <row r="51" spans="1:58" ht="98.1" hidden="1" customHeight="1">
      <c r="A51" s="43"/>
      <c r="C51" s="146"/>
      <c r="D51" s="43"/>
      <c r="F51" s="43"/>
      <c r="G51" s="56"/>
      <c r="H51" s="43"/>
      <c r="J51" s="43"/>
      <c r="L51" s="151"/>
      <c r="M51" s="62"/>
      <c r="N51" s="56"/>
      <c r="O51" s="62"/>
      <c r="P51" s="62"/>
      <c r="Q51" s="152"/>
      <c r="R51" s="64"/>
      <c r="S51" s="62"/>
      <c r="T51" s="58"/>
      <c r="U51" s="59"/>
      <c r="V51" s="58"/>
      <c r="Y51" s="58"/>
      <c r="AA51" s="58"/>
      <c r="AC51" s="58"/>
      <c r="AE51" s="58"/>
      <c r="AG51" s="58"/>
      <c r="AU51" s="153"/>
      <c r="AV51" s="56"/>
      <c r="BC51" s="154"/>
      <c r="BE51" s="155"/>
      <c r="BF51" s="72"/>
    </row>
    <row r="52" spans="1:58" ht="98.1" hidden="1" customHeight="1">
      <c r="A52" s="43"/>
      <c r="C52" s="146"/>
      <c r="D52" s="43"/>
      <c r="F52" s="43"/>
      <c r="G52" s="56"/>
      <c r="H52" s="43"/>
      <c r="J52" s="43"/>
      <c r="L52" s="151"/>
      <c r="M52" s="62"/>
      <c r="N52" s="56"/>
      <c r="O52" s="62"/>
      <c r="P52" s="62"/>
      <c r="Q52" s="152"/>
      <c r="R52" s="64"/>
      <c r="S52" s="62"/>
      <c r="T52" s="58"/>
      <c r="U52" s="59"/>
      <c r="V52" s="58"/>
      <c r="Y52" s="58"/>
      <c r="AA52" s="58"/>
      <c r="AC52" s="58"/>
      <c r="AE52" s="58"/>
      <c r="AG52" s="58"/>
      <c r="AU52" s="153"/>
      <c r="AV52" s="56"/>
      <c r="BC52" s="154"/>
      <c r="BE52" s="155"/>
      <c r="BF52" s="72"/>
    </row>
    <row r="53" spans="1:58" ht="98.1" hidden="1" customHeight="1">
      <c r="A53" s="43"/>
      <c r="C53" s="146"/>
      <c r="D53" s="43"/>
      <c r="F53" s="43"/>
      <c r="G53" s="56"/>
      <c r="H53" s="43"/>
      <c r="J53" s="43"/>
      <c r="L53" s="151"/>
      <c r="M53" s="65"/>
      <c r="N53" s="56"/>
      <c r="O53" s="62"/>
      <c r="P53" s="62"/>
      <c r="Q53" s="152"/>
      <c r="R53" s="64"/>
      <c r="S53" s="62"/>
      <c r="T53" s="58"/>
      <c r="U53" s="59"/>
      <c r="V53" s="58"/>
      <c r="Y53" s="58"/>
      <c r="AA53" s="58"/>
      <c r="AC53" s="58"/>
      <c r="AE53" s="58"/>
      <c r="AG53" s="58"/>
      <c r="AU53" s="153"/>
      <c r="AV53" s="56"/>
      <c r="BC53" s="154"/>
      <c r="BE53" s="155"/>
      <c r="BF53" s="72"/>
    </row>
    <row r="54" spans="1:58" ht="98.1" hidden="1" customHeight="1">
      <c r="A54" s="43"/>
      <c r="C54" s="146"/>
      <c r="D54" s="43"/>
      <c r="F54" s="43"/>
      <c r="G54" s="56"/>
      <c r="H54" s="43"/>
      <c r="J54" s="43"/>
      <c r="L54" s="151"/>
      <c r="M54" s="65"/>
      <c r="N54" s="56"/>
      <c r="O54" s="62"/>
      <c r="P54" s="62"/>
      <c r="Q54" s="152"/>
      <c r="R54" s="64"/>
      <c r="S54" s="62"/>
      <c r="T54" s="58"/>
      <c r="U54" s="59"/>
      <c r="V54" s="58"/>
      <c r="Y54" s="58"/>
      <c r="AA54" s="58"/>
      <c r="AC54" s="58"/>
      <c r="AE54" s="58"/>
      <c r="AG54" s="58"/>
      <c r="AU54" s="153"/>
      <c r="AV54" s="56"/>
      <c r="BC54" s="154"/>
      <c r="BE54" s="155"/>
      <c r="BF54" s="72"/>
    </row>
    <row r="55" spans="1:58" ht="98.1" hidden="1" customHeight="1">
      <c r="A55" s="43"/>
      <c r="C55" s="146"/>
      <c r="D55" s="43"/>
      <c r="F55" s="43"/>
      <c r="G55" s="56"/>
      <c r="H55" s="43"/>
      <c r="J55" s="43"/>
      <c r="L55" s="156"/>
      <c r="M55" s="65"/>
      <c r="N55" s="56"/>
      <c r="O55" s="62"/>
      <c r="P55" s="62"/>
      <c r="Q55" s="152"/>
      <c r="R55" s="64"/>
      <c r="S55" s="62"/>
      <c r="T55" s="58"/>
      <c r="U55" s="59"/>
      <c r="V55" s="58"/>
      <c r="Y55" s="58"/>
      <c r="AA55" s="58"/>
      <c r="AC55" s="58"/>
      <c r="AE55" s="58"/>
      <c r="AG55" s="58"/>
      <c r="AU55" s="153"/>
      <c r="AV55" s="56"/>
      <c r="BC55" s="154"/>
      <c r="BE55" s="155"/>
      <c r="BF55" s="72"/>
    </row>
    <row r="56" spans="1:58" ht="98.1" hidden="1" customHeight="1">
      <c r="A56" s="43"/>
      <c r="C56" s="146"/>
      <c r="D56" s="43"/>
      <c r="F56" s="43"/>
      <c r="G56" s="56"/>
      <c r="H56" s="43"/>
      <c r="J56" s="43"/>
      <c r="L56" s="156"/>
      <c r="M56" s="65"/>
      <c r="N56" s="56"/>
      <c r="O56" s="62"/>
      <c r="P56" s="62"/>
      <c r="Q56" s="152"/>
      <c r="R56" s="64"/>
      <c r="S56" s="62"/>
      <c r="T56" s="58"/>
      <c r="U56" s="59"/>
      <c r="V56" s="58"/>
      <c r="Y56" s="58"/>
      <c r="AA56" s="58"/>
      <c r="AC56" s="58"/>
      <c r="AE56" s="58"/>
      <c r="AG56" s="58"/>
      <c r="AU56" s="153"/>
      <c r="AV56" s="56"/>
      <c r="BC56" s="154"/>
      <c r="BE56" s="155"/>
      <c r="BF56" s="72"/>
    </row>
    <row r="57" spans="1:58" ht="98.1" hidden="1" customHeight="1">
      <c r="A57" s="43"/>
      <c r="C57" s="146"/>
      <c r="D57" s="43"/>
      <c r="F57" s="43"/>
      <c r="G57" s="56"/>
      <c r="H57" s="43"/>
      <c r="J57" s="43"/>
      <c r="L57" s="156"/>
      <c r="M57" s="65"/>
      <c r="N57" s="56"/>
      <c r="O57" s="62"/>
      <c r="P57" s="62"/>
      <c r="Q57" s="152"/>
      <c r="R57" s="64"/>
      <c r="S57" s="62"/>
      <c r="T57" s="58"/>
      <c r="U57" s="59"/>
      <c r="V57" s="58"/>
      <c r="Y57" s="58"/>
      <c r="AA57" s="58"/>
      <c r="AC57" s="58"/>
      <c r="AE57" s="58"/>
      <c r="AG57" s="58"/>
      <c r="AU57" s="153"/>
      <c r="AV57" s="56"/>
      <c r="BC57" s="154"/>
      <c r="BE57" s="155"/>
      <c r="BF57" s="72"/>
    </row>
    <row r="58" spans="1:58" ht="98.1" customHeight="1">
      <c r="C58" s="146" t="s">
        <v>47</v>
      </c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1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1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1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1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1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1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3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7" workbookViewId="0">
      <selection activeCell="S25" sqref="S25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884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886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887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888</v>
      </c>
      <c r="N24" s="46" t="s">
        <v>541</v>
      </c>
      <c r="O24" s="46" t="s">
        <v>571</v>
      </c>
    </row>
    <row r="25" spans="2:17" ht="22.15" customHeight="1">
      <c r="L25" s="46" t="s">
        <v>889</v>
      </c>
      <c r="N25" s="46" t="s">
        <v>538</v>
      </c>
      <c r="O25" s="46" t="s">
        <v>589</v>
      </c>
    </row>
    <row r="26" spans="2:17" ht="22.15" customHeight="1">
      <c r="L26" s="46" t="s">
        <v>891</v>
      </c>
      <c r="N26" s="46" t="s">
        <v>925</v>
      </c>
      <c r="O26" s="46" t="s">
        <v>926</v>
      </c>
    </row>
    <row r="27" spans="2:17" ht="22.15" customHeight="1">
      <c r="L27" s="46" t="s">
        <v>890</v>
      </c>
      <c r="N27" s="46" t="s">
        <v>542</v>
      </c>
      <c r="O27" s="46" t="s">
        <v>438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868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869</v>
      </c>
      <c r="B831" s="113" t="s">
        <v>598</v>
      </c>
    </row>
    <row r="832" spans="1:2">
      <c r="A832" s="112" t="s">
        <v>870</v>
      </c>
      <c r="B832" s="113" t="s">
        <v>605</v>
      </c>
    </row>
    <row r="833" spans="1:2">
      <c r="A833" s="112" t="s">
        <v>871</v>
      </c>
      <c r="B833" s="113" t="s">
        <v>604</v>
      </c>
    </row>
    <row r="834" spans="1:2">
      <c r="A834" s="112" t="s">
        <v>872</v>
      </c>
      <c r="B834" s="113" t="s">
        <v>603</v>
      </c>
    </row>
    <row r="835" spans="1:2">
      <c r="A835" s="112" t="s">
        <v>873</v>
      </c>
      <c r="B835" s="113" t="s">
        <v>602</v>
      </c>
    </row>
    <row r="836" spans="1:2">
      <c r="A836" s="112" t="s">
        <v>874</v>
      </c>
      <c r="B836" s="113" t="s">
        <v>598</v>
      </c>
    </row>
    <row r="837" spans="1:2">
      <c r="A837" s="112" t="s">
        <v>875</v>
      </c>
      <c r="B837" s="113" t="s">
        <v>600</v>
      </c>
    </row>
    <row r="838" spans="1:2">
      <c r="A838" s="112" t="s">
        <v>876</v>
      </c>
      <c r="B838" s="113" t="s">
        <v>599</v>
      </c>
    </row>
    <row r="839" spans="1:2">
      <c r="A839" s="112" t="s">
        <v>877</v>
      </c>
      <c r="B839" s="113" t="s">
        <v>638</v>
      </c>
    </row>
    <row r="840" spans="1:2">
      <c r="A840" s="112" t="s">
        <v>878</v>
      </c>
      <c r="B840" s="113" t="s">
        <v>779</v>
      </c>
    </row>
    <row r="841" spans="1:2">
      <c r="A841" s="112" t="s">
        <v>879</v>
      </c>
      <c r="B841" s="113" t="s">
        <v>661</v>
      </c>
    </row>
    <row r="842" spans="1:2">
      <c r="A842" s="112" t="s">
        <v>880</v>
      </c>
      <c r="B842" s="113" t="s">
        <v>686</v>
      </c>
    </row>
    <row r="843" spans="1:2">
      <c r="A843" s="112" t="s">
        <v>881</v>
      </c>
      <c r="B843" s="113" t="s">
        <v>644</v>
      </c>
    </row>
    <row r="844" spans="1:2">
      <c r="A844" s="112" t="s">
        <v>882</v>
      </c>
      <c r="B844" s="113" t="s">
        <v>764</v>
      </c>
    </row>
    <row r="845" spans="1:2">
      <c r="A845" s="112" t="s">
        <v>883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L1" zoomScale="70" zoomScaleNormal="70" workbookViewId="0">
      <pane ySplit="1" topLeftCell="A2" activePane="bottomLeft" state="frozen"/>
      <selection pane="bottomLeft" activeCell="DA4" sqref="DA4:DC4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  <c r="CK1" s="30"/>
      <c r="CL1" s="25" t="s">
        <v>887</v>
      </c>
      <c r="CM1" s="28"/>
      <c r="CO1" s="30"/>
      <c r="CP1" s="25" t="s">
        <v>889</v>
      </c>
      <c r="CQ1" s="28"/>
      <c r="CS1" s="30"/>
      <c r="CT1" s="25" t="s">
        <v>891</v>
      </c>
      <c r="CU1" s="28"/>
      <c r="CW1" s="30"/>
      <c r="CX1" s="25" t="s">
        <v>888</v>
      </c>
      <c r="CY1" s="28"/>
      <c r="DA1" s="30"/>
      <c r="DB1" s="25" t="s">
        <v>890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915</v>
      </c>
      <c r="CO3" s="32" t="s">
        <v>423</v>
      </c>
      <c r="CP3" s="33" t="s">
        <v>921</v>
      </c>
      <c r="CQ3" s="33" t="s">
        <v>915</v>
      </c>
      <c r="CS3" s="32" t="s">
        <v>926</v>
      </c>
      <c r="CT3" s="33" t="s">
        <v>923</v>
      </c>
      <c r="CU3" s="33" t="s">
        <v>915</v>
      </c>
      <c r="CW3" s="32" t="s">
        <v>423</v>
      </c>
      <c r="CX3" s="33" t="s">
        <v>921</v>
      </c>
      <c r="CY3" s="33" t="s">
        <v>915</v>
      </c>
      <c r="DA3" s="32" t="s">
        <v>423</v>
      </c>
      <c r="DB3" s="33" t="s">
        <v>921</v>
      </c>
      <c r="DC3" s="33" t="s">
        <v>915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922</v>
      </c>
      <c r="CQ4" s="33" t="s">
        <v>915</v>
      </c>
      <c r="CS4" s="32" t="s">
        <v>571</v>
      </c>
      <c r="CT4" s="33" t="s">
        <v>924</v>
      </c>
      <c r="CU4" s="33" t="s">
        <v>915</v>
      </c>
      <c r="CW4" s="32"/>
      <c r="CX4" s="33"/>
      <c r="CY4" s="33"/>
      <c r="DA4" s="32" t="s">
        <v>560</v>
      </c>
      <c r="DB4" s="33" t="s">
        <v>922</v>
      </c>
      <c r="DC4" s="33" t="s">
        <v>915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921</v>
      </c>
      <c r="CU5" s="33" t="s">
        <v>915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V1" workbookViewId="0">
      <pane ySplit="1" topLeftCell="A2" activePane="bottomLeft" state="frozen"/>
      <selection pane="bottomLeft" activeCell="AA2" sqref="AA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959</v>
      </c>
      <c r="AB1" s="77" t="s">
        <v>557</v>
      </c>
      <c r="AC1" s="75">
        <f>MAX(AC2:AC10000)</f>
        <v>56</v>
      </c>
      <c r="AD1" s="75"/>
      <c r="AE1" s="75" t="str">
        <f>RIGHT(TEXT(MAX(AE2:AE10000),"###"),3)</f>
        <v>055</v>
      </c>
      <c r="AF1" s="76" t="str">
        <f>RIGHT("000"&amp;AC1,2)&amp;"-"&amp;RIGHT("000"&amp;AE1,3)</f>
        <v>56-055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56-056-</v>
      </c>
      <c r="AI1" s="78" t="s">
        <v>582</v>
      </c>
      <c r="AJ1" s="142" t="s">
        <v>887</v>
      </c>
      <c r="AK1" s="78" t="s">
        <v>852</v>
      </c>
      <c r="AL1" s="143">
        <v>0</v>
      </c>
    </row>
    <row r="2" spans="1:38">
      <c r="A2" s="81" t="str">
        <f>IF(G2&amp;Q2&lt;&gt;"",W2&amp;Q2,"")</f>
        <v>EC3603</v>
      </c>
      <c r="B2" s="81" t="str">
        <f>IF(C2&lt;&gt;"",LEFT(C2,9),"")</f>
        <v>56-001-</v>
      </c>
      <c r="C2" s="103" t="s">
        <v>959</v>
      </c>
      <c r="G2" s="104" t="s">
        <v>892</v>
      </c>
      <c r="V2" s="81" t="str">
        <f>W2&amp;H2</f>
        <v>EC3603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EC3603</v>
      </c>
      <c r="X2" s="81" t="str">
        <f>IF(A2&lt;&gt;"",IFERROR(IF(FIND(" ",G2)&gt;=1,MID(G2,FIND(" ",G2)+1,LEN(G2)),""),""),"")</f>
        <v/>
      </c>
      <c r="AC2" s="60">
        <f>IFERROR(VALUE(MID($C2,1,2)),0)</f>
        <v>56</v>
      </c>
      <c r="AD2" s="49">
        <f t="shared" ref="AD2:AD66" si="1">IFERROR(VALUE(MID($C2,4,3)),0)</f>
        <v>1</v>
      </c>
      <c r="AE2" s="60">
        <f>VALUE(RIGHT("00"&amp;AC2,2)&amp;RIGHT("000"&amp;AD2,3))</f>
        <v>56001</v>
      </c>
    </row>
    <row r="3" spans="1:38">
      <c r="A3" s="81" t="str">
        <f t="shared" ref="A3:A66" si="2">IF(G3&amp;Q3&lt;&gt;"",W3&amp;Q3,"")</f>
        <v>FL3713</v>
      </c>
      <c r="B3" s="81" t="str">
        <f t="shared" ref="B3:B66" si="3">IF(C3&lt;&gt;"",LEFT(C3,9),"")</f>
        <v>56-002-</v>
      </c>
      <c r="C3" s="103" t="s">
        <v>960</v>
      </c>
      <c r="G3" s="104" t="s">
        <v>893</v>
      </c>
      <c r="V3" s="81" t="str">
        <f t="shared" ref="V3:V66" si="4">W3&amp;H3</f>
        <v>FL3713</v>
      </c>
      <c r="W3" s="81" t="str">
        <f t="shared" si="0"/>
        <v>FL3713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56</v>
      </c>
      <c r="AD3" s="49">
        <f t="shared" si="1"/>
        <v>2</v>
      </c>
      <c r="AE3" s="60">
        <f t="shared" ref="AE3:AE66" si="7">VALUE(RIGHT("00"&amp;AC3,2)&amp;RIGHT("000"&amp;AD3,3))</f>
        <v>56002</v>
      </c>
    </row>
    <row r="4" spans="1:38">
      <c r="A4" s="81" t="str">
        <f t="shared" si="2"/>
        <v>FK0894</v>
      </c>
      <c r="B4" s="81" t="str">
        <f t="shared" si="3"/>
        <v>56-003-</v>
      </c>
      <c r="C4" s="103" t="s">
        <v>961</v>
      </c>
      <c r="G4" s="104" t="s">
        <v>894</v>
      </c>
      <c r="V4" s="81" t="str">
        <f t="shared" si="4"/>
        <v>FK0894</v>
      </c>
      <c r="W4" s="81" t="str">
        <f t="shared" si="0"/>
        <v>FK0894</v>
      </c>
      <c r="X4" s="81" t="str">
        <f t="shared" si="5"/>
        <v/>
      </c>
      <c r="AC4" s="60">
        <f t="shared" si="6"/>
        <v>56</v>
      </c>
      <c r="AD4" s="49">
        <f t="shared" si="1"/>
        <v>3</v>
      </c>
      <c r="AE4" s="60">
        <f t="shared" si="7"/>
        <v>56003</v>
      </c>
    </row>
    <row r="5" spans="1:38">
      <c r="A5" s="81" t="str">
        <f t="shared" si="2"/>
        <v>FQ5411</v>
      </c>
      <c r="B5" s="81" t="str">
        <f t="shared" si="3"/>
        <v>56-004-</v>
      </c>
      <c r="C5" s="103" t="s">
        <v>962</v>
      </c>
      <c r="G5" s="104" t="s">
        <v>895</v>
      </c>
      <c r="V5" s="81" t="str">
        <f t="shared" si="4"/>
        <v>FQ5411</v>
      </c>
      <c r="W5" s="81" t="str">
        <f t="shared" si="0"/>
        <v>FQ5411</v>
      </c>
      <c r="X5" s="81" t="str">
        <f t="shared" si="5"/>
        <v/>
      </c>
      <c r="AC5" s="60">
        <f t="shared" si="6"/>
        <v>56</v>
      </c>
      <c r="AD5" s="49">
        <f t="shared" si="1"/>
        <v>4</v>
      </c>
      <c r="AE5" s="60">
        <f t="shared" si="7"/>
        <v>56004</v>
      </c>
    </row>
    <row r="6" spans="1:38">
      <c r="A6" s="81" t="str">
        <f t="shared" si="2"/>
        <v>FK0890</v>
      </c>
      <c r="B6" s="81" t="str">
        <f t="shared" si="3"/>
        <v>56-005-</v>
      </c>
      <c r="C6" s="103" t="s">
        <v>963</v>
      </c>
      <c r="G6" s="104" t="s">
        <v>896</v>
      </c>
      <c r="V6" s="81" t="str">
        <f t="shared" si="4"/>
        <v>FK0890</v>
      </c>
      <c r="W6" s="81" t="str">
        <f t="shared" si="0"/>
        <v>FK0890</v>
      </c>
      <c r="X6" s="81" t="str">
        <f t="shared" si="5"/>
        <v/>
      </c>
      <c r="AC6" s="60">
        <f t="shared" si="6"/>
        <v>56</v>
      </c>
      <c r="AD6" s="49">
        <f t="shared" si="1"/>
        <v>5</v>
      </c>
      <c r="AE6" s="60">
        <f t="shared" si="7"/>
        <v>56005</v>
      </c>
    </row>
    <row r="7" spans="1:38">
      <c r="A7" s="81" t="str">
        <f t="shared" si="2"/>
        <v>FK0891</v>
      </c>
      <c r="B7" s="81" t="str">
        <f t="shared" si="3"/>
        <v>56-006-</v>
      </c>
      <c r="C7" s="103" t="s">
        <v>964</v>
      </c>
      <c r="G7" s="104" t="s">
        <v>897</v>
      </c>
      <c r="V7" s="81" t="str">
        <f t="shared" si="4"/>
        <v>FK0891</v>
      </c>
      <c r="W7" s="81" t="str">
        <f t="shared" si="0"/>
        <v>FK0891</v>
      </c>
      <c r="X7" s="81" t="str">
        <f t="shared" si="5"/>
        <v/>
      </c>
      <c r="AC7" s="60">
        <f t="shared" si="6"/>
        <v>56</v>
      </c>
      <c r="AD7" s="49">
        <f t="shared" si="1"/>
        <v>6</v>
      </c>
      <c r="AE7" s="60">
        <f t="shared" si="7"/>
        <v>56006</v>
      </c>
    </row>
    <row r="8" spans="1:38">
      <c r="A8" s="81" t="str">
        <f t="shared" si="2"/>
        <v>DM6178</v>
      </c>
      <c r="B8" s="81" t="str">
        <f t="shared" si="3"/>
        <v>56-007-</v>
      </c>
      <c r="C8" s="103" t="s">
        <v>965</v>
      </c>
      <c r="G8" s="104" t="s">
        <v>898</v>
      </c>
      <c r="V8" s="81" t="str">
        <f t="shared" si="4"/>
        <v>DM6178</v>
      </c>
      <c r="W8" s="81" t="str">
        <f t="shared" si="0"/>
        <v>DM6178</v>
      </c>
      <c r="X8" s="81" t="str">
        <f t="shared" si="5"/>
        <v/>
      </c>
      <c r="AC8" s="60">
        <f t="shared" si="6"/>
        <v>56</v>
      </c>
      <c r="AD8" s="49">
        <f t="shared" si="1"/>
        <v>7</v>
      </c>
      <c r="AE8" s="60">
        <f t="shared" si="7"/>
        <v>56007</v>
      </c>
    </row>
    <row r="9" spans="1:38">
      <c r="A9" s="81" t="str">
        <f t="shared" si="2"/>
        <v>GE0750</v>
      </c>
      <c r="B9" s="81" t="str">
        <f t="shared" si="3"/>
        <v>56-008-</v>
      </c>
      <c r="C9" s="103" t="s">
        <v>966</v>
      </c>
      <c r="G9" s="104" t="s">
        <v>899</v>
      </c>
      <c r="V9" s="81" t="str">
        <f t="shared" si="4"/>
        <v>GE0750</v>
      </c>
      <c r="W9" s="81" t="str">
        <f t="shared" si="0"/>
        <v>GE0750</v>
      </c>
      <c r="X9" s="81" t="str">
        <f t="shared" si="5"/>
        <v/>
      </c>
      <c r="AC9" s="60">
        <f t="shared" si="6"/>
        <v>56</v>
      </c>
      <c r="AD9" s="49">
        <f t="shared" si="1"/>
        <v>8</v>
      </c>
      <c r="AE9" s="60">
        <f t="shared" si="7"/>
        <v>56008</v>
      </c>
    </row>
    <row r="10" spans="1:38">
      <c r="A10" s="81" t="str">
        <f t="shared" si="2"/>
        <v>GM4508</v>
      </c>
      <c r="B10" s="81" t="str">
        <f t="shared" si="3"/>
        <v>56-009-</v>
      </c>
      <c r="C10" s="103" t="s">
        <v>967</v>
      </c>
      <c r="G10" s="104" t="s">
        <v>900</v>
      </c>
      <c r="V10" s="81" t="str">
        <f t="shared" si="4"/>
        <v>GM4508</v>
      </c>
      <c r="W10" s="81" t="str">
        <f t="shared" si="0"/>
        <v>GM4508</v>
      </c>
      <c r="X10" s="81" t="str">
        <f t="shared" si="5"/>
        <v/>
      </c>
      <c r="AC10" s="60">
        <f t="shared" si="6"/>
        <v>56</v>
      </c>
      <c r="AD10" s="49">
        <f t="shared" si="1"/>
        <v>9</v>
      </c>
      <c r="AE10" s="60">
        <f t="shared" si="7"/>
        <v>56009</v>
      </c>
    </row>
    <row r="11" spans="1:38">
      <c r="A11" s="81" t="str">
        <f t="shared" si="2"/>
        <v>GN2052</v>
      </c>
      <c r="B11" s="81" t="str">
        <f t="shared" si="3"/>
        <v>56-010-</v>
      </c>
      <c r="C11" s="103" t="s">
        <v>968</v>
      </c>
      <c r="G11" s="104" t="s">
        <v>901</v>
      </c>
      <c r="V11" s="81" t="str">
        <f t="shared" si="4"/>
        <v>GN2052</v>
      </c>
      <c r="W11" s="81" t="str">
        <f t="shared" si="0"/>
        <v>GN2052</v>
      </c>
      <c r="X11" s="81" t="str">
        <f t="shared" si="5"/>
        <v/>
      </c>
      <c r="AC11" s="60">
        <f t="shared" si="6"/>
        <v>56</v>
      </c>
      <c r="AD11" s="49">
        <f t="shared" si="1"/>
        <v>10</v>
      </c>
      <c r="AE11" s="60">
        <f t="shared" si="7"/>
        <v>56010</v>
      </c>
    </row>
    <row r="12" spans="1:38">
      <c r="A12" s="81" t="str">
        <f t="shared" si="2"/>
        <v>GN2291</v>
      </c>
      <c r="B12" s="81" t="str">
        <f t="shared" si="3"/>
        <v>56-011-</v>
      </c>
      <c r="C12" s="103" t="s">
        <v>969</v>
      </c>
      <c r="G12" s="104" t="s">
        <v>902</v>
      </c>
      <c r="V12" s="81" t="str">
        <f t="shared" si="4"/>
        <v>GN2291</v>
      </c>
      <c r="W12" s="81" t="str">
        <f t="shared" si="0"/>
        <v>GN2291</v>
      </c>
      <c r="X12" s="81" t="str">
        <f t="shared" si="5"/>
        <v/>
      </c>
      <c r="AC12" s="60">
        <f t="shared" si="6"/>
        <v>56</v>
      </c>
      <c r="AD12" s="49">
        <f t="shared" si="1"/>
        <v>11</v>
      </c>
      <c r="AE12" s="60">
        <f t="shared" si="7"/>
        <v>56011</v>
      </c>
    </row>
    <row r="13" spans="1:38">
      <c r="A13" s="81" t="str">
        <f t="shared" si="2"/>
        <v>HE9766</v>
      </c>
      <c r="B13" s="81" t="str">
        <f t="shared" si="3"/>
        <v>56-012-</v>
      </c>
      <c r="C13" s="103" t="s">
        <v>970</v>
      </c>
      <c r="G13" s="104" t="s">
        <v>903</v>
      </c>
      <c r="V13" s="81" t="str">
        <f t="shared" si="4"/>
        <v>HE9766</v>
      </c>
      <c r="W13" s="81" t="str">
        <f t="shared" si="0"/>
        <v>HE9766</v>
      </c>
      <c r="X13" s="81" t="str">
        <f t="shared" si="5"/>
        <v/>
      </c>
      <c r="AC13" s="60">
        <f t="shared" si="6"/>
        <v>56</v>
      </c>
      <c r="AD13" s="49">
        <f t="shared" si="1"/>
        <v>12</v>
      </c>
      <c r="AE13" s="60">
        <f t="shared" si="7"/>
        <v>56012</v>
      </c>
    </row>
    <row r="14" spans="1:38">
      <c r="A14" s="81" t="str">
        <f t="shared" si="2"/>
        <v>HD9699</v>
      </c>
      <c r="B14" s="81" t="str">
        <f t="shared" si="3"/>
        <v>56-013-</v>
      </c>
      <c r="C14" s="103" t="s">
        <v>971</v>
      </c>
      <c r="G14" s="104" t="s">
        <v>904</v>
      </c>
      <c r="V14" s="81" t="str">
        <f t="shared" si="4"/>
        <v>HD9699</v>
      </c>
      <c r="W14" s="81" t="str">
        <f t="shared" si="0"/>
        <v>HD9699</v>
      </c>
      <c r="X14" s="81" t="str">
        <f t="shared" si="5"/>
        <v/>
      </c>
      <c r="AC14" s="60">
        <f t="shared" si="6"/>
        <v>56</v>
      </c>
      <c r="AD14" s="49">
        <f t="shared" si="1"/>
        <v>13</v>
      </c>
      <c r="AE14" s="60">
        <f t="shared" si="7"/>
        <v>56013</v>
      </c>
    </row>
    <row r="15" spans="1:38">
      <c r="A15" s="81" t="str">
        <f t="shared" si="2"/>
        <v>HD9700</v>
      </c>
      <c r="B15" s="81" t="str">
        <f t="shared" si="3"/>
        <v>56-014-</v>
      </c>
      <c r="C15" s="103" t="s">
        <v>972</v>
      </c>
      <c r="G15" s="104" t="s">
        <v>905</v>
      </c>
      <c r="V15" s="81" t="str">
        <f t="shared" si="4"/>
        <v>HD9700</v>
      </c>
      <c r="W15" s="81" t="str">
        <f t="shared" si="0"/>
        <v>HD9700</v>
      </c>
      <c r="X15" s="81" t="str">
        <f t="shared" si="5"/>
        <v/>
      </c>
      <c r="AC15" s="60">
        <f t="shared" si="6"/>
        <v>56</v>
      </c>
      <c r="AD15" s="49">
        <f t="shared" si="1"/>
        <v>14</v>
      </c>
      <c r="AE15" s="60">
        <f t="shared" si="7"/>
        <v>56014</v>
      </c>
    </row>
    <row r="16" spans="1:38">
      <c r="A16" s="81" t="str">
        <f t="shared" si="2"/>
        <v>HD7045</v>
      </c>
      <c r="B16" s="81" t="str">
        <f t="shared" si="3"/>
        <v>56-015-</v>
      </c>
      <c r="C16" s="103" t="s">
        <v>973</v>
      </c>
      <c r="G16" s="104" t="s">
        <v>906</v>
      </c>
      <c r="V16" s="81" t="str">
        <f t="shared" si="4"/>
        <v>HD7045</v>
      </c>
      <c r="W16" s="81" t="str">
        <f t="shared" si="0"/>
        <v>HD7045</v>
      </c>
      <c r="X16" s="81" t="str">
        <f t="shared" si="5"/>
        <v/>
      </c>
      <c r="AC16" s="60">
        <f t="shared" si="6"/>
        <v>56</v>
      </c>
      <c r="AD16" s="49">
        <f t="shared" si="1"/>
        <v>15</v>
      </c>
      <c r="AE16" s="60">
        <f t="shared" si="7"/>
        <v>56015</v>
      </c>
    </row>
    <row r="17" spans="1:31">
      <c r="A17" s="81" t="str">
        <f t="shared" si="2"/>
        <v>HD7239</v>
      </c>
      <c r="B17" s="81" t="str">
        <f t="shared" si="3"/>
        <v>56-016-</v>
      </c>
      <c r="C17" s="103" t="s">
        <v>974</v>
      </c>
      <c r="G17" s="104" t="s">
        <v>907</v>
      </c>
      <c r="V17" s="81" t="str">
        <f t="shared" si="4"/>
        <v>HD7239</v>
      </c>
      <c r="W17" s="81" t="str">
        <f t="shared" si="0"/>
        <v>HD7239</v>
      </c>
      <c r="X17" s="81" t="str">
        <f t="shared" si="5"/>
        <v/>
      </c>
      <c r="AC17" s="60">
        <f t="shared" si="6"/>
        <v>56</v>
      </c>
      <c r="AD17" s="49">
        <f t="shared" si="1"/>
        <v>16</v>
      </c>
      <c r="AE17" s="60">
        <f t="shared" si="7"/>
        <v>56016</v>
      </c>
    </row>
    <row r="18" spans="1:31">
      <c r="A18" s="81" t="str">
        <f t="shared" si="2"/>
        <v>HD2224</v>
      </c>
      <c r="B18" s="81" t="str">
        <f t="shared" si="3"/>
        <v>56-017-</v>
      </c>
      <c r="C18" s="103" t="s">
        <v>975</v>
      </c>
      <c r="G18" s="104" t="s">
        <v>908</v>
      </c>
      <c r="V18" s="81" t="str">
        <f t="shared" si="4"/>
        <v>HD2224</v>
      </c>
      <c r="W18" s="81" t="str">
        <f t="shared" si="0"/>
        <v>HD2224</v>
      </c>
      <c r="X18" s="81" t="str">
        <f t="shared" si="5"/>
        <v/>
      </c>
      <c r="AC18" s="60">
        <f t="shared" si="6"/>
        <v>56</v>
      </c>
      <c r="AD18" s="49">
        <f t="shared" si="1"/>
        <v>17</v>
      </c>
      <c r="AE18" s="60">
        <f t="shared" si="7"/>
        <v>56017</v>
      </c>
    </row>
    <row r="19" spans="1:31">
      <c r="A19" s="81" t="str">
        <f t="shared" si="2"/>
        <v>HD9755</v>
      </c>
      <c r="B19" s="81" t="str">
        <f t="shared" si="3"/>
        <v>56-018-</v>
      </c>
      <c r="C19" s="103" t="s">
        <v>976</v>
      </c>
      <c r="G19" s="104" t="s">
        <v>909</v>
      </c>
      <c r="V19" s="81" t="str">
        <f t="shared" si="4"/>
        <v>HD9755</v>
      </c>
      <c r="W19" s="81" t="str">
        <f t="shared" si="0"/>
        <v>HD9755</v>
      </c>
      <c r="X19" s="81" t="str">
        <f t="shared" si="5"/>
        <v/>
      </c>
      <c r="AC19" s="60">
        <f t="shared" si="6"/>
        <v>56</v>
      </c>
      <c r="AD19" s="49">
        <f t="shared" si="1"/>
        <v>18</v>
      </c>
      <c r="AE19" s="60">
        <f t="shared" si="7"/>
        <v>56018</v>
      </c>
    </row>
    <row r="20" spans="1:31">
      <c r="A20" s="81" t="str">
        <f t="shared" si="2"/>
        <v>HD9695</v>
      </c>
      <c r="B20" s="81" t="str">
        <f t="shared" si="3"/>
        <v>56-019-</v>
      </c>
      <c r="C20" s="103" t="s">
        <v>977</v>
      </c>
      <c r="G20" s="104" t="s">
        <v>910</v>
      </c>
      <c r="V20" s="81" t="str">
        <f t="shared" si="4"/>
        <v>HD9695</v>
      </c>
      <c r="W20" s="81" t="str">
        <f t="shared" si="0"/>
        <v>HD9695</v>
      </c>
      <c r="X20" s="81" t="str">
        <f t="shared" si="5"/>
        <v/>
      </c>
      <c r="AC20" s="60">
        <f t="shared" si="6"/>
        <v>56</v>
      </c>
      <c r="AD20" s="49">
        <f t="shared" si="1"/>
        <v>19</v>
      </c>
      <c r="AE20" s="60">
        <f t="shared" si="7"/>
        <v>56019</v>
      </c>
    </row>
    <row r="21" spans="1:31">
      <c r="A21" s="81" t="str">
        <f t="shared" si="2"/>
        <v>RK2450800</v>
      </c>
      <c r="B21" s="81" t="str">
        <f t="shared" si="3"/>
        <v>56-020-</v>
      </c>
      <c r="C21" s="103" t="s">
        <v>978</v>
      </c>
      <c r="G21" s="104" t="s">
        <v>917</v>
      </c>
      <c r="V21" s="81" t="str">
        <f t="shared" si="4"/>
        <v>RK2450800</v>
      </c>
      <c r="W21" s="81" t="str">
        <f t="shared" si="0"/>
        <v>RK2450800</v>
      </c>
      <c r="X21" s="81" t="str">
        <f t="shared" si="5"/>
        <v/>
      </c>
      <c r="AC21" s="60">
        <f t="shared" si="6"/>
        <v>56</v>
      </c>
      <c r="AD21" s="49">
        <f t="shared" si="1"/>
        <v>20</v>
      </c>
      <c r="AE21" s="60">
        <f t="shared" si="7"/>
        <v>56020</v>
      </c>
    </row>
    <row r="22" spans="1:31">
      <c r="A22" s="81" t="str">
        <f t="shared" si="2"/>
        <v>RK2450DP4</v>
      </c>
      <c r="B22" s="81" t="str">
        <f t="shared" si="3"/>
        <v>56-021-</v>
      </c>
      <c r="C22" s="103" t="s">
        <v>979</v>
      </c>
      <c r="G22" s="104" t="s">
        <v>918</v>
      </c>
      <c r="V22" s="81" t="str">
        <f t="shared" si="4"/>
        <v>RK2450DP4</v>
      </c>
      <c r="W22" s="81" t="str">
        <f t="shared" si="0"/>
        <v>RK2450DP4</v>
      </c>
      <c r="X22" s="81" t="str">
        <f t="shared" si="5"/>
        <v/>
      </c>
      <c r="AC22" s="60">
        <f t="shared" si="6"/>
        <v>56</v>
      </c>
      <c r="AD22" s="49">
        <f t="shared" si="1"/>
        <v>21</v>
      </c>
      <c r="AE22" s="60">
        <f t="shared" si="7"/>
        <v>56021</v>
      </c>
    </row>
    <row r="23" spans="1:31">
      <c r="A23" s="81" t="str">
        <f t="shared" si="2"/>
        <v>RK741502S</v>
      </c>
      <c r="B23" s="81" t="str">
        <f t="shared" si="3"/>
        <v>56-022-</v>
      </c>
      <c r="C23" s="103" t="s">
        <v>980</v>
      </c>
      <c r="G23" s="104" t="s">
        <v>919</v>
      </c>
      <c r="V23" s="81" t="str">
        <f t="shared" si="4"/>
        <v>RK741502S</v>
      </c>
      <c r="W23" s="81" t="str">
        <f t="shared" si="0"/>
        <v>RK741502S</v>
      </c>
      <c r="X23" s="81" t="str">
        <f t="shared" si="5"/>
        <v/>
      </c>
      <c r="AC23" s="60">
        <f t="shared" si="6"/>
        <v>56</v>
      </c>
      <c r="AD23" s="49">
        <f t="shared" si="1"/>
        <v>22</v>
      </c>
      <c r="AE23" s="60">
        <f t="shared" si="7"/>
        <v>56022</v>
      </c>
    </row>
    <row r="24" spans="1:31">
      <c r="A24" s="81" t="str">
        <f t="shared" si="2"/>
        <v>RK7415HDE</v>
      </c>
      <c r="B24" s="81" t="str">
        <f t="shared" si="3"/>
        <v>56-023-</v>
      </c>
      <c r="C24" s="103" t="s">
        <v>981</v>
      </c>
      <c r="G24" s="104" t="s">
        <v>920</v>
      </c>
      <c r="V24" s="81" t="str">
        <f t="shared" si="4"/>
        <v>RK7415HDE</v>
      </c>
      <c r="W24" s="81" t="str">
        <f t="shared" si="0"/>
        <v>RK7415HDE</v>
      </c>
      <c r="X24" s="81" t="str">
        <f t="shared" si="5"/>
        <v/>
      </c>
      <c r="AC24" s="60">
        <f t="shared" si="6"/>
        <v>56</v>
      </c>
      <c r="AD24" s="49">
        <f t="shared" si="1"/>
        <v>23</v>
      </c>
      <c r="AE24" s="60">
        <f t="shared" si="7"/>
        <v>56023</v>
      </c>
    </row>
    <row r="25" spans="1:31">
      <c r="A25" s="81" t="str">
        <f t="shared" si="2"/>
        <v>2126901</v>
      </c>
      <c r="B25" s="81" t="str">
        <f t="shared" si="3"/>
        <v>56-024-</v>
      </c>
      <c r="C25" s="103" t="s">
        <v>982</v>
      </c>
      <c r="G25" s="104" t="s">
        <v>927</v>
      </c>
      <c r="V25" s="81" t="str">
        <f t="shared" si="4"/>
        <v>2126901</v>
      </c>
      <c r="W25" s="81" t="str">
        <f t="shared" si="0"/>
        <v>2126901</v>
      </c>
      <c r="X25" s="81" t="str">
        <f t="shared" si="5"/>
        <v/>
      </c>
      <c r="AC25" s="60">
        <f t="shared" si="6"/>
        <v>56</v>
      </c>
      <c r="AD25" s="49">
        <f t="shared" si="1"/>
        <v>24</v>
      </c>
      <c r="AE25" s="60">
        <f t="shared" si="7"/>
        <v>56024</v>
      </c>
    </row>
    <row r="26" spans="1:31">
      <c r="A26" s="81" t="str">
        <f t="shared" si="2"/>
        <v>2126907</v>
      </c>
      <c r="B26" s="81" t="str">
        <f t="shared" si="3"/>
        <v>56-025-</v>
      </c>
      <c r="C26" s="103" t="s">
        <v>983</v>
      </c>
      <c r="G26" s="104" t="s">
        <v>928</v>
      </c>
      <c r="V26" s="81" t="str">
        <f t="shared" si="4"/>
        <v>2126907</v>
      </c>
      <c r="W26" s="81" t="str">
        <f t="shared" si="0"/>
        <v>2126907</v>
      </c>
      <c r="X26" s="81" t="str">
        <f t="shared" si="5"/>
        <v/>
      </c>
      <c r="AC26" s="60">
        <f t="shared" si="6"/>
        <v>56</v>
      </c>
      <c r="AD26" s="49">
        <f t="shared" si="1"/>
        <v>25</v>
      </c>
      <c r="AE26" s="60">
        <f t="shared" si="7"/>
        <v>56025</v>
      </c>
    </row>
    <row r="27" spans="1:31">
      <c r="A27" s="81" t="str">
        <f t="shared" si="2"/>
        <v>2241674</v>
      </c>
      <c r="B27" s="81" t="str">
        <f t="shared" si="3"/>
        <v>56-026-</v>
      </c>
      <c r="C27" s="103" t="s">
        <v>984</v>
      </c>
      <c r="G27" s="104" t="s">
        <v>929</v>
      </c>
      <c r="V27" s="81" t="str">
        <f t="shared" si="4"/>
        <v>2241674</v>
      </c>
      <c r="W27" s="81" t="str">
        <f t="shared" si="0"/>
        <v>2241674</v>
      </c>
      <c r="X27" s="81" t="str">
        <f t="shared" si="5"/>
        <v/>
      </c>
      <c r="AC27" s="60">
        <f t="shared" si="6"/>
        <v>56</v>
      </c>
      <c r="AD27" s="49">
        <f t="shared" si="1"/>
        <v>26</v>
      </c>
      <c r="AE27" s="60">
        <f t="shared" si="7"/>
        <v>56026</v>
      </c>
    </row>
    <row r="28" spans="1:31">
      <c r="A28" s="81" t="str">
        <f t="shared" si="2"/>
        <v>2344502</v>
      </c>
      <c r="B28" s="81" t="str">
        <f t="shared" si="3"/>
        <v>56-027-</v>
      </c>
      <c r="C28" s="103" t="s">
        <v>985</v>
      </c>
      <c r="G28" s="104" t="s">
        <v>930</v>
      </c>
      <c r="V28" s="81" t="str">
        <f t="shared" si="4"/>
        <v>2344502</v>
      </c>
      <c r="W28" s="81" t="str">
        <f t="shared" si="0"/>
        <v>2344502</v>
      </c>
      <c r="X28" s="81" t="str">
        <f t="shared" si="5"/>
        <v/>
      </c>
      <c r="AC28" s="60">
        <f t="shared" si="6"/>
        <v>56</v>
      </c>
      <c r="AD28" s="49">
        <f t="shared" si="1"/>
        <v>27</v>
      </c>
      <c r="AE28" s="60">
        <f t="shared" si="7"/>
        <v>56027</v>
      </c>
    </row>
    <row r="29" spans="1:31">
      <c r="A29" s="81" t="str">
        <f t="shared" si="2"/>
        <v>2353501</v>
      </c>
      <c r="B29" s="81" t="str">
        <f t="shared" si="3"/>
        <v>56-028-</v>
      </c>
      <c r="C29" s="103" t="s">
        <v>986</v>
      </c>
      <c r="G29" s="104" t="s">
        <v>931</v>
      </c>
      <c r="V29" s="81" t="str">
        <f t="shared" si="4"/>
        <v>2353501</v>
      </c>
      <c r="W29" s="81" t="str">
        <f t="shared" si="0"/>
        <v>2353501</v>
      </c>
      <c r="X29" s="81" t="str">
        <f t="shared" si="5"/>
        <v/>
      </c>
      <c r="AC29" s="60">
        <f t="shared" si="6"/>
        <v>56</v>
      </c>
      <c r="AD29" s="49">
        <f t="shared" si="1"/>
        <v>28</v>
      </c>
      <c r="AE29" s="60">
        <f t="shared" si="7"/>
        <v>56028</v>
      </c>
    </row>
    <row r="30" spans="1:31">
      <c r="A30" s="81" t="str">
        <f t="shared" si="2"/>
        <v>2359301</v>
      </c>
      <c r="B30" s="81" t="str">
        <f t="shared" si="3"/>
        <v>56-029-</v>
      </c>
      <c r="C30" s="103" t="s">
        <v>987</v>
      </c>
      <c r="G30" s="104" t="s">
        <v>932</v>
      </c>
      <c r="V30" s="81" t="str">
        <f t="shared" si="4"/>
        <v>2359301</v>
      </c>
      <c r="W30" s="81" t="str">
        <f t="shared" si="0"/>
        <v>2359301</v>
      </c>
      <c r="X30" s="81" t="str">
        <f t="shared" si="5"/>
        <v/>
      </c>
      <c r="AC30" s="60">
        <f t="shared" si="6"/>
        <v>56</v>
      </c>
      <c r="AD30" s="49">
        <f t="shared" si="1"/>
        <v>29</v>
      </c>
      <c r="AE30" s="60">
        <f t="shared" si="7"/>
        <v>56029</v>
      </c>
    </row>
    <row r="31" spans="1:31">
      <c r="A31" s="81" t="str">
        <f t="shared" si="2"/>
        <v>2241675</v>
      </c>
      <c r="B31" s="81" t="str">
        <f t="shared" si="3"/>
        <v>56-030-</v>
      </c>
      <c r="C31" s="103" t="s">
        <v>988</v>
      </c>
      <c r="G31" s="104" t="s">
        <v>933</v>
      </c>
      <c r="V31" s="81" t="str">
        <f t="shared" si="4"/>
        <v>2241675</v>
      </c>
      <c r="W31" s="81" t="str">
        <f t="shared" si="0"/>
        <v>2241675</v>
      </c>
      <c r="X31" s="81" t="str">
        <f t="shared" si="5"/>
        <v/>
      </c>
      <c r="AC31" s="60">
        <f t="shared" si="6"/>
        <v>56</v>
      </c>
      <c r="AD31" s="49">
        <f t="shared" si="1"/>
        <v>30</v>
      </c>
      <c r="AE31" s="60">
        <f t="shared" si="7"/>
        <v>56030</v>
      </c>
    </row>
    <row r="32" spans="1:31">
      <c r="A32" s="81" t="str">
        <f t="shared" si="2"/>
        <v>2241678</v>
      </c>
      <c r="B32" s="81" t="str">
        <f t="shared" si="3"/>
        <v>56-031-</v>
      </c>
      <c r="C32" s="103" t="s">
        <v>989</v>
      </c>
      <c r="G32" s="104" t="s">
        <v>934</v>
      </c>
      <c r="V32" s="81" t="str">
        <f t="shared" si="4"/>
        <v>2241678</v>
      </c>
      <c r="W32" s="81" t="str">
        <f t="shared" si="0"/>
        <v>2241678</v>
      </c>
      <c r="X32" s="81" t="str">
        <f t="shared" si="5"/>
        <v/>
      </c>
      <c r="AC32" s="60">
        <f t="shared" si="6"/>
        <v>56</v>
      </c>
      <c r="AD32" s="49">
        <f t="shared" si="1"/>
        <v>31</v>
      </c>
      <c r="AE32" s="60">
        <f t="shared" si="7"/>
        <v>56031</v>
      </c>
    </row>
    <row r="33" spans="1:31">
      <c r="A33" s="81" t="str">
        <f t="shared" si="2"/>
        <v>2241679</v>
      </c>
      <c r="B33" s="81" t="str">
        <f t="shared" si="3"/>
        <v>56-032-</v>
      </c>
      <c r="C33" s="103" t="s">
        <v>990</v>
      </c>
      <c r="G33" s="104" t="s">
        <v>935</v>
      </c>
      <c r="V33" s="81" t="str">
        <f t="shared" si="4"/>
        <v>2241679</v>
      </c>
      <c r="W33" s="81" t="str">
        <f t="shared" si="0"/>
        <v>2241679</v>
      </c>
      <c r="X33" s="81" t="str">
        <f t="shared" si="5"/>
        <v/>
      </c>
      <c r="AC33" s="60">
        <f t="shared" si="6"/>
        <v>56</v>
      </c>
      <c r="AD33" s="49">
        <f t="shared" si="1"/>
        <v>32</v>
      </c>
      <c r="AE33" s="60">
        <f t="shared" si="7"/>
        <v>56032</v>
      </c>
    </row>
    <row r="34" spans="1:31">
      <c r="A34" s="81" t="str">
        <f t="shared" si="2"/>
        <v>2255417</v>
      </c>
      <c r="B34" s="81" t="str">
        <f t="shared" si="3"/>
        <v>56-033-</v>
      </c>
      <c r="C34" s="103" t="s">
        <v>991</v>
      </c>
      <c r="G34" s="104" t="s">
        <v>936</v>
      </c>
      <c r="V34" s="81" t="str">
        <f t="shared" si="4"/>
        <v>2255417</v>
      </c>
      <c r="W34" s="81" t="str">
        <f t="shared" si="0"/>
        <v>2255417</v>
      </c>
      <c r="X34" s="81" t="str">
        <f t="shared" si="5"/>
        <v/>
      </c>
      <c r="AC34" s="60">
        <f t="shared" si="6"/>
        <v>56</v>
      </c>
      <c r="AD34" s="49">
        <f t="shared" si="1"/>
        <v>33</v>
      </c>
      <c r="AE34" s="60">
        <f t="shared" si="7"/>
        <v>56033</v>
      </c>
    </row>
    <row r="35" spans="1:31">
      <c r="A35" s="81" t="str">
        <f t="shared" si="2"/>
        <v>2342801</v>
      </c>
      <c r="B35" s="81" t="str">
        <f t="shared" si="3"/>
        <v>56-034-</v>
      </c>
      <c r="C35" s="103" t="s">
        <v>992</v>
      </c>
      <c r="G35" s="104" t="s">
        <v>937</v>
      </c>
      <c r="V35" s="81" t="str">
        <f t="shared" si="4"/>
        <v>2342801</v>
      </c>
      <c r="W35" s="81" t="str">
        <f t="shared" si="0"/>
        <v>2342801</v>
      </c>
      <c r="X35" s="81" t="str">
        <f t="shared" si="5"/>
        <v/>
      </c>
      <c r="AC35" s="60">
        <f t="shared" si="6"/>
        <v>56</v>
      </c>
      <c r="AD35" s="49">
        <f t="shared" si="1"/>
        <v>34</v>
      </c>
      <c r="AE35" s="60">
        <f t="shared" si="7"/>
        <v>56034</v>
      </c>
    </row>
    <row r="36" spans="1:31">
      <c r="A36" s="81" t="str">
        <f t="shared" si="2"/>
        <v>2343801</v>
      </c>
      <c r="B36" s="81" t="str">
        <f t="shared" si="3"/>
        <v>56-035-</v>
      </c>
      <c r="C36" s="103" t="s">
        <v>993</v>
      </c>
      <c r="G36" s="104" t="s">
        <v>938</v>
      </c>
      <c r="V36" s="81" t="str">
        <f t="shared" si="4"/>
        <v>2343801</v>
      </c>
      <c r="W36" s="81" t="str">
        <f t="shared" si="0"/>
        <v>2343801</v>
      </c>
      <c r="X36" s="81" t="str">
        <f t="shared" si="5"/>
        <v/>
      </c>
      <c r="AC36" s="60">
        <f t="shared" si="6"/>
        <v>56</v>
      </c>
      <c r="AD36" s="49">
        <f t="shared" si="1"/>
        <v>35</v>
      </c>
      <c r="AE36" s="60">
        <f t="shared" si="7"/>
        <v>56035</v>
      </c>
    </row>
    <row r="37" spans="1:31">
      <c r="A37" s="81" t="str">
        <f t="shared" si="2"/>
        <v>2343805</v>
      </c>
      <c r="B37" s="81" t="str">
        <f t="shared" si="3"/>
        <v>56-036-</v>
      </c>
      <c r="C37" s="103" t="s">
        <v>994</v>
      </c>
      <c r="G37" s="104" t="s">
        <v>939</v>
      </c>
      <c r="V37" s="81" t="str">
        <f t="shared" si="4"/>
        <v>2343805</v>
      </c>
      <c r="W37" s="81" t="str">
        <f t="shared" si="0"/>
        <v>2343805</v>
      </c>
      <c r="X37" s="81" t="str">
        <f t="shared" si="5"/>
        <v/>
      </c>
      <c r="AC37" s="60">
        <f t="shared" si="6"/>
        <v>56</v>
      </c>
      <c r="AD37" s="49">
        <f t="shared" si="1"/>
        <v>36</v>
      </c>
      <c r="AE37" s="60">
        <f t="shared" si="7"/>
        <v>56036</v>
      </c>
    </row>
    <row r="38" spans="1:31">
      <c r="A38" s="81" t="str">
        <f t="shared" si="2"/>
        <v>2366901</v>
      </c>
      <c r="B38" s="81" t="str">
        <f t="shared" si="3"/>
        <v>56-037-</v>
      </c>
      <c r="C38" s="103" t="s">
        <v>995</v>
      </c>
      <c r="G38" s="104" t="s">
        <v>940</v>
      </c>
      <c r="V38" s="81" t="str">
        <f t="shared" si="4"/>
        <v>2366901</v>
      </c>
      <c r="W38" s="81" t="str">
        <f t="shared" si="0"/>
        <v>2366901</v>
      </c>
      <c r="X38" s="81" t="str">
        <f t="shared" si="5"/>
        <v/>
      </c>
      <c r="AC38" s="60">
        <f t="shared" si="6"/>
        <v>56</v>
      </c>
      <c r="AD38" s="49">
        <f t="shared" si="1"/>
        <v>37</v>
      </c>
      <c r="AE38" s="60">
        <f t="shared" si="7"/>
        <v>56037</v>
      </c>
    </row>
    <row r="39" spans="1:31">
      <c r="A39" s="81" t="str">
        <f t="shared" si="2"/>
        <v>2367503</v>
      </c>
      <c r="B39" s="81" t="str">
        <f t="shared" si="3"/>
        <v>56-038-</v>
      </c>
      <c r="C39" s="103" t="s">
        <v>996</v>
      </c>
      <c r="G39" s="104" t="s">
        <v>941</v>
      </c>
      <c r="V39" s="81" t="str">
        <f t="shared" si="4"/>
        <v>2367503</v>
      </c>
      <c r="W39" s="81" t="str">
        <f t="shared" si="0"/>
        <v>2367503</v>
      </c>
      <c r="X39" s="81" t="str">
        <f t="shared" si="5"/>
        <v/>
      </c>
      <c r="AC39" s="60">
        <f t="shared" si="6"/>
        <v>56</v>
      </c>
      <c r="AD39" s="49">
        <f t="shared" si="1"/>
        <v>38</v>
      </c>
      <c r="AE39" s="60">
        <f t="shared" si="7"/>
        <v>56038</v>
      </c>
    </row>
    <row r="40" spans="1:31">
      <c r="A40" s="81" t="str">
        <f t="shared" si="2"/>
        <v>2371104</v>
      </c>
      <c r="B40" s="81" t="str">
        <f t="shared" si="3"/>
        <v>56-039-</v>
      </c>
      <c r="C40" s="103" t="s">
        <v>997</v>
      </c>
      <c r="G40" s="104" t="s">
        <v>942</v>
      </c>
      <c r="V40" s="81" t="str">
        <f t="shared" si="4"/>
        <v>2371104</v>
      </c>
      <c r="W40" s="81" t="str">
        <f t="shared" si="0"/>
        <v>2371104</v>
      </c>
      <c r="X40" s="81" t="str">
        <f t="shared" si="5"/>
        <v/>
      </c>
      <c r="AC40" s="60">
        <f t="shared" si="6"/>
        <v>56</v>
      </c>
      <c r="AD40" s="49">
        <f t="shared" si="1"/>
        <v>39</v>
      </c>
      <c r="AE40" s="60">
        <f t="shared" si="7"/>
        <v>56039</v>
      </c>
    </row>
    <row r="41" spans="1:31">
      <c r="A41" s="81" t="str">
        <f t="shared" si="2"/>
        <v>2241685</v>
      </c>
      <c r="B41" s="81" t="str">
        <f t="shared" si="3"/>
        <v>56-040-</v>
      </c>
      <c r="C41" s="103" t="s">
        <v>998</v>
      </c>
      <c r="G41" s="104" t="s">
        <v>943</v>
      </c>
      <c r="V41" s="81" t="str">
        <f t="shared" si="4"/>
        <v>2241685</v>
      </c>
      <c r="W41" s="81" t="str">
        <f t="shared" si="0"/>
        <v>2241685</v>
      </c>
      <c r="X41" s="81" t="str">
        <f t="shared" si="5"/>
        <v/>
      </c>
      <c r="AC41" s="60">
        <f t="shared" si="6"/>
        <v>56</v>
      </c>
      <c r="AD41" s="49">
        <f t="shared" si="1"/>
        <v>40</v>
      </c>
      <c r="AE41" s="60">
        <f t="shared" si="7"/>
        <v>56040</v>
      </c>
    </row>
    <row r="42" spans="1:31">
      <c r="A42" s="81" t="str">
        <f t="shared" si="2"/>
        <v>2375801</v>
      </c>
      <c r="B42" s="81" t="str">
        <f t="shared" si="3"/>
        <v>56-041-</v>
      </c>
      <c r="C42" s="103" t="s">
        <v>999</v>
      </c>
      <c r="G42" s="104" t="s">
        <v>944</v>
      </c>
      <c r="V42" s="81" t="str">
        <f t="shared" si="4"/>
        <v>2375801</v>
      </c>
      <c r="W42" s="81" t="str">
        <f t="shared" si="0"/>
        <v>2375801</v>
      </c>
      <c r="X42" s="81" t="str">
        <f t="shared" si="5"/>
        <v/>
      </c>
      <c r="AC42" s="60">
        <f t="shared" si="6"/>
        <v>56</v>
      </c>
      <c r="AD42" s="49">
        <f t="shared" si="1"/>
        <v>41</v>
      </c>
      <c r="AE42" s="60">
        <f t="shared" si="7"/>
        <v>56041</v>
      </c>
    </row>
    <row r="43" spans="1:31">
      <c r="A43" s="81" t="str">
        <f t="shared" si="2"/>
        <v>2390901</v>
      </c>
      <c r="B43" s="81" t="str">
        <f t="shared" si="3"/>
        <v>56-042-</v>
      </c>
      <c r="C43" s="103" t="s">
        <v>1000</v>
      </c>
      <c r="G43" s="104" t="s">
        <v>945</v>
      </c>
      <c r="V43" s="81" t="str">
        <f t="shared" si="4"/>
        <v>2390901</v>
      </c>
      <c r="W43" s="81" t="str">
        <f t="shared" si="0"/>
        <v>2390901</v>
      </c>
      <c r="X43" s="81" t="str">
        <f t="shared" si="5"/>
        <v/>
      </c>
      <c r="AC43" s="60">
        <f t="shared" si="6"/>
        <v>56</v>
      </c>
      <c r="AD43" s="49">
        <f t="shared" si="1"/>
        <v>42</v>
      </c>
      <c r="AE43" s="60">
        <f t="shared" si="7"/>
        <v>56042</v>
      </c>
    </row>
    <row r="44" spans="1:31">
      <c r="A44" s="81" t="str">
        <f t="shared" si="2"/>
        <v>5291901</v>
      </c>
      <c r="B44" s="81" t="str">
        <f t="shared" si="3"/>
        <v>56-043-</v>
      </c>
      <c r="C44" s="103" t="s">
        <v>1001</v>
      </c>
      <c r="G44" s="104" t="s">
        <v>946</v>
      </c>
      <c r="V44" s="81" t="str">
        <f t="shared" si="4"/>
        <v>5291901</v>
      </c>
      <c r="W44" s="81" t="str">
        <f t="shared" si="0"/>
        <v>5291901</v>
      </c>
      <c r="X44" s="81" t="str">
        <f t="shared" si="5"/>
        <v/>
      </c>
      <c r="AC44" s="60">
        <f t="shared" si="6"/>
        <v>56</v>
      </c>
      <c r="AD44" s="49">
        <f t="shared" si="1"/>
        <v>43</v>
      </c>
      <c r="AE44" s="60">
        <f t="shared" si="7"/>
        <v>56043</v>
      </c>
    </row>
    <row r="45" spans="1:31">
      <c r="A45" s="81" t="str">
        <f t="shared" si="2"/>
        <v>5291902</v>
      </c>
      <c r="B45" s="81" t="str">
        <f t="shared" si="3"/>
        <v>56-044-</v>
      </c>
      <c r="C45" s="103" t="s">
        <v>1002</v>
      </c>
      <c r="G45" s="104" t="s">
        <v>947</v>
      </c>
      <c r="V45" s="81" t="str">
        <f t="shared" si="4"/>
        <v>5291902</v>
      </c>
      <c r="W45" s="81" t="str">
        <f t="shared" si="0"/>
        <v>5291902</v>
      </c>
      <c r="X45" s="81" t="str">
        <f t="shared" si="5"/>
        <v/>
      </c>
      <c r="AC45" s="60">
        <f t="shared" si="6"/>
        <v>56</v>
      </c>
      <c r="AD45" s="49">
        <f t="shared" si="1"/>
        <v>44</v>
      </c>
      <c r="AE45" s="60">
        <f t="shared" si="7"/>
        <v>56044</v>
      </c>
    </row>
    <row r="46" spans="1:31">
      <c r="A46" s="81" t="str">
        <f t="shared" si="2"/>
        <v>GP0124</v>
      </c>
      <c r="B46" s="81" t="str">
        <f t="shared" si="3"/>
        <v>56-045-</v>
      </c>
      <c r="C46" s="103" t="s">
        <v>1003</v>
      </c>
      <c r="G46" s="104" t="s">
        <v>948</v>
      </c>
      <c r="V46" s="81" t="str">
        <f t="shared" si="4"/>
        <v>GP0124</v>
      </c>
      <c r="W46" s="81" t="str">
        <f t="shared" si="0"/>
        <v>GP0124</v>
      </c>
      <c r="X46" s="81" t="str">
        <f t="shared" si="5"/>
        <v/>
      </c>
      <c r="AC46" s="60">
        <f t="shared" si="6"/>
        <v>56</v>
      </c>
      <c r="AD46" s="49">
        <f t="shared" si="1"/>
        <v>45</v>
      </c>
      <c r="AE46" s="60">
        <f t="shared" si="7"/>
        <v>56045</v>
      </c>
    </row>
    <row r="47" spans="1:31">
      <c r="A47" s="81" t="str">
        <f t="shared" si="2"/>
        <v>HD9885</v>
      </c>
      <c r="B47" s="81" t="str">
        <f t="shared" si="3"/>
        <v>56-046-</v>
      </c>
      <c r="C47" s="103" t="s">
        <v>1004</v>
      </c>
      <c r="G47" s="104" t="s">
        <v>949</v>
      </c>
      <c r="V47" s="81" t="str">
        <f t="shared" si="4"/>
        <v>HD9885</v>
      </c>
      <c r="W47" s="81" t="str">
        <f t="shared" si="0"/>
        <v>HD9885</v>
      </c>
      <c r="X47" s="81" t="str">
        <f t="shared" si="5"/>
        <v/>
      </c>
      <c r="AC47" s="60">
        <f t="shared" si="6"/>
        <v>56</v>
      </c>
      <c r="AD47" s="49">
        <f t="shared" si="1"/>
        <v>46</v>
      </c>
      <c r="AE47" s="60">
        <f t="shared" si="7"/>
        <v>56046</v>
      </c>
    </row>
    <row r="48" spans="1:31">
      <c r="A48" s="81" t="str">
        <f t="shared" si="2"/>
        <v>HD9884</v>
      </c>
      <c r="B48" s="81" t="str">
        <f t="shared" si="3"/>
        <v>56-047-</v>
      </c>
      <c r="C48" s="103" t="s">
        <v>1005</v>
      </c>
      <c r="G48" s="104" t="s">
        <v>950</v>
      </c>
      <c r="V48" s="81" t="str">
        <f t="shared" si="4"/>
        <v>HD9884</v>
      </c>
      <c r="W48" s="81" t="str">
        <f t="shared" si="0"/>
        <v>HD9884</v>
      </c>
      <c r="X48" s="81" t="str">
        <f t="shared" si="5"/>
        <v/>
      </c>
      <c r="AC48" s="60">
        <f t="shared" si="6"/>
        <v>56</v>
      </c>
      <c r="AD48" s="49">
        <f t="shared" si="1"/>
        <v>47</v>
      </c>
      <c r="AE48" s="60">
        <f t="shared" si="7"/>
        <v>56047</v>
      </c>
    </row>
    <row r="49" spans="1:31">
      <c r="A49" s="81" t="str">
        <f t="shared" si="2"/>
        <v>HD9887</v>
      </c>
      <c r="B49" s="81" t="str">
        <f t="shared" si="3"/>
        <v>56-048-</v>
      </c>
      <c r="C49" s="103" t="s">
        <v>1006</v>
      </c>
      <c r="G49" s="104" t="s">
        <v>951</v>
      </c>
      <c r="V49" s="81" t="str">
        <f t="shared" si="4"/>
        <v>HD9887</v>
      </c>
      <c r="W49" s="81" t="str">
        <f t="shared" si="0"/>
        <v>HD9887</v>
      </c>
      <c r="X49" s="81" t="str">
        <f t="shared" si="5"/>
        <v/>
      </c>
      <c r="AC49" s="60">
        <f t="shared" si="6"/>
        <v>56</v>
      </c>
      <c r="AD49" s="49">
        <f t="shared" si="1"/>
        <v>48</v>
      </c>
      <c r="AE49" s="60">
        <f t="shared" si="7"/>
        <v>56048</v>
      </c>
    </row>
    <row r="50" spans="1:31">
      <c r="A50" s="81" t="str">
        <f t="shared" si="2"/>
        <v>HE2381</v>
      </c>
      <c r="B50" s="81" t="str">
        <f t="shared" si="3"/>
        <v>56-049-</v>
      </c>
      <c r="C50" s="103" t="s">
        <v>1007</v>
      </c>
      <c r="G50" s="104" t="s">
        <v>952</v>
      </c>
      <c r="V50" s="81" t="str">
        <f t="shared" si="4"/>
        <v>HE2381</v>
      </c>
      <c r="W50" s="81" t="str">
        <f t="shared" si="0"/>
        <v>HE2381</v>
      </c>
      <c r="X50" s="81" t="str">
        <f t="shared" si="5"/>
        <v/>
      </c>
      <c r="AC50" s="60">
        <f t="shared" si="6"/>
        <v>56</v>
      </c>
      <c r="AD50" s="49">
        <f t="shared" si="1"/>
        <v>49</v>
      </c>
      <c r="AE50" s="60">
        <f t="shared" si="7"/>
        <v>56049</v>
      </c>
    </row>
    <row r="51" spans="1:31">
      <c r="A51" s="81" t="str">
        <f t="shared" si="2"/>
        <v>HE2388</v>
      </c>
      <c r="B51" s="81" t="str">
        <f t="shared" si="3"/>
        <v>56-050-</v>
      </c>
      <c r="C51" s="103" t="s">
        <v>1008</v>
      </c>
      <c r="G51" s="104" t="s">
        <v>953</v>
      </c>
      <c r="V51" s="81" t="str">
        <f t="shared" si="4"/>
        <v>HE2388</v>
      </c>
      <c r="W51" s="81" t="str">
        <f t="shared" si="0"/>
        <v>HE2388</v>
      </c>
      <c r="X51" s="81" t="str">
        <f t="shared" si="5"/>
        <v/>
      </c>
      <c r="AC51" s="60">
        <f t="shared" si="6"/>
        <v>56</v>
      </c>
      <c r="AD51" s="49">
        <f t="shared" si="1"/>
        <v>50</v>
      </c>
      <c r="AE51" s="60">
        <f t="shared" si="7"/>
        <v>56050</v>
      </c>
    </row>
    <row r="52" spans="1:31">
      <c r="A52" s="81" t="str">
        <f t="shared" si="2"/>
        <v>1361532-012</v>
      </c>
      <c r="B52" s="81" t="str">
        <f t="shared" si="3"/>
        <v>56-051-</v>
      </c>
      <c r="C52" s="103" t="s">
        <v>1009</v>
      </c>
      <c r="G52" s="104" t="s">
        <v>954</v>
      </c>
      <c r="V52" s="81" t="str">
        <f t="shared" si="4"/>
        <v>1361532-012</v>
      </c>
      <c r="W52" s="81" t="str">
        <f t="shared" si="0"/>
        <v>1361532-012</v>
      </c>
      <c r="X52" s="81" t="str">
        <f t="shared" si="5"/>
        <v/>
      </c>
      <c r="AC52" s="60">
        <f t="shared" si="6"/>
        <v>56</v>
      </c>
      <c r="AD52" s="49">
        <f t="shared" si="1"/>
        <v>51</v>
      </c>
      <c r="AE52" s="60">
        <f t="shared" si="7"/>
        <v>56051</v>
      </c>
    </row>
    <row r="53" spans="1:31">
      <c r="A53" s="81" t="str">
        <f t="shared" si="2"/>
        <v>1361532-601</v>
      </c>
      <c r="B53" s="81" t="str">
        <f t="shared" si="3"/>
        <v>56-052-</v>
      </c>
      <c r="C53" s="103" t="s">
        <v>1010</v>
      </c>
      <c r="G53" s="104" t="s">
        <v>955</v>
      </c>
      <c r="V53" s="81" t="str">
        <f t="shared" si="4"/>
        <v>1361532-601</v>
      </c>
      <c r="W53" s="81" t="str">
        <f t="shared" si="0"/>
        <v>1361532-601</v>
      </c>
      <c r="X53" s="81" t="str">
        <f t="shared" si="5"/>
        <v/>
      </c>
      <c r="AC53" s="60">
        <f t="shared" si="6"/>
        <v>56</v>
      </c>
      <c r="AD53" s="49">
        <f t="shared" si="1"/>
        <v>52</v>
      </c>
      <c r="AE53" s="60">
        <f t="shared" si="7"/>
        <v>56052</v>
      </c>
    </row>
    <row r="54" spans="1:31">
      <c r="A54" s="81" t="str">
        <f t="shared" si="2"/>
        <v>1361562-100</v>
      </c>
      <c r="B54" s="81" t="str">
        <f t="shared" si="3"/>
        <v>56-053-</v>
      </c>
      <c r="C54" s="103" t="s">
        <v>1011</v>
      </c>
      <c r="G54" s="104" t="s">
        <v>956</v>
      </c>
      <c r="V54" s="81" t="str">
        <f t="shared" si="4"/>
        <v>1361562-100</v>
      </c>
      <c r="W54" s="81" t="str">
        <f t="shared" si="0"/>
        <v>1361562-100</v>
      </c>
      <c r="X54" s="81" t="str">
        <f t="shared" si="5"/>
        <v/>
      </c>
      <c r="AC54" s="60">
        <f t="shared" si="6"/>
        <v>56</v>
      </c>
      <c r="AD54" s="49">
        <f t="shared" si="1"/>
        <v>53</v>
      </c>
      <c r="AE54" s="60">
        <f t="shared" si="7"/>
        <v>56053</v>
      </c>
    </row>
    <row r="55" spans="1:31">
      <c r="A55" s="81" t="str">
        <f t="shared" si="2"/>
        <v>1369785-100</v>
      </c>
      <c r="B55" s="81" t="str">
        <f t="shared" si="3"/>
        <v>56-054-</v>
      </c>
      <c r="C55" s="103" t="s">
        <v>1012</v>
      </c>
      <c r="G55" s="104" t="s">
        <v>957</v>
      </c>
      <c r="V55" s="81" t="str">
        <f t="shared" si="4"/>
        <v>1369785-100</v>
      </c>
      <c r="W55" s="81" t="str">
        <f t="shared" si="0"/>
        <v>1369785-100</v>
      </c>
      <c r="X55" s="81" t="str">
        <f t="shared" si="5"/>
        <v/>
      </c>
      <c r="AC55" s="60">
        <f t="shared" si="6"/>
        <v>56</v>
      </c>
      <c r="AD55" s="49">
        <f t="shared" si="1"/>
        <v>54</v>
      </c>
      <c r="AE55" s="60">
        <f t="shared" si="7"/>
        <v>56054</v>
      </c>
    </row>
    <row r="56" spans="1:31">
      <c r="A56" s="81" t="str">
        <f t="shared" si="2"/>
        <v>1369804-012</v>
      </c>
      <c r="B56" s="81" t="str">
        <f t="shared" si="3"/>
        <v>56-055-</v>
      </c>
      <c r="C56" s="103" t="s">
        <v>1013</v>
      </c>
      <c r="G56" s="104" t="s">
        <v>958</v>
      </c>
      <c r="V56" s="81" t="str">
        <f t="shared" si="4"/>
        <v>1369804-012</v>
      </c>
      <c r="W56" s="81" t="str">
        <f t="shared" si="0"/>
        <v>1369804-012</v>
      </c>
      <c r="X56" s="81" t="str">
        <f t="shared" si="5"/>
        <v/>
      </c>
      <c r="AC56" s="60">
        <f t="shared" si="6"/>
        <v>56</v>
      </c>
      <c r="AD56" s="49">
        <f t="shared" si="1"/>
        <v>55</v>
      </c>
      <c r="AE56" s="60">
        <f t="shared" si="7"/>
        <v>56055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85</vt:i4>
      </vt:variant>
    </vt:vector>
  </HeadingPairs>
  <TitlesOfParts>
    <vt:vector size="9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2022-04-12T12:34:38Z</dcterms:modified>
</cp:coreProperties>
</file>