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BUH\Documents\HatsAndCaps\Excel\Lestate\Отправка_2022.04.19\Л0000186666\"/>
    </mc:Choice>
  </mc:AlternateContent>
  <xr:revisionPtr revIDLastSave="0" documentId="13_ncr:1_{E3D8E0BA-4535-4179-BA2E-3EC9CA6BA691}" xr6:coauthVersionLast="47" xr6:coauthVersionMax="47" xr10:uidLastSave="{00000000-0000-0000-0000-000000000000}"/>
  <bookViews>
    <workbookView xWindow="-120" yWindow="-120" windowWidth="29040" windowHeight="15840" tabRatio="802" activeTab="2" xr2:uid="{00000000-000D-0000-FFFF-FFFF00000000}"/>
  </bookViews>
  <sheets>
    <sheet name="TDSheet" sheetId="5" r:id="rId1"/>
    <sheet name="Цвета" sheetId="2" r:id="rId2"/>
    <sheet name="Table" sheetId="3" r:id="rId3"/>
    <sheet name="TableResult" sheetId="4" r:id="rId4"/>
  </sheets>
  <definedNames>
    <definedName name="_xlnm._FilterDatabase" localSheetId="2" hidden="1">Table!$A$1:$J$2</definedName>
    <definedName name="_xlnm._FilterDatabase" localSheetId="3" hidden="1">TableResult!$A$1:$G$56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6" i="4" l="1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</calcChain>
</file>

<file path=xl/sharedStrings.xml><?xml version="1.0" encoding="utf-8"?>
<sst xmlns="http://schemas.openxmlformats.org/spreadsheetml/2006/main" count="758" uniqueCount="203">
  <si>
    <t>Индивидуальный предприниматель Сбитенков Владимир Владимирович</t>
  </si>
  <si>
    <t>№</t>
  </si>
  <si>
    <t>Артикул товара</t>
  </si>
  <si>
    <t>Название товара</t>
  </si>
  <si>
    <t>Предназначение</t>
  </si>
  <si>
    <t>Категория</t>
  </si>
  <si>
    <t>Пол</t>
  </si>
  <si>
    <t>Бренд</t>
  </si>
  <si>
    <t>Английское наименование</t>
  </si>
  <si>
    <t>Цвет</t>
  </si>
  <si>
    <t>Российский Размер</t>
  </si>
  <si>
    <t>Размер поставщика</t>
  </si>
  <si>
    <t>Состав</t>
  </si>
  <si>
    <t>Индивидуальная упаковка товара (ед. измерения пар шт уп)</t>
  </si>
  <si>
    <t>Страна-
изготовитель</t>
  </si>
  <si>
    <t>Количество, шт.</t>
  </si>
  <si>
    <t>Цена в руб. с НДС</t>
  </si>
  <si>
    <t>Ставка
НДС</t>
  </si>
  <si>
    <t>Цена в руб. без НДС</t>
  </si>
  <si>
    <t>РРЦ</t>
  </si>
  <si>
    <t>ГТД</t>
  </si>
  <si>
    <t>Штрихкод (EAN13)</t>
  </si>
  <si>
    <t>Описание товара</t>
  </si>
  <si>
    <t>Ссылка на Фото</t>
  </si>
  <si>
    <t>ТН ВЭД</t>
  </si>
  <si>
    <t>Подлежит маркировке DM</t>
  </si>
  <si>
    <t>Сумма</t>
  </si>
  <si>
    <t xml:space="preserve"> </t>
  </si>
  <si>
    <t>Кепка</t>
  </si>
  <si>
    <t>Спортивный стиль</t>
  </si>
  <si>
    <t>Аксессуары</t>
  </si>
  <si>
    <t>Унисекс</t>
  </si>
  <si>
    <t>Puma</t>
  </si>
  <si>
    <t>черный</t>
  </si>
  <si>
    <t>шт</t>
  </si>
  <si>
    <t>КИТАЙ</t>
  </si>
  <si>
    <t>10131010/240122/3040299/010</t>
  </si>
  <si>
    <t>Нет</t>
  </si>
  <si>
    <t>100% хлопок</t>
  </si>
  <si>
    <t>100% Полиэстер</t>
  </si>
  <si>
    <t>ФИЛИППИНЫ</t>
  </si>
  <si>
    <t>10317120/160222/3024657/001</t>
  </si>
  <si>
    <t>Итого:</t>
  </si>
  <si>
    <t>В том числе НДС:</t>
  </si>
  <si>
    <t>Получил</t>
  </si>
  <si>
    <t>black</t>
  </si>
  <si>
    <t>синий</t>
  </si>
  <si>
    <t>blue</t>
  </si>
  <si>
    <t>белый</t>
  </si>
  <si>
    <t>white</t>
  </si>
  <si>
    <t>серый</t>
  </si>
  <si>
    <t>grey</t>
  </si>
  <si>
    <t>красный</t>
  </si>
  <si>
    <t>red</t>
  </si>
  <si>
    <t>розовый</t>
  </si>
  <si>
    <t>pink</t>
  </si>
  <si>
    <t>голубой</t>
  </si>
  <si>
    <t>lt.blue</t>
  </si>
  <si>
    <t>фиолетовый</t>
  </si>
  <si>
    <t>purple</t>
  </si>
  <si>
    <t>бежевый</t>
  </si>
  <si>
    <t>beige</t>
  </si>
  <si>
    <t>разноцветный</t>
  </si>
  <si>
    <t>multicoloured</t>
  </si>
  <si>
    <t>темно-синий</t>
  </si>
  <si>
    <t>navy</t>
  </si>
  <si>
    <t>Style</t>
  </si>
  <si>
    <t>Brand</t>
  </si>
  <si>
    <t>Name</t>
  </si>
  <si>
    <t>Группа</t>
  </si>
  <si>
    <t>Страна</t>
  </si>
  <si>
    <t>Размер</t>
  </si>
  <si>
    <t>Цена</t>
  </si>
  <si>
    <t>Цвет поставщика</t>
  </si>
  <si>
    <t>One Size</t>
  </si>
  <si>
    <t>RowsCount</t>
  </si>
  <si>
    <t>PUMA Metal Cat Cap</t>
  </si>
  <si>
    <t>Бейсболка</t>
  </si>
  <si>
    <t>100% полиэстер</t>
  </si>
  <si>
    <t>10702070/190820/0194193/001</t>
  </si>
  <si>
    <t>10013160/030321/0114763/001</t>
  </si>
  <si>
    <t>EC3603</t>
  </si>
  <si>
    <t>Adidas</t>
  </si>
  <si>
    <t>10216170/120122/3008448</t>
  </si>
  <si>
    <t>FL3713</t>
  </si>
  <si>
    <t>BASEBALL BOLD</t>
  </si>
  <si>
    <t>10216170/280122/3024958</t>
  </si>
  <si>
    <t>FK0894</t>
  </si>
  <si>
    <t>BBALL 3S CAP CT</t>
  </si>
  <si>
    <t>FQ5411</t>
  </si>
  <si>
    <t>10216170/030222/3031956</t>
  </si>
  <si>
    <t>FK0890</t>
  </si>
  <si>
    <t>BBALL CAP COT</t>
  </si>
  <si>
    <t>FK0891</t>
  </si>
  <si>
    <t>10216170/180222/3048837</t>
  </si>
  <si>
    <t>DM6178</t>
  </si>
  <si>
    <t>DAILY CAP</t>
  </si>
  <si>
    <t>100% Хлопок</t>
  </si>
  <si>
    <t>10216170/120122/3008300</t>
  </si>
  <si>
    <t>GE0750</t>
  </si>
  <si>
    <t>10216170/161121/0342075</t>
  </si>
  <si>
    <t>1361532-012</t>
  </si>
  <si>
    <t>Under Armour</t>
  </si>
  <si>
    <t>UA Blitzing Adj Hat</t>
  </si>
  <si>
    <t>10013160/150222/3091369</t>
  </si>
  <si>
    <t>1361532-601</t>
  </si>
  <si>
    <t>10013160/080222/3073930</t>
  </si>
  <si>
    <t>GP0124</t>
  </si>
  <si>
    <t>Reebok</t>
  </si>
  <si>
    <t>TE LOGO CAP</t>
  </si>
  <si>
    <t>10216170/180222/3049596</t>
  </si>
  <si>
    <t>GM4508</t>
  </si>
  <si>
    <t>BBALLCAP LT MET</t>
  </si>
  <si>
    <t>10216170/140122/3011425</t>
  </si>
  <si>
    <t>GN2052</t>
  </si>
  <si>
    <t>3S CAP</t>
  </si>
  <si>
    <t>10216170/070122/3004177</t>
  </si>
  <si>
    <t>GN2291</t>
  </si>
  <si>
    <t>STAN BBALL CAP</t>
  </si>
  <si>
    <t>10216170/230321/0078124</t>
  </si>
  <si>
    <t>ESS Cap</t>
  </si>
  <si>
    <t>БАНГЛАДЕШ</t>
  </si>
  <si>
    <t>10317120/100122/3004427/012</t>
  </si>
  <si>
    <t>Classics Capsule Cap</t>
  </si>
  <si>
    <t>Archive Logo Label Cap</t>
  </si>
  <si>
    <t>BMW MMS Heritage BB Cap</t>
  </si>
  <si>
    <t>100% нейлон</t>
  </si>
  <si>
    <t>HD9885</t>
  </si>
  <si>
    <t>TE BADGE CAP</t>
  </si>
  <si>
    <t>10216170/181221/0373538</t>
  </si>
  <si>
    <t>HD9884</t>
  </si>
  <si>
    <t>10216170/181221/0373733</t>
  </si>
  <si>
    <t>HD9887</t>
  </si>
  <si>
    <t>HE2381</t>
  </si>
  <si>
    <t>UBF BASEB CAP</t>
  </si>
  <si>
    <t>10216170/040222/3033990</t>
  </si>
  <si>
    <t>HE9766</t>
  </si>
  <si>
    <t>BASEB CLASS TRE</t>
  </si>
  <si>
    <t>HD9699</t>
  </si>
  <si>
    <t>10216170/071221/0361724</t>
  </si>
  <si>
    <t>HD9700</t>
  </si>
  <si>
    <t>HD7045</t>
  </si>
  <si>
    <t>BASEBALL CAP</t>
  </si>
  <si>
    <t>10216170/221121/0347306</t>
  </si>
  <si>
    <t>HD7239</t>
  </si>
  <si>
    <t>HD2224</t>
  </si>
  <si>
    <t>BSBL STREET</t>
  </si>
  <si>
    <t>HD9755</t>
  </si>
  <si>
    <t>CAMO BALLCAP</t>
  </si>
  <si>
    <t>HD9695</t>
  </si>
  <si>
    <t>CURVED TRUCKER</t>
  </si>
  <si>
    <t>HE2388</t>
  </si>
  <si>
    <t>UBF ATHLETE A-FLEX CAP</t>
  </si>
  <si>
    <t>10216170/120122/3008307</t>
  </si>
  <si>
    <t>1361562-100</t>
  </si>
  <si>
    <t>Isochill Launch Run</t>
  </si>
  <si>
    <t>ВЬЕТНАМ</t>
  </si>
  <si>
    <t>10013160/240122/3036324</t>
  </si>
  <si>
    <t>1369785-100</t>
  </si>
  <si>
    <t>Team Blank Chino Adj</t>
  </si>
  <si>
    <t>1369804-012</t>
  </si>
  <si>
    <t>Iso-chill Driver Mesh</t>
  </si>
  <si>
    <t>Archive Logo BB Cap</t>
  </si>
  <si>
    <t>PUMA Trucker Cap</t>
  </si>
  <si>
    <t>PRIME Trucker Cap</t>
  </si>
  <si>
    <t>Ess Cap III</t>
  </si>
  <si>
    <t>Academy AOP Cap</t>
  </si>
  <si>
    <t>Poly Cotton Cap</t>
  </si>
  <si>
    <t>Running Ponytail Cap</t>
  </si>
  <si>
    <t>RK2450800</t>
  </si>
  <si>
    <t>Lacoste</t>
  </si>
  <si>
    <t>CAPS</t>
  </si>
  <si>
    <t>10013160/281021/0673347</t>
  </si>
  <si>
    <t>10702070/060921/0279253/006</t>
  </si>
  <si>
    <t>RK2450DP4</t>
  </si>
  <si>
    <t>Lacoste Cap</t>
  </si>
  <si>
    <t>RK741502S</t>
  </si>
  <si>
    <t>10013160/311221/3079413</t>
  </si>
  <si>
    <t>RK7415HDE</t>
  </si>
  <si>
    <t>10702070/240621/0189320/012</t>
  </si>
  <si>
    <t/>
  </si>
  <si>
    <t>65% полиэстер - 35% хлопок</t>
  </si>
  <si>
    <t>90% полиэстер - 10% эластан</t>
  </si>
  <si>
    <t>88% полиэстер - 12% эластан</t>
  </si>
  <si>
    <t>80% полиэстер - 20% полиуретан</t>
  </si>
  <si>
    <t>80% Полиэстер - 20% Полиуретан / Подклад: 100% Полиэстер</t>
  </si>
  <si>
    <t>хлопок - вискоза</t>
  </si>
  <si>
    <t>PUMA x NJR BB Cap</t>
  </si>
  <si>
    <t>100 % полиэстер</t>
  </si>
  <si>
    <t>Бейсболка с прямым козырьком</t>
  </si>
  <si>
    <t>РН № Л0000186666; Заказ № Л0000002948; Бланк: Adidas Reebok Россия</t>
  </si>
  <si>
    <t>60-62</t>
  </si>
  <si>
    <t>OSFL</t>
  </si>
  <si>
    <t>Спортивная кепка, которая гармонично впишется в повседневный образ. Эта более современная версия классического аксессуара выполнена из мягкого материала с защитой от УФ-лучей. Украшена фирменными тремя полосками и логотипом adidas.</t>
  </si>
  <si>
    <t>https://lestate-pro.ru/upload/product_images/base/fk/fk08/fk0894/fk0894_00.jpg</t>
  </si>
  <si>
    <t>HD9721</t>
  </si>
  <si>
    <t>AC SNAPBACK</t>
  </si>
  <si>
    <t>56-58</t>
  </si>
  <si>
    <t>OSFM</t>
  </si>
  <si>
    <t>Бейсболка Adicolor Archive Snapback. Бейсболка — это классика и универсальность. Носи ее козырьком вперед. Или назад. Эта кепка adidas подчеркнет стильный минимализм твоего образа.</t>
  </si>
  <si>
    <t>https://lestate-pro.ru/upload/product_images/base/hd/hd97/hd9721/hd9721_00.jpg</t>
  </si>
  <si>
    <t>Всего наименований 2, на сумму 15 286,32 руб.</t>
  </si>
  <si>
    <t>Пятнадцать тысяч двести восемьдесят шесть рублей 32 копейки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</si>
</sst>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7" x14ac:knownFonts="1">
    <font>
      <sz val="8"/>
      <name val="Arial"/>
    </font>
    <font>
      <sz val="8"/>
      <name val="Arial"/>
      <family val="2"/>
    </font>
    <font>
      <b/>
      <sz val="14"/>
      <name val="Arial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left"/>
    </xf>
    <xf numFmtId="4" fontId="0" fillId="0" borderId="8" xfId="0" applyNumberFormat="1" applyBorder="1" applyAlignment="1">
      <alignment horizontal="right" vertical="top"/>
    </xf>
    <xf numFmtId="164" fontId="0" fillId="0" borderId="8" xfId="0" applyNumberFormat="1" applyBorder="1" applyAlignment="1">
      <alignment horizontal="center" vertical="top" wrapText="1"/>
    </xf>
    <xf numFmtId="0" fontId="0" fillId="0" borderId="8" xfId="0" applyBorder="1" applyAlignment="1">
      <alignment horizontal="right" vertical="top"/>
    </xf>
    <xf numFmtId="0" fontId="0" fillId="0" borderId="9" xfId="0" applyBorder="1" applyAlignment="1">
      <alignment horizontal="left" vertical="top" wrapText="1"/>
    </xf>
    <xf numFmtId="1" fontId="0" fillId="0" borderId="8" xfId="0" applyNumberFormat="1" applyBorder="1" applyAlignment="1">
      <alignment horizontal="center" vertical="top" wrapText="1"/>
    </xf>
    <xf numFmtId="4" fontId="0" fillId="0" borderId="10" xfId="0" applyNumberFormat="1" applyBorder="1" applyAlignment="1">
      <alignment horizontal="right" vertical="top"/>
    </xf>
    <xf numFmtId="0" fontId="0" fillId="0" borderId="11" xfId="0" applyBorder="1" applyAlignment="1">
      <alignment horizontal="left"/>
    </xf>
    <xf numFmtId="0" fontId="3" fillId="0" borderId="0" xfId="0" applyFont="1" applyAlignment="1">
      <alignment horizontal="right" vertical="top"/>
    </xf>
    <xf numFmtId="4" fontId="3" fillId="0" borderId="0" xfId="0" applyNumberFormat="1" applyFont="1" applyAlignment="1">
      <alignment horizontal="right" vertical="top"/>
    </xf>
    <xf numFmtId="0" fontId="0" fillId="0" borderId="12" xfId="0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13" xfId="0" applyBorder="1" applyAlignment="1">
      <alignment horizontal="left"/>
    </xf>
    <xf numFmtId="1" fontId="0" fillId="0" borderId="8" xfId="0" applyNumberForma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 indent="1"/>
    </xf>
    <xf numFmtId="0" fontId="0" fillId="0" borderId="13" xfId="0" applyBorder="1" applyAlignment="1">
      <alignment horizontal="right"/>
    </xf>
    <xf numFmtId="0" fontId="5" fillId="0" borderId="0" xfId="0" applyFont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/>
    <xf numFmtId="0" fontId="6" fillId="0" borderId="14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right"/>
    </xf>
    <xf numFmtId="0" fontId="0" fillId="0" borderId="8" xfId="0" applyBorder="1" applyAlignment="1">
      <alignment horizontal="left" vertical="top" wrapText="1" indent="1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horizontal="center" vertical="top" wrapText="1" indent="1"/>
    </xf>
    <xf numFmtId="1" fontId="0" fillId="0" borderId="8" xfId="0" applyNumberFormat="1" applyBorder="1" applyAlignment="1">
      <alignment horizontal="right" vertical="top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1" fontId="0" fillId="0" borderId="7" xfId="0" applyNumberFormat="1" applyBorder="1" applyAlignment="1">
      <alignment horizontal="center" vertical="top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left" vertical="top" wrapText="1" indent="2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601663</xdr:colOff>
      <xdr:row>7</xdr:row>
      <xdr:rowOff>25400</xdr:rowOff>
    </xdr:from>
    <xdr:to>
      <xdr:col>0</xdr:col>
      <xdr:colOff>2379663</xdr:colOff>
      <xdr:row>7</xdr:row>
      <xdr:rowOff>1803400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A70E403-1BFC-4803-A87D-FD42C0B0FA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663" y="1454150"/>
          <a:ext cx="1778000" cy="1778000"/>
        </a:xfrm>
        <a:prstGeom prst="rect">
          <a:avLst/>
        </a:prstGeom>
      </xdr:spPr>
    </xdr:pic>
    <xdr:clientData/>
  </xdr:twoCellAnchor>
  <xdr:twoCellAnchor editAs="oneCell">
    <xdr:from>
      <xdr:col>0</xdr:col>
      <xdr:colOff>601663</xdr:colOff>
      <xdr:row>8</xdr:row>
      <xdr:rowOff>25400</xdr:rowOff>
    </xdr:from>
    <xdr:to>
      <xdr:col>0</xdr:col>
      <xdr:colOff>2379663</xdr:colOff>
      <xdr:row>8</xdr:row>
      <xdr:rowOff>1803400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7A3674E-D6C6-4B7D-8349-FEA68833C9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663" y="3282950"/>
          <a:ext cx="1778000" cy="177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3DE7C-BAE1-4043-BB40-040DE737D60D}">
  <sheetPr codeName="Лист1">
    <outlinePr summaryBelow="0" summaryRight="0"/>
    <pageSetUpPr autoPageBreaks="0"/>
  </sheetPr>
  <dimension ref="A1:CF18"/>
  <sheetViews>
    <sheetView workbookViewId="0">
      <selection activeCell="AR9" sqref="AR9:AT9"/>
    </sheetView>
  </sheetViews>
  <sheetFormatPr defaultColWidth="3.5" defaultRowHeight="11.45" customHeight="1" x14ac:dyDescent="0.2"/>
  <cols>
    <col min="1" max="1" width="52.1640625" style="1" customWidth="1"/>
    <col min="2" max="2" width="3.5" style="1" customWidth="1"/>
    <col min="3" max="3" width="1.83203125" style="1" customWidth="1"/>
    <col min="4" max="4" width="1.6640625" style="1" customWidth="1"/>
    <col min="5" max="9" width="2.33203125" style="1" customWidth="1"/>
    <col min="10" max="11" width="1.1640625" style="1" customWidth="1"/>
    <col min="12" max="16" width="2.33203125" style="1" customWidth="1"/>
    <col min="17" max="17" width="3.5" style="1" customWidth="1"/>
    <col min="18" max="18" width="1.5" style="1" customWidth="1"/>
    <col min="19" max="19" width="2" style="1" customWidth="1"/>
    <col min="20" max="24" width="3.5" style="1" customWidth="1"/>
    <col min="25" max="25" width="2.1640625" style="1" customWidth="1"/>
    <col min="26" max="26" width="1.33203125" style="1" customWidth="1"/>
    <col min="27" max="29" width="3.5" style="1" customWidth="1"/>
    <col min="30" max="30" width="3" style="1" customWidth="1"/>
    <col min="31" max="31" width="0.6640625" style="1" customWidth="1"/>
    <col min="32" max="32" width="3.5" style="1" customWidth="1"/>
    <col min="33" max="33" width="2" style="1" customWidth="1"/>
    <col min="34" max="34" width="1.5" style="1" customWidth="1"/>
    <col min="35" max="36" width="3.5" style="1" customWidth="1"/>
    <col min="37" max="37" width="3.1640625" style="1" customWidth="1"/>
    <col min="38" max="38" width="0.33203125" style="1" customWidth="1"/>
    <col min="39" max="40" width="3.5" style="1" customWidth="1"/>
    <col min="41" max="41" width="15.6640625" style="1" customWidth="1"/>
    <col min="42" max="42" width="10.6640625" style="1" customWidth="1"/>
    <col min="43" max="43" width="14.33203125" style="1" customWidth="1"/>
    <col min="44" max="44" width="8.6640625" style="1" customWidth="1"/>
    <col min="45" max="45" width="3.5" style="1" customWidth="1"/>
    <col min="46" max="46" width="2.1640625" style="1" customWidth="1"/>
    <col min="47" max="47" width="1.33203125" style="1" customWidth="1"/>
    <col min="48" max="53" width="3.5" style="1" customWidth="1"/>
    <col min="54" max="54" width="0.6640625" style="1" customWidth="1"/>
    <col min="55" max="55" width="3" style="1" customWidth="1"/>
    <col min="56" max="60" width="3.5" style="1" customWidth="1"/>
    <col min="61" max="61" width="0.1640625" style="1" customWidth="1"/>
    <col min="62" max="62" width="3.33203125" style="1" customWidth="1"/>
    <col min="63" max="65" width="3.5" style="1" customWidth="1"/>
    <col min="66" max="66" width="2.83203125" style="1" customWidth="1"/>
    <col min="67" max="67" width="0.6640625" style="1" customWidth="1"/>
    <col min="68" max="71" width="3.5" style="1" customWidth="1"/>
    <col min="72" max="72" width="1.1640625" style="1" customWidth="1"/>
    <col min="73" max="73" width="12.83203125" style="1" customWidth="1"/>
    <col min="74" max="74" width="10.6640625" style="1" customWidth="1"/>
    <col min="75" max="76" width="12.83203125" style="1" customWidth="1"/>
    <col min="77" max="77" width="16.5" style="1" customWidth="1"/>
    <col min="78" max="78" width="28.83203125" style="1" customWidth="1"/>
    <col min="79" max="79" width="22.1640625" style="1" customWidth="1"/>
    <col min="80" max="80" width="15.33203125" style="1" customWidth="1"/>
    <col min="81" max="81" width="23.83203125" style="1" customWidth="1"/>
    <col min="82" max="82" width="12.83203125" style="1" customWidth="1"/>
    <col min="83" max="83" width="10" style="1" customWidth="1"/>
    <col min="84" max="84" width="3.5" style="1" customWidth="1"/>
  </cols>
  <sheetData>
    <row r="1" spans="2:84" s="1" customFormat="1" ht="11.1" customHeight="1" x14ac:dyDescent="0.2"/>
    <row r="2" spans="2:84" s="1" customFormat="1" ht="21.95" customHeight="1" x14ac:dyDescent="0.2">
      <c r="B2" s="48" t="s">
        <v>190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</row>
    <row r="4" spans="2:84" s="1" customFormat="1" ht="12.95" customHeight="1" x14ac:dyDescent="0.2">
      <c r="B4" s="33" t="s">
        <v>0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</row>
    <row r="5" spans="2:84" s="1" customFormat="1" ht="6.95" customHeight="1" thickBot="1" x14ac:dyDescent="0.25"/>
    <row r="6" spans="2:84" s="1" customFormat="1" ht="17.100000000000001" customHeight="1" x14ac:dyDescent="0.2">
      <c r="B6" s="49" t="s">
        <v>1</v>
      </c>
      <c r="C6" s="49"/>
      <c r="D6" s="40" t="s">
        <v>2</v>
      </c>
      <c r="E6" s="40"/>
      <c r="F6" s="40"/>
      <c r="G6" s="40"/>
      <c r="H6" s="40"/>
      <c r="I6" s="40"/>
      <c r="J6" s="40"/>
      <c r="K6" s="38" t="s">
        <v>3</v>
      </c>
      <c r="L6" s="38"/>
      <c r="M6" s="38"/>
      <c r="N6" s="38"/>
      <c r="O6" s="38"/>
      <c r="P6" s="38"/>
      <c r="Q6" s="38"/>
      <c r="R6" s="38"/>
      <c r="S6" s="38" t="s">
        <v>4</v>
      </c>
      <c r="T6" s="38"/>
      <c r="U6" s="38"/>
      <c r="V6" s="38"/>
      <c r="W6" s="38"/>
      <c r="X6" s="38"/>
      <c r="Y6" s="38"/>
      <c r="Z6" s="38" t="s">
        <v>5</v>
      </c>
      <c r="AA6" s="38"/>
      <c r="AB6" s="38"/>
      <c r="AC6" s="38"/>
      <c r="AD6" s="38"/>
      <c r="AE6" s="46" t="s">
        <v>6</v>
      </c>
      <c r="AF6" s="46"/>
      <c r="AG6" s="46"/>
      <c r="AH6" s="46" t="s">
        <v>7</v>
      </c>
      <c r="AI6" s="46"/>
      <c r="AJ6" s="46"/>
      <c r="AK6" s="46"/>
      <c r="AL6" s="38" t="s">
        <v>8</v>
      </c>
      <c r="AM6" s="38"/>
      <c r="AN6" s="38"/>
      <c r="AO6" s="38"/>
      <c r="AP6" s="38" t="s">
        <v>9</v>
      </c>
      <c r="AQ6" s="38" t="s">
        <v>10</v>
      </c>
      <c r="AR6" s="38" t="s">
        <v>11</v>
      </c>
      <c r="AS6" s="38"/>
      <c r="AT6" s="38"/>
      <c r="AU6" s="46" t="s">
        <v>12</v>
      </c>
      <c r="AV6" s="46"/>
      <c r="AW6" s="46"/>
      <c r="AX6" s="46"/>
      <c r="AY6" s="46"/>
      <c r="AZ6" s="46"/>
      <c r="BA6" s="46"/>
      <c r="BB6" s="46"/>
      <c r="BC6" s="38" t="s">
        <v>13</v>
      </c>
      <c r="BD6" s="38"/>
      <c r="BE6" s="38"/>
      <c r="BF6" s="38"/>
      <c r="BG6" s="38"/>
      <c r="BH6" s="38"/>
      <c r="BI6" s="38"/>
      <c r="BJ6" s="38" t="s">
        <v>14</v>
      </c>
      <c r="BK6" s="38"/>
      <c r="BL6" s="38"/>
      <c r="BM6" s="38"/>
      <c r="BN6" s="38"/>
      <c r="BO6" s="38" t="s">
        <v>15</v>
      </c>
      <c r="BP6" s="38"/>
      <c r="BQ6" s="38"/>
      <c r="BR6" s="38"/>
      <c r="BS6" s="38"/>
      <c r="BT6" s="38"/>
      <c r="BU6" s="38" t="s">
        <v>16</v>
      </c>
      <c r="BV6" s="38" t="s">
        <v>17</v>
      </c>
      <c r="BW6" s="38" t="s">
        <v>18</v>
      </c>
      <c r="BX6" s="46" t="s">
        <v>19</v>
      </c>
      <c r="BY6" s="46" t="s">
        <v>20</v>
      </c>
      <c r="BZ6" s="38" t="s">
        <v>21</v>
      </c>
      <c r="CA6" s="38" t="s">
        <v>22</v>
      </c>
      <c r="CB6" s="40" t="s">
        <v>23</v>
      </c>
      <c r="CC6" s="38" t="s">
        <v>24</v>
      </c>
      <c r="CD6" s="38" t="s">
        <v>25</v>
      </c>
      <c r="CE6" s="42" t="s">
        <v>26</v>
      </c>
      <c r="CF6" s="1" t="s">
        <v>27</v>
      </c>
    </row>
    <row r="7" spans="2:84" s="1" customFormat="1" ht="33" customHeight="1" x14ac:dyDescent="0.2">
      <c r="B7" s="50"/>
      <c r="C7" s="47"/>
      <c r="D7" s="41"/>
      <c r="E7" s="51"/>
      <c r="F7" s="51"/>
      <c r="G7" s="51"/>
      <c r="H7" s="51"/>
      <c r="I7" s="51"/>
      <c r="J7" s="51"/>
      <c r="K7" s="39"/>
      <c r="L7" s="44"/>
      <c r="M7" s="44"/>
      <c r="N7" s="44"/>
      <c r="O7" s="44"/>
      <c r="P7" s="44"/>
      <c r="Q7" s="44"/>
      <c r="R7" s="44"/>
      <c r="S7" s="39"/>
      <c r="T7" s="44"/>
      <c r="U7" s="44"/>
      <c r="V7" s="44"/>
      <c r="W7" s="44"/>
      <c r="X7" s="44"/>
      <c r="Y7" s="44"/>
      <c r="Z7" s="39"/>
      <c r="AA7" s="44"/>
      <c r="AB7" s="44"/>
      <c r="AC7" s="44"/>
      <c r="AD7" s="44"/>
      <c r="AE7" s="45"/>
      <c r="AF7" s="47"/>
      <c r="AG7" s="47"/>
      <c r="AH7" s="45"/>
      <c r="AI7" s="47"/>
      <c r="AJ7" s="47"/>
      <c r="AK7" s="47"/>
      <c r="AL7" s="39"/>
      <c r="AM7" s="44"/>
      <c r="AN7" s="44"/>
      <c r="AO7" s="44"/>
      <c r="AP7" s="39"/>
      <c r="AQ7" s="39"/>
      <c r="AR7" s="39"/>
      <c r="AS7" s="44"/>
      <c r="AT7" s="44"/>
      <c r="AU7" s="45"/>
      <c r="AV7" s="47"/>
      <c r="AW7" s="47"/>
      <c r="AX7" s="47"/>
      <c r="AY7" s="47"/>
      <c r="AZ7" s="47"/>
      <c r="BA7" s="47"/>
      <c r="BB7" s="47"/>
      <c r="BC7" s="39"/>
      <c r="BD7" s="44"/>
      <c r="BE7" s="44"/>
      <c r="BF7" s="44"/>
      <c r="BG7" s="44"/>
      <c r="BH7" s="44"/>
      <c r="BI7" s="44"/>
      <c r="BJ7" s="39"/>
      <c r="BK7" s="44"/>
      <c r="BL7" s="44"/>
      <c r="BM7" s="44"/>
      <c r="BN7" s="44"/>
      <c r="BO7" s="39"/>
      <c r="BP7" s="44"/>
      <c r="BQ7" s="44"/>
      <c r="BR7" s="44"/>
      <c r="BS7" s="44"/>
      <c r="BT7" s="44"/>
      <c r="BU7" s="39"/>
      <c r="BV7" s="45"/>
      <c r="BW7" s="39"/>
      <c r="BX7" s="45"/>
      <c r="BY7" s="45"/>
      <c r="BZ7" s="39"/>
      <c r="CA7" s="39"/>
      <c r="CB7" s="41"/>
      <c r="CC7" s="39"/>
      <c r="CD7" s="39"/>
      <c r="CE7" s="43"/>
    </row>
    <row r="8" spans="2:84" s="1" customFormat="1" ht="144" customHeight="1" x14ac:dyDescent="0.2">
      <c r="B8" s="34">
        <v>1</v>
      </c>
      <c r="C8" s="34"/>
      <c r="D8" s="35" t="s">
        <v>87</v>
      </c>
      <c r="E8" s="35"/>
      <c r="F8" s="35"/>
      <c r="G8" s="35"/>
      <c r="H8" s="35"/>
      <c r="I8" s="35"/>
      <c r="J8" s="35"/>
      <c r="K8" s="35" t="s">
        <v>28</v>
      </c>
      <c r="L8" s="35"/>
      <c r="M8" s="35"/>
      <c r="N8" s="35"/>
      <c r="O8" s="35"/>
      <c r="P8" s="35"/>
      <c r="Q8" s="35"/>
      <c r="R8" s="35"/>
      <c r="S8" s="35" t="s">
        <v>29</v>
      </c>
      <c r="T8" s="35"/>
      <c r="U8" s="35"/>
      <c r="V8" s="35"/>
      <c r="W8" s="35"/>
      <c r="X8" s="35"/>
      <c r="Y8" s="35"/>
      <c r="Z8" s="35" t="s">
        <v>30</v>
      </c>
      <c r="AA8" s="35"/>
      <c r="AB8" s="35"/>
      <c r="AC8" s="35"/>
      <c r="AD8" s="35"/>
      <c r="AE8" s="36" t="s">
        <v>31</v>
      </c>
      <c r="AF8" s="36"/>
      <c r="AG8" s="36"/>
      <c r="AH8" s="37" t="s">
        <v>82</v>
      </c>
      <c r="AI8" s="37"/>
      <c r="AJ8" s="37"/>
      <c r="AK8" s="37"/>
      <c r="AL8" s="28" t="s">
        <v>88</v>
      </c>
      <c r="AM8" s="28"/>
      <c r="AN8" s="28"/>
      <c r="AO8" s="28"/>
      <c r="AP8" s="17" t="s">
        <v>33</v>
      </c>
      <c r="AQ8" s="16" t="s">
        <v>191</v>
      </c>
      <c r="AR8" s="37" t="s">
        <v>192</v>
      </c>
      <c r="AS8" s="37"/>
      <c r="AT8" s="37"/>
      <c r="AU8" s="28" t="s">
        <v>38</v>
      </c>
      <c r="AV8" s="28"/>
      <c r="AW8" s="28"/>
      <c r="AX8" s="28"/>
      <c r="AY8" s="28"/>
      <c r="AZ8" s="28"/>
      <c r="BA8" s="28"/>
      <c r="BB8" s="28"/>
      <c r="BC8" s="29" t="s">
        <v>34</v>
      </c>
      <c r="BD8" s="29"/>
      <c r="BE8" s="29"/>
      <c r="BF8" s="29"/>
      <c r="BG8" s="29"/>
      <c r="BH8" s="29"/>
      <c r="BI8" s="29"/>
      <c r="BJ8" s="30" t="s">
        <v>35</v>
      </c>
      <c r="BK8" s="30"/>
      <c r="BL8" s="30"/>
      <c r="BM8" s="30"/>
      <c r="BN8" s="30"/>
      <c r="BO8" s="31">
        <v>3</v>
      </c>
      <c r="BP8" s="31"/>
      <c r="BQ8" s="31"/>
      <c r="BR8" s="31"/>
      <c r="BS8" s="31"/>
      <c r="BT8" s="31"/>
      <c r="BU8" s="2">
        <v>1316.7</v>
      </c>
      <c r="BV8" s="3">
        <v>20</v>
      </c>
      <c r="BW8" s="4"/>
      <c r="BX8" s="2">
        <v>1999</v>
      </c>
      <c r="BY8" s="5" t="s">
        <v>139</v>
      </c>
      <c r="BZ8" s="14">
        <v>4062054954179</v>
      </c>
      <c r="CA8" s="5" t="s">
        <v>193</v>
      </c>
      <c r="CB8" s="15" t="s">
        <v>194</v>
      </c>
      <c r="CC8" s="6">
        <v>6505003000</v>
      </c>
      <c r="CD8" s="16" t="s">
        <v>37</v>
      </c>
      <c r="CE8" s="7">
        <v>3950.1</v>
      </c>
    </row>
    <row r="9" spans="2:84" s="1" customFormat="1" ht="144" customHeight="1" thickBot="1" x14ac:dyDescent="0.25">
      <c r="B9" s="34">
        <v>2</v>
      </c>
      <c r="C9" s="34"/>
      <c r="D9" s="35" t="s">
        <v>195</v>
      </c>
      <c r="E9" s="35"/>
      <c r="F9" s="35"/>
      <c r="G9" s="35"/>
      <c r="H9" s="35"/>
      <c r="I9" s="35"/>
      <c r="J9" s="35"/>
      <c r="K9" s="35" t="s">
        <v>28</v>
      </c>
      <c r="L9" s="35"/>
      <c r="M9" s="35"/>
      <c r="N9" s="35"/>
      <c r="O9" s="35"/>
      <c r="P9" s="35"/>
      <c r="Q9" s="35"/>
      <c r="R9" s="35"/>
      <c r="S9" s="35" t="s">
        <v>29</v>
      </c>
      <c r="T9" s="35"/>
      <c r="U9" s="35"/>
      <c r="V9" s="35"/>
      <c r="W9" s="35"/>
      <c r="X9" s="35"/>
      <c r="Y9" s="35"/>
      <c r="Z9" s="35" t="s">
        <v>30</v>
      </c>
      <c r="AA9" s="35"/>
      <c r="AB9" s="35"/>
      <c r="AC9" s="35"/>
      <c r="AD9" s="35"/>
      <c r="AE9" s="36" t="s">
        <v>31</v>
      </c>
      <c r="AF9" s="36"/>
      <c r="AG9" s="36"/>
      <c r="AH9" s="37" t="s">
        <v>82</v>
      </c>
      <c r="AI9" s="37"/>
      <c r="AJ9" s="37"/>
      <c r="AK9" s="37"/>
      <c r="AL9" s="28" t="s">
        <v>196</v>
      </c>
      <c r="AM9" s="28"/>
      <c r="AN9" s="28"/>
      <c r="AO9" s="28"/>
      <c r="AP9" s="17" t="s">
        <v>33</v>
      </c>
      <c r="AQ9" s="16" t="s">
        <v>197</v>
      </c>
      <c r="AR9" s="37" t="s">
        <v>198</v>
      </c>
      <c r="AS9" s="37"/>
      <c r="AT9" s="37"/>
      <c r="AU9" s="28" t="s">
        <v>97</v>
      </c>
      <c r="AV9" s="28"/>
      <c r="AW9" s="28"/>
      <c r="AX9" s="28"/>
      <c r="AY9" s="28"/>
      <c r="AZ9" s="28"/>
      <c r="BA9" s="28"/>
      <c r="BB9" s="28"/>
      <c r="BC9" s="29" t="s">
        <v>34</v>
      </c>
      <c r="BD9" s="29"/>
      <c r="BE9" s="29"/>
      <c r="BF9" s="29"/>
      <c r="BG9" s="29"/>
      <c r="BH9" s="29"/>
      <c r="BI9" s="29"/>
      <c r="BJ9" s="30" t="s">
        <v>35</v>
      </c>
      <c r="BK9" s="30"/>
      <c r="BL9" s="30"/>
      <c r="BM9" s="30"/>
      <c r="BN9" s="30"/>
      <c r="BO9" s="31">
        <v>6</v>
      </c>
      <c r="BP9" s="31"/>
      <c r="BQ9" s="31"/>
      <c r="BR9" s="31"/>
      <c r="BS9" s="31"/>
      <c r="BT9" s="31"/>
      <c r="BU9" s="2">
        <v>1889.37</v>
      </c>
      <c r="BV9" s="3">
        <v>20</v>
      </c>
      <c r="BW9" s="4"/>
      <c r="BX9" s="2">
        <v>2999</v>
      </c>
      <c r="BY9" s="5" t="s">
        <v>98</v>
      </c>
      <c r="BZ9" s="14">
        <v>4065423246240</v>
      </c>
      <c r="CA9" s="5" t="s">
        <v>199</v>
      </c>
      <c r="CB9" s="15" t="s">
        <v>200</v>
      </c>
      <c r="CC9" s="6">
        <v>6505003000</v>
      </c>
      <c r="CD9" s="16" t="s">
        <v>37</v>
      </c>
      <c r="CE9" s="7">
        <v>11336.22</v>
      </c>
    </row>
    <row r="10" spans="2:84" s="1" customFormat="1" ht="6.95" customHeight="1" x14ac:dyDescent="0.2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</row>
    <row r="11" spans="2:84" s="1" customFormat="1" ht="12.95" customHeight="1" x14ac:dyDescent="0.2">
      <c r="CC11" s="9" t="s">
        <v>42</v>
      </c>
      <c r="CD11" s="10">
        <v>15286.32</v>
      </c>
    </row>
    <row r="12" spans="2:84" s="1" customFormat="1" ht="12.95" customHeight="1" x14ac:dyDescent="0.2">
      <c r="CC12" s="9" t="s">
        <v>43</v>
      </c>
      <c r="CD12" s="10">
        <v>2547.7199999999998</v>
      </c>
    </row>
    <row r="13" spans="2:84" s="1" customFormat="1" ht="6.95" customHeight="1" x14ac:dyDescent="0.2"/>
    <row r="14" spans="2:84" s="1" customFormat="1" ht="11.1" customHeight="1" x14ac:dyDescent="0.2">
      <c r="B14" s="32" t="s">
        <v>201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</row>
    <row r="15" spans="2:84" s="1" customFormat="1" ht="12.95" customHeight="1" x14ac:dyDescent="0.2">
      <c r="B15" s="33" t="s">
        <v>202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</row>
    <row r="16" spans="2:84" s="1" customFormat="1" ht="6.95" customHeight="1" thickBot="1" x14ac:dyDescent="0.25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</row>
    <row r="17" spans="2:40" s="1" customFormat="1" ht="11.1" customHeight="1" x14ac:dyDescent="0.2"/>
    <row r="18" spans="2:40" s="1" customFormat="1" ht="12.95" customHeight="1" x14ac:dyDescent="0.2">
      <c r="B18" s="12" t="s">
        <v>44</v>
      </c>
      <c r="F18" s="13"/>
      <c r="G18" s="13"/>
      <c r="H18" s="13"/>
      <c r="I18" s="13"/>
      <c r="J18" s="13"/>
      <c r="K18" s="13"/>
      <c r="L18" s="27"/>
      <c r="M18" s="27"/>
      <c r="N18" s="27"/>
      <c r="O18" s="27"/>
      <c r="P18" s="27"/>
      <c r="Q18" s="27"/>
      <c r="R18" s="27"/>
      <c r="S18" s="27"/>
      <c r="T18" s="18"/>
      <c r="Y18" s="13"/>
      <c r="Z18" s="13"/>
      <c r="AA18" s="13"/>
      <c r="AB18" s="13"/>
      <c r="AC18" s="13"/>
      <c r="AD18" s="13"/>
      <c r="AE18" s="13"/>
      <c r="AF18" s="27"/>
      <c r="AG18" s="27"/>
      <c r="AH18" s="27"/>
      <c r="AI18" s="27"/>
      <c r="AJ18" s="27"/>
      <c r="AK18" s="27"/>
      <c r="AL18" s="27"/>
      <c r="AM18" s="27"/>
      <c r="AN18" s="27"/>
    </row>
  </sheetData>
  <mergeCells count="58">
    <mergeCell ref="BJ6:BN7"/>
    <mergeCell ref="B2:BS2"/>
    <mergeCell ref="B4:AS4"/>
    <mergeCell ref="B6:C7"/>
    <mergeCell ref="D6:J7"/>
    <mergeCell ref="K6:R7"/>
    <mergeCell ref="S6:Y7"/>
    <mergeCell ref="Z6:AD7"/>
    <mergeCell ref="AE6:AG7"/>
    <mergeCell ref="AH6:AK7"/>
    <mergeCell ref="AL6:AO7"/>
    <mergeCell ref="AP6:AP7"/>
    <mergeCell ref="AQ6:AQ7"/>
    <mergeCell ref="AR6:AT7"/>
    <mergeCell ref="AU6:BB7"/>
    <mergeCell ref="BC6:BI7"/>
    <mergeCell ref="CE6:CE7"/>
    <mergeCell ref="BO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AU8:BB8"/>
    <mergeCell ref="BC8:BI8"/>
    <mergeCell ref="BJ8:BN8"/>
    <mergeCell ref="B8:C8"/>
    <mergeCell ref="D8:J8"/>
    <mergeCell ref="K8:R8"/>
    <mergeCell ref="S8:Y8"/>
    <mergeCell ref="Z8:AD8"/>
    <mergeCell ref="AE8:AG8"/>
    <mergeCell ref="BO9:BT9"/>
    <mergeCell ref="B14:AN14"/>
    <mergeCell ref="B15:AM15"/>
    <mergeCell ref="BO8:BT8"/>
    <mergeCell ref="B9:C9"/>
    <mergeCell ref="D9:J9"/>
    <mergeCell ref="K9:R9"/>
    <mergeCell ref="S9:Y9"/>
    <mergeCell ref="Z9:AD9"/>
    <mergeCell ref="AE9:AG9"/>
    <mergeCell ref="AH9:AK9"/>
    <mergeCell ref="AL9:AO9"/>
    <mergeCell ref="AR9:AT9"/>
    <mergeCell ref="AH8:AK8"/>
    <mergeCell ref="AL8:AO8"/>
    <mergeCell ref="AR8:AT8"/>
    <mergeCell ref="L18:S18"/>
    <mergeCell ref="AF18:AN18"/>
    <mergeCell ref="AU9:BB9"/>
    <mergeCell ref="BC9:BI9"/>
    <mergeCell ref="BJ9:BN9"/>
  </mergeCells>
  <pageMargins left="0.75" right="1" top="0.75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5923-B21B-44C9-809F-742143109B6D}">
  <sheetPr codeName="Лист2"/>
  <dimension ref="A1:B11"/>
  <sheetViews>
    <sheetView zoomScale="190" zoomScaleNormal="190" workbookViewId="0">
      <selection activeCell="B1" sqref="B1"/>
    </sheetView>
  </sheetViews>
  <sheetFormatPr defaultRowHeight="11.25" x14ac:dyDescent="0.2"/>
  <cols>
    <col min="1" max="1" width="15.1640625" bestFit="1" customWidth="1"/>
    <col min="2" max="2" width="14.1640625" bestFit="1" customWidth="1"/>
  </cols>
  <sheetData>
    <row r="1" spans="1:2" ht="12.75" x14ac:dyDescent="0.2">
      <c r="A1" s="19" t="s">
        <v>33</v>
      </c>
      <c r="B1" s="19" t="s">
        <v>45</v>
      </c>
    </row>
    <row r="2" spans="1:2" ht="12.75" x14ac:dyDescent="0.2">
      <c r="A2" s="19" t="s">
        <v>46</v>
      </c>
      <c r="B2" s="19" t="s">
        <v>47</v>
      </c>
    </row>
    <row r="3" spans="1:2" ht="12.75" x14ac:dyDescent="0.2">
      <c r="A3" s="19" t="s">
        <v>48</v>
      </c>
      <c r="B3" s="19" t="s">
        <v>49</v>
      </c>
    </row>
    <row r="4" spans="1:2" ht="12.75" x14ac:dyDescent="0.2">
      <c r="A4" s="19" t="s">
        <v>50</v>
      </c>
      <c r="B4" s="19" t="s">
        <v>51</v>
      </c>
    </row>
    <row r="5" spans="1:2" ht="12.75" x14ac:dyDescent="0.2">
      <c r="A5" s="19" t="s">
        <v>52</v>
      </c>
      <c r="B5" s="19" t="s">
        <v>53</v>
      </c>
    </row>
    <row r="6" spans="1:2" ht="12.75" x14ac:dyDescent="0.2">
      <c r="A6" s="19" t="s">
        <v>54</v>
      </c>
      <c r="B6" s="19" t="s">
        <v>55</v>
      </c>
    </row>
    <row r="7" spans="1:2" ht="12.75" x14ac:dyDescent="0.2">
      <c r="A7" s="19" t="s">
        <v>56</v>
      </c>
      <c r="B7" s="19" t="s">
        <v>57</v>
      </c>
    </row>
    <row r="8" spans="1:2" ht="12.75" x14ac:dyDescent="0.2">
      <c r="A8" s="19" t="s">
        <v>58</v>
      </c>
      <c r="B8" s="19" t="s">
        <v>59</v>
      </c>
    </row>
    <row r="9" spans="1:2" ht="12.75" x14ac:dyDescent="0.2">
      <c r="A9" s="19" t="s">
        <v>60</v>
      </c>
      <c r="B9" s="19" t="s">
        <v>61</v>
      </c>
    </row>
    <row r="10" spans="1:2" ht="12.75" x14ac:dyDescent="0.2">
      <c r="A10" s="19" t="s">
        <v>62</v>
      </c>
      <c r="B10" s="19" t="s">
        <v>63</v>
      </c>
    </row>
    <row r="11" spans="1:2" ht="12.75" x14ac:dyDescent="0.2">
      <c r="A11" s="19" t="s">
        <v>64</v>
      </c>
      <c r="B11" s="19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A8E6-0DBC-4A51-B6E9-C43BBAFA1FE4}">
  <sheetPr codeName="Лист3"/>
  <dimension ref="A1:M3"/>
  <sheetViews>
    <sheetView tabSelected="1" topLeftCell="C1" zoomScaleNormal="100" workbookViewId="0">
      <selection activeCell="N13" sqref="N13"/>
    </sheetView>
  </sheetViews>
  <sheetFormatPr defaultRowHeight="11.25" x14ac:dyDescent="0.2"/>
  <cols>
    <col min="1" max="1" width="13.6640625" style="26" bestFit="1" customWidth="1"/>
    <col min="2" max="2" width="14.1640625" style="26" bestFit="1" customWidth="1"/>
    <col min="3" max="3" width="41.6640625" style="26" bestFit="1" customWidth="1"/>
    <col min="4" max="6" width="41.6640625" style="26" customWidth="1"/>
    <col min="7" max="7" width="31.5" style="26" bestFit="1" customWidth="1"/>
    <col min="8" max="8" width="15" style="26" bestFit="1" customWidth="1"/>
    <col min="9" max="9" width="12" style="26" bestFit="1" customWidth="1"/>
    <col min="10" max="10" width="9.5" style="26" bestFit="1" customWidth="1"/>
    <col min="11" max="11" width="20.5" bestFit="1" customWidth="1"/>
    <col min="12" max="13" width="3.5" bestFit="1" customWidth="1"/>
  </cols>
  <sheetData>
    <row r="1" spans="1:13" s="22" customFormat="1" ht="12.75" x14ac:dyDescent="0.2">
      <c r="A1" s="20" t="s">
        <v>66</v>
      </c>
      <c r="B1" s="20" t="s">
        <v>67</v>
      </c>
      <c r="C1" s="20" t="s">
        <v>68</v>
      </c>
      <c r="D1" s="20" t="s">
        <v>69</v>
      </c>
      <c r="E1" s="20" t="s">
        <v>12</v>
      </c>
      <c r="F1" s="20" t="s">
        <v>70</v>
      </c>
      <c r="G1" s="20" t="s">
        <v>20</v>
      </c>
      <c r="H1" s="20" t="s">
        <v>9</v>
      </c>
      <c r="I1" s="20" t="s">
        <v>71</v>
      </c>
      <c r="J1" s="20" t="s">
        <v>72</v>
      </c>
      <c r="K1" s="20" t="s">
        <v>73</v>
      </c>
      <c r="L1" s="21">
        <v>57</v>
      </c>
      <c r="M1" s="21">
        <v>59</v>
      </c>
    </row>
    <row r="2" spans="1:13" ht="12" x14ac:dyDescent="0.2">
      <c r="A2" s="23" t="s">
        <v>87</v>
      </c>
      <c r="B2" s="23" t="s">
        <v>82</v>
      </c>
      <c r="C2" s="23" t="s">
        <v>88</v>
      </c>
      <c r="D2" s="23" t="s">
        <v>77</v>
      </c>
      <c r="E2" s="23" t="s">
        <v>97</v>
      </c>
      <c r="F2" s="23" t="s">
        <v>35</v>
      </c>
      <c r="G2" s="23" t="s">
        <v>139</v>
      </c>
      <c r="H2" s="23" t="s">
        <v>33</v>
      </c>
      <c r="I2" s="23" t="s">
        <v>74</v>
      </c>
      <c r="J2" s="23">
        <v>1316.7</v>
      </c>
      <c r="K2" s="24" t="s">
        <v>45</v>
      </c>
      <c r="L2" s="25">
        <v>3</v>
      </c>
      <c r="M2" s="25">
        <v>0</v>
      </c>
    </row>
    <row r="3" spans="1:13" ht="12" x14ac:dyDescent="0.2">
      <c r="A3" s="23" t="s">
        <v>195</v>
      </c>
      <c r="B3" s="23" t="s">
        <v>82</v>
      </c>
      <c r="C3" s="23" t="s">
        <v>196</v>
      </c>
      <c r="D3" s="23" t="s">
        <v>189</v>
      </c>
      <c r="E3" s="23" t="s">
        <v>97</v>
      </c>
      <c r="F3" s="23" t="s">
        <v>35</v>
      </c>
      <c r="G3" s="23" t="s">
        <v>98</v>
      </c>
      <c r="H3" s="23" t="s">
        <v>33</v>
      </c>
      <c r="I3" s="23" t="s">
        <v>74</v>
      </c>
      <c r="J3" s="23">
        <v>1889.37</v>
      </c>
      <c r="K3" s="24" t="s">
        <v>45</v>
      </c>
      <c r="L3" s="25">
        <v>0</v>
      </c>
      <c r="M3" s="25">
        <v>6</v>
      </c>
    </row>
  </sheetData>
  <autoFilter ref="A1:J2" xr:uid="{7EDD4F6F-0EFF-43E9-B59E-A243E7434F64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EDE2-222D-4272-921A-D8DB46A1D7EA}">
  <sheetPr codeName="Лист4"/>
  <dimension ref="A1:O56"/>
  <sheetViews>
    <sheetView workbookViewId="0">
      <pane ySplit="1" topLeftCell="A23" activePane="bottomLeft" state="frozen"/>
      <selection pane="bottomLeft" activeCell="O30" sqref="O30"/>
    </sheetView>
  </sheetViews>
  <sheetFormatPr defaultRowHeight="11.25" x14ac:dyDescent="0.2"/>
  <cols>
    <col min="1" max="1" width="13.6640625" style="26" bestFit="1" customWidth="1"/>
    <col min="2" max="2" width="14.1640625" style="26" bestFit="1" customWidth="1"/>
    <col min="3" max="3" width="41.6640625" style="26" bestFit="1" customWidth="1"/>
    <col min="4" max="4" width="62.5" style="26" bestFit="1" customWidth="1"/>
    <col min="5" max="5" width="14.83203125" style="26" bestFit="1" customWidth="1"/>
    <col min="6" max="6" width="31.5" style="26" bestFit="1" customWidth="1"/>
    <col min="7" max="7" width="15" style="26" bestFit="1" customWidth="1"/>
    <col min="8" max="8" width="9.33203125" bestFit="1" customWidth="1"/>
    <col min="9" max="9" width="20.5" bestFit="1" customWidth="1"/>
    <col min="10" max="13" width="3.5" bestFit="1" customWidth="1"/>
    <col min="14" max="14" width="10.83203125" bestFit="1" customWidth="1"/>
    <col min="15" max="15" width="13" bestFit="1" customWidth="1"/>
  </cols>
  <sheetData>
    <row r="1" spans="1:15" s="22" customFormat="1" ht="12.75" x14ac:dyDescent="0.2">
      <c r="A1" s="20" t="s">
        <v>66</v>
      </c>
      <c r="B1" s="20" t="s">
        <v>67</v>
      </c>
      <c r="C1" s="20" t="s">
        <v>68</v>
      </c>
      <c r="D1" s="20" t="s">
        <v>12</v>
      </c>
      <c r="E1" s="20" t="s">
        <v>70</v>
      </c>
      <c r="F1" s="20" t="s">
        <v>20</v>
      </c>
      <c r="G1" s="20" t="s">
        <v>9</v>
      </c>
      <c r="H1" s="20" t="s">
        <v>72</v>
      </c>
      <c r="I1" s="20" t="s">
        <v>73</v>
      </c>
      <c r="J1" s="21">
        <v>57</v>
      </c>
      <c r="K1" s="21">
        <v>61</v>
      </c>
      <c r="L1" s="21">
        <v>59</v>
      </c>
      <c r="M1" s="21">
        <v>56</v>
      </c>
      <c r="N1" s="21" t="s">
        <v>74</v>
      </c>
      <c r="O1" s="21" t="s">
        <v>75</v>
      </c>
    </row>
    <row r="2" spans="1:15" ht="12" x14ac:dyDescent="0.2">
      <c r="A2" s="23" t="s">
        <v>101</v>
      </c>
      <c r="B2" s="23" t="s">
        <v>102</v>
      </c>
      <c r="C2" s="23" t="s">
        <v>103</v>
      </c>
      <c r="D2" s="23" t="s">
        <v>78</v>
      </c>
      <c r="E2" s="23" t="s">
        <v>35</v>
      </c>
      <c r="F2" s="23" t="s">
        <v>104</v>
      </c>
      <c r="G2" s="23" t="s">
        <v>50</v>
      </c>
      <c r="H2" s="23">
        <v>1194</v>
      </c>
      <c r="I2" s="24" t="s">
        <v>45</v>
      </c>
      <c r="J2" s="25">
        <v>6</v>
      </c>
      <c r="K2" s="25" t="s">
        <v>180</v>
      </c>
      <c r="L2" s="25" t="s">
        <v>180</v>
      </c>
      <c r="M2" s="25" t="s">
        <v>180</v>
      </c>
      <c r="N2" s="25" t="s">
        <v>180</v>
      </c>
      <c r="O2" s="25">
        <f t="shared" ref="O2:O56" si="0">COUNTIF(A:A,A2)</f>
        <v>1</v>
      </c>
    </row>
    <row r="3" spans="1:15" ht="12" x14ac:dyDescent="0.2">
      <c r="A3" s="23" t="s">
        <v>105</v>
      </c>
      <c r="B3" s="23" t="s">
        <v>102</v>
      </c>
      <c r="C3" s="23" t="s">
        <v>103</v>
      </c>
      <c r="D3" s="23" t="s">
        <v>78</v>
      </c>
      <c r="E3" s="23" t="s">
        <v>35</v>
      </c>
      <c r="F3" s="23" t="s">
        <v>106</v>
      </c>
      <c r="G3" s="23" t="s">
        <v>52</v>
      </c>
      <c r="H3" s="23">
        <v>1194</v>
      </c>
      <c r="I3" s="24" t="s">
        <v>47</v>
      </c>
      <c r="J3" s="25">
        <v>3</v>
      </c>
      <c r="K3" s="25" t="s">
        <v>180</v>
      </c>
      <c r="L3" s="25" t="s">
        <v>180</v>
      </c>
      <c r="M3" s="25" t="s">
        <v>180</v>
      </c>
      <c r="N3" s="25" t="s">
        <v>180</v>
      </c>
      <c r="O3" s="25">
        <f t="shared" si="0"/>
        <v>1</v>
      </c>
    </row>
    <row r="4" spans="1:15" ht="12" x14ac:dyDescent="0.2">
      <c r="A4" s="23" t="s">
        <v>154</v>
      </c>
      <c r="B4" s="23" t="s">
        <v>102</v>
      </c>
      <c r="C4" s="23" t="s">
        <v>155</v>
      </c>
      <c r="D4" s="23" t="s">
        <v>78</v>
      </c>
      <c r="E4" s="23" t="s">
        <v>156</v>
      </c>
      <c r="F4" s="23" t="s">
        <v>157</v>
      </c>
      <c r="G4" s="23" t="s">
        <v>48</v>
      </c>
      <c r="H4" s="23">
        <v>1511.37</v>
      </c>
      <c r="I4" s="24" t="s">
        <v>45</v>
      </c>
      <c r="J4" s="25">
        <v>4</v>
      </c>
      <c r="K4" s="25">
        <v>1</v>
      </c>
      <c r="L4" s="25" t="s">
        <v>180</v>
      </c>
      <c r="M4" s="25" t="s">
        <v>180</v>
      </c>
      <c r="N4" s="25" t="s">
        <v>180</v>
      </c>
      <c r="O4" s="25">
        <f t="shared" si="0"/>
        <v>1</v>
      </c>
    </row>
    <row r="5" spans="1:15" ht="12" x14ac:dyDescent="0.2">
      <c r="A5" s="23" t="s">
        <v>158</v>
      </c>
      <c r="B5" s="23" t="s">
        <v>102</v>
      </c>
      <c r="C5" s="23" t="s">
        <v>159</v>
      </c>
      <c r="D5" s="23" t="s">
        <v>181</v>
      </c>
      <c r="E5" s="23" t="s">
        <v>35</v>
      </c>
      <c r="F5" s="23" t="s">
        <v>106</v>
      </c>
      <c r="G5" s="23" t="s">
        <v>48</v>
      </c>
      <c r="H5" s="23">
        <v>1259.3699999999999</v>
      </c>
      <c r="I5" s="24" t="s">
        <v>45</v>
      </c>
      <c r="J5" s="25">
        <v>6</v>
      </c>
      <c r="K5" s="25">
        <v>3</v>
      </c>
      <c r="L5" s="25" t="s">
        <v>180</v>
      </c>
      <c r="M5" s="25" t="s">
        <v>180</v>
      </c>
      <c r="N5" s="25" t="s">
        <v>180</v>
      </c>
      <c r="O5" s="25">
        <f t="shared" si="0"/>
        <v>1</v>
      </c>
    </row>
    <row r="6" spans="1:15" ht="12" x14ac:dyDescent="0.2">
      <c r="A6" s="23" t="s">
        <v>160</v>
      </c>
      <c r="B6" s="23" t="s">
        <v>102</v>
      </c>
      <c r="C6" s="23" t="s">
        <v>161</v>
      </c>
      <c r="D6" s="23" t="s">
        <v>182</v>
      </c>
      <c r="E6" s="23" t="s">
        <v>35</v>
      </c>
      <c r="F6" s="23" t="s">
        <v>106</v>
      </c>
      <c r="G6" s="23" t="s">
        <v>50</v>
      </c>
      <c r="H6" s="23">
        <v>1316.7</v>
      </c>
      <c r="I6" s="24" t="s">
        <v>45</v>
      </c>
      <c r="J6" s="25">
        <v>6</v>
      </c>
      <c r="K6" s="25" t="s">
        <v>180</v>
      </c>
      <c r="L6" s="25" t="s">
        <v>180</v>
      </c>
      <c r="M6" s="25" t="s">
        <v>180</v>
      </c>
      <c r="N6" s="25" t="s">
        <v>180</v>
      </c>
      <c r="O6" s="25">
        <f t="shared" si="0"/>
        <v>1</v>
      </c>
    </row>
    <row r="7" spans="1:15" ht="12" x14ac:dyDescent="0.2">
      <c r="A7" s="23" t="s">
        <v>107</v>
      </c>
      <c r="B7" s="23" t="s">
        <v>108</v>
      </c>
      <c r="C7" s="23" t="s">
        <v>109</v>
      </c>
      <c r="D7" s="23" t="s">
        <v>78</v>
      </c>
      <c r="E7" s="23" t="s">
        <v>35</v>
      </c>
      <c r="F7" s="23" t="s">
        <v>110</v>
      </c>
      <c r="G7" s="23" t="s">
        <v>33</v>
      </c>
      <c r="H7" s="23">
        <v>1316.7</v>
      </c>
      <c r="I7" s="24" t="s">
        <v>49</v>
      </c>
      <c r="J7" s="25">
        <v>3</v>
      </c>
      <c r="K7" s="25">
        <v>1</v>
      </c>
      <c r="L7" s="25" t="s">
        <v>180</v>
      </c>
      <c r="M7" s="25" t="s">
        <v>180</v>
      </c>
      <c r="N7" s="25" t="s">
        <v>180</v>
      </c>
      <c r="O7" s="25">
        <f t="shared" si="0"/>
        <v>1</v>
      </c>
    </row>
    <row r="8" spans="1:15" ht="12" x14ac:dyDescent="0.2">
      <c r="A8" s="23" t="s">
        <v>127</v>
      </c>
      <c r="B8" s="23" t="s">
        <v>108</v>
      </c>
      <c r="C8" s="23" t="s">
        <v>128</v>
      </c>
      <c r="D8" s="23" t="s">
        <v>38</v>
      </c>
      <c r="E8" s="23" t="s">
        <v>35</v>
      </c>
      <c r="F8" s="23" t="s">
        <v>129</v>
      </c>
      <c r="G8" s="23" t="s">
        <v>54</v>
      </c>
      <c r="H8" s="23">
        <v>1316.7</v>
      </c>
      <c r="I8" s="24" t="s">
        <v>49</v>
      </c>
      <c r="J8" s="25">
        <v>3</v>
      </c>
      <c r="K8" s="25" t="s">
        <v>180</v>
      </c>
      <c r="L8" s="25" t="s">
        <v>180</v>
      </c>
      <c r="M8" s="25" t="s">
        <v>180</v>
      </c>
      <c r="N8" s="25" t="s">
        <v>180</v>
      </c>
      <c r="O8" s="25">
        <f t="shared" si="0"/>
        <v>1</v>
      </c>
    </row>
    <row r="9" spans="1:15" ht="12" x14ac:dyDescent="0.2">
      <c r="A9" s="23" t="s">
        <v>130</v>
      </c>
      <c r="B9" s="23" t="s">
        <v>108</v>
      </c>
      <c r="C9" s="23" t="s">
        <v>128</v>
      </c>
      <c r="D9" s="23" t="s">
        <v>38</v>
      </c>
      <c r="E9" s="23" t="s">
        <v>35</v>
      </c>
      <c r="F9" s="23" t="s">
        <v>131</v>
      </c>
      <c r="G9" s="23" t="s">
        <v>56</v>
      </c>
      <c r="H9" s="23">
        <v>1316.7</v>
      </c>
      <c r="I9" s="24" t="s">
        <v>45</v>
      </c>
      <c r="J9" s="25">
        <v>4</v>
      </c>
      <c r="K9" s="25">
        <v>2</v>
      </c>
      <c r="L9" s="25" t="s">
        <v>180</v>
      </c>
      <c r="M9" s="25" t="s">
        <v>180</v>
      </c>
      <c r="N9" s="25" t="s">
        <v>180</v>
      </c>
      <c r="O9" s="25">
        <f t="shared" si="0"/>
        <v>1</v>
      </c>
    </row>
    <row r="10" spans="1:15" ht="12" x14ac:dyDescent="0.2">
      <c r="A10" s="23" t="s">
        <v>132</v>
      </c>
      <c r="B10" s="23" t="s">
        <v>108</v>
      </c>
      <c r="C10" s="23" t="s">
        <v>109</v>
      </c>
      <c r="D10" s="23" t="s">
        <v>38</v>
      </c>
      <c r="E10" s="23" t="s">
        <v>35</v>
      </c>
      <c r="F10" s="23" t="s">
        <v>116</v>
      </c>
      <c r="G10" s="23" t="s">
        <v>50</v>
      </c>
      <c r="H10" s="23">
        <v>938.7</v>
      </c>
      <c r="I10" s="24" t="s">
        <v>45</v>
      </c>
      <c r="J10" s="25">
        <v>4</v>
      </c>
      <c r="K10" s="25">
        <v>2</v>
      </c>
      <c r="L10" s="25" t="s">
        <v>180</v>
      </c>
      <c r="M10" s="25" t="s">
        <v>180</v>
      </c>
      <c r="N10" s="25" t="s">
        <v>180</v>
      </c>
      <c r="O10" s="25">
        <f t="shared" si="0"/>
        <v>1</v>
      </c>
    </row>
    <row r="11" spans="1:15" ht="12" x14ac:dyDescent="0.2">
      <c r="A11" s="23" t="s">
        <v>133</v>
      </c>
      <c r="B11" s="23" t="s">
        <v>108</v>
      </c>
      <c r="C11" s="23" t="s">
        <v>134</v>
      </c>
      <c r="D11" s="23" t="s">
        <v>78</v>
      </c>
      <c r="E11" s="23" t="s">
        <v>35</v>
      </c>
      <c r="F11" s="23" t="s">
        <v>135</v>
      </c>
      <c r="G11" s="23" t="s">
        <v>46</v>
      </c>
      <c r="H11" s="23">
        <v>1316.7</v>
      </c>
      <c r="I11" s="24" t="s">
        <v>45</v>
      </c>
      <c r="J11" s="25">
        <v>4</v>
      </c>
      <c r="K11" s="25">
        <v>2</v>
      </c>
      <c r="L11" s="25" t="s">
        <v>180</v>
      </c>
      <c r="M11" s="25" t="s">
        <v>180</v>
      </c>
      <c r="N11" s="25" t="s">
        <v>180</v>
      </c>
      <c r="O11" s="25">
        <f t="shared" si="0"/>
        <v>1</v>
      </c>
    </row>
    <row r="12" spans="1:15" ht="12" x14ac:dyDescent="0.2">
      <c r="A12" s="23" t="s">
        <v>151</v>
      </c>
      <c r="B12" s="23" t="s">
        <v>108</v>
      </c>
      <c r="C12" s="23" t="s">
        <v>152</v>
      </c>
      <c r="D12" s="23" t="s">
        <v>183</v>
      </c>
      <c r="E12" s="23" t="s">
        <v>35</v>
      </c>
      <c r="F12" s="23" t="s">
        <v>153</v>
      </c>
      <c r="G12" s="23" t="s">
        <v>33</v>
      </c>
      <c r="H12" s="23">
        <v>1439.4</v>
      </c>
      <c r="I12" s="24" t="s">
        <v>51</v>
      </c>
      <c r="J12" s="25" t="s">
        <v>180</v>
      </c>
      <c r="K12" s="25" t="s">
        <v>180</v>
      </c>
      <c r="L12" s="25">
        <v>3</v>
      </c>
      <c r="M12" s="25" t="s">
        <v>180</v>
      </c>
      <c r="N12" s="25" t="s">
        <v>180</v>
      </c>
      <c r="O12" s="25">
        <f t="shared" si="0"/>
        <v>1</v>
      </c>
    </row>
    <row r="13" spans="1:15" ht="12" x14ac:dyDescent="0.2">
      <c r="A13" s="23">
        <v>2126901</v>
      </c>
      <c r="B13" s="23" t="s">
        <v>32</v>
      </c>
      <c r="C13" s="23" t="s">
        <v>76</v>
      </c>
      <c r="D13" s="23" t="s">
        <v>78</v>
      </c>
      <c r="E13" s="23" t="s">
        <v>40</v>
      </c>
      <c r="F13" s="23" t="s">
        <v>79</v>
      </c>
      <c r="G13" s="23" t="s">
        <v>33</v>
      </c>
      <c r="H13" s="23">
        <v>1439.4</v>
      </c>
      <c r="I13" s="24" t="s">
        <v>53</v>
      </c>
      <c r="J13" s="25" t="s">
        <v>180</v>
      </c>
      <c r="K13" s="25" t="s">
        <v>180</v>
      </c>
      <c r="L13" s="25">
        <v>2</v>
      </c>
      <c r="M13" s="25" t="s">
        <v>180</v>
      </c>
      <c r="N13" s="25" t="s">
        <v>180</v>
      </c>
      <c r="O13" s="25">
        <f t="shared" si="0"/>
        <v>1</v>
      </c>
    </row>
    <row r="14" spans="1:15" ht="12" x14ac:dyDescent="0.2">
      <c r="A14" s="23">
        <v>2126907</v>
      </c>
      <c r="B14" s="23" t="s">
        <v>32</v>
      </c>
      <c r="C14" s="23" t="s">
        <v>76</v>
      </c>
      <c r="D14" s="23" t="s">
        <v>78</v>
      </c>
      <c r="E14" s="23" t="s">
        <v>40</v>
      </c>
      <c r="F14" s="23" t="s">
        <v>80</v>
      </c>
      <c r="G14" s="23" t="s">
        <v>46</v>
      </c>
      <c r="H14" s="23">
        <v>1259.3699999999999</v>
      </c>
      <c r="I14" s="24" t="s">
        <v>45</v>
      </c>
      <c r="J14" s="25">
        <v>4</v>
      </c>
      <c r="K14" s="25" t="s">
        <v>180</v>
      </c>
      <c r="L14" s="25" t="s">
        <v>180</v>
      </c>
      <c r="M14" s="25" t="s">
        <v>180</v>
      </c>
      <c r="N14" s="25" t="s">
        <v>180</v>
      </c>
      <c r="O14" s="25">
        <f t="shared" si="0"/>
        <v>1</v>
      </c>
    </row>
    <row r="15" spans="1:15" ht="12" x14ac:dyDescent="0.2">
      <c r="A15" s="23">
        <v>2241674</v>
      </c>
      <c r="B15" s="23" t="s">
        <v>32</v>
      </c>
      <c r="C15" s="23" t="s">
        <v>120</v>
      </c>
      <c r="D15" s="23" t="s">
        <v>38</v>
      </c>
      <c r="E15" s="23" t="s">
        <v>121</v>
      </c>
      <c r="F15" s="23" t="s">
        <v>122</v>
      </c>
      <c r="G15" s="23" t="s">
        <v>33</v>
      </c>
      <c r="H15" s="23">
        <v>1259.3699999999999</v>
      </c>
      <c r="I15" s="24" t="s">
        <v>45</v>
      </c>
      <c r="J15" s="25">
        <v>6</v>
      </c>
      <c r="K15" s="25">
        <v>1</v>
      </c>
      <c r="L15" s="25" t="s">
        <v>180</v>
      </c>
      <c r="M15" s="25" t="s">
        <v>180</v>
      </c>
      <c r="N15" s="25" t="s">
        <v>180</v>
      </c>
      <c r="O15" s="25">
        <f t="shared" si="0"/>
        <v>1</v>
      </c>
    </row>
    <row r="16" spans="1:15" ht="12" x14ac:dyDescent="0.2">
      <c r="A16" s="23">
        <v>2344502</v>
      </c>
      <c r="B16" s="23" t="s">
        <v>32</v>
      </c>
      <c r="C16" s="23" t="s">
        <v>123</v>
      </c>
      <c r="D16" s="23" t="s">
        <v>78</v>
      </c>
      <c r="E16" s="23" t="s">
        <v>35</v>
      </c>
      <c r="F16" s="23" t="s">
        <v>36</v>
      </c>
      <c r="G16" s="23" t="s">
        <v>33</v>
      </c>
      <c r="H16" s="23">
        <v>1316.7</v>
      </c>
      <c r="I16" s="24" t="s">
        <v>45</v>
      </c>
      <c r="J16" s="25">
        <v>2</v>
      </c>
      <c r="K16" s="25">
        <v>2</v>
      </c>
      <c r="L16" s="25" t="s">
        <v>180</v>
      </c>
      <c r="M16" s="25" t="s">
        <v>180</v>
      </c>
      <c r="N16" s="25" t="s">
        <v>180</v>
      </c>
      <c r="O16" s="25">
        <f t="shared" si="0"/>
        <v>1</v>
      </c>
    </row>
    <row r="17" spans="1:15" ht="12" x14ac:dyDescent="0.2">
      <c r="A17" s="23">
        <v>2353501</v>
      </c>
      <c r="B17" s="23" t="s">
        <v>32</v>
      </c>
      <c r="C17" s="23" t="s">
        <v>124</v>
      </c>
      <c r="D17" s="23" t="s">
        <v>38</v>
      </c>
      <c r="E17" s="23" t="s">
        <v>35</v>
      </c>
      <c r="F17" s="23" t="s">
        <v>36</v>
      </c>
      <c r="G17" s="23" t="s">
        <v>33</v>
      </c>
      <c r="H17" s="23">
        <v>1820.7</v>
      </c>
      <c r="I17" s="24" t="s">
        <v>45</v>
      </c>
      <c r="J17" s="25">
        <v>3</v>
      </c>
      <c r="K17" s="25">
        <v>1</v>
      </c>
      <c r="L17" s="25" t="s">
        <v>180</v>
      </c>
      <c r="M17" s="25" t="s">
        <v>180</v>
      </c>
      <c r="N17" s="25" t="s">
        <v>180</v>
      </c>
      <c r="O17" s="25">
        <f t="shared" si="0"/>
        <v>1</v>
      </c>
    </row>
    <row r="18" spans="1:15" ht="12" x14ac:dyDescent="0.2">
      <c r="A18" s="23">
        <v>2359301</v>
      </c>
      <c r="B18" s="23" t="s">
        <v>32</v>
      </c>
      <c r="C18" s="23" t="s">
        <v>125</v>
      </c>
      <c r="D18" s="23" t="s">
        <v>126</v>
      </c>
      <c r="E18" s="23" t="s">
        <v>40</v>
      </c>
      <c r="F18" s="23" t="s">
        <v>41</v>
      </c>
      <c r="G18" s="23" t="s">
        <v>33</v>
      </c>
      <c r="H18" s="23">
        <v>894</v>
      </c>
      <c r="I18" s="24" t="s">
        <v>45</v>
      </c>
      <c r="J18" s="25" t="s">
        <v>180</v>
      </c>
      <c r="K18" s="25" t="s">
        <v>180</v>
      </c>
      <c r="L18" s="25" t="s">
        <v>180</v>
      </c>
      <c r="M18" s="25" t="s">
        <v>180</v>
      </c>
      <c r="N18" s="25">
        <v>3</v>
      </c>
      <c r="O18" s="25">
        <f t="shared" si="0"/>
        <v>1</v>
      </c>
    </row>
    <row r="19" spans="1:15" ht="12" x14ac:dyDescent="0.2">
      <c r="A19" s="23">
        <v>2241675</v>
      </c>
      <c r="B19" s="23" t="s">
        <v>32</v>
      </c>
      <c r="C19" s="23" t="s">
        <v>120</v>
      </c>
      <c r="D19" s="23" t="s">
        <v>38</v>
      </c>
      <c r="E19" s="23" t="s">
        <v>121</v>
      </c>
      <c r="F19" s="23" t="s">
        <v>122</v>
      </c>
      <c r="G19" s="23" t="s">
        <v>48</v>
      </c>
      <c r="H19" s="23">
        <v>1674</v>
      </c>
      <c r="I19" s="24" t="s">
        <v>45</v>
      </c>
      <c r="J19" s="25" t="s">
        <v>180</v>
      </c>
      <c r="K19" s="25" t="s">
        <v>180</v>
      </c>
      <c r="L19" s="25" t="s">
        <v>180</v>
      </c>
      <c r="M19" s="25" t="s">
        <v>180</v>
      </c>
      <c r="N19" s="25">
        <v>6</v>
      </c>
      <c r="O19" s="25">
        <f t="shared" si="0"/>
        <v>1</v>
      </c>
    </row>
    <row r="20" spans="1:15" ht="12" x14ac:dyDescent="0.2">
      <c r="A20" s="23">
        <v>2241678</v>
      </c>
      <c r="B20" s="23" t="s">
        <v>32</v>
      </c>
      <c r="C20" s="23" t="s">
        <v>120</v>
      </c>
      <c r="D20" s="23" t="s">
        <v>38</v>
      </c>
      <c r="E20" s="23" t="s">
        <v>121</v>
      </c>
      <c r="F20" s="23" t="s">
        <v>122</v>
      </c>
      <c r="G20" s="23" t="s">
        <v>54</v>
      </c>
      <c r="H20" s="23">
        <v>1434</v>
      </c>
      <c r="I20" s="24" t="s">
        <v>45</v>
      </c>
      <c r="J20" s="25" t="s">
        <v>180</v>
      </c>
      <c r="K20" s="25" t="s">
        <v>180</v>
      </c>
      <c r="L20" s="25" t="s">
        <v>180</v>
      </c>
      <c r="M20" s="25" t="s">
        <v>180</v>
      </c>
      <c r="N20" s="25">
        <v>5</v>
      </c>
      <c r="O20" s="25">
        <f t="shared" si="0"/>
        <v>1</v>
      </c>
    </row>
    <row r="21" spans="1:15" ht="12" x14ac:dyDescent="0.2">
      <c r="A21" s="23">
        <v>2241679</v>
      </c>
      <c r="B21" s="23" t="s">
        <v>32</v>
      </c>
      <c r="C21" s="23" t="s">
        <v>120</v>
      </c>
      <c r="D21" s="23" t="s">
        <v>38</v>
      </c>
      <c r="E21" s="23" t="s">
        <v>121</v>
      </c>
      <c r="F21" s="23" t="s">
        <v>122</v>
      </c>
      <c r="G21" s="23" t="s">
        <v>58</v>
      </c>
      <c r="H21" s="23">
        <v>2094</v>
      </c>
      <c r="I21" s="24" t="s">
        <v>45</v>
      </c>
      <c r="J21" s="25" t="s">
        <v>180</v>
      </c>
      <c r="K21" s="25" t="s">
        <v>180</v>
      </c>
      <c r="L21" s="25" t="s">
        <v>180</v>
      </c>
      <c r="M21" s="25" t="s">
        <v>180</v>
      </c>
      <c r="N21" s="25">
        <v>3</v>
      </c>
      <c r="O21" s="25">
        <f t="shared" si="0"/>
        <v>1</v>
      </c>
    </row>
    <row r="22" spans="1:15" ht="12" x14ac:dyDescent="0.2">
      <c r="A22" s="23">
        <v>2255417</v>
      </c>
      <c r="B22" s="23" t="s">
        <v>32</v>
      </c>
      <c r="C22" s="23" t="s">
        <v>162</v>
      </c>
      <c r="D22" s="23" t="s">
        <v>38</v>
      </c>
      <c r="E22" s="23" t="s">
        <v>121</v>
      </c>
      <c r="F22" s="23" t="s">
        <v>122</v>
      </c>
      <c r="G22" s="23" t="s">
        <v>46</v>
      </c>
      <c r="H22" s="23">
        <v>1259.3699999999999</v>
      </c>
      <c r="I22" s="24" t="s">
        <v>55</v>
      </c>
      <c r="J22" s="25">
        <v>2</v>
      </c>
      <c r="K22" s="25" t="s">
        <v>180</v>
      </c>
      <c r="L22" s="25" t="s">
        <v>180</v>
      </c>
      <c r="M22" s="25" t="s">
        <v>180</v>
      </c>
      <c r="N22" s="25" t="s">
        <v>180</v>
      </c>
      <c r="O22" s="25">
        <f t="shared" si="0"/>
        <v>1</v>
      </c>
    </row>
    <row r="23" spans="1:15" ht="12" x14ac:dyDescent="0.2">
      <c r="A23" s="23">
        <v>2342801</v>
      </c>
      <c r="B23" s="23" t="s">
        <v>32</v>
      </c>
      <c r="C23" s="23" t="s">
        <v>163</v>
      </c>
      <c r="D23" s="23" t="s">
        <v>78</v>
      </c>
      <c r="E23" s="23" t="s">
        <v>35</v>
      </c>
      <c r="F23" s="23" t="s">
        <v>36</v>
      </c>
      <c r="G23" s="23" t="s">
        <v>33</v>
      </c>
      <c r="H23" s="23">
        <v>1259.3699999999999</v>
      </c>
      <c r="I23" s="24" t="s">
        <v>57</v>
      </c>
      <c r="J23" s="25">
        <v>2</v>
      </c>
      <c r="K23" s="25" t="s">
        <v>180</v>
      </c>
      <c r="L23" s="25" t="s">
        <v>180</v>
      </c>
      <c r="M23" s="25" t="s">
        <v>180</v>
      </c>
      <c r="N23" s="25" t="s">
        <v>180</v>
      </c>
      <c r="O23" s="25">
        <f t="shared" si="0"/>
        <v>1</v>
      </c>
    </row>
    <row r="24" spans="1:15" ht="12" x14ac:dyDescent="0.2">
      <c r="A24" s="23">
        <v>2343801</v>
      </c>
      <c r="B24" s="23" t="s">
        <v>32</v>
      </c>
      <c r="C24" s="23" t="s">
        <v>164</v>
      </c>
      <c r="D24" s="23" t="s">
        <v>184</v>
      </c>
      <c r="E24" s="23" t="s">
        <v>35</v>
      </c>
      <c r="F24" s="23" t="s">
        <v>36</v>
      </c>
      <c r="G24" s="23" t="s">
        <v>33</v>
      </c>
      <c r="H24" s="23">
        <v>1259.3699999999999</v>
      </c>
      <c r="I24" s="24" t="s">
        <v>51</v>
      </c>
      <c r="J24" s="25">
        <v>2</v>
      </c>
      <c r="K24" s="25" t="s">
        <v>180</v>
      </c>
      <c r="L24" s="25" t="s">
        <v>180</v>
      </c>
      <c r="M24" s="25" t="s">
        <v>180</v>
      </c>
      <c r="N24" s="25" t="s">
        <v>180</v>
      </c>
      <c r="O24" s="25">
        <f t="shared" si="0"/>
        <v>1</v>
      </c>
    </row>
    <row r="25" spans="1:15" ht="12" x14ac:dyDescent="0.2">
      <c r="A25" s="23">
        <v>2343805</v>
      </c>
      <c r="B25" s="23" t="s">
        <v>32</v>
      </c>
      <c r="C25" s="23" t="s">
        <v>164</v>
      </c>
      <c r="D25" s="23" t="s">
        <v>185</v>
      </c>
      <c r="E25" s="23" t="s">
        <v>35</v>
      </c>
      <c r="F25" s="23" t="s">
        <v>36</v>
      </c>
      <c r="G25" s="23" t="s">
        <v>54</v>
      </c>
      <c r="H25" s="23">
        <v>1889.37</v>
      </c>
      <c r="I25" s="24" t="s">
        <v>47</v>
      </c>
      <c r="J25" s="25">
        <v>2</v>
      </c>
      <c r="K25" s="25" t="s">
        <v>180</v>
      </c>
      <c r="L25" s="25" t="s">
        <v>180</v>
      </c>
      <c r="M25" s="25" t="s">
        <v>180</v>
      </c>
      <c r="N25" s="25" t="s">
        <v>180</v>
      </c>
      <c r="O25" s="25">
        <f t="shared" si="0"/>
        <v>1</v>
      </c>
    </row>
    <row r="26" spans="1:15" ht="12" x14ac:dyDescent="0.2">
      <c r="A26" s="23">
        <v>2366901</v>
      </c>
      <c r="B26" s="23" t="s">
        <v>32</v>
      </c>
      <c r="C26" s="23" t="s">
        <v>165</v>
      </c>
      <c r="D26" s="23" t="s">
        <v>38</v>
      </c>
      <c r="E26" s="23" t="s">
        <v>121</v>
      </c>
      <c r="F26" s="23" t="s">
        <v>122</v>
      </c>
      <c r="G26" s="23" t="s">
        <v>33</v>
      </c>
      <c r="H26" s="23">
        <v>1511.37</v>
      </c>
      <c r="I26" s="24" t="s">
        <v>55</v>
      </c>
      <c r="J26" s="25">
        <v>3</v>
      </c>
      <c r="K26" s="25" t="s">
        <v>180</v>
      </c>
      <c r="L26" s="25" t="s">
        <v>180</v>
      </c>
      <c r="M26" s="25" t="s">
        <v>180</v>
      </c>
      <c r="N26" s="25" t="s">
        <v>180</v>
      </c>
      <c r="O26" s="25">
        <f t="shared" si="0"/>
        <v>1</v>
      </c>
    </row>
    <row r="27" spans="1:15" ht="12" x14ac:dyDescent="0.2">
      <c r="A27" s="23">
        <v>2367503</v>
      </c>
      <c r="B27" s="23" t="s">
        <v>32</v>
      </c>
      <c r="C27" s="23" t="s">
        <v>166</v>
      </c>
      <c r="D27" s="23" t="s">
        <v>78</v>
      </c>
      <c r="E27" s="23" t="s">
        <v>35</v>
      </c>
      <c r="F27" s="23" t="s">
        <v>36</v>
      </c>
      <c r="G27" s="23" t="s">
        <v>50</v>
      </c>
      <c r="H27" s="23">
        <v>1511.37</v>
      </c>
      <c r="I27" s="24" t="s">
        <v>45</v>
      </c>
      <c r="J27" s="25">
        <v>3</v>
      </c>
      <c r="K27" s="25" t="s">
        <v>180</v>
      </c>
      <c r="L27" s="25" t="s">
        <v>180</v>
      </c>
      <c r="M27" s="25" t="s">
        <v>180</v>
      </c>
      <c r="N27" s="25" t="s">
        <v>180</v>
      </c>
      <c r="O27" s="25">
        <f t="shared" si="0"/>
        <v>1</v>
      </c>
    </row>
    <row r="28" spans="1:15" ht="12" x14ac:dyDescent="0.2">
      <c r="A28" s="23">
        <v>2371104</v>
      </c>
      <c r="B28" s="23" t="s">
        <v>32</v>
      </c>
      <c r="C28" s="23" t="s">
        <v>167</v>
      </c>
      <c r="D28" s="23" t="s">
        <v>78</v>
      </c>
      <c r="E28" s="23" t="s">
        <v>35</v>
      </c>
      <c r="F28" s="23" t="s">
        <v>36</v>
      </c>
      <c r="G28" s="23" t="s">
        <v>50</v>
      </c>
      <c r="H28" s="23">
        <v>1511.37</v>
      </c>
      <c r="I28" s="24" t="s">
        <v>59</v>
      </c>
      <c r="J28" s="25">
        <v>3</v>
      </c>
      <c r="K28" s="25" t="s">
        <v>180</v>
      </c>
      <c r="L28" s="25" t="s">
        <v>180</v>
      </c>
      <c r="M28" s="25">
        <v>1</v>
      </c>
      <c r="N28" s="25" t="s">
        <v>180</v>
      </c>
      <c r="O28" s="25">
        <f t="shared" si="0"/>
        <v>1</v>
      </c>
    </row>
    <row r="29" spans="1:15" ht="12" x14ac:dyDescent="0.2">
      <c r="A29" s="23">
        <v>2241685</v>
      </c>
      <c r="B29" s="23" t="s">
        <v>32</v>
      </c>
      <c r="C29" s="23" t="s">
        <v>120</v>
      </c>
      <c r="D29" s="23" t="s">
        <v>186</v>
      </c>
      <c r="E29" s="23" t="s">
        <v>121</v>
      </c>
      <c r="F29" s="23" t="s">
        <v>122</v>
      </c>
      <c r="G29" s="23" t="s">
        <v>48</v>
      </c>
      <c r="H29" s="23">
        <v>1889.37</v>
      </c>
      <c r="I29" s="24" t="s">
        <v>45</v>
      </c>
      <c r="J29" s="25">
        <v>3</v>
      </c>
      <c r="K29" s="25">
        <v>1</v>
      </c>
      <c r="L29" s="25" t="s">
        <v>180</v>
      </c>
      <c r="M29" s="25" t="s">
        <v>180</v>
      </c>
      <c r="N29" s="25" t="s">
        <v>180</v>
      </c>
      <c r="O29" s="25">
        <f t="shared" si="0"/>
        <v>1</v>
      </c>
    </row>
    <row r="30" spans="1:15" ht="12" x14ac:dyDescent="0.2">
      <c r="A30" s="23">
        <v>2375801</v>
      </c>
      <c r="B30" s="23" t="s">
        <v>32</v>
      </c>
      <c r="C30" s="23" t="s">
        <v>168</v>
      </c>
      <c r="D30" s="23" t="s">
        <v>38</v>
      </c>
      <c r="E30" s="23" t="s">
        <v>40</v>
      </c>
      <c r="F30" s="23" t="s">
        <v>41</v>
      </c>
      <c r="G30" s="23" t="s">
        <v>33</v>
      </c>
      <c r="H30" s="23">
        <v>1259.3699999999999</v>
      </c>
      <c r="I30" s="24" t="s">
        <v>47</v>
      </c>
      <c r="J30" s="25">
        <v>3</v>
      </c>
      <c r="K30" s="25">
        <v>1</v>
      </c>
      <c r="L30" s="25" t="s">
        <v>180</v>
      </c>
      <c r="M30" s="25" t="s">
        <v>180</v>
      </c>
      <c r="N30" s="25" t="s">
        <v>180</v>
      </c>
      <c r="O30" s="25">
        <f t="shared" si="0"/>
        <v>1</v>
      </c>
    </row>
    <row r="31" spans="1:15" ht="12" x14ac:dyDescent="0.2">
      <c r="A31" s="23">
        <v>2390901</v>
      </c>
      <c r="B31" s="23" t="s">
        <v>32</v>
      </c>
      <c r="C31" s="23" t="s">
        <v>187</v>
      </c>
      <c r="D31" s="23" t="s">
        <v>126</v>
      </c>
      <c r="E31" s="23" t="s">
        <v>35</v>
      </c>
      <c r="F31" s="23" t="s">
        <v>173</v>
      </c>
      <c r="G31" s="23" t="s">
        <v>33</v>
      </c>
      <c r="H31" s="23">
        <v>1259.3699999999999</v>
      </c>
      <c r="I31" s="24" t="s">
        <v>61</v>
      </c>
      <c r="J31" s="25">
        <v>2</v>
      </c>
      <c r="K31" s="25" t="s">
        <v>180</v>
      </c>
      <c r="L31" s="25" t="s">
        <v>180</v>
      </c>
      <c r="M31" s="25" t="s">
        <v>180</v>
      </c>
      <c r="N31" s="25" t="s">
        <v>180</v>
      </c>
      <c r="O31" s="25">
        <f t="shared" si="0"/>
        <v>1</v>
      </c>
    </row>
    <row r="32" spans="1:15" ht="12" x14ac:dyDescent="0.2">
      <c r="A32" s="23">
        <v>5291901</v>
      </c>
      <c r="B32" s="23" t="s">
        <v>32</v>
      </c>
      <c r="C32" s="23" t="s">
        <v>120</v>
      </c>
      <c r="D32" s="23" t="s">
        <v>38</v>
      </c>
      <c r="E32" s="23" t="s">
        <v>121</v>
      </c>
      <c r="F32" s="23" t="s">
        <v>179</v>
      </c>
      <c r="G32" s="23" t="s">
        <v>33</v>
      </c>
      <c r="H32" s="23">
        <v>1889.37</v>
      </c>
      <c r="I32" s="24" t="s">
        <v>63</v>
      </c>
      <c r="J32" s="25">
        <v>3</v>
      </c>
      <c r="K32" s="25" t="s">
        <v>180</v>
      </c>
      <c r="L32" s="25" t="s">
        <v>180</v>
      </c>
      <c r="M32" s="25" t="s">
        <v>180</v>
      </c>
      <c r="N32" s="25" t="s">
        <v>180</v>
      </c>
      <c r="O32" s="25">
        <f t="shared" si="0"/>
        <v>1</v>
      </c>
    </row>
    <row r="33" spans="1:15" ht="12" x14ac:dyDescent="0.2">
      <c r="A33" s="23">
        <v>5291902</v>
      </c>
      <c r="B33" s="23" t="s">
        <v>32</v>
      </c>
      <c r="C33" s="23" t="s">
        <v>120</v>
      </c>
      <c r="D33" s="23" t="s">
        <v>38</v>
      </c>
      <c r="E33" s="23" t="s">
        <v>121</v>
      </c>
      <c r="F33" s="23" t="s">
        <v>179</v>
      </c>
      <c r="G33" s="23" t="s">
        <v>48</v>
      </c>
      <c r="H33" s="23">
        <v>1511.37</v>
      </c>
      <c r="I33" s="24" t="s">
        <v>45</v>
      </c>
      <c r="J33" s="25">
        <v>3</v>
      </c>
      <c r="K33" s="25" t="s">
        <v>180</v>
      </c>
      <c r="L33" s="25" t="s">
        <v>180</v>
      </c>
      <c r="M33" s="25" t="s">
        <v>180</v>
      </c>
      <c r="N33" s="25" t="s">
        <v>180</v>
      </c>
      <c r="O33" s="25">
        <f t="shared" si="0"/>
        <v>1</v>
      </c>
    </row>
    <row r="34" spans="1:15" ht="12" x14ac:dyDescent="0.2">
      <c r="A34" s="23" t="s">
        <v>169</v>
      </c>
      <c r="B34" s="23" t="s">
        <v>170</v>
      </c>
      <c r="C34" s="23" t="s">
        <v>171</v>
      </c>
      <c r="D34" s="23" t="s">
        <v>38</v>
      </c>
      <c r="E34" s="23" t="s">
        <v>35</v>
      </c>
      <c r="F34" s="23" t="s">
        <v>172</v>
      </c>
      <c r="G34" s="23" t="s">
        <v>48</v>
      </c>
      <c r="H34" s="23">
        <v>1889.37</v>
      </c>
      <c r="I34" s="24" t="s">
        <v>45</v>
      </c>
      <c r="J34" s="25">
        <v>2</v>
      </c>
      <c r="K34" s="25" t="s">
        <v>180</v>
      </c>
      <c r="L34" s="25" t="s">
        <v>180</v>
      </c>
      <c r="M34" s="25">
        <v>1</v>
      </c>
      <c r="N34" s="25" t="s">
        <v>180</v>
      </c>
      <c r="O34" s="25">
        <f t="shared" si="0"/>
        <v>1</v>
      </c>
    </row>
    <row r="35" spans="1:15" ht="12" x14ac:dyDescent="0.2">
      <c r="A35" s="23" t="s">
        <v>174</v>
      </c>
      <c r="B35" s="23" t="s">
        <v>170</v>
      </c>
      <c r="C35" s="23" t="s">
        <v>175</v>
      </c>
      <c r="D35" s="23" t="s">
        <v>38</v>
      </c>
      <c r="E35" s="23" t="s">
        <v>156</v>
      </c>
      <c r="F35" s="23" t="s">
        <v>172</v>
      </c>
      <c r="G35" s="23" t="s">
        <v>52</v>
      </c>
      <c r="H35" s="23">
        <v>1979.4</v>
      </c>
      <c r="I35" s="24" t="s">
        <v>49</v>
      </c>
      <c r="J35" s="25" t="s">
        <v>180</v>
      </c>
      <c r="K35" s="25" t="s">
        <v>180</v>
      </c>
      <c r="L35" s="25">
        <v>2</v>
      </c>
      <c r="M35" s="25" t="s">
        <v>180</v>
      </c>
      <c r="N35" s="25" t="s">
        <v>180</v>
      </c>
      <c r="O35" s="25">
        <f t="shared" si="0"/>
        <v>1</v>
      </c>
    </row>
    <row r="36" spans="1:15" ht="12" x14ac:dyDescent="0.2">
      <c r="A36" s="23" t="s">
        <v>176</v>
      </c>
      <c r="B36" s="23" t="s">
        <v>170</v>
      </c>
      <c r="C36" s="23" t="s">
        <v>175</v>
      </c>
      <c r="D36" s="23" t="s">
        <v>38</v>
      </c>
      <c r="E36" s="23" t="s">
        <v>35</v>
      </c>
      <c r="F36" s="23" t="s">
        <v>177</v>
      </c>
      <c r="G36" s="23" t="s">
        <v>60</v>
      </c>
      <c r="H36" s="23">
        <v>1379.4</v>
      </c>
      <c r="I36" s="24" t="s">
        <v>49</v>
      </c>
      <c r="J36" s="25" t="s">
        <v>180</v>
      </c>
      <c r="K36" s="25" t="s">
        <v>180</v>
      </c>
      <c r="L36" s="25">
        <v>2</v>
      </c>
      <c r="M36" s="25" t="s">
        <v>180</v>
      </c>
      <c r="N36" s="25" t="s">
        <v>180</v>
      </c>
      <c r="O36" s="25">
        <f t="shared" si="0"/>
        <v>1</v>
      </c>
    </row>
    <row r="37" spans="1:15" ht="12" x14ac:dyDescent="0.2">
      <c r="A37" s="23" t="s">
        <v>178</v>
      </c>
      <c r="B37" s="23" t="s">
        <v>170</v>
      </c>
      <c r="C37" s="23" t="s">
        <v>175</v>
      </c>
      <c r="D37" s="23" t="s">
        <v>38</v>
      </c>
      <c r="E37" s="23" t="s">
        <v>156</v>
      </c>
      <c r="F37" s="23" t="s">
        <v>177</v>
      </c>
      <c r="G37" s="23" t="s">
        <v>64</v>
      </c>
      <c r="H37" s="23">
        <v>1979.4</v>
      </c>
      <c r="I37" s="24" t="s">
        <v>51</v>
      </c>
      <c r="J37" s="25" t="s">
        <v>180</v>
      </c>
      <c r="K37" s="25" t="s">
        <v>180</v>
      </c>
      <c r="L37" s="25" t="s">
        <v>180</v>
      </c>
      <c r="M37" s="25" t="s">
        <v>180</v>
      </c>
      <c r="N37" s="25">
        <v>3</v>
      </c>
      <c r="O37" s="25">
        <f t="shared" si="0"/>
        <v>1</v>
      </c>
    </row>
    <row r="38" spans="1:15" ht="12" x14ac:dyDescent="0.2">
      <c r="A38" s="23" t="s">
        <v>81</v>
      </c>
      <c r="B38" s="23" t="s">
        <v>82</v>
      </c>
      <c r="C38" s="23" t="s">
        <v>137</v>
      </c>
      <c r="D38" s="23" t="s">
        <v>38</v>
      </c>
      <c r="E38" s="23" t="s">
        <v>35</v>
      </c>
      <c r="F38" s="23" t="s">
        <v>83</v>
      </c>
      <c r="G38" s="23" t="s">
        <v>33</v>
      </c>
      <c r="H38" s="23">
        <v>894</v>
      </c>
      <c r="I38" s="24" t="s">
        <v>49</v>
      </c>
      <c r="J38" s="25" t="s">
        <v>180</v>
      </c>
      <c r="K38" s="25" t="s">
        <v>180</v>
      </c>
      <c r="L38" s="25" t="s">
        <v>180</v>
      </c>
      <c r="M38" s="25" t="s">
        <v>180</v>
      </c>
      <c r="N38" s="25">
        <v>3</v>
      </c>
      <c r="O38" s="25">
        <f t="shared" si="0"/>
        <v>1</v>
      </c>
    </row>
    <row r="39" spans="1:15" ht="12" x14ac:dyDescent="0.2">
      <c r="A39" s="23" t="s">
        <v>84</v>
      </c>
      <c r="B39" s="23" t="s">
        <v>82</v>
      </c>
      <c r="C39" s="23" t="s">
        <v>85</v>
      </c>
      <c r="D39" s="23" t="s">
        <v>39</v>
      </c>
      <c r="E39" s="23" t="s">
        <v>35</v>
      </c>
      <c r="F39" s="23" t="s">
        <v>86</v>
      </c>
      <c r="G39" s="23" t="s">
        <v>33</v>
      </c>
      <c r="H39" s="23">
        <v>894</v>
      </c>
      <c r="I39" s="24" t="s">
        <v>55</v>
      </c>
      <c r="J39" s="25" t="s">
        <v>180</v>
      </c>
      <c r="K39" s="25" t="s">
        <v>180</v>
      </c>
      <c r="L39" s="25" t="s">
        <v>180</v>
      </c>
      <c r="M39" s="25" t="s">
        <v>180</v>
      </c>
      <c r="N39" s="25">
        <v>3</v>
      </c>
      <c r="O39" s="25">
        <f t="shared" si="0"/>
        <v>1</v>
      </c>
    </row>
    <row r="40" spans="1:15" ht="12" x14ac:dyDescent="0.2">
      <c r="A40" s="23" t="s">
        <v>87</v>
      </c>
      <c r="B40" s="23" t="s">
        <v>82</v>
      </c>
      <c r="C40" s="23" t="s">
        <v>88</v>
      </c>
      <c r="D40" s="23" t="s">
        <v>38</v>
      </c>
      <c r="E40" s="23" t="s">
        <v>35</v>
      </c>
      <c r="F40" s="23" t="s">
        <v>83</v>
      </c>
      <c r="G40" s="23" t="s">
        <v>33</v>
      </c>
      <c r="H40" s="23">
        <v>894</v>
      </c>
      <c r="I40" s="24" t="s">
        <v>59</v>
      </c>
      <c r="J40" s="25" t="s">
        <v>180</v>
      </c>
      <c r="K40" s="25" t="s">
        <v>180</v>
      </c>
      <c r="L40" s="25" t="s">
        <v>180</v>
      </c>
      <c r="M40" s="25" t="s">
        <v>180</v>
      </c>
      <c r="N40" s="25">
        <v>3</v>
      </c>
      <c r="O40" s="25">
        <f t="shared" si="0"/>
        <v>1</v>
      </c>
    </row>
    <row r="41" spans="1:15" ht="12" x14ac:dyDescent="0.2">
      <c r="A41" s="23" t="s">
        <v>89</v>
      </c>
      <c r="B41" s="23" t="s">
        <v>82</v>
      </c>
      <c r="C41" s="23" t="s">
        <v>88</v>
      </c>
      <c r="D41" s="23" t="s">
        <v>38</v>
      </c>
      <c r="E41" s="23" t="s">
        <v>35</v>
      </c>
      <c r="F41" s="23" t="s">
        <v>90</v>
      </c>
      <c r="G41" s="23" t="s">
        <v>48</v>
      </c>
      <c r="H41" s="23">
        <v>1494</v>
      </c>
      <c r="I41" s="24" t="s">
        <v>47</v>
      </c>
      <c r="J41" s="25" t="s">
        <v>180</v>
      </c>
      <c r="K41" s="25" t="s">
        <v>180</v>
      </c>
      <c r="L41" s="25" t="s">
        <v>180</v>
      </c>
      <c r="M41" s="25" t="s">
        <v>180</v>
      </c>
      <c r="N41" s="25">
        <v>3</v>
      </c>
      <c r="O41" s="25">
        <f t="shared" si="0"/>
        <v>1</v>
      </c>
    </row>
    <row r="42" spans="1:15" ht="12" x14ac:dyDescent="0.2">
      <c r="A42" s="23" t="s">
        <v>91</v>
      </c>
      <c r="B42" s="23" t="s">
        <v>82</v>
      </c>
      <c r="C42" s="23" t="s">
        <v>92</v>
      </c>
      <c r="D42" s="23" t="s">
        <v>78</v>
      </c>
      <c r="E42" s="23" t="s">
        <v>35</v>
      </c>
      <c r="F42" s="23" t="s">
        <v>86</v>
      </c>
      <c r="G42" s="23" t="s">
        <v>48</v>
      </c>
      <c r="H42" s="23">
        <v>1314</v>
      </c>
      <c r="I42" s="24" t="s">
        <v>45</v>
      </c>
      <c r="J42" s="25" t="s">
        <v>180</v>
      </c>
      <c r="K42" s="25" t="s">
        <v>180</v>
      </c>
      <c r="L42" s="25" t="s">
        <v>180</v>
      </c>
      <c r="M42" s="25" t="s">
        <v>180</v>
      </c>
      <c r="N42" s="25">
        <v>1</v>
      </c>
      <c r="O42" s="25">
        <f t="shared" si="0"/>
        <v>1</v>
      </c>
    </row>
    <row r="43" spans="1:15" ht="12" x14ac:dyDescent="0.2">
      <c r="A43" s="23" t="s">
        <v>93</v>
      </c>
      <c r="B43" s="23" t="s">
        <v>82</v>
      </c>
      <c r="C43" s="23" t="s">
        <v>92</v>
      </c>
      <c r="D43" s="23" t="s">
        <v>38</v>
      </c>
      <c r="E43" s="23" t="s">
        <v>35</v>
      </c>
      <c r="F43" s="23" t="s">
        <v>94</v>
      </c>
      <c r="G43" s="23" t="s">
        <v>33</v>
      </c>
      <c r="H43" s="23">
        <v>1794</v>
      </c>
      <c r="I43" s="24" t="s">
        <v>45</v>
      </c>
      <c r="J43" s="25" t="s">
        <v>180</v>
      </c>
      <c r="K43" s="25" t="s">
        <v>180</v>
      </c>
      <c r="L43" s="25" t="s">
        <v>180</v>
      </c>
      <c r="M43" s="25" t="s">
        <v>180</v>
      </c>
      <c r="N43" s="25">
        <v>5</v>
      </c>
      <c r="O43" s="25">
        <f t="shared" si="0"/>
        <v>1</v>
      </c>
    </row>
    <row r="44" spans="1:15" ht="12" x14ac:dyDescent="0.2">
      <c r="A44" s="23" t="s">
        <v>95</v>
      </c>
      <c r="B44" s="23" t="s">
        <v>82</v>
      </c>
      <c r="C44" s="23" t="s">
        <v>96</v>
      </c>
      <c r="D44" s="23" t="s">
        <v>97</v>
      </c>
      <c r="E44" s="23" t="s">
        <v>35</v>
      </c>
      <c r="F44" s="23" t="s">
        <v>98</v>
      </c>
      <c r="G44" s="23" t="s">
        <v>33</v>
      </c>
      <c r="H44" s="23">
        <v>1794</v>
      </c>
      <c r="I44" s="24" t="s">
        <v>55</v>
      </c>
      <c r="J44" s="25" t="s">
        <v>180</v>
      </c>
      <c r="K44" s="25" t="s">
        <v>180</v>
      </c>
      <c r="L44" s="25" t="s">
        <v>180</v>
      </c>
      <c r="M44" s="25" t="s">
        <v>180</v>
      </c>
      <c r="N44" s="25">
        <v>3</v>
      </c>
      <c r="O44" s="25">
        <f t="shared" si="0"/>
        <v>1</v>
      </c>
    </row>
    <row r="45" spans="1:15" ht="12" x14ac:dyDescent="0.2">
      <c r="A45" s="23" t="s">
        <v>99</v>
      </c>
      <c r="B45" s="23" t="s">
        <v>82</v>
      </c>
      <c r="C45" s="23" t="s">
        <v>88</v>
      </c>
      <c r="D45" s="23" t="s">
        <v>38</v>
      </c>
      <c r="E45" s="23" t="s">
        <v>35</v>
      </c>
      <c r="F45" s="23" t="s">
        <v>100</v>
      </c>
      <c r="G45" s="23" t="s">
        <v>33</v>
      </c>
      <c r="H45" s="23">
        <v>894</v>
      </c>
      <c r="I45" s="24" t="s">
        <v>45</v>
      </c>
      <c r="J45" s="25" t="s">
        <v>180</v>
      </c>
      <c r="K45" s="25" t="s">
        <v>180</v>
      </c>
      <c r="L45" s="25" t="s">
        <v>180</v>
      </c>
      <c r="M45" s="25" t="s">
        <v>180</v>
      </c>
      <c r="N45" s="25">
        <v>3</v>
      </c>
      <c r="O45" s="25">
        <f t="shared" si="0"/>
        <v>1</v>
      </c>
    </row>
    <row r="46" spans="1:15" ht="12" x14ac:dyDescent="0.2">
      <c r="A46" s="23" t="s">
        <v>111</v>
      </c>
      <c r="B46" s="23" t="s">
        <v>82</v>
      </c>
      <c r="C46" s="23" t="s">
        <v>112</v>
      </c>
      <c r="D46" s="23" t="s">
        <v>78</v>
      </c>
      <c r="E46" s="23" t="s">
        <v>35</v>
      </c>
      <c r="F46" s="23" t="s">
        <v>113</v>
      </c>
      <c r="G46" s="23" t="s">
        <v>33</v>
      </c>
      <c r="H46" s="23">
        <v>1434</v>
      </c>
      <c r="I46" s="24" t="s">
        <v>51</v>
      </c>
      <c r="J46" s="25" t="s">
        <v>180</v>
      </c>
      <c r="K46" s="25" t="s">
        <v>180</v>
      </c>
      <c r="L46" s="25" t="s">
        <v>180</v>
      </c>
      <c r="M46" s="25" t="s">
        <v>180</v>
      </c>
      <c r="N46" s="25">
        <v>3</v>
      </c>
      <c r="O46" s="25">
        <f t="shared" si="0"/>
        <v>1</v>
      </c>
    </row>
    <row r="47" spans="1:15" ht="12" x14ac:dyDescent="0.2">
      <c r="A47" s="23" t="s">
        <v>114</v>
      </c>
      <c r="B47" s="23" t="s">
        <v>82</v>
      </c>
      <c r="C47" s="23" t="s">
        <v>115</v>
      </c>
      <c r="D47" s="23" t="s">
        <v>38</v>
      </c>
      <c r="E47" s="23" t="s">
        <v>35</v>
      </c>
      <c r="F47" s="23" t="s">
        <v>116</v>
      </c>
      <c r="G47" s="23" t="s">
        <v>33</v>
      </c>
      <c r="H47" s="23">
        <v>1194</v>
      </c>
      <c r="I47" s="24" t="s">
        <v>51</v>
      </c>
      <c r="J47" s="25" t="s">
        <v>180</v>
      </c>
      <c r="K47" s="25" t="s">
        <v>180</v>
      </c>
      <c r="L47" s="25" t="s">
        <v>180</v>
      </c>
      <c r="M47" s="25" t="s">
        <v>180</v>
      </c>
      <c r="N47" s="25">
        <v>3</v>
      </c>
      <c r="O47" s="25">
        <f t="shared" si="0"/>
        <v>1</v>
      </c>
    </row>
    <row r="48" spans="1:15" ht="12" x14ac:dyDescent="0.2">
      <c r="A48" s="23" t="s">
        <v>117</v>
      </c>
      <c r="B48" s="23" t="s">
        <v>82</v>
      </c>
      <c r="C48" s="23" t="s">
        <v>118</v>
      </c>
      <c r="D48" s="23" t="s">
        <v>188</v>
      </c>
      <c r="E48" s="23" t="s">
        <v>35</v>
      </c>
      <c r="F48" s="23" t="s">
        <v>119</v>
      </c>
      <c r="G48" s="23" t="s">
        <v>33</v>
      </c>
      <c r="H48" s="23">
        <v>894</v>
      </c>
      <c r="I48" s="24" t="s">
        <v>49</v>
      </c>
      <c r="J48" s="25" t="s">
        <v>180</v>
      </c>
      <c r="K48" s="25" t="s">
        <v>180</v>
      </c>
      <c r="L48" s="25" t="s">
        <v>180</v>
      </c>
      <c r="M48" s="25" t="s">
        <v>180</v>
      </c>
      <c r="N48" s="25">
        <v>2</v>
      </c>
      <c r="O48" s="25">
        <f t="shared" si="0"/>
        <v>1</v>
      </c>
    </row>
    <row r="49" spans="1:15" ht="12" x14ac:dyDescent="0.2">
      <c r="A49" s="23" t="s">
        <v>136</v>
      </c>
      <c r="B49" s="23" t="s">
        <v>82</v>
      </c>
      <c r="C49" s="23" t="s">
        <v>137</v>
      </c>
      <c r="D49" s="23" t="s">
        <v>97</v>
      </c>
      <c r="E49" s="23" t="s">
        <v>35</v>
      </c>
      <c r="F49" s="23" t="s">
        <v>100</v>
      </c>
      <c r="G49" s="23" t="s">
        <v>54</v>
      </c>
      <c r="H49" s="23">
        <v>1314</v>
      </c>
      <c r="I49" s="24" t="s">
        <v>45</v>
      </c>
      <c r="J49" s="25">
        <v>3</v>
      </c>
      <c r="K49" s="25" t="s">
        <v>180</v>
      </c>
      <c r="L49" s="25" t="s">
        <v>180</v>
      </c>
      <c r="M49" s="25" t="s">
        <v>180</v>
      </c>
      <c r="N49" s="25" t="s">
        <v>180</v>
      </c>
      <c r="O49" s="25">
        <f t="shared" si="0"/>
        <v>1</v>
      </c>
    </row>
    <row r="50" spans="1:15" ht="12" x14ac:dyDescent="0.2">
      <c r="A50" s="23" t="s">
        <v>138</v>
      </c>
      <c r="B50" s="23" t="s">
        <v>82</v>
      </c>
      <c r="C50" s="23" t="s">
        <v>137</v>
      </c>
      <c r="D50" s="23" t="s">
        <v>38</v>
      </c>
      <c r="E50" s="23" t="s">
        <v>35</v>
      </c>
      <c r="F50" s="23" t="s">
        <v>139</v>
      </c>
      <c r="G50" s="23" t="s">
        <v>33</v>
      </c>
      <c r="H50" s="23">
        <v>5489</v>
      </c>
      <c r="I50" s="24" t="s">
        <v>49</v>
      </c>
      <c r="J50" s="25" t="s">
        <v>180</v>
      </c>
      <c r="K50" s="25" t="s">
        <v>180</v>
      </c>
      <c r="L50" s="25" t="s">
        <v>180</v>
      </c>
      <c r="M50" s="25" t="s">
        <v>180</v>
      </c>
      <c r="N50" s="25">
        <v>1</v>
      </c>
      <c r="O50" s="25">
        <f t="shared" si="0"/>
        <v>1</v>
      </c>
    </row>
    <row r="51" spans="1:15" ht="12" x14ac:dyDescent="0.2">
      <c r="A51" s="23" t="s">
        <v>140</v>
      </c>
      <c r="B51" s="23" t="s">
        <v>82</v>
      </c>
      <c r="C51" s="23" t="s">
        <v>137</v>
      </c>
      <c r="D51" s="23" t="s">
        <v>38</v>
      </c>
      <c r="E51" s="23" t="s">
        <v>35</v>
      </c>
      <c r="F51" s="23" t="s">
        <v>83</v>
      </c>
      <c r="G51" s="23" t="s">
        <v>58</v>
      </c>
      <c r="H51" s="23">
        <v>1794</v>
      </c>
      <c r="I51" s="24" t="s">
        <v>45</v>
      </c>
      <c r="J51" s="25" t="s">
        <v>180</v>
      </c>
      <c r="K51" s="25" t="s">
        <v>180</v>
      </c>
      <c r="L51" s="25" t="s">
        <v>180</v>
      </c>
      <c r="M51" s="25" t="s">
        <v>180</v>
      </c>
      <c r="N51" s="25">
        <v>3</v>
      </c>
      <c r="O51" s="25">
        <f t="shared" si="0"/>
        <v>1</v>
      </c>
    </row>
    <row r="52" spans="1:15" ht="12" x14ac:dyDescent="0.2">
      <c r="A52" s="23" t="s">
        <v>141</v>
      </c>
      <c r="B52" s="23" t="s">
        <v>82</v>
      </c>
      <c r="C52" s="23" t="s">
        <v>142</v>
      </c>
      <c r="D52" s="23" t="s">
        <v>78</v>
      </c>
      <c r="E52" s="23" t="s">
        <v>35</v>
      </c>
      <c r="F52" s="23" t="s">
        <v>143</v>
      </c>
      <c r="G52" s="23" t="s">
        <v>33</v>
      </c>
      <c r="H52" s="23">
        <v>4614.5</v>
      </c>
      <c r="I52" s="24" t="s">
        <v>53</v>
      </c>
      <c r="J52" s="25" t="s">
        <v>180</v>
      </c>
      <c r="K52" s="25" t="s">
        <v>180</v>
      </c>
      <c r="L52" s="25" t="s">
        <v>180</v>
      </c>
      <c r="M52" s="25" t="s">
        <v>180</v>
      </c>
      <c r="N52" s="25">
        <v>1</v>
      </c>
      <c r="O52" s="25">
        <f t="shared" si="0"/>
        <v>1</v>
      </c>
    </row>
    <row r="53" spans="1:15" ht="12" x14ac:dyDescent="0.2">
      <c r="A53" s="23" t="s">
        <v>144</v>
      </c>
      <c r="B53" s="23" t="s">
        <v>82</v>
      </c>
      <c r="C53" s="23" t="s">
        <v>112</v>
      </c>
      <c r="D53" s="23" t="s">
        <v>97</v>
      </c>
      <c r="E53" s="23" t="s">
        <v>35</v>
      </c>
      <c r="F53" s="23" t="s">
        <v>86</v>
      </c>
      <c r="G53" s="23" t="s">
        <v>46</v>
      </c>
      <c r="H53" s="23">
        <v>4944.5</v>
      </c>
      <c r="I53" s="24" t="s">
        <v>61</v>
      </c>
      <c r="J53" s="25" t="s">
        <v>180</v>
      </c>
      <c r="K53" s="25" t="s">
        <v>180</v>
      </c>
      <c r="L53" s="25" t="s">
        <v>180</v>
      </c>
      <c r="M53" s="25" t="s">
        <v>180</v>
      </c>
      <c r="N53" s="25">
        <v>1</v>
      </c>
      <c r="O53" s="25">
        <f t="shared" si="0"/>
        <v>1</v>
      </c>
    </row>
    <row r="54" spans="1:15" ht="12" x14ac:dyDescent="0.2">
      <c r="A54" s="23" t="s">
        <v>145</v>
      </c>
      <c r="B54" s="23" t="s">
        <v>82</v>
      </c>
      <c r="C54" s="23" t="s">
        <v>146</v>
      </c>
      <c r="D54" s="23" t="s">
        <v>97</v>
      </c>
      <c r="E54" s="23" t="s">
        <v>35</v>
      </c>
      <c r="F54" s="23" t="s">
        <v>131</v>
      </c>
      <c r="G54" s="23" t="s">
        <v>60</v>
      </c>
      <c r="H54" s="23">
        <v>4944.5</v>
      </c>
      <c r="I54" s="24" t="s">
        <v>65</v>
      </c>
      <c r="J54" s="25" t="s">
        <v>180</v>
      </c>
      <c r="K54" s="25" t="s">
        <v>180</v>
      </c>
      <c r="L54" s="25" t="s">
        <v>180</v>
      </c>
      <c r="M54" s="25" t="s">
        <v>180</v>
      </c>
      <c r="N54" s="25">
        <v>2</v>
      </c>
      <c r="O54" s="25">
        <f t="shared" si="0"/>
        <v>1</v>
      </c>
    </row>
    <row r="55" spans="1:15" ht="12" x14ac:dyDescent="0.2">
      <c r="A55" s="23" t="s">
        <v>147</v>
      </c>
      <c r="B55" s="23" t="s">
        <v>82</v>
      </c>
      <c r="C55" s="23" t="s">
        <v>148</v>
      </c>
      <c r="D55" s="23" t="s">
        <v>78</v>
      </c>
      <c r="E55" s="23" t="s">
        <v>35</v>
      </c>
      <c r="F55" s="23" t="s">
        <v>139</v>
      </c>
      <c r="G55" s="23" t="s">
        <v>62</v>
      </c>
      <c r="H55" s="23">
        <v>894</v>
      </c>
      <c r="I55" s="24" t="s">
        <v>45</v>
      </c>
      <c r="J55" s="25">
        <v>6</v>
      </c>
      <c r="K55" s="25" t="s">
        <v>180</v>
      </c>
      <c r="L55" s="25" t="s">
        <v>180</v>
      </c>
      <c r="M55" s="25" t="s">
        <v>180</v>
      </c>
      <c r="N55" s="25" t="s">
        <v>180</v>
      </c>
      <c r="O55" s="25">
        <f t="shared" si="0"/>
        <v>1</v>
      </c>
    </row>
    <row r="56" spans="1:15" ht="12" x14ac:dyDescent="0.2">
      <c r="A56" s="23" t="s">
        <v>149</v>
      </c>
      <c r="B56" s="23" t="s">
        <v>82</v>
      </c>
      <c r="C56" s="23" t="s">
        <v>150</v>
      </c>
      <c r="D56" s="23" t="s">
        <v>182</v>
      </c>
      <c r="E56" s="23" t="s">
        <v>35</v>
      </c>
      <c r="F56" s="23" t="s">
        <v>139</v>
      </c>
      <c r="G56" s="23" t="s">
        <v>33</v>
      </c>
      <c r="H56" s="23">
        <v>894</v>
      </c>
      <c r="I56" s="24" t="s">
        <v>49</v>
      </c>
      <c r="J56" s="25">
        <v>3</v>
      </c>
      <c r="K56" s="25" t="s">
        <v>180</v>
      </c>
      <c r="L56" s="25" t="s">
        <v>180</v>
      </c>
      <c r="M56" s="25" t="s">
        <v>180</v>
      </c>
      <c r="N56" s="25" t="s">
        <v>180</v>
      </c>
      <c r="O56" s="25">
        <f t="shared" si="0"/>
        <v>1</v>
      </c>
    </row>
  </sheetData>
  <autoFilter ref="A1:G56" xr:uid="{7EDD4F6F-0EFF-43E9-B59E-A243E7434F64}">
    <sortState xmlns:xlrd2="http://schemas.microsoft.com/office/spreadsheetml/2017/richdata2" ref="A2:G56">
      <sortCondition descending="1" ref="B1:B56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TDSheet</vt:lpstr>
      <vt:lpstr>Цвета</vt:lpstr>
      <vt:lpstr>Table</vt:lpstr>
      <vt:lpstr>TableResult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BUH</dc:creator>
  <cp:lastModifiedBy>BUH</cp:lastModifiedBy>
  <dcterms:created xsi:type="dcterms:W3CDTF">2022-04-25T12:54:02Z</dcterms:created>
  <dcterms:modified xsi:type="dcterms:W3CDTF">2022-04-25T13:51:04Z</dcterms:modified>
</cp:coreProperties>
</file>