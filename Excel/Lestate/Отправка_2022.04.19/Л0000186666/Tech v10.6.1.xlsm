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666\"/>
    </mc:Choice>
  </mc:AlternateContent>
  <xr:revisionPtr revIDLastSave="0" documentId="13_ncr:1_{5AEC7A49-3D1C-45C4-95D6-4AB9050A5C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">Manufactures!$DA$3:$DA$11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" l="1"/>
  <c r="L3" i="1"/>
  <c r="BE2" i="1"/>
  <c r="BE3" i="1"/>
  <c r="BE4" i="1"/>
  <c r="BD2" i="1"/>
  <c r="BD3" i="1"/>
  <c r="BD4" i="1"/>
  <c r="T4" i="1"/>
  <c r="AW4" i="1"/>
  <c r="AV4" i="1"/>
  <c r="BC4" i="1" l="1"/>
  <c r="BC3" i="1"/>
  <c r="BA4" i="1"/>
  <c r="BA3" i="1"/>
  <c r="AZ4" i="1"/>
  <c r="AZ3" i="1"/>
  <c r="AY4" i="1"/>
  <c r="AY3" i="1"/>
  <c r="AX4" i="1"/>
  <c r="AX3" i="1"/>
  <c r="AT4" i="1"/>
  <c r="AT3" i="1"/>
  <c r="E4" i="1"/>
  <c r="A4" i="1"/>
  <c r="A3" i="1"/>
  <c r="D37" i="4"/>
  <c r="D36" i="4"/>
  <c r="D35" i="4"/>
  <c r="D34" i="4"/>
  <c r="D33" i="4"/>
  <c r="D32" i="4"/>
  <c r="D31" i="4"/>
  <c r="D38" i="4"/>
  <c r="Q3" i="1" l="1"/>
  <c r="H3" i="1"/>
  <c r="G3" i="1"/>
  <c r="U3" i="1"/>
  <c r="D3" i="1"/>
  <c r="S3" i="1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W6005" i="8"/>
  <c r="W6006" i="8"/>
  <c r="W6007" i="8"/>
  <c r="W6008" i="8"/>
  <c r="W6009" i="8"/>
  <c r="W6010" i="8"/>
  <c r="W6011" i="8"/>
  <c r="W6012" i="8"/>
  <c r="W6013" i="8"/>
  <c r="W6014" i="8"/>
  <c r="W6015" i="8"/>
  <c r="W6016" i="8"/>
  <c r="W6017" i="8"/>
  <c r="W6018" i="8"/>
  <c r="W6019" i="8"/>
  <c r="W6020" i="8"/>
  <c r="W6021" i="8"/>
  <c r="W6022" i="8"/>
  <c r="W6023" i="8"/>
  <c r="W6024" i="8"/>
  <c r="W6025" i="8"/>
  <c r="W6026" i="8"/>
  <c r="W6027" i="8"/>
  <c r="W6028" i="8"/>
  <c r="W6029" i="8"/>
  <c r="W6030" i="8"/>
  <c r="W6031" i="8"/>
  <c r="W6032" i="8"/>
  <c r="W6033" i="8"/>
  <c r="W6034" i="8"/>
  <c r="W6035" i="8"/>
  <c r="W6036" i="8"/>
  <c r="W6037" i="8"/>
  <c r="W6038" i="8"/>
  <c r="W6039" i="8"/>
  <c r="W6040" i="8"/>
  <c r="W6041" i="8"/>
  <c r="W6042" i="8"/>
  <c r="W6043" i="8"/>
  <c r="W6044" i="8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W6061" i="8"/>
  <c r="W6062" i="8"/>
  <c r="W6063" i="8"/>
  <c r="W6064" i="8"/>
  <c r="W6065" i="8"/>
  <c r="W6066" i="8"/>
  <c r="W6067" i="8"/>
  <c r="W6068" i="8"/>
  <c r="W6069" i="8"/>
  <c r="W6070" i="8"/>
  <c r="W6071" i="8"/>
  <c r="W6072" i="8"/>
  <c r="W6073" i="8"/>
  <c r="W6074" i="8"/>
  <c r="W6075" i="8"/>
  <c r="W6076" i="8"/>
  <c r="W6077" i="8"/>
  <c r="W6078" i="8"/>
  <c r="W6079" i="8"/>
  <c r="W6080" i="8"/>
  <c r="W6081" i="8"/>
  <c r="W6082" i="8"/>
  <c r="W6083" i="8"/>
  <c r="W6084" i="8"/>
  <c r="W6085" i="8"/>
  <c r="W6086" i="8"/>
  <c r="W6087" i="8"/>
  <c r="W6088" i="8"/>
  <c r="W6089" i="8"/>
  <c r="W6090" i="8"/>
  <c r="W6091" i="8"/>
  <c r="W6092" i="8"/>
  <c r="W6093" i="8"/>
  <c r="W6094" i="8"/>
  <c r="W6095" i="8"/>
  <c r="W6096" i="8"/>
  <c r="W6097" i="8"/>
  <c r="W6098" i="8"/>
  <c r="W6099" i="8"/>
  <c r="W6100" i="8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W6117" i="8"/>
  <c r="W6118" i="8"/>
  <c r="W6119" i="8"/>
  <c r="W6120" i="8"/>
  <c r="W6121" i="8"/>
  <c r="W6122" i="8"/>
  <c r="W6123" i="8"/>
  <c r="W6124" i="8"/>
  <c r="W6125" i="8"/>
  <c r="W6126" i="8"/>
  <c r="W6127" i="8"/>
  <c r="W6128" i="8"/>
  <c r="W6129" i="8"/>
  <c r="W6130" i="8"/>
  <c r="W6131" i="8"/>
  <c r="W6132" i="8"/>
  <c r="W6133" i="8"/>
  <c r="W6134" i="8"/>
  <c r="W6135" i="8"/>
  <c r="W6136" i="8"/>
  <c r="W6137" i="8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W6157" i="8"/>
  <c r="W6158" i="8"/>
  <c r="W6159" i="8"/>
  <c r="W6160" i="8"/>
  <c r="W6161" i="8"/>
  <c r="W6162" i="8"/>
  <c r="W6163" i="8"/>
  <c r="W6164" i="8"/>
  <c r="W6165" i="8"/>
  <c r="W6166" i="8"/>
  <c r="W6167" i="8"/>
  <c r="W6168" i="8"/>
  <c r="W6169" i="8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W6189" i="8"/>
  <c r="W6190" i="8"/>
  <c r="W6191" i="8"/>
  <c r="W6192" i="8"/>
  <c r="W6193" i="8"/>
  <c r="W6194" i="8"/>
  <c r="W6195" i="8"/>
  <c r="W6196" i="8"/>
  <c r="W6197" i="8"/>
  <c r="W6198" i="8"/>
  <c r="W6199" i="8"/>
  <c r="W6200" i="8"/>
  <c r="W6201" i="8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W6221" i="8"/>
  <c r="W6222" i="8"/>
  <c r="W6223" i="8"/>
  <c r="W6224" i="8"/>
  <c r="W6225" i="8"/>
  <c r="W6226" i="8"/>
  <c r="W6227" i="8"/>
  <c r="W6228" i="8"/>
  <c r="W6229" i="8"/>
  <c r="W6230" i="8"/>
  <c r="W6231" i="8"/>
  <c r="W6232" i="8"/>
  <c r="W6233" i="8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W6253" i="8"/>
  <c r="W6254" i="8"/>
  <c r="W6255" i="8"/>
  <c r="W6256" i="8"/>
  <c r="W6257" i="8"/>
  <c r="W6258" i="8"/>
  <c r="W6259" i="8"/>
  <c r="W6260" i="8"/>
  <c r="W6261" i="8"/>
  <c r="W6262" i="8"/>
  <c r="W6263" i="8"/>
  <c r="W6264" i="8"/>
  <c r="W6265" i="8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W6285" i="8"/>
  <c r="W6286" i="8"/>
  <c r="W6287" i="8"/>
  <c r="W6288" i="8"/>
  <c r="W6289" i="8"/>
  <c r="W6290" i="8"/>
  <c r="W6291" i="8"/>
  <c r="W6292" i="8"/>
  <c r="W6293" i="8"/>
  <c r="W6294" i="8"/>
  <c r="W6295" i="8"/>
  <c r="W6296" i="8"/>
  <c r="W6297" i="8"/>
  <c r="W6298" i="8"/>
  <c r="W6299" i="8"/>
  <c r="W6300" i="8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W6317" i="8"/>
  <c r="W6318" i="8"/>
  <c r="W6319" i="8"/>
  <c r="W6320" i="8"/>
  <c r="W6321" i="8"/>
  <c r="W6322" i="8"/>
  <c r="W6323" i="8"/>
  <c r="W6324" i="8"/>
  <c r="W6325" i="8"/>
  <c r="W6326" i="8"/>
  <c r="W6327" i="8"/>
  <c r="W6328" i="8"/>
  <c r="W6329" i="8"/>
  <c r="W6330" i="8"/>
  <c r="W6331" i="8"/>
  <c r="W6332" i="8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W6349" i="8"/>
  <c r="W6350" i="8"/>
  <c r="W6351" i="8"/>
  <c r="W6352" i="8"/>
  <c r="W6353" i="8"/>
  <c r="W6354" i="8"/>
  <c r="W6355" i="8"/>
  <c r="W6356" i="8"/>
  <c r="W6357" i="8"/>
  <c r="W6358" i="8"/>
  <c r="W6359" i="8"/>
  <c r="W6360" i="8"/>
  <c r="W6361" i="8"/>
  <c r="W6362" i="8"/>
  <c r="W6363" i="8"/>
  <c r="W6364" i="8"/>
  <c r="W6365" i="8"/>
  <c r="W6366" i="8"/>
  <c r="W6367" i="8"/>
  <c r="W6368" i="8"/>
  <c r="W6369" i="8"/>
  <c r="W6370" i="8"/>
  <c r="W6371" i="8"/>
  <c r="W6372" i="8"/>
  <c r="W6373" i="8"/>
  <c r="W6374" i="8"/>
  <c r="W6375" i="8"/>
  <c r="W6376" i="8"/>
  <c r="W6377" i="8"/>
  <c r="W6378" i="8"/>
  <c r="W6379" i="8"/>
  <c r="W6380" i="8"/>
  <c r="W6381" i="8"/>
  <c r="W6382" i="8"/>
  <c r="W6383" i="8"/>
  <c r="W6384" i="8"/>
  <c r="W6385" i="8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W6402" i="8"/>
  <c r="W6403" i="8"/>
  <c r="W6404" i="8"/>
  <c r="W6405" i="8"/>
  <c r="W6406" i="8"/>
  <c r="W6407" i="8"/>
  <c r="W6408" i="8"/>
  <c r="W6409" i="8"/>
  <c r="W6410" i="8"/>
  <c r="W6411" i="8"/>
  <c r="W6412" i="8"/>
  <c r="W6413" i="8"/>
  <c r="W6414" i="8"/>
  <c r="W6415" i="8"/>
  <c r="W6416" i="8"/>
  <c r="W6417" i="8"/>
  <c r="W6418" i="8"/>
  <c r="W6419" i="8"/>
  <c r="W6420" i="8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W6437" i="8"/>
  <c r="W6438" i="8"/>
  <c r="W6439" i="8"/>
  <c r="W6440" i="8"/>
  <c r="W6441" i="8"/>
  <c r="W6442" i="8"/>
  <c r="W6443" i="8"/>
  <c r="W6444" i="8"/>
  <c r="W6445" i="8"/>
  <c r="W6446" i="8"/>
  <c r="W6447" i="8"/>
  <c r="W6448" i="8"/>
  <c r="W6449" i="8"/>
  <c r="W6450" i="8"/>
  <c r="W6451" i="8"/>
  <c r="W6452" i="8"/>
  <c r="W6453" i="8"/>
  <c r="W6454" i="8"/>
  <c r="W6455" i="8"/>
  <c r="W6456" i="8"/>
  <c r="W6457" i="8"/>
  <c r="W6458" i="8"/>
  <c r="W6459" i="8"/>
  <c r="W6460" i="8"/>
  <c r="W6461" i="8"/>
  <c r="W6462" i="8"/>
  <c r="W6463" i="8"/>
  <c r="W6464" i="8"/>
  <c r="W6465" i="8"/>
  <c r="W6466" i="8"/>
  <c r="W6467" i="8"/>
  <c r="W6468" i="8"/>
  <c r="W6469" i="8"/>
  <c r="W6470" i="8"/>
  <c r="W6471" i="8"/>
  <c r="W6472" i="8"/>
  <c r="W6473" i="8"/>
  <c r="W6474" i="8"/>
  <c r="W6475" i="8"/>
  <c r="W6476" i="8"/>
  <c r="W6477" i="8"/>
  <c r="W6478" i="8"/>
  <c r="W6479" i="8"/>
  <c r="W6480" i="8"/>
  <c r="W6481" i="8"/>
  <c r="W6482" i="8"/>
  <c r="W6483" i="8"/>
  <c r="W6484" i="8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W6501" i="8"/>
  <c r="W6502" i="8"/>
  <c r="W6503" i="8"/>
  <c r="W6504" i="8"/>
  <c r="W6505" i="8"/>
  <c r="W6506" i="8"/>
  <c r="W6507" i="8"/>
  <c r="W6508" i="8"/>
  <c r="W6509" i="8"/>
  <c r="W6510" i="8"/>
  <c r="W6511" i="8"/>
  <c r="W6512" i="8"/>
  <c r="W6513" i="8"/>
  <c r="W6514" i="8"/>
  <c r="W6515" i="8"/>
  <c r="W6516" i="8"/>
  <c r="W6517" i="8"/>
  <c r="W6518" i="8"/>
  <c r="W6519" i="8"/>
  <c r="W6520" i="8"/>
  <c r="W6521" i="8"/>
  <c r="W6522" i="8"/>
  <c r="W6523" i="8"/>
  <c r="W6524" i="8"/>
  <c r="W6525" i="8"/>
  <c r="W6526" i="8"/>
  <c r="W6527" i="8"/>
  <c r="W6528" i="8"/>
  <c r="W6529" i="8"/>
  <c r="W6530" i="8"/>
  <c r="W6531" i="8"/>
  <c r="W6532" i="8"/>
  <c r="W6533" i="8"/>
  <c r="W6534" i="8"/>
  <c r="W6535" i="8"/>
  <c r="W6536" i="8"/>
  <c r="W6537" i="8"/>
  <c r="W6538" i="8"/>
  <c r="W6539" i="8"/>
  <c r="W6540" i="8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W6557" i="8"/>
  <c r="W6558" i="8"/>
  <c r="W6559" i="8"/>
  <c r="W6560" i="8"/>
  <c r="W6561" i="8"/>
  <c r="W6562" i="8"/>
  <c r="W6563" i="8"/>
  <c r="W6564" i="8"/>
  <c r="W6565" i="8"/>
  <c r="W6566" i="8"/>
  <c r="W6567" i="8"/>
  <c r="W6568" i="8"/>
  <c r="W6569" i="8"/>
  <c r="W6570" i="8"/>
  <c r="W6571" i="8"/>
  <c r="W6572" i="8"/>
  <c r="W6573" i="8"/>
  <c r="W6574" i="8"/>
  <c r="W6575" i="8"/>
  <c r="W6576" i="8"/>
  <c r="W6577" i="8"/>
  <c r="W6578" i="8"/>
  <c r="W6579" i="8"/>
  <c r="W6580" i="8"/>
  <c r="W6581" i="8"/>
  <c r="W6582" i="8"/>
  <c r="W6583" i="8"/>
  <c r="W6584" i="8"/>
  <c r="W6585" i="8"/>
  <c r="W6586" i="8"/>
  <c r="W6587" i="8"/>
  <c r="W6588" i="8"/>
  <c r="W6589" i="8"/>
  <c r="W6590" i="8"/>
  <c r="W6591" i="8"/>
  <c r="W6592" i="8"/>
  <c r="W6593" i="8"/>
  <c r="W6594" i="8"/>
  <c r="W6595" i="8"/>
  <c r="W6596" i="8"/>
  <c r="W6597" i="8"/>
  <c r="W6598" i="8"/>
  <c r="W6599" i="8"/>
  <c r="W6600" i="8"/>
  <c r="W6601" i="8"/>
  <c r="W6602" i="8"/>
  <c r="W6603" i="8"/>
  <c r="W6604" i="8"/>
  <c r="W6605" i="8"/>
  <c r="W6606" i="8"/>
  <c r="W6607" i="8"/>
  <c r="W6608" i="8"/>
  <c r="W6609" i="8"/>
  <c r="W6610" i="8"/>
  <c r="W6611" i="8"/>
  <c r="W6612" i="8"/>
  <c r="W6613" i="8"/>
  <c r="W6614" i="8"/>
  <c r="W6615" i="8"/>
  <c r="W6616" i="8"/>
  <c r="W6617" i="8"/>
  <c r="W6618" i="8"/>
  <c r="W6619" i="8"/>
  <c r="W6620" i="8"/>
  <c r="W6621" i="8"/>
  <c r="W6622" i="8"/>
  <c r="W6623" i="8"/>
  <c r="W6624" i="8"/>
  <c r="W6625" i="8"/>
  <c r="W6626" i="8"/>
  <c r="W6627" i="8"/>
  <c r="W6628" i="8"/>
  <c r="W6629" i="8"/>
  <c r="W6630" i="8"/>
  <c r="W6631" i="8"/>
  <c r="W6632" i="8"/>
  <c r="W6633" i="8"/>
  <c r="W6634" i="8"/>
  <c r="W6635" i="8"/>
  <c r="W6636" i="8"/>
  <c r="W6637" i="8"/>
  <c r="W6638" i="8"/>
  <c r="W6639" i="8"/>
  <c r="W6640" i="8"/>
  <c r="W6641" i="8"/>
  <c r="W6642" i="8"/>
  <c r="W6643" i="8"/>
  <c r="W6644" i="8"/>
  <c r="W6645" i="8"/>
  <c r="W6646" i="8"/>
  <c r="W6647" i="8"/>
  <c r="W6648" i="8"/>
  <c r="W6649" i="8"/>
  <c r="W6650" i="8"/>
  <c r="W6651" i="8"/>
  <c r="W6652" i="8"/>
  <c r="W6653" i="8"/>
  <c r="W6654" i="8"/>
  <c r="W6655" i="8"/>
  <c r="W6656" i="8"/>
  <c r="W6657" i="8"/>
  <c r="W6658" i="8"/>
  <c r="W6659" i="8"/>
  <c r="W6660" i="8"/>
  <c r="W6661" i="8"/>
  <c r="W6662" i="8"/>
  <c r="W6663" i="8"/>
  <c r="W6664" i="8"/>
  <c r="W6665" i="8"/>
  <c r="W6666" i="8"/>
  <c r="W6667" i="8"/>
  <c r="W6668" i="8"/>
  <c r="W6669" i="8"/>
  <c r="W6670" i="8"/>
  <c r="W6671" i="8"/>
  <c r="W6672" i="8"/>
  <c r="W6673" i="8"/>
  <c r="W6674" i="8"/>
  <c r="W6675" i="8"/>
  <c r="W6676" i="8"/>
  <c r="W6677" i="8"/>
  <c r="W6678" i="8"/>
  <c r="W6679" i="8"/>
  <c r="W6680" i="8"/>
  <c r="W6681" i="8"/>
  <c r="W6682" i="8"/>
  <c r="W6683" i="8"/>
  <c r="W6684" i="8"/>
  <c r="W6685" i="8"/>
  <c r="W6686" i="8"/>
  <c r="W6687" i="8"/>
  <c r="W6688" i="8"/>
  <c r="W6689" i="8"/>
  <c r="W6690" i="8"/>
  <c r="W6691" i="8"/>
  <c r="W6692" i="8"/>
  <c r="W6693" i="8"/>
  <c r="W6694" i="8"/>
  <c r="W6695" i="8"/>
  <c r="W6696" i="8"/>
  <c r="W6697" i="8"/>
  <c r="W6698" i="8"/>
  <c r="W6699" i="8"/>
  <c r="W6700" i="8"/>
  <c r="W6701" i="8"/>
  <c r="W6702" i="8"/>
  <c r="W6703" i="8"/>
  <c r="W6704" i="8"/>
  <c r="W6705" i="8"/>
  <c r="W6706" i="8"/>
  <c r="W6707" i="8"/>
  <c r="W6708" i="8"/>
  <c r="W6709" i="8"/>
  <c r="W6710" i="8"/>
  <c r="W6711" i="8"/>
  <c r="W6712" i="8"/>
  <c r="W6713" i="8"/>
  <c r="W6714" i="8"/>
  <c r="W6715" i="8"/>
  <c r="W6716" i="8"/>
  <c r="W6717" i="8"/>
  <c r="W6718" i="8"/>
  <c r="W6719" i="8"/>
  <c r="W6720" i="8"/>
  <c r="W6721" i="8"/>
  <c r="W6722" i="8"/>
  <c r="W6723" i="8"/>
  <c r="W6724" i="8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W6741" i="8"/>
  <c r="W6742" i="8"/>
  <c r="W6743" i="8"/>
  <c r="W6744" i="8"/>
  <c r="W6745" i="8"/>
  <c r="W6746" i="8"/>
  <c r="W6747" i="8"/>
  <c r="W6748" i="8"/>
  <c r="W6749" i="8"/>
  <c r="W6750" i="8"/>
  <c r="W6751" i="8"/>
  <c r="W6752" i="8"/>
  <c r="W6753" i="8"/>
  <c r="W6754" i="8"/>
  <c r="W6755" i="8"/>
  <c r="W6756" i="8"/>
  <c r="W6757" i="8"/>
  <c r="W6758" i="8"/>
  <c r="W6759" i="8"/>
  <c r="W6760" i="8"/>
  <c r="W6761" i="8"/>
  <c r="W6762" i="8"/>
  <c r="W6763" i="8"/>
  <c r="W6764" i="8"/>
  <c r="W6765" i="8"/>
  <c r="W6766" i="8"/>
  <c r="W6767" i="8"/>
  <c r="W6768" i="8"/>
  <c r="W6769" i="8"/>
  <c r="W6770" i="8"/>
  <c r="W6771" i="8"/>
  <c r="W6772" i="8"/>
  <c r="W6773" i="8"/>
  <c r="W6774" i="8"/>
  <c r="W6775" i="8"/>
  <c r="W6776" i="8"/>
  <c r="W6777" i="8"/>
  <c r="W6778" i="8"/>
  <c r="W6779" i="8"/>
  <c r="W6780" i="8"/>
  <c r="W6781" i="8"/>
  <c r="W6782" i="8"/>
  <c r="W6783" i="8"/>
  <c r="W6784" i="8"/>
  <c r="W6785" i="8"/>
  <c r="W6786" i="8"/>
  <c r="W6787" i="8"/>
  <c r="W6788" i="8"/>
  <c r="W6789" i="8"/>
  <c r="W6790" i="8"/>
  <c r="W6791" i="8"/>
  <c r="W6792" i="8"/>
  <c r="W6793" i="8"/>
  <c r="W6794" i="8"/>
  <c r="W6795" i="8"/>
  <c r="W6796" i="8"/>
  <c r="W6797" i="8"/>
  <c r="W6798" i="8"/>
  <c r="W6799" i="8"/>
  <c r="W6800" i="8"/>
  <c r="W6801" i="8"/>
  <c r="W6802" i="8"/>
  <c r="W6803" i="8"/>
  <c r="W6804" i="8"/>
  <c r="W6805" i="8"/>
  <c r="W6806" i="8"/>
  <c r="W6807" i="8"/>
  <c r="W6808" i="8"/>
  <c r="W6809" i="8"/>
  <c r="W6810" i="8"/>
  <c r="W6811" i="8"/>
  <c r="W6812" i="8"/>
  <c r="W6813" i="8"/>
  <c r="W6814" i="8"/>
  <c r="W6815" i="8"/>
  <c r="W6816" i="8"/>
  <c r="W6817" i="8"/>
  <c r="W6818" i="8"/>
  <c r="W6819" i="8"/>
  <c r="W6820" i="8"/>
  <c r="W6821" i="8"/>
  <c r="W6822" i="8"/>
  <c r="W6823" i="8"/>
  <c r="W6824" i="8"/>
  <c r="W6825" i="8"/>
  <c r="W6826" i="8"/>
  <c r="W6827" i="8"/>
  <c r="W6828" i="8"/>
  <c r="W6829" i="8"/>
  <c r="W6830" i="8"/>
  <c r="W6831" i="8"/>
  <c r="W6832" i="8"/>
  <c r="W6833" i="8"/>
  <c r="W6834" i="8"/>
  <c r="W6835" i="8"/>
  <c r="W6836" i="8"/>
  <c r="W6837" i="8"/>
  <c r="W6838" i="8"/>
  <c r="W6839" i="8"/>
  <c r="W6840" i="8"/>
  <c r="W6841" i="8"/>
  <c r="W6842" i="8"/>
  <c r="W6843" i="8"/>
  <c r="W6844" i="8"/>
  <c r="W6845" i="8"/>
  <c r="W6846" i="8"/>
  <c r="W6847" i="8"/>
  <c r="W6848" i="8"/>
  <c r="W6849" i="8"/>
  <c r="W6850" i="8"/>
  <c r="W6851" i="8"/>
  <c r="W6852" i="8"/>
  <c r="W6853" i="8"/>
  <c r="W6854" i="8"/>
  <c r="W6855" i="8"/>
  <c r="W6856" i="8"/>
  <c r="W6857" i="8"/>
  <c r="W6858" i="8"/>
  <c r="W6859" i="8"/>
  <c r="W6860" i="8"/>
  <c r="W6861" i="8"/>
  <c r="W6862" i="8"/>
  <c r="W6863" i="8"/>
  <c r="W6864" i="8"/>
  <c r="W6865" i="8"/>
  <c r="W6866" i="8"/>
  <c r="W6867" i="8"/>
  <c r="W6868" i="8"/>
  <c r="W6869" i="8"/>
  <c r="W6870" i="8"/>
  <c r="W6871" i="8"/>
  <c r="W6872" i="8"/>
  <c r="W6873" i="8"/>
  <c r="W6874" i="8"/>
  <c r="W6875" i="8"/>
  <c r="W6876" i="8"/>
  <c r="W6877" i="8"/>
  <c r="W6878" i="8"/>
  <c r="W6879" i="8"/>
  <c r="W6880" i="8"/>
  <c r="W6881" i="8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W6897" i="8"/>
  <c r="W6898" i="8"/>
  <c r="W6899" i="8"/>
  <c r="W6900" i="8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W6917" i="8"/>
  <c r="W6918" i="8"/>
  <c r="W6919" i="8"/>
  <c r="W6920" i="8"/>
  <c r="W6921" i="8"/>
  <c r="W6922" i="8"/>
  <c r="W6923" i="8"/>
  <c r="W6924" i="8"/>
  <c r="W6925" i="8"/>
  <c r="W6926" i="8"/>
  <c r="W6927" i="8"/>
  <c r="W6928" i="8"/>
  <c r="W6929" i="8"/>
  <c r="W6930" i="8"/>
  <c r="W6931" i="8"/>
  <c r="W6932" i="8"/>
  <c r="W6933" i="8"/>
  <c r="W6934" i="8"/>
  <c r="W6935" i="8"/>
  <c r="W6936" i="8"/>
  <c r="W6937" i="8"/>
  <c r="W6938" i="8"/>
  <c r="W6939" i="8"/>
  <c r="W6940" i="8"/>
  <c r="W6941" i="8"/>
  <c r="W6942" i="8"/>
  <c r="W6943" i="8"/>
  <c r="W6944" i="8"/>
  <c r="W6945" i="8"/>
  <c r="W6946" i="8"/>
  <c r="W6947" i="8"/>
  <c r="W6948" i="8"/>
  <c r="W6949" i="8"/>
  <c r="W6950" i="8"/>
  <c r="W6951" i="8"/>
  <c r="W6952" i="8"/>
  <c r="W6953" i="8"/>
  <c r="W6954" i="8"/>
  <c r="W6955" i="8"/>
  <c r="W6956" i="8"/>
  <c r="W6957" i="8"/>
  <c r="W6958" i="8"/>
  <c r="W6959" i="8"/>
  <c r="W6960" i="8"/>
  <c r="W6961" i="8"/>
  <c r="W6962" i="8"/>
  <c r="W6963" i="8"/>
  <c r="W6964" i="8"/>
  <c r="W6965" i="8"/>
  <c r="W6966" i="8"/>
  <c r="W6967" i="8"/>
  <c r="W6968" i="8"/>
  <c r="W6969" i="8"/>
  <c r="W6970" i="8"/>
  <c r="W6971" i="8"/>
  <c r="W6972" i="8"/>
  <c r="W6973" i="8"/>
  <c r="W6974" i="8"/>
  <c r="W6975" i="8"/>
  <c r="W6976" i="8"/>
  <c r="W6977" i="8"/>
  <c r="W6978" i="8"/>
  <c r="W6979" i="8"/>
  <c r="W6980" i="8"/>
  <c r="W6981" i="8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W6997" i="8"/>
  <c r="W6998" i="8"/>
  <c r="W6999" i="8"/>
  <c r="W7000" i="8"/>
  <c r="W7001" i="8"/>
  <c r="W7002" i="8"/>
  <c r="W7003" i="8"/>
  <c r="W7004" i="8"/>
  <c r="W7005" i="8"/>
  <c r="W7006" i="8"/>
  <c r="W7007" i="8"/>
  <c r="W7008" i="8"/>
  <c r="W7009" i="8"/>
  <c r="W7010" i="8"/>
  <c r="W7011" i="8"/>
  <c r="W7012" i="8"/>
  <c r="W7013" i="8"/>
  <c r="W7014" i="8"/>
  <c r="W7015" i="8"/>
  <c r="W7016" i="8"/>
  <c r="W7017" i="8"/>
  <c r="W7018" i="8"/>
  <c r="W7019" i="8"/>
  <c r="W7020" i="8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W7037" i="8"/>
  <c r="W7038" i="8"/>
  <c r="W7039" i="8"/>
  <c r="W7040" i="8"/>
  <c r="W7041" i="8"/>
  <c r="W7042" i="8"/>
  <c r="W7043" i="8"/>
  <c r="W7044" i="8"/>
  <c r="W7045" i="8"/>
  <c r="W7046" i="8"/>
  <c r="W7047" i="8"/>
  <c r="W7048" i="8"/>
  <c r="W7049" i="8"/>
  <c r="W7050" i="8"/>
  <c r="W7051" i="8"/>
  <c r="W7052" i="8"/>
  <c r="W7053" i="8"/>
  <c r="W7054" i="8"/>
  <c r="W7055" i="8"/>
  <c r="W7056" i="8"/>
  <c r="W7057" i="8"/>
  <c r="W7058" i="8"/>
  <c r="W7059" i="8"/>
  <c r="W7060" i="8"/>
  <c r="W7061" i="8"/>
  <c r="W7062" i="8"/>
  <c r="W7063" i="8"/>
  <c r="W7064" i="8"/>
  <c r="W7065" i="8"/>
  <c r="W7066" i="8"/>
  <c r="W7067" i="8"/>
  <c r="W7068" i="8"/>
  <c r="W7069" i="8"/>
  <c r="W7070" i="8"/>
  <c r="W7071" i="8"/>
  <c r="W7072" i="8"/>
  <c r="W7073" i="8"/>
  <c r="W7074" i="8"/>
  <c r="W7075" i="8"/>
  <c r="W7076" i="8"/>
  <c r="W7077" i="8"/>
  <c r="W7078" i="8"/>
  <c r="W7079" i="8"/>
  <c r="W7080" i="8"/>
  <c r="W7081" i="8"/>
  <c r="W7082" i="8"/>
  <c r="W7083" i="8"/>
  <c r="W7084" i="8"/>
  <c r="W7085" i="8"/>
  <c r="W7086" i="8"/>
  <c r="W7087" i="8"/>
  <c r="W7088" i="8"/>
  <c r="W7089" i="8"/>
  <c r="W7090" i="8"/>
  <c r="W7091" i="8"/>
  <c r="W7092" i="8"/>
  <c r="W7093" i="8"/>
  <c r="W7094" i="8"/>
  <c r="W7095" i="8"/>
  <c r="W7096" i="8"/>
  <c r="W7097" i="8"/>
  <c r="W7098" i="8"/>
  <c r="W7099" i="8"/>
  <c r="W7100" i="8"/>
  <c r="W7101" i="8"/>
  <c r="W7102" i="8"/>
  <c r="W7103" i="8"/>
  <c r="W7104" i="8"/>
  <c r="W7105" i="8"/>
  <c r="W7106" i="8"/>
  <c r="W7107" i="8"/>
  <c r="W7108" i="8"/>
  <c r="W7109" i="8"/>
  <c r="W7110" i="8"/>
  <c r="W7111" i="8"/>
  <c r="W7112" i="8"/>
  <c r="W7113" i="8"/>
  <c r="W7114" i="8"/>
  <c r="W7115" i="8"/>
  <c r="W7116" i="8"/>
  <c r="W7117" i="8"/>
  <c r="W7118" i="8"/>
  <c r="W7119" i="8"/>
  <c r="W7120" i="8"/>
  <c r="W7121" i="8"/>
  <c r="W7122" i="8"/>
  <c r="W7123" i="8"/>
  <c r="W7124" i="8"/>
  <c r="W7125" i="8"/>
  <c r="W7126" i="8"/>
  <c r="W7127" i="8"/>
  <c r="W7128" i="8"/>
  <c r="W7129" i="8"/>
  <c r="W7130" i="8"/>
  <c r="W7131" i="8"/>
  <c r="W7132" i="8"/>
  <c r="W7133" i="8"/>
  <c r="W7134" i="8"/>
  <c r="W7135" i="8"/>
  <c r="W7136" i="8"/>
  <c r="W7137" i="8"/>
  <c r="W7138" i="8"/>
  <c r="W7139" i="8"/>
  <c r="W7140" i="8"/>
  <c r="W7141" i="8"/>
  <c r="W7142" i="8"/>
  <c r="W7143" i="8"/>
  <c r="W7144" i="8"/>
  <c r="W7145" i="8"/>
  <c r="W7146" i="8"/>
  <c r="W7147" i="8"/>
  <c r="W7148" i="8"/>
  <c r="W7149" i="8"/>
  <c r="W7150" i="8"/>
  <c r="W7151" i="8"/>
  <c r="W7152" i="8"/>
  <c r="W7153" i="8"/>
  <c r="W7154" i="8"/>
  <c r="W7155" i="8"/>
  <c r="W7156" i="8"/>
  <c r="W7157" i="8"/>
  <c r="W7158" i="8"/>
  <c r="W7159" i="8"/>
  <c r="W7160" i="8"/>
  <c r="W7161" i="8"/>
  <c r="W7162" i="8"/>
  <c r="W7163" i="8"/>
  <c r="W7164" i="8"/>
  <c r="W7165" i="8"/>
  <c r="W7166" i="8"/>
  <c r="W7167" i="8"/>
  <c r="W7168" i="8"/>
  <c r="W7169" i="8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W7185" i="8"/>
  <c r="W7186" i="8"/>
  <c r="W7187" i="8"/>
  <c r="W7188" i="8"/>
  <c r="W7189" i="8"/>
  <c r="W7190" i="8"/>
  <c r="W7191" i="8"/>
  <c r="W7192" i="8"/>
  <c r="W7193" i="8"/>
  <c r="W7194" i="8"/>
  <c r="W7195" i="8"/>
  <c r="W7196" i="8"/>
  <c r="W7197" i="8"/>
  <c r="W7198" i="8"/>
  <c r="W7199" i="8"/>
  <c r="W7200" i="8"/>
  <c r="W7201" i="8"/>
  <c r="W7202" i="8"/>
  <c r="W7203" i="8"/>
  <c r="W7204" i="8"/>
  <c r="W7205" i="8"/>
  <c r="W7206" i="8"/>
  <c r="W7207" i="8"/>
  <c r="W7208" i="8"/>
  <c r="W7209" i="8"/>
  <c r="W7210" i="8"/>
  <c r="W7211" i="8"/>
  <c r="W7212" i="8"/>
  <c r="W7213" i="8"/>
  <c r="W7214" i="8"/>
  <c r="W7215" i="8"/>
  <c r="W7216" i="8"/>
  <c r="W7217" i="8"/>
  <c r="W7218" i="8"/>
  <c r="W7219" i="8"/>
  <c r="W7220" i="8"/>
  <c r="W7221" i="8"/>
  <c r="W7222" i="8"/>
  <c r="W7223" i="8"/>
  <c r="W7224" i="8"/>
  <c r="W7225" i="8"/>
  <c r="W7226" i="8"/>
  <c r="W7227" i="8"/>
  <c r="W7228" i="8"/>
  <c r="W7229" i="8"/>
  <c r="W7230" i="8"/>
  <c r="W7231" i="8"/>
  <c r="W7232" i="8"/>
  <c r="W7233" i="8"/>
  <c r="W7234" i="8"/>
  <c r="W7235" i="8"/>
  <c r="W7236" i="8"/>
  <c r="W7237" i="8"/>
  <c r="W7238" i="8"/>
  <c r="W7239" i="8"/>
  <c r="W7240" i="8"/>
  <c r="W7241" i="8"/>
  <c r="W7242" i="8"/>
  <c r="W7243" i="8"/>
  <c r="W7244" i="8"/>
  <c r="W7245" i="8"/>
  <c r="W7246" i="8"/>
  <c r="W7247" i="8"/>
  <c r="W7248" i="8"/>
  <c r="W7249" i="8"/>
  <c r="W7250" i="8"/>
  <c r="W7251" i="8"/>
  <c r="W7252" i="8"/>
  <c r="W7253" i="8"/>
  <c r="W7254" i="8"/>
  <c r="W7255" i="8"/>
  <c r="W7256" i="8"/>
  <c r="W7257" i="8"/>
  <c r="W7258" i="8"/>
  <c r="W7259" i="8"/>
  <c r="W7260" i="8"/>
  <c r="W7261" i="8"/>
  <c r="W7262" i="8"/>
  <c r="W7263" i="8"/>
  <c r="W7264" i="8"/>
  <c r="W7265" i="8"/>
  <c r="W7266" i="8"/>
  <c r="W7267" i="8"/>
  <c r="W7268" i="8"/>
  <c r="W7269" i="8"/>
  <c r="W7270" i="8"/>
  <c r="W7271" i="8"/>
  <c r="W7272" i="8"/>
  <c r="W7273" i="8"/>
  <c r="W7274" i="8"/>
  <c r="W7275" i="8"/>
  <c r="W7276" i="8"/>
  <c r="W7277" i="8"/>
  <c r="W7278" i="8"/>
  <c r="W7279" i="8"/>
  <c r="W7280" i="8"/>
  <c r="W7281" i="8"/>
  <c r="W7282" i="8"/>
  <c r="W7283" i="8"/>
  <c r="W7284" i="8"/>
  <c r="W7285" i="8"/>
  <c r="W7286" i="8"/>
  <c r="W7287" i="8"/>
  <c r="W7288" i="8"/>
  <c r="W7289" i="8"/>
  <c r="W7290" i="8"/>
  <c r="W7291" i="8"/>
  <c r="W7292" i="8"/>
  <c r="W7293" i="8"/>
  <c r="W7294" i="8"/>
  <c r="W7295" i="8"/>
  <c r="W7296" i="8"/>
  <c r="W7297" i="8"/>
  <c r="W7298" i="8"/>
  <c r="W7299" i="8"/>
  <c r="W7300" i="8"/>
  <c r="W7301" i="8"/>
  <c r="W7302" i="8"/>
  <c r="W7303" i="8"/>
  <c r="W7304" i="8"/>
  <c r="W7305" i="8"/>
  <c r="W7306" i="8"/>
  <c r="W7307" i="8"/>
  <c r="W7308" i="8"/>
  <c r="W7309" i="8"/>
  <c r="W7310" i="8"/>
  <c r="W7311" i="8"/>
  <c r="W7312" i="8"/>
  <c r="W7313" i="8"/>
  <c r="W7314" i="8"/>
  <c r="W7315" i="8"/>
  <c r="W7316" i="8"/>
  <c r="W7317" i="8"/>
  <c r="W7318" i="8"/>
  <c r="W7319" i="8"/>
  <c r="W7320" i="8"/>
  <c r="W7321" i="8"/>
  <c r="W7322" i="8"/>
  <c r="W7323" i="8"/>
  <c r="W7324" i="8"/>
  <c r="W7325" i="8"/>
  <c r="W7326" i="8"/>
  <c r="W7327" i="8"/>
  <c r="W7328" i="8"/>
  <c r="W7329" i="8"/>
  <c r="W7330" i="8"/>
  <c r="W7331" i="8"/>
  <c r="W7332" i="8"/>
  <c r="W7333" i="8"/>
  <c r="W7334" i="8"/>
  <c r="W7335" i="8"/>
  <c r="W7336" i="8"/>
  <c r="W7337" i="8"/>
  <c r="W7338" i="8"/>
  <c r="W7339" i="8"/>
  <c r="W7340" i="8"/>
  <c r="W7341" i="8"/>
  <c r="W7342" i="8"/>
  <c r="W7343" i="8"/>
  <c r="W7344" i="8"/>
  <c r="W7345" i="8"/>
  <c r="W7346" i="8"/>
  <c r="W7347" i="8"/>
  <c r="W7348" i="8"/>
  <c r="W7349" i="8"/>
  <c r="W7350" i="8"/>
  <c r="W7351" i="8"/>
  <c r="W7352" i="8"/>
  <c r="W7353" i="8"/>
  <c r="W7354" i="8"/>
  <c r="W7355" i="8"/>
  <c r="W7356" i="8"/>
  <c r="W7357" i="8"/>
  <c r="W7358" i="8"/>
  <c r="W7359" i="8"/>
  <c r="W7360" i="8"/>
  <c r="W7361" i="8"/>
  <c r="W7362" i="8"/>
  <c r="W7363" i="8"/>
  <c r="W7364" i="8"/>
  <c r="W7365" i="8"/>
  <c r="W7366" i="8"/>
  <c r="W7367" i="8"/>
  <c r="W7368" i="8"/>
  <c r="W7369" i="8"/>
  <c r="W7370" i="8"/>
  <c r="W7371" i="8"/>
  <c r="W7372" i="8"/>
  <c r="W7373" i="8"/>
  <c r="W7374" i="8"/>
  <c r="W7375" i="8"/>
  <c r="W7376" i="8"/>
  <c r="W7377" i="8"/>
  <c r="W7378" i="8"/>
  <c r="W7379" i="8"/>
  <c r="W7380" i="8"/>
  <c r="W7381" i="8"/>
  <c r="W7382" i="8"/>
  <c r="W7383" i="8"/>
  <c r="W7384" i="8"/>
  <c r="W7385" i="8"/>
  <c r="W7386" i="8"/>
  <c r="W7387" i="8"/>
  <c r="W7388" i="8"/>
  <c r="W7389" i="8"/>
  <c r="W7390" i="8"/>
  <c r="W7391" i="8"/>
  <c r="W7392" i="8"/>
  <c r="W7393" i="8"/>
  <c r="W7394" i="8"/>
  <c r="W7395" i="8"/>
  <c r="W7396" i="8"/>
  <c r="W7397" i="8"/>
  <c r="W7398" i="8"/>
  <c r="W7399" i="8"/>
  <c r="W7400" i="8"/>
  <c r="W7401" i="8"/>
  <c r="W7402" i="8"/>
  <c r="W7403" i="8"/>
  <c r="W7404" i="8"/>
  <c r="W7405" i="8"/>
  <c r="W7406" i="8"/>
  <c r="W7407" i="8"/>
  <c r="W7408" i="8"/>
  <c r="W7409" i="8"/>
  <c r="W7410" i="8"/>
  <c r="W7411" i="8"/>
  <c r="W7412" i="8"/>
  <c r="W7413" i="8"/>
  <c r="W7414" i="8"/>
  <c r="W7415" i="8"/>
  <c r="W7416" i="8"/>
  <c r="W7417" i="8"/>
  <c r="W7418" i="8"/>
  <c r="W7419" i="8"/>
  <c r="W7420" i="8"/>
  <c r="W7421" i="8"/>
  <c r="W7422" i="8"/>
  <c r="W7423" i="8"/>
  <c r="W7424" i="8"/>
  <c r="W7425" i="8"/>
  <c r="W7426" i="8"/>
  <c r="W7427" i="8"/>
  <c r="W7428" i="8"/>
  <c r="W7429" i="8"/>
  <c r="W7430" i="8"/>
  <c r="W7431" i="8"/>
  <c r="W7432" i="8"/>
  <c r="W7433" i="8"/>
  <c r="W7434" i="8"/>
  <c r="W7435" i="8"/>
  <c r="W7436" i="8"/>
  <c r="W7437" i="8"/>
  <c r="W7438" i="8"/>
  <c r="W7439" i="8"/>
  <c r="W7440" i="8"/>
  <c r="W7441" i="8"/>
  <c r="W7442" i="8"/>
  <c r="W7443" i="8"/>
  <c r="W7444" i="8"/>
  <c r="W7445" i="8"/>
  <c r="W7446" i="8"/>
  <c r="W7447" i="8"/>
  <c r="W7448" i="8"/>
  <c r="W7449" i="8"/>
  <c r="W7450" i="8"/>
  <c r="W7451" i="8"/>
  <c r="W7452" i="8"/>
  <c r="W7453" i="8"/>
  <c r="W7454" i="8"/>
  <c r="W7455" i="8"/>
  <c r="W7456" i="8"/>
  <c r="W7457" i="8"/>
  <c r="W7458" i="8"/>
  <c r="W7459" i="8"/>
  <c r="W7460" i="8"/>
  <c r="W7461" i="8"/>
  <c r="W7462" i="8"/>
  <c r="W7463" i="8"/>
  <c r="W7464" i="8"/>
  <c r="W7465" i="8"/>
  <c r="W7466" i="8"/>
  <c r="W7467" i="8"/>
  <c r="W7468" i="8"/>
  <c r="W7469" i="8"/>
  <c r="W7470" i="8"/>
  <c r="W7471" i="8"/>
  <c r="W7472" i="8"/>
  <c r="W7473" i="8"/>
  <c r="W7474" i="8"/>
  <c r="W7475" i="8"/>
  <c r="W7476" i="8"/>
  <c r="W7477" i="8"/>
  <c r="W7478" i="8"/>
  <c r="W7479" i="8"/>
  <c r="W7480" i="8"/>
  <c r="W7481" i="8"/>
  <c r="W7482" i="8"/>
  <c r="W7483" i="8"/>
  <c r="W7484" i="8"/>
  <c r="W7485" i="8"/>
  <c r="W7486" i="8"/>
  <c r="W7487" i="8"/>
  <c r="W7488" i="8"/>
  <c r="W7489" i="8"/>
  <c r="W7490" i="8"/>
  <c r="W7491" i="8"/>
  <c r="W7492" i="8"/>
  <c r="W7493" i="8"/>
  <c r="W7494" i="8"/>
  <c r="W7495" i="8"/>
  <c r="W7496" i="8"/>
  <c r="W7497" i="8"/>
  <c r="W7498" i="8"/>
  <c r="W7499" i="8"/>
  <c r="W7500" i="8"/>
  <c r="W7501" i="8"/>
  <c r="W7502" i="8"/>
  <c r="W7503" i="8"/>
  <c r="W7504" i="8"/>
  <c r="W7505" i="8"/>
  <c r="W7506" i="8"/>
  <c r="W7507" i="8"/>
  <c r="W7508" i="8"/>
  <c r="W7509" i="8"/>
  <c r="W7510" i="8"/>
  <c r="W7511" i="8"/>
  <c r="W7512" i="8"/>
  <c r="W7513" i="8"/>
  <c r="W7514" i="8"/>
  <c r="W7515" i="8"/>
  <c r="W7516" i="8"/>
  <c r="W7517" i="8"/>
  <c r="W7518" i="8"/>
  <c r="W7519" i="8"/>
  <c r="W7520" i="8"/>
  <c r="W7521" i="8"/>
  <c r="W7522" i="8"/>
  <c r="W7523" i="8"/>
  <c r="W7524" i="8"/>
  <c r="W7525" i="8"/>
  <c r="W7526" i="8"/>
  <c r="W7527" i="8"/>
  <c r="W7528" i="8"/>
  <c r="W7529" i="8"/>
  <c r="W7530" i="8"/>
  <c r="W7531" i="8"/>
  <c r="W7532" i="8"/>
  <c r="W7533" i="8"/>
  <c r="W7534" i="8"/>
  <c r="W7535" i="8"/>
  <c r="W7536" i="8"/>
  <c r="W7537" i="8"/>
  <c r="W7538" i="8"/>
  <c r="W7539" i="8"/>
  <c r="W7540" i="8"/>
  <c r="W7541" i="8"/>
  <c r="W7542" i="8"/>
  <c r="W7543" i="8"/>
  <c r="W7544" i="8"/>
  <c r="W7545" i="8"/>
  <c r="W7546" i="8"/>
  <c r="W7547" i="8"/>
  <c r="W7548" i="8"/>
  <c r="W7549" i="8"/>
  <c r="W7550" i="8"/>
  <c r="W7551" i="8"/>
  <c r="W7552" i="8"/>
  <c r="W7553" i="8"/>
  <c r="W7554" i="8"/>
  <c r="W7555" i="8"/>
  <c r="W7556" i="8"/>
  <c r="W7557" i="8"/>
  <c r="W7558" i="8"/>
  <c r="W7559" i="8"/>
  <c r="W7560" i="8"/>
  <c r="W7561" i="8"/>
  <c r="W7562" i="8"/>
  <c r="W7563" i="8"/>
  <c r="W7564" i="8"/>
  <c r="W7565" i="8"/>
  <c r="W7566" i="8"/>
  <c r="W7567" i="8"/>
  <c r="W7568" i="8"/>
  <c r="W7569" i="8"/>
  <c r="W7570" i="8"/>
  <c r="W7571" i="8"/>
  <c r="W7572" i="8"/>
  <c r="W7573" i="8"/>
  <c r="W7574" i="8"/>
  <c r="W7575" i="8"/>
  <c r="W7576" i="8"/>
  <c r="W7577" i="8"/>
  <c r="W7578" i="8"/>
  <c r="W7579" i="8"/>
  <c r="W7580" i="8"/>
  <c r="W7581" i="8"/>
  <c r="W7582" i="8"/>
  <c r="W7583" i="8"/>
  <c r="W7584" i="8"/>
  <c r="W7585" i="8"/>
  <c r="W7586" i="8"/>
  <c r="W7587" i="8"/>
  <c r="W7588" i="8"/>
  <c r="W7589" i="8"/>
  <c r="W7590" i="8"/>
  <c r="W7591" i="8"/>
  <c r="W7592" i="8"/>
  <c r="W7593" i="8"/>
  <c r="W7594" i="8"/>
  <c r="W7595" i="8"/>
  <c r="W7596" i="8"/>
  <c r="W7597" i="8"/>
  <c r="W7598" i="8"/>
  <c r="W7599" i="8"/>
  <c r="W7600" i="8"/>
  <c r="W7601" i="8"/>
  <c r="W7602" i="8"/>
  <c r="W7603" i="8"/>
  <c r="W7604" i="8"/>
  <c r="W7605" i="8"/>
  <c r="W7606" i="8"/>
  <c r="W7607" i="8"/>
  <c r="W7608" i="8"/>
  <c r="W7609" i="8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W7625" i="8"/>
  <c r="W7626" i="8"/>
  <c r="W7627" i="8"/>
  <c r="W7628" i="8"/>
  <c r="W7629" i="8"/>
  <c r="W7630" i="8"/>
  <c r="W7631" i="8"/>
  <c r="W7632" i="8"/>
  <c r="W7633" i="8"/>
  <c r="W7634" i="8"/>
  <c r="W7635" i="8"/>
  <c r="W7636" i="8"/>
  <c r="W7637" i="8"/>
  <c r="W7638" i="8"/>
  <c r="W7639" i="8"/>
  <c r="W7640" i="8"/>
  <c r="W7641" i="8"/>
  <c r="W7642" i="8"/>
  <c r="W7643" i="8"/>
  <c r="W7644" i="8"/>
  <c r="W7645" i="8"/>
  <c r="W7646" i="8"/>
  <c r="W7647" i="8"/>
  <c r="W7648" i="8"/>
  <c r="W7649" i="8"/>
  <c r="W7650" i="8"/>
  <c r="W7651" i="8"/>
  <c r="W7652" i="8"/>
  <c r="W7653" i="8"/>
  <c r="W7654" i="8"/>
  <c r="W7655" i="8"/>
  <c r="W7656" i="8"/>
  <c r="W7657" i="8"/>
  <c r="W7658" i="8"/>
  <c r="W7659" i="8"/>
  <c r="W7660" i="8"/>
  <c r="W7661" i="8"/>
  <c r="W7662" i="8"/>
  <c r="W7663" i="8"/>
  <c r="W7664" i="8"/>
  <c r="W7665" i="8"/>
  <c r="W7666" i="8"/>
  <c r="W7667" i="8"/>
  <c r="W7668" i="8"/>
  <c r="W7669" i="8"/>
  <c r="W7670" i="8"/>
  <c r="W7671" i="8"/>
  <c r="W7672" i="8"/>
  <c r="W7673" i="8"/>
  <c r="W7674" i="8"/>
  <c r="W7675" i="8"/>
  <c r="W7676" i="8"/>
  <c r="W7677" i="8"/>
  <c r="W7678" i="8"/>
  <c r="W7679" i="8"/>
  <c r="W7680" i="8"/>
  <c r="W7681" i="8"/>
  <c r="W7682" i="8"/>
  <c r="W7683" i="8"/>
  <c r="W7684" i="8"/>
  <c r="W7685" i="8"/>
  <c r="W7686" i="8"/>
  <c r="W7687" i="8"/>
  <c r="W7688" i="8"/>
  <c r="W7689" i="8"/>
  <c r="W7690" i="8"/>
  <c r="W7691" i="8"/>
  <c r="W7692" i="8"/>
  <c r="W7693" i="8"/>
  <c r="W7694" i="8"/>
  <c r="W7695" i="8"/>
  <c r="W7696" i="8"/>
  <c r="W7697" i="8"/>
  <c r="W7698" i="8"/>
  <c r="W7699" i="8"/>
  <c r="W7700" i="8"/>
  <c r="W7701" i="8"/>
  <c r="W7702" i="8"/>
  <c r="W7703" i="8"/>
  <c r="W7704" i="8"/>
  <c r="W7705" i="8"/>
  <c r="W7706" i="8"/>
  <c r="W7707" i="8"/>
  <c r="W7708" i="8"/>
  <c r="W7709" i="8"/>
  <c r="W7710" i="8"/>
  <c r="W7711" i="8"/>
  <c r="W7712" i="8"/>
  <c r="W7713" i="8"/>
  <c r="W7714" i="8"/>
  <c r="W7715" i="8"/>
  <c r="W7716" i="8"/>
  <c r="W7717" i="8"/>
  <c r="W7718" i="8"/>
  <c r="W7719" i="8"/>
  <c r="W7720" i="8"/>
  <c r="W7721" i="8"/>
  <c r="W7722" i="8"/>
  <c r="W7723" i="8"/>
  <c r="W7724" i="8"/>
  <c r="W7725" i="8"/>
  <c r="W7726" i="8"/>
  <c r="W7727" i="8"/>
  <c r="W7728" i="8"/>
  <c r="W7729" i="8"/>
  <c r="W7730" i="8"/>
  <c r="W7731" i="8"/>
  <c r="W7732" i="8"/>
  <c r="W7733" i="8"/>
  <c r="W7734" i="8"/>
  <c r="W7735" i="8"/>
  <c r="W7736" i="8"/>
  <c r="W7737" i="8"/>
  <c r="W7738" i="8"/>
  <c r="W7739" i="8"/>
  <c r="W7740" i="8"/>
  <c r="W7741" i="8"/>
  <c r="W7742" i="8"/>
  <c r="W7743" i="8"/>
  <c r="W7744" i="8"/>
  <c r="W7745" i="8"/>
  <c r="W7746" i="8"/>
  <c r="W7747" i="8"/>
  <c r="W7748" i="8"/>
  <c r="W7749" i="8"/>
  <c r="W7750" i="8"/>
  <c r="W7751" i="8"/>
  <c r="W7752" i="8"/>
  <c r="W7753" i="8"/>
  <c r="W7754" i="8"/>
  <c r="W7755" i="8"/>
  <c r="W7756" i="8"/>
  <c r="W7757" i="8"/>
  <c r="W7758" i="8"/>
  <c r="W7759" i="8"/>
  <c r="W7760" i="8"/>
  <c r="W7761" i="8"/>
  <c r="W7762" i="8"/>
  <c r="W7763" i="8"/>
  <c r="W7764" i="8"/>
  <c r="W7765" i="8"/>
  <c r="W7766" i="8"/>
  <c r="W7767" i="8"/>
  <c r="W7768" i="8"/>
  <c r="W7769" i="8"/>
  <c r="W7770" i="8"/>
  <c r="W7771" i="8"/>
  <c r="W7772" i="8"/>
  <c r="W7773" i="8"/>
  <c r="W7774" i="8"/>
  <c r="W7775" i="8"/>
  <c r="W7776" i="8"/>
  <c r="W7777" i="8"/>
  <c r="W7778" i="8"/>
  <c r="W7779" i="8"/>
  <c r="W7780" i="8"/>
  <c r="W7781" i="8"/>
  <c r="W7782" i="8"/>
  <c r="W7783" i="8"/>
  <c r="W7784" i="8"/>
  <c r="W7785" i="8"/>
  <c r="W7786" i="8"/>
  <c r="W7787" i="8"/>
  <c r="W7788" i="8"/>
  <c r="W7789" i="8"/>
  <c r="W7790" i="8"/>
  <c r="W7791" i="8"/>
  <c r="W7792" i="8"/>
  <c r="W7793" i="8"/>
  <c r="W7794" i="8"/>
  <c r="W7795" i="8"/>
  <c r="W7796" i="8"/>
  <c r="W7797" i="8"/>
  <c r="W7798" i="8"/>
  <c r="W7799" i="8"/>
  <c r="W7800" i="8"/>
  <c r="W7801" i="8"/>
  <c r="W7802" i="8"/>
  <c r="W7803" i="8"/>
  <c r="W7804" i="8"/>
  <c r="W7805" i="8"/>
  <c r="W7806" i="8"/>
  <c r="W7807" i="8"/>
  <c r="W7808" i="8"/>
  <c r="W7809" i="8"/>
  <c r="W7810" i="8"/>
  <c r="W7811" i="8"/>
  <c r="W7812" i="8"/>
  <c r="W7813" i="8"/>
  <c r="W7814" i="8"/>
  <c r="W7815" i="8"/>
  <c r="W7816" i="8"/>
  <c r="W7817" i="8"/>
  <c r="W7818" i="8"/>
  <c r="W7819" i="8"/>
  <c r="W7820" i="8"/>
  <c r="W7821" i="8"/>
  <c r="W7822" i="8"/>
  <c r="W7823" i="8"/>
  <c r="W7824" i="8"/>
  <c r="W7825" i="8"/>
  <c r="W7826" i="8"/>
  <c r="W7827" i="8"/>
  <c r="W7828" i="8"/>
  <c r="W7829" i="8"/>
  <c r="W7830" i="8"/>
  <c r="W7831" i="8"/>
  <c r="W7832" i="8"/>
  <c r="W7833" i="8"/>
  <c r="W7834" i="8"/>
  <c r="W7835" i="8"/>
  <c r="W7836" i="8"/>
  <c r="W7837" i="8"/>
  <c r="W7838" i="8"/>
  <c r="W7839" i="8"/>
  <c r="W7840" i="8"/>
  <c r="W7841" i="8"/>
  <c r="W7842" i="8"/>
  <c r="W7843" i="8"/>
  <c r="W7844" i="8"/>
  <c r="W7845" i="8"/>
  <c r="W7846" i="8"/>
  <c r="W7847" i="8"/>
  <c r="W7848" i="8"/>
  <c r="W7849" i="8"/>
  <c r="W7850" i="8"/>
  <c r="W7851" i="8"/>
  <c r="W7852" i="8"/>
  <c r="W7853" i="8"/>
  <c r="W7854" i="8"/>
  <c r="W7855" i="8"/>
  <c r="W7856" i="8"/>
  <c r="W7857" i="8"/>
  <c r="W7858" i="8"/>
  <c r="W7859" i="8"/>
  <c r="W7860" i="8"/>
  <c r="W7861" i="8"/>
  <c r="W7862" i="8"/>
  <c r="W7863" i="8"/>
  <c r="W7864" i="8"/>
  <c r="W7865" i="8"/>
  <c r="W7866" i="8"/>
  <c r="W7867" i="8"/>
  <c r="W7868" i="8"/>
  <c r="W7869" i="8"/>
  <c r="W7870" i="8"/>
  <c r="W7871" i="8"/>
  <c r="W7872" i="8"/>
  <c r="W7873" i="8"/>
  <c r="W7874" i="8"/>
  <c r="W7875" i="8"/>
  <c r="W7876" i="8"/>
  <c r="W7877" i="8"/>
  <c r="W7878" i="8"/>
  <c r="W7879" i="8"/>
  <c r="W7880" i="8"/>
  <c r="W7881" i="8"/>
  <c r="W7882" i="8"/>
  <c r="W7883" i="8"/>
  <c r="W7884" i="8"/>
  <c r="W7885" i="8"/>
  <c r="W7886" i="8"/>
  <c r="W7887" i="8"/>
  <c r="W7888" i="8"/>
  <c r="W7889" i="8"/>
  <c r="W7890" i="8"/>
  <c r="W7891" i="8"/>
  <c r="W7892" i="8"/>
  <c r="W7893" i="8"/>
  <c r="W7894" i="8"/>
  <c r="W7895" i="8"/>
  <c r="W7896" i="8"/>
  <c r="W7897" i="8"/>
  <c r="W7898" i="8"/>
  <c r="W7899" i="8"/>
  <c r="W7900" i="8"/>
  <c r="W7901" i="8"/>
  <c r="W7902" i="8"/>
  <c r="W7903" i="8"/>
  <c r="W7904" i="8"/>
  <c r="W7905" i="8"/>
  <c r="W7906" i="8"/>
  <c r="W7907" i="8"/>
  <c r="W7908" i="8"/>
  <c r="W7909" i="8"/>
  <c r="W7910" i="8"/>
  <c r="W7911" i="8"/>
  <c r="W7912" i="8"/>
  <c r="W7913" i="8"/>
  <c r="W7914" i="8"/>
  <c r="W7915" i="8"/>
  <c r="W7916" i="8"/>
  <c r="W7917" i="8"/>
  <c r="W7918" i="8"/>
  <c r="W7919" i="8"/>
  <c r="W7920" i="8"/>
  <c r="W7921" i="8"/>
  <c r="W7922" i="8"/>
  <c r="W7923" i="8"/>
  <c r="W7924" i="8"/>
  <c r="W7925" i="8"/>
  <c r="W7926" i="8"/>
  <c r="W7927" i="8"/>
  <c r="W7928" i="8"/>
  <c r="W7929" i="8"/>
  <c r="W7930" i="8"/>
  <c r="W7931" i="8"/>
  <c r="W7932" i="8"/>
  <c r="W7933" i="8"/>
  <c r="W7934" i="8"/>
  <c r="W7935" i="8"/>
  <c r="W7936" i="8"/>
  <c r="W7937" i="8"/>
  <c r="W7938" i="8"/>
  <c r="W7939" i="8"/>
  <c r="W7940" i="8"/>
  <c r="W7941" i="8"/>
  <c r="W7942" i="8"/>
  <c r="W7943" i="8"/>
  <c r="W7944" i="8"/>
  <c r="W7945" i="8"/>
  <c r="W7946" i="8"/>
  <c r="W7947" i="8"/>
  <c r="W7948" i="8"/>
  <c r="W7949" i="8"/>
  <c r="W7950" i="8"/>
  <c r="W7951" i="8"/>
  <c r="W7952" i="8"/>
  <c r="W7953" i="8"/>
  <c r="W7954" i="8"/>
  <c r="W7955" i="8"/>
  <c r="W7956" i="8"/>
  <c r="W7957" i="8"/>
  <c r="W7958" i="8"/>
  <c r="W7959" i="8"/>
  <c r="W7960" i="8"/>
  <c r="W7961" i="8"/>
  <c r="W7962" i="8"/>
  <c r="W7963" i="8"/>
  <c r="W7964" i="8"/>
  <c r="W7965" i="8"/>
  <c r="W7966" i="8"/>
  <c r="W7967" i="8"/>
  <c r="W7968" i="8"/>
  <c r="W7969" i="8"/>
  <c r="W7970" i="8"/>
  <c r="W7971" i="8"/>
  <c r="W7972" i="8"/>
  <c r="W7973" i="8"/>
  <c r="W7974" i="8"/>
  <c r="W7975" i="8"/>
  <c r="W7976" i="8"/>
  <c r="W7977" i="8"/>
  <c r="W7978" i="8"/>
  <c r="W7979" i="8"/>
  <c r="W7980" i="8"/>
  <c r="W7981" i="8"/>
  <c r="W7982" i="8"/>
  <c r="W7983" i="8"/>
  <c r="W7984" i="8"/>
  <c r="W7985" i="8"/>
  <c r="W7986" i="8"/>
  <c r="W7987" i="8"/>
  <c r="W7988" i="8"/>
  <c r="W7989" i="8"/>
  <c r="W7990" i="8"/>
  <c r="W7991" i="8"/>
  <c r="W7992" i="8"/>
  <c r="W7993" i="8"/>
  <c r="W7994" i="8"/>
  <c r="W7995" i="8"/>
  <c r="W7996" i="8"/>
  <c r="W7997" i="8"/>
  <c r="W7998" i="8"/>
  <c r="W7999" i="8"/>
  <c r="W8000" i="8"/>
  <c r="W8001" i="8"/>
  <c r="W8002" i="8"/>
  <c r="W8003" i="8"/>
  <c r="W8004" i="8"/>
  <c r="W8005" i="8"/>
  <c r="W8006" i="8"/>
  <c r="W8007" i="8"/>
  <c r="W8008" i="8"/>
  <c r="W8009" i="8"/>
  <c r="W8010" i="8"/>
  <c r="W8011" i="8"/>
  <c r="W8012" i="8"/>
  <c r="W8013" i="8"/>
  <c r="W8014" i="8"/>
  <c r="W8015" i="8"/>
  <c r="W8016" i="8"/>
  <c r="W8017" i="8"/>
  <c r="W8018" i="8"/>
  <c r="W8019" i="8"/>
  <c r="W8020" i="8"/>
  <c r="W8021" i="8"/>
  <c r="W8022" i="8"/>
  <c r="W8023" i="8"/>
  <c r="W8024" i="8"/>
  <c r="W8025" i="8"/>
  <c r="W8026" i="8"/>
  <c r="W8027" i="8"/>
  <c r="W8028" i="8"/>
  <c r="W8029" i="8"/>
  <c r="W8030" i="8"/>
  <c r="W8031" i="8"/>
  <c r="W8032" i="8"/>
  <c r="W8033" i="8"/>
  <c r="W8034" i="8"/>
  <c r="W8035" i="8"/>
  <c r="W8036" i="8"/>
  <c r="W8037" i="8"/>
  <c r="W8038" i="8"/>
  <c r="W8039" i="8"/>
  <c r="W8040" i="8"/>
  <c r="W8041" i="8"/>
  <c r="W8042" i="8"/>
  <c r="W8043" i="8"/>
  <c r="W8044" i="8"/>
  <c r="W8045" i="8"/>
  <c r="W8046" i="8"/>
  <c r="W8047" i="8"/>
  <c r="W8048" i="8"/>
  <c r="W8049" i="8"/>
  <c r="W8050" i="8"/>
  <c r="W8051" i="8"/>
  <c r="W8052" i="8"/>
  <c r="W8053" i="8"/>
  <c r="W8054" i="8"/>
  <c r="W8055" i="8"/>
  <c r="W8056" i="8"/>
  <c r="W8057" i="8"/>
  <c r="W8058" i="8"/>
  <c r="W8059" i="8"/>
  <c r="W8060" i="8"/>
  <c r="W8061" i="8"/>
  <c r="W8062" i="8"/>
  <c r="W8063" i="8"/>
  <c r="W8064" i="8"/>
  <c r="W8065" i="8"/>
  <c r="W8066" i="8"/>
  <c r="W8067" i="8"/>
  <c r="W8068" i="8"/>
  <c r="W8069" i="8"/>
  <c r="W8070" i="8"/>
  <c r="W8071" i="8"/>
  <c r="W8072" i="8"/>
  <c r="W8073" i="8"/>
  <c r="W8074" i="8"/>
  <c r="W8075" i="8"/>
  <c r="W8076" i="8"/>
  <c r="W8077" i="8"/>
  <c r="W8078" i="8"/>
  <c r="W8079" i="8"/>
  <c r="W8080" i="8"/>
  <c r="W8081" i="8"/>
  <c r="W8082" i="8"/>
  <c r="W8083" i="8"/>
  <c r="W8084" i="8"/>
  <c r="W8085" i="8"/>
  <c r="W8086" i="8"/>
  <c r="W8087" i="8"/>
  <c r="W8088" i="8"/>
  <c r="W8089" i="8"/>
  <c r="W8090" i="8"/>
  <c r="W8091" i="8"/>
  <c r="W8092" i="8"/>
  <c r="W8093" i="8"/>
  <c r="W8094" i="8"/>
  <c r="W8095" i="8"/>
  <c r="W8096" i="8"/>
  <c r="W8097" i="8"/>
  <c r="W8098" i="8"/>
  <c r="W8099" i="8"/>
  <c r="W8100" i="8"/>
  <c r="W8101" i="8"/>
  <c r="W8102" i="8"/>
  <c r="W8103" i="8"/>
  <c r="W8104" i="8"/>
  <c r="W8105" i="8"/>
  <c r="W8106" i="8"/>
  <c r="W8107" i="8"/>
  <c r="W8108" i="8"/>
  <c r="W8109" i="8"/>
  <c r="W8110" i="8"/>
  <c r="W8111" i="8"/>
  <c r="W8112" i="8"/>
  <c r="W8113" i="8"/>
  <c r="W8114" i="8"/>
  <c r="W8115" i="8"/>
  <c r="W8116" i="8"/>
  <c r="W8117" i="8"/>
  <c r="W8118" i="8"/>
  <c r="W8119" i="8"/>
  <c r="W8120" i="8"/>
  <c r="W8121" i="8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W8137" i="8"/>
  <c r="W8138" i="8"/>
  <c r="W8139" i="8"/>
  <c r="W8140" i="8"/>
  <c r="W8141" i="8"/>
  <c r="W8142" i="8"/>
  <c r="W8143" i="8"/>
  <c r="W8144" i="8"/>
  <c r="W8145" i="8"/>
  <c r="W8146" i="8"/>
  <c r="W8147" i="8"/>
  <c r="W8148" i="8"/>
  <c r="W8149" i="8"/>
  <c r="W8150" i="8"/>
  <c r="W8151" i="8"/>
  <c r="W8152" i="8"/>
  <c r="W8153" i="8"/>
  <c r="W8154" i="8"/>
  <c r="W8155" i="8"/>
  <c r="W8156" i="8"/>
  <c r="W8157" i="8"/>
  <c r="W8158" i="8"/>
  <c r="W8159" i="8"/>
  <c r="W8160" i="8"/>
  <c r="W8161" i="8"/>
  <c r="W8162" i="8"/>
  <c r="W8163" i="8"/>
  <c r="W8164" i="8"/>
  <c r="W8165" i="8"/>
  <c r="W8166" i="8"/>
  <c r="W8167" i="8"/>
  <c r="W8168" i="8"/>
  <c r="W8169" i="8"/>
  <c r="W8170" i="8"/>
  <c r="W8171" i="8"/>
  <c r="W8172" i="8"/>
  <c r="W8173" i="8"/>
  <c r="W8174" i="8"/>
  <c r="W8175" i="8"/>
  <c r="W8176" i="8"/>
  <c r="W8177" i="8"/>
  <c r="W8178" i="8"/>
  <c r="W8179" i="8"/>
  <c r="W8180" i="8"/>
  <c r="W8181" i="8"/>
  <c r="W8182" i="8"/>
  <c r="W8183" i="8"/>
  <c r="W8184" i="8"/>
  <c r="W8185" i="8"/>
  <c r="W8186" i="8"/>
  <c r="W8187" i="8"/>
  <c r="W8188" i="8"/>
  <c r="W8189" i="8"/>
  <c r="W8190" i="8"/>
  <c r="W8191" i="8"/>
  <c r="W8192" i="8"/>
  <c r="W8193" i="8"/>
  <c r="W8194" i="8"/>
  <c r="W8195" i="8"/>
  <c r="W8196" i="8"/>
  <c r="W8197" i="8"/>
  <c r="W8198" i="8"/>
  <c r="W8199" i="8"/>
  <c r="W8200" i="8"/>
  <c r="V8200" i="8" s="1"/>
  <c r="W8201" i="8"/>
  <c r="W8202" i="8"/>
  <c r="W8203" i="8"/>
  <c r="W8204" i="8"/>
  <c r="W8205" i="8"/>
  <c r="W8206" i="8"/>
  <c r="W8207" i="8"/>
  <c r="W8208" i="8"/>
  <c r="W8209" i="8"/>
  <c r="W8210" i="8"/>
  <c r="W8211" i="8"/>
  <c r="W8212" i="8"/>
  <c r="W8213" i="8"/>
  <c r="W8214" i="8"/>
  <c r="W8215" i="8"/>
  <c r="W8216" i="8"/>
  <c r="W8217" i="8"/>
  <c r="W8218" i="8"/>
  <c r="W8219" i="8"/>
  <c r="W8220" i="8"/>
  <c r="W8221" i="8"/>
  <c r="W8222" i="8"/>
  <c r="W8223" i="8"/>
  <c r="W8224" i="8"/>
  <c r="W8225" i="8"/>
  <c r="W8226" i="8"/>
  <c r="W8227" i="8"/>
  <c r="W8228" i="8"/>
  <c r="W8229" i="8"/>
  <c r="W8230" i="8"/>
  <c r="W8231" i="8"/>
  <c r="W8232" i="8"/>
  <c r="W8233" i="8"/>
  <c r="W8234" i="8"/>
  <c r="W8235" i="8"/>
  <c r="W8236" i="8"/>
  <c r="W8237" i="8"/>
  <c r="W8238" i="8"/>
  <c r="W8239" i="8"/>
  <c r="W8240" i="8"/>
  <c r="W8241" i="8"/>
  <c r="W8242" i="8"/>
  <c r="W8243" i="8"/>
  <c r="W8244" i="8"/>
  <c r="W8245" i="8"/>
  <c r="W8246" i="8"/>
  <c r="W8247" i="8"/>
  <c r="W8248" i="8"/>
  <c r="W8249" i="8"/>
  <c r="W8250" i="8"/>
  <c r="W8251" i="8"/>
  <c r="W8252" i="8"/>
  <c r="W8253" i="8"/>
  <c r="W8254" i="8"/>
  <c r="W8255" i="8"/>
  <c r="W8256" i="8"/>
  <c r="W8257" i="8"/>
  <c r="W8258" i="8"/>
  <c r="W8259" i="8"/>
  <c r="W8260" i="8"/>
  <c r="W8261" i="8"/>
  <c r="W8262" i="8"/>
  <c r="W8263" i="8"/>
  <c r="W8264" i="8"/>
  <c r="V8264" i="8" s="1"/>
  <c r="W8265" i="8"/>
  <c r="W8266" i="8"/>
  <c r="W8267" i="8"/>
  <c r="W8268" i="8"/>
  <c r="W8269" i="8"/>
  <c r="W8270" i="8"/>
  <c r="W8271" i="8"/>
  <c r="W8272" i="8"/>
  <c r="W8273" i="8"/>
  <c r="W8274" i="8"/>
  <c r="W8275" i="8"/>
  <c r="W8276" i="8"/>
  <c r="W8277" i="8"/>
  <c r="W8278" i="8"/>
  <c r="W8279" i="8"/>
  <c r="W8280" i="8"/>
  <c r="V8280" i="8" s="1"/>
  <c r="W8281" i="8"/>
  <c r="W8282" i="8"/>
  <c r="W8283" i="8"/>
  <c r="W8284" i="8"/>
  <c r="W8285" i="8"/>
  <c r="W8286" i="8"/>
  <c r="W8287" i="8"/>
  <c r="W8288" i="8"/>
  <c r="W8289" i="8"/>
  <c r="W8290" i="8"/>
  <c r="W8291" i="8"/>
  <c r="W8292" i="8"/>
  <c r="W8293" i="8"/>
  <c r="W8294" i="8"/>
  <c r="W8295" i="8"/>
  <c r="W8296" i="8"/>
  <c r="V8296" i="8" s="1"/>
  <c r="W8297" i="8"/>
  <c r="W8298" i="8"/>
  <c r="W8299" i="8"/>
  <c r="W8300" i="8"/>
  <c r="W8301" i="8"/>
  <c r="W8302" i="8"/>
  <c r="W8303" i="8"/>
  <c r="W8304" i="8"/>
  <c r="W8305" i="8"/>
  <c r="W8306" i="8"/>
  <c r="W8307" i="8"/>
  <c r="W8308" i="8"/>
  <c r="W8309" i="8"/>
  <c r="W8310" i="8"/>
  <c r="W8311" i="8"/>
  <c r="W8312" i="8"/>
  <c r="W8313" i="8"/>
  <c r="W8314" i="8"/>
  <c r="W8315" i="8"/>
  <c r="W8316" i="8"/>
  <c r="W8317" i="8"/>
  <c r="W8318" i="8"/>
  <c r="W8319" i="8"/>
  <c r="W8320" i="8"/>
  <c r="W8321" i="8"/>
  <c r="W8322" i="8"/>
  <c r="W8323" i="8"/>
  <c r="W8324" i="8"/>
  <c r="W8325" i="8"/>
  <c r="W8326" i="8"/>
  <c r="W8327" i="8"/>
  <c r="W8328" i="8"/>
  <c r="V8328" i="8" s="1"/>
  <c r="W8329" i="8"/>
  <c r="W8330" i="8"/>
  <c r="W8331" i="8"/>
  <c r="W8332" i="8"/>
  <c r="W8333" i="8"/>
  <c r="W8334" i="8"/>
  <c r="W8335" i="8"/>
  <c r="W8336" i="8"/>
  <c r="W8337" i="8"/>
  <c r="W8338" i="8"/>
  <c r="W8339" i="8"/>
  <c r="W8340" i="8"/>
  <c r="W8341" i="8"/>
  <c r="W8342" i="8"/>
  <c r="W8343" i="8"/>
  <c r="W8344" i="8"/>
  <c r="V8344" i="8" s="1"/>
  <c r="W8345" i="8"/>
  <c r="W8346" i="8"/>
  <c r="W8347" i="8"/>
  <c r="W8348" i="8"/>
  <c r="W8349" i="8"/>
  <c r="W8350" i="8"/>
  <c r="W8351" i="8"/>
  <c r="W8352" i="8"/>
  <c r="W8353" i="8"/>
  <c r="W8354" i="8"/>
  <c r="W8355" i="8"/>
  <c r="W8356" i="8"/>
  <c r="W8357" i="8"/>
  <c r="W8358" i="8"/>
  <c r="W8359" i="8"/>
  <c r="W8360" i="8"/>
  <c r="V8360" i="8" s="1"/>
  <c r="W8361" i="8"/>
  <c r="W8362" i="8"/>
  <c r="W8363" i="8"/>
  <c r="W8364" i="8"/>
  <c r="W8365" i="8"/>
  <c r="W8366" i="8"/>
  <c r="W8367" i="8"/>
  <c r="W8368" i="8"/>
  <c r="W8369" i="8"/>
  <c r="W8370" i="8"/>
  <c r="W8371" i="8"/>
  <c r="W8372" i="8"/>
  <c r="W8373" i="8"/>
  <c r="W8374" i="8"/>
  <c r="W8375" i="8"/>
  <c r="W8376" i="8"/>
  <c r="W8377" i="8"/>
  <c r="W8378" i="8"/>
  <c r="W8379" i="8"/>
  <c r="W8380" i="8"/>
  <c r="W8381" i="8"/>
  <c r="W8382" i="8"/>
  <c r="W8383" i="8"/>
  <c r="W8384" i="8"/>
  <c r="W8385" i="8"/>
  <c r="W8386" i="8"/>
  <c r="W8387" i="8"/>
  <c r="W8388" i="8"/>
  <c r="W8389" i="8"/>
  <c r="W8390" i="8"/>
  <c r="W8391" i="8"/>
  <c r="W8392" i="8"/>
  <c r="V8392" i="8" s="1"/>
  <c r="W8393" i="8"/>
  <c r="W8394" i="8"/>
  <c r="W8395" i="8"/>
  <c r="W8396" i="8"/>
  <c r="W8397" i="8"/>
  <c r="W8398" i="8"/>
  <c r="W8399" i="8"/>
  <c r="W8400" i="8"/>
  <c r="W8401" i="8"/>
  <c r="W8402" i="8"/>
  <c r="W8403" i="8"/>
  <c r="W8404" i="8"/>
  <c r="W8405" i="8"/>
  <c r="W8406" i="8"/>
  <c r="W8407" i="8"/>
  <c r="W8408" i="8"/>
  <c r="V8408" i="8" s="1"/>
  <c r="W8409" i="8"/>
  <c r="W8410" i="8"/>
  <c r="W8411" i="8"/>
  <c r="W8412" i="8"/>
  <c r="W8413" i="8"/>
  <c r="W8414" i="8"/>
  <c r="W8415" i="8"/>
  <c r="W8416" i="8"/>
  <c r="W8417" i="8"/>
  <c r="W8418" i="8"/>
  <c r="W8419" i="8"/>
  <c r="W8420" i="8"/>
  <c r="W8421" i="8"/>
  <c r="W8422" i="8"/>
  <c r="W8423" i="8"/>
  <c r="W8424" i="8"/>
  <c r="V8424" i="8" s="1"/>
  <c r="W8425" i="8"/>
  <c r="W8426" i="8"/>
  <c r="W8427" i="8"/>
  <c r="W8428" i="8"/>
  <c r="W8429" i="8"/>
  <c r="W8430" i="8"/>
  <c r="W8431" i="8"/>
  <c r="W8432" i="8"/>
  <c r="W8433" i="8"/>
  <c r="W8434" i="8"/>
  <c r="W8435" i="8"/>
  <c r="W8436" i="8"/>
  <c r="W8437" i="8"/>
  <c r="W8438" i="8"/>
  <c r="W8439" i="8"/>
  <c r="W8440" i="8"/>
  <c r="W8441" i="8"/>
  <c r="W8442" i="8"/>
  <c r="W8443" i="8"/>
  <c r="W8444" i="8"/>
  <c r="W8445" i="8"/>
  <c r="W8446" i="8"/>
  <c r="W8447" i="8"/>
  <c r="W8448" i="8"/>
  <c r="W8449" i="8"/>
  <c r="W8450" i="8"/>
  <c r="W8451" i="8"/>
  <c r="W8452" i="8"/>
  <c r="W8453" i="8"/>
  <c r="W8454" i="8"/>
  <c r="W8455" i="8"/>
  <c r="W8456" i="8"/>
  <c r="V8456" i="8" s="1"/>
  <c r="W8457" i="8"/>
  <c r="W8458" i="8"/>
  <c r="W8459" i="8"/>
  <c r="W8460" i="8"/>
  <c r="W8461" i="8"/>
  <c r="W8462" i="8"/>
  <c r="W8463" i="8"/>
  <c r="W8464" i="8"/>
  <c r="W8465" i="8"/>
  <c r="W8466" i="8"/>
  <c r="W8467" i="8"/>
  <c r="W8468" i="8"/>
  <c r="W8469" i="8"/>
  <c r="W8470" i="8"/>
  <c r="W8471" i="8"/>
  <c r="W8472" i="8"/>
  <c r="V8472" i="8" s="1"/>
  <c r="W8473" i="8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W8490" i="8"/>
  <c r="W8491" i="8"/>
  <c r="W8492" i="8"/>
  <c r="W8493" i="8"/>
  <c r="W8494" i="8"/>
  <c r="W8495" i="8"/>
  <c r="W8496" i="8"/>
  <c r="W8497" i="8"/>
  <c r="W8498" i="8"/>
  <c r="W8499" i="8"/>
  <c r="W8500" i="8"/>
  <c r="W8501" i="8"/>
  <c r="W8502" i="8"/>
  <c r="W8503" i="8"/>
  <c r="W8504" i="8"/>
  <c r="W8505" i="8"/>
  <c r="W8506" i="8"/>
  <c r="W8507" i="8"/>
  <c r="W8508" i="8"/>
  <c r="W8509" i="8"/>
  <c r="W8510" i="8"/>
  <c r="W8511" i="8"/>
  <c r="W8512" i="8"/>
  <c r="W8513" i="8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W8525" i="8"/>
  <c r="W8526" i="8"/>
  <c r="W8527" i="8"/>
  <c r="W8528" i="8"/>
  <c r="W8529" i="8"/>
  <c r="W8530" i="8"/>
  <c r="W8531" i="8"/>
  <c r="W8532" i="8"/>
  <c r="W8533" i="8"/>
  <c r="W8534" i="8"/>
  <c r="W8535" i="8"/>
  <c r="W8536" i="8"/>
  <c r="V8536" i="8" s="1"/>
  <c r="W8537" i="8"/>
  <c r="W8538" i="8"/>
  <c r="W8539" i="8"/>
  <c r="W8540" i="8"/>
  <c r="W8541" i="8"/>
  <c r="W8542" i="8"/>
  <c r="W8543" i="8"/>
  <c r="W8544" i="8"/>
  <c r="W8545" i="8"/>
  <c r="W8546" i="8"/>
  <c r="W8547" i="8"/>
  <c r="W8548" i="8"/>
  <c r="W8549" i="8"/>
  <c r="W8550" i="8"/>
  <c r="W8551" i="8"/>
  <c r="W8552" i="8"/>
  <c r="V8552" i="8" s="1"/>
  <c r="W8553" i="8"/>
  <c r="W8554" i="8"/>
  <c r="W8555" i="8"/>
  <c r="W8556" i="8"/>
  <c r="W8557" i="8"/>
  <c r="W8558" i="8"/>
  <c r="W8559" i="8"/>
  <c r="W8560" i="8"/>
  <c r="W8561" i="8"/>
  <c r="W8562" i="8"/>
  <c r="W8563" i="8"/>
  <c r="W8564" i="8"/>
  <c r="W8565" i="8"/>
  <c r="W8566" i="8"/>
  <c r="W8567" i="8"/>
  <c r="W8568" i="8"/>
  <c r="W8569" i="8"/>
  <c r="W8570" i="8"/>
  <c r="W8571" i="8"/>
  <c r="W8572" i="8"/>
  <c r="W8573" i="8"/>
  <c r="W8574" i="8"/>
  <c r="W8575" i="8"/>
  <c r="W8576" i="8"/>
  <c r="W8577" i="8"/>
  <c r="W8578" i="8"/>
  <c r="W8579" i="8"/>
  <c r="W8580" i="8"/>
  <c r="W8581" i="8"/>
  <c r="W8582" i="8"/>
  <c r="W8583" i="8"/>
  <c r="W8584" i="8"/>
  <c r="V8584" i="8" s="1"/>
  <c r="W8585" i="8"/>
  <c r="W8586" i="8"/>
  <c r="W8587" i="8"/>
  <c r="W8588" i="8"/>
  <c r="W8589" i="8"/>
  <c r="W8590" i="8"/>
  <c r="W8591" i="8"/>
  <c r="W8592" i="8"/>
  <c r="V8592" i="8" s="1"/>
  <c r="W8593" i="8"/>
  <c r="W8594" i="8"/>
  <c r="W8595" i="8"/>
  <c r="W8596" i="8"/>
  <c r="W8597" i="8"/>
  <c r="W8598" i="8"/>
  <c r="W8599" i="8"/>
  <c r="W8600" i="8"/>
  <c r="V8600" i="8" s="1"/>
  <c r="W8601" i="8"/>
  <c r="W8602" i="8"/>
  <c r="W8603" i="8"/>
  <c r="W8604" i="8"/>
  <c r="W8605" i="8"/>
  <c r="W8606" i="8"/>
  <c r="W8607" i="8"/>
  <c r="W8608" i="8"/>
  <c r="W8609" i="8"/>
  <c r="W8610" i="8"/>
  <c r="W8611" i="8"/>
  <c r="W8612" i="8"/>
  <c r="W8613" i="8"/>
  <c r="W8614" i="8"/>
  <c r="W8615" i="8"/>
  <c r="W8616" i="8"/>
  <c r="V8616" i="8" s="1"/>
  <c r="W8617" i="8"/>
  <c r="W8618" i="8"/>
  <c r="W8619" i="8"/>
  <c r="W8620" i="8"/>
  <c r="W8621" i="8"/>
  <c r="W8622" i="8"/>
  <c r="W8623" i="8"/>
  <c r="W8624" i="8"/>
  <c r="V8624" i="8" s="1"/>
  <c r="W8625" i="8"/>
  <c r="W8626" i="8"/>
  <c r="W8627" i="8"/>
  <c r="W8628" i="8"/>
  <c r="W8629" i="8"/>
  <c r="W8630" i="8"/>
  <c r="W8631" i="8"/>
  <c r="W8632" i="8"/>
  <c r="W8633" i="8"/>
  <c r="W8634" i="8"/>
  <c r="W8635" i="8"/>
  <c r="W8636" i="8"/>
  <c r="W8637" i="8"/>
  <c r="W8638" i="8"/>
  <c r="W8639" i="8"/>
  <c r="W8640" i="8"/>
  <c r="W8641" i="8"/>
  <c r="W8642" i="8"/>
  <c r="W8643" i="8"/>
  <c r="W8644" i="8"/>
  <c r="W8645" i="8"/>
  <c r="W8646" i="8"/>
  <c r="W8647" i="8"/>
  <c r="W8648" i="8"/>
  <c r="V8648" i="8" s="1"/>
  <c r="W8649" i="8"/>
  <c r="W8650" i="8"/>
  <c r="W8651" i="8"/>
  <c r="W8652" i="8"/>
  <c r="W8653" i="8"/>
  <c r="W8654" i="8"/>
  <c r="W8655" i="8"/>
  <c r="W8656" i="8"/>
  <c r="V8656" i="8" s="1"/>
  <c r="W8657" i="8"/>
  <c r="W8658" i="8"/>
  <c r="W8659" i="8"/>
  <c r="W8660" i="8"/>
  <c r="W8661" i="8"/>
  <c r="W8662" i="8"/>
  <c r="W8663" i="8"/>
  <c r="W8664" i="8"/>
  <c r="V8664" i="8" s="1"/>
  <c r="W8665" i="8"/>
  <c r="W8666" i="8"/>
  <c r="W8667" i="8"/>
  <c r="W8668" i="8"/>
  <c r="W8669" i="8"/>
  <c r="W8670" i="8"/>
  <c r="W8671" i="8"/>
  <c r="W8672" i="8"/>
  <c r="W8673" i="8"/>
  <c r="W8674" i="8"/>
  <c r="W8675" i="8"/>
  <c r="W8676" i="8"/>
  <c r="W8677" i="8"/>
  <c r="W8678" i="8"/>
  <c r="W8679" i="8"/>
  <c r="W8680" i="8"/>
  <c r="V8680" i="8" s="1"/>
  <c r="W8681" i="8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W8698" i="8"/>
  <c r="W8699" i="8"/>
  <c r="W8700" i="8"/>
  <c r="W8701" i="8"/>
  <c r="W8702" i="8"/>
  <c r="W8703" i="8"/>
  <c r="W8704" i="8"/>
  <c r="W8705" i="8"/>
  <c r="W8706" i="8"/>
  <c r="W8707" i="8"/>
  <c r="W8708" i="8"/>
  <c r="W8709" i="8"/>
  <c r="W8710" i="8"/>
  <c r="W8711" i="8"/>
  <c r="W8712" i="8"/>
  <c r="V8712" i="8" s="1"/>
  <c r="W8713" i="8"/>
  <c r="W8714" i="8"/>
  <c r="W8715" i="8"/>
  <c r="W8716" i="8"/>
  <c r="W8717" i="8"/>
  <c r="W8718" i="8"/>
  <c r="W8719" i="8"/>
  <c r="W8720" i="8"/>
  <c r="V8720" i="8" s="1"/>
  <c r="W8721" i="8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W8738" i="8"/>
  <c r="W8739" i="8"/>
  <c r="W8740" i="8"/>
  <c r="W8741" i="8"/>
  <c r="W8742" i="8"/>
  <c r="W8743" i="8"/>
  <c r="W8744" i="8"/>
  <c r="V8744" i="8" s="1"/>
  <c r="W8745" i="8"/>
  <c r="W8746" i="8"/>
  <c r="W8747" i="8"/>
  <c r="W8748" i="8"/>
  <c r="W8749" i="8"/>
  <c r="W8750" i="8"/>
  <c r="W8751" i="8"/>
  <c r="W8752" i="8"/>
  <c r="V8752" i="8" s="1"/>
  <c r="W8753" i="8"/>
  <c r="W8754" i="8"/>
  <c r="W8755" i="8"/>
  <c r="W8756" i="8"/>
  <c r="W8757" i="8"/>
  <c r="W8758" i="8"/>
  <c r="W8759" i="8"/>
  <c r="W8760" i="8"/>
  <c r="W8761" i="8"/>
  <c r="W8762" i="8"/>
  <c r="W8763" i="8"/>
  <c r="W8764" i="8"/>
  <c r="W8765" i="8"/>
  <c r="W8766" i="8"/>
  <c r="W8767" i="8"/>
  <c r="W8768" i="8"/>
  <c r="W8769" i="8"/>
  <c r="W8770" i="8"/>
  <c r="W8771" i="8"/>
  <c r="W8772" i="8"/>
  <c r="W8773" i="8"/>
  <c r="W8774" i="8"/>
  <c r="W8775" i="8"/>
  <c r="W8776" i="8"/>
  <c r="V8776" i="8" s="1"/>
  <c r="W8777" i="8"/>
  <c r="W8778" i="8"/>
  <c r="W8779" i="8"/>
  <c r="W8780" i="8"/>
  <c r="W8781" i="8"/>
  <c r="W8782" i="8"/>
  <c r="W8783" i="8"/>
  <c r="W8784" i="8"/>
  <c r="V8784" i="8" s="1"/>
  <c r="W8785" i="8"/>
  <c r="W8786" i="8"/>
  <c r="W8787" i="8"/>
  <c r="W8788" i="8"/>
  <c r="W8789" i="8"/>
  <c r="W8790" i="8"/>
  <c r="W8791" i="8"/>
  <c r="W8792" i="8"/>
  <c r="V8792" i="8" s="1"/>
  <c r="W8793" i="8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W8810" i="8"/>
  <c r="W8811" i="8"/>
  <c r="W8812" i="8"/>
  <c r="W8813" i="8"/>
  <c r="W8814" i="8"/>
  <c r="W8815" i="8"/>
  <c r="W8816" i="8"/>
  <c r="V8816" i="8" s="1"/>
  <c r="W8817" i="8"/>
  <c r="W8818" i="8"/>
  <c r="W8819" i="8"/>
  <c r="W8820" i="8"/>
  <c r="W8821" i="8"/>
  <c r="W8822" i="8"/>
  <c r="W8823" i="8"/>
  <c r="W8824" i="8"/>
  <c r="W8825" i="8"/>
  <c r="W8826" i="8"/>
  <c r="W8827" i="8"/>
  <c r="W8828" i="8"/>
  <c r="W8829" i="8"/>
  <c r="W8830" i="8"/>
  <c r="W8831" i="8"/>
  <c r="W8832" i="8"/>
  <c r="W8833" i="8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W8850" i="8"/>
  <c r="W8851" i="8"/>
  <c r="W8852" i="8"/>
  <c r="W8853" i="8"/>
  <c r="W8854" i="8"/>
  <c r="W8855" i="8"/>
  <c r="W8856" i="8"/>
  <c r="V8856" i="8" s="1"/>
  <c r="W8857" i="8"/>
  <c r="W8858" i="8"/>
  <c r="W8859" i="8"/>
  <c r="W8860" i="8"/>
  <c r="W8861" i="8"/>
  <c r="W8862" i="8"/>
  <c r="W8863" i="8"/>
  <c r="W8864" i="8"/>
  <c r="V8864" i="8" s="1"/>
  <c r="W8865" i="8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W8882" i="8"/>
  <c r="W8883" i="8"/>
  <c r="W8884" i="8"/>
  <c r="W8885" i="8"/>
  <c r="W8886" i="8"/>
  <c r="W8887" i="8"/>
  <c r="W8888" i="8"/>
  <c r="W8889" i="8"/>
  <c r="W8890" i="8"/>
  <c r="W8891" i="8"/>
  <c r="W8892" i="8"/>
  <c r="W8893" i="8"/>
  <c r="W8894" i="8"/>
  <c r="W8895" i="8"/>
  <c r="W8896" i="8"/>
  <c r="W8897" i="8"/>
  <c r="W8898" i="8"/>
  <c r="W8899" i="8"/>
  <c r="W8900" i="8"/>
  <c r="W8901" i="8"/>
  <c r="W8902" i="8"/>
  <c r="W8903" i="8"/>
  <c r="W8904" i="8"/>
  <c r="V8904" i="8" s="1"/>
  <c r="W8905" i="8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W8922" i="8"/>
  <c r="W8923" i="8"/>
  <c r="W8924" i="8"/>
  <c r="W8925" i="8"/>
  <c r="W8926" i="8"/>
  <c r="W8927" i="8"/>
  <c r="W8928" i="8"/>
  <c r="V8928" i="8" s="1"/>
  <c r="W8929" i="8"/>
  <c r="W8930" i="8"/>
  <c r="W8931" i="8"/>
  <c r="W8932" i="8"/>
  <c r="W8933" i="8"/>
  <c r="W8934" i="8"/>
  <c r="W8935" i="8"/>
  <c r="W8936" i="8"/>
  <c r="V8936" i="8" s="1"/>
  <c r="W8937" i="8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W8953" i="8"/>
  <c r="W8954" i="8"/>
  <c r="W8955" i="8"/>
  <c r="W8956" i="8"/>
  <c r="W8957" i="8"/>
  <c r="W8958" i="8"/>
  <c r="W8959" i="8"/>
  <c r="W8960" i="8"/>
  <c r="W8961" i="8"/>
  <c r="W8962" i="8"/>
  <c r="W8963" i="8"/>
  <c r="W8964" i="8"/>
  <c r="W8965" i="8"/>
  <c r="W8966" i="8"/>
  <c r="W8967" i="8"/>
  <c r="W8968" i="8"/>
  <c r="V8968" i="8" s="1"/>
  <c r="W8969" i="8"/>
  <c r="W8970" i="8"/>
  <c r="W8971" i="8"/>
  <c r="W8972" i="8"/>
  <c r="W8973" i="8"/>
  <c r="W8974" i="8"/>
  <c r="W8975" i="8"/>
  <c r="W8976" i="8"/>
  <c r="V8976" i="8" s="1"/>
  <c r="W8977" i="8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W8994" i="8"/>
  <c r="W8995" i="8"/>
  <c r="W8996" i="8"/>
  <c r="W8997" i="8"/>
  <c r="W8998" i="8"/>
  <c r="W8999" i="8"/>
  <c r="W9000" i="8"/>
  <c r="V9000" i="8" s="1"/>
  <c r="W9001" i="8"/>
  <c r="W9002" i="8"/>
  <c r="W9003" i="8"/>
  <c r="W9004" i="8"/>
  <c r="W9005" i="8"/>
  <c r="W9006" i="8"/>
  <c r="W9007" i="8"/>
  <c r="W9008" i="8"/>
  <c r="V9008" i="8" s="1"/>
  <c r="W9009" i="8"/>
  <c r="W9010" i="8"/>
  <c r="W9011" i="8"/>
  <c r="W9012" i="8"/>
  <c r="W9013" i="8"/>
  <c r="W9014" i="8"/>
  <c r="W9015" i="8"/>
  <c r="W9016" i="8"/>
  <c r="W9017" i="8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W9034" i="8"/>
  <c r="W9035" i="8"/>
  <c r="W9036" i="8"/>
  <c r="W9037" i="8"/>
  <c r="W9038" i="8"/>
  <c r="W9039" i="8"/>
  <c r="W9040" i="8"/>
  <c r="V9040" i="8" s="1"/>
  <c r="W9041" i="8"/>
  <c r="W9042" i="8"/>
  <c r="W9043" i="8"/>
  <c r="W9044" i="8"/>
  <c r="W9045" i="8"/>
  <c r="W9046" i="8"/>
  <c r="W9047" i="8"/>
  <c r="W9048" i="8"/>
  <c r="V9048" i="8" s="1"/>
  <c r="W9049" i="8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W9066" i="8"/>
  <c r="W9067" i="8"/>
  <c r="W9068" i="8"/>
  <c r="W9069" i="8"/>
  <c r="W9070" i="8"/>
  <c r="W9071" i="8"/>
  <c r="W9072" i="8"/>
  <c r="V9072" i="8" s="1"/>
  <c r="W9073" i="8"/>
  <c r="W9074" i="8"/>
  <c r="W9075" i="8"/>
  <c r="W9076" i="8"/>
  <c r="W9077" i="8"/>
  <c r="W9078" i="8"/>
  <c r="W9079" i="8"/>
  <c r="W9080" i="8"/>
  <c r="W9081" i="8"/>
  <c r="W9082" i="8"/>
  <c r="W9083" i="8"/>
  <c r="W9084" i="8"/>
  <c r="W9085" i="8"/>
  <c r="W9086" i="8"/>
  <c r="W9087" i="8"/>
  <c r="W9088" i="8"/>
  <c r="W9089" i="8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W9202" i="8"/>
  <c r="W9203" i="8"/>
  <c r="W9204" i="8"/>
  <c r="W9205" i="8"/>
  <c r="W9206" i="8"/>
  <c r="W9207" i="8"/>
  <c r="W9208" i="8"/>
  <c r="V9208" i="8" s="1"/>
  <c r="W9209" i="8"/>
  <c r="W9210" i="8"/>
  <c r="W9211" i="8"/>
  <c r="W9212" i="8"/>
  <c r="W9213" i="8"/>
  <c r="W9214" i="8"/>
  <c r="W9215" i="8"/>
  <c r="W9216" i="8"/>
  <c r="V9216" i="8" s="1"/>
  <c r="W9217" i="8"/>
  <c r="W9218" i="8"/>
  <c r="W9219" i="8"/>
  <c r="W9220" i="8"/>
  <c r="W9221" i="8"/>
  <c r="W9222" i="8"/>
  <c r="W9223" i="8"/>
  <c r="W9224" i="8"/>
  <c r="V9224" i="8" s="1"/>
  <c r="W9225" i="8"/>
  <c r="W9226" i="8"/>
  <c r="W9227" i="8"/>
  <c r="W9228" i="8"/>
  <c r="W9229" i="8"/>
  <c r="W9230" i="8"/>
  <c r="W9231" i="8"/>
  <c r="W9232" i="8"/>
  <c r="V9232" i="8" s="1"/>
  <c r="W9233" i="8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W9250" i="8"/>
  <c r="W9251" i="8"/>
  <c r="W9252" i="8"/>
  <c r="W9253" i="8"/>
  <c r="W9254" i="8"/>
  <c r="W9255" i="8"/>
  <c r="W9256" i="8"/>
  <c r="V9256" i="8" s="1"/>
  <c r="W9257" i="8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W9274" i="8"/>
  <c r="W9275" i="8"/>
  <c r="W9276" i="8"/>
  <c r="W9277" i="8"/>
  <c r="V9277" i="8" s="1"/>
  <c r="W9278" i="8"/>
  <c r="W9279" i="8"/>
  <c r="V9279" i="8" s="1"/>
  <c r="W9280" i="8"/>
  <c r="V9280" i="8" s="1"/>
  <c r="W9281" i="8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W9290" i="8"/>
  <c r="W9291" i="8"/>
  <c r="W9292" i="8"/>
  <c r="W9293" i="8"/>
  <c r="V9293" i="8" s="1"/>
  <c r="W9294" i="8"/>
  <c r="W9295" i="8"/>
  <c r="V9295" i="8" s="1"/>
  <c r="W9296" i="8"/>
  <c r="V9296" i="8" s="1"/>
  <c r="W9297" i="8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W9306" i="8"/>
  <c r="W9307" i="8"/>
  <c r="W9308" i="8"/>
  <c r="W9309" i="8"/>
  <c r="V9309" i="8" s="1"/>
  <c r="W9310" i="8"/>
  <c r="W9311" i="8"/>
  <c r="V9311" i="8" s="1"/>
  <c r="W9312" i="8"/>
  <c r="V9312" i="8" s="1"/>
  <c r="W9313" i="8"/>
  <c r="W9314" i="8"/>
  <c r="W9315" i="8"/>
  <c r="V9315" i="8" s="1"/>
  <c r="W9316" i="8"/>
  <c r="W9317" i="8"/>
  <c r="V9317" i="8" s="1"/>
  <c r="W9318" i="8"/>
  <c r="W9319" i="8"/>
  <c r="V9319" i="8" s="1"/>
  <c r="W9320" i="8"/>
  <c r="V9320" i="8" s="1"/>
  <c r="W9321" i="8"/>
  <c r="W9322" i="8"/>
  <c r="W9323" i="8"/>
  <c r="W9324" i="8"/>
  <c r="W9325" i="8"/>
  <c r="V9325" i="8" s="1"/>
  <c r="W9326" i="8"/>
  <c r="W9327" i="8"/>
  <c r="V9327" i="8" s="1"/>
  <c r="W9328" i="8"/>
  <c r="V9328" i="8" s="1"/>
  <c r="W9329" i="8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W9338" i="8"/>
  <c r="W9339" i="8"/>
  <c r="W9340" i="8"/>
  <c r="W9341" i="8"/>
  <c r="V9341" i="8" s="1"/>
  <c r="W9342" i="8"/>
  <c r="W9343" i="8"/>
  <c r="V9343" i="8" s="1"/>
  <c r="W9344" i="8"/>
  <c r="V9344" i="8" s="1"/>
  <c r="W9345" i="8"/>
  <c r="W9346" i="8"/>
  <c r="W9347" i="8"/>
  <c r="V9347" i="8" s="1"/>
  <c r="W9348" i="8"/>
  <c r="W9349" i="8"/>
  <c r="V9349" i="8" s="1"/>
  <c r="W9350" i="8"/>
  <c r="W9351" i="8"/>
  <c r="V9351" i="8" s="1"/>
  <c r="W9352" i="8"/>
  <c r="V9352" i="8" s="1"/>
  <c r="W9353" i="8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W9362" i="8"/>
  <c r="W9363" i="8"/>
  <c r="V9363" i="8" s="1"/>
  <c r="W9364" i="8"/>
  <c r="W9365" i="8"/>
  <c r="V9365" i="8" s="1"/>
  <c r="W9366" i="8"/>
  <c r="W9367" i="8"/>
  <c r="V9367" i="8" s="1"/>
  <c r="W9368" i="8"/>
  <c r="V9368" i="8" s="1"/>
  <c r="W9369" i="8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W9378" i="8"/>
  <c r="W9379" i="8"/>
  <c r="V9379" i="8" s="1"/>
  <c r="W9380" i="8"/>
  <c r="W9381" i="8"/>
  <c r="V9381" i="8" s="1"/>
  <c r="W9382" i="8"/>
  <c r="W9383" i="8"/>
  <c r="V9383" i="8" s="1"/>
  <c r="W9384" i="8"/>
  <c r="V9384" i="8" s="1"/>
  <c r="W9385" i="8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W9394" i="8"/>
  <c r="W9395" i="8"/>
  <c r="V9395" i="8" s="1"/>
  <c r="W9396" i="8"/>
  <c r="W9397" i="8"/>
  <c r="V9397" i="8" s="1"/>
  <c r="W9398" i="8"/>
  <c r="W9399" i="8"/>
  <c r="V9399" i="8" s="1"/>
  <c r="W9400" i="8"/>
  <c r="V9400" i="8" s="1"/>
  <c r="W9401" i="8"/>
  <c r="W9402" i="8"/>
  <c r="W9403" i="8"/>
  <c r="W9404" i="8"/>
  <c r="W9405" i="8"/>
  <c r="V9405" i="8" s="1"/>
  <c r="W9406" i="8"/>
  <c r="W9407" i="8"/>
  <c r="V9407" i="8" s="1"/>
  <c r="W9408" i="8"/>
  <c r="V9408" i="8" s="1"/>
  <c r="W9409" i="8"/>
  <c r="W9410" i="8"/>
  <c r="W9411" i="8"/>
  <c r="V9411" i="8" s="1"/>
  <c r="W9412" i="8"/>
  <c r="W9413" i="8"/>
  <c r="V9413" i="8" s="1"/>
  <c r="W9414" i="8"/>
  <c r="W9415" i="8"/>
  <c r="V9415" i="8" s="1"/>
  <c r="W9416" i="8"/>
  <c r="V9416" i="8" s="1"/>
  <c r="W9417" i="8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W9426" i="8"/>
  <c r="W9427" i="8"/>
  <c r="V9427" i="8" s="1"/>
  <c r="W9428" i="8"/>
  <c r="W9429" i="8"/>
  <c r="V9429" i="8" s="1"/>
  <c r="W9430" i="8"/>
  <c r="W9431" i="8"/>
  <c r="V9431" i="8" s="1"/>
  <c r="W9432" i="8"/>
  <c r="V9432" i="8" s="1"/>
  <c r="W9433" i="8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W9450" i="8"/>
  <c r="W9451" i="8"/>
  <c r="W9452" i="8"/>
  <c r="W9453" i="8"/>
  <c r="V9453" i="8" s="1"/>
  <c r="W9454" i="8"/>
  <c r="W9455" i="8"/>
  <c r="V9455" i="8" s="1"/>
  <c r="W9456" i="8"/>
  <c r="V9456" i="8" s="1"/>
  <c r="W9457" i="8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W9466" i="8"/>
  <c r="W9467" i="8"/>
  <c r="W9468" i="8"/>
  <c r="W9469" i="8"/>
  <c r="V9469" i="8" s="1"/>
  <c r="W9470" i="8"/>
  <c r="W9471" i="8"/>
  <c r="V9471" i="8" s="1"/>
  <c r="W9472" i="8"/>
  <c r="V9472" i="8" s="1"/>
  <c r="W9473" i="8"/>
  <c r="W9474" i="8"/>
  <c r="W9475" i="8"/>
  <c r="V9475" i="8" s="1"/>
  <c r="W9476" i="8"/>
  <c r="W9477" i="8"/>
  <c r="V9477" i="8" s="1"/>
  <c r="W9478" i="8"/>
  <c r="W9479" i="8"/>
  <c r="V9479" i="8" s="1"/>
  <c r="W9480" i="8"/>
  <c r="V9480" i="8" s="1"/>
  <c r="W9481" i="8"/>
  <c r="W9482" i="8"/>
  <c r="W9483" i="8"/>
  <c r="V9483" i="8" s="1"/>
  <c r="W9484" i="8"/>
  <c r="W9485" i="8"/>
  <c r="V9485" i="8" s="1"/>
  <c r="W9486" i="8"/>
  <c r="W9487" i="8"/>
  <c r="V9487" i="8" s="1"/>
  <c r="W9488" i="8"/>
  <c r="V9488" i="8" s="1"/>
  <c r="W9489" i="8"/>
  <c r="W9490" i="8"/>
  <c r="W9491" i="8"/>
  <c r="V9491" i="8" s="1"/>
  <c r="W9492" i="8"/>
  <c r="W9493" i="8"/>
  <c r="V9493" i="8" s="1"/>
  <c r="W9494" i="8"/>
  <c r="W9495" i="8"/>
  <c r="V9495" i="8" s="1"/>
  <c r="W9496" i="8"/>
  <c r="V9496" i="8" s="1"/>
  <c r="W9497" i="8"/>
  <c r="W9498" i="8"/>
  <c r="W9499" i="8"/>
  <c r="W9500" i="8"/>
  <c r="W9501" i="8"/>
  <c r="V9501" i="8" s="1"/>
  <c r="W9502" i="8"/>
  <c r="W9503" i="8"/>
  <c r="V9503" i="8" s="1"/>
  <c r="W9504" i="8"/>
  <c r="V9504" i="8" s="1"/>
  <c r="W9505" i="8"/>
  <c r="W9506" i="8"/>
  <c r="W9507" i="8"/>
  <c r="V9507" i="8" s="1"/>
  <c r="W9508" i="8"/>
  <c r="W9509" i="8"/>
  <c r="V9509" i="8" s="1"/>
  <c r="W9510" i="8"/>
  <c r="W9511" i="8"/>
  <c r="V9511" i="8" s="1"/>
  <c r="W9512" i="8"/>
  <c r="V9512" i="8" s="1"/>
  <c r="W9513" i="8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W9522" i="8"/>
  <c r="W9523" i="8"/>
  <c r="V9523" i="8" s="1"/>
  <c r="W9524" i="8"/>
  <c r="W9525" i="8"/>
  <c r="V9525" i="8" s="1"/>
  <c r="W9526" i="8"/>
  <c r="W9527" i="8"/>
  <c r="V9527" i="8" s="1"/>
  <c r="W9528" i="8"/>
  <c r="V9528" i="8" s="1"/>
  <c r="W9529" i="8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W9546" i="8"/>
  <c r="W9547" i="8"/>
  <c r="W9548" i="8"/>
  <c r="W9549" i="8"/>
  <c r="V9549" i="8" s="1"/>
  <c r="W9550" i="8"/>
  <c r="W9551" i="8"/>
  <c r="V9551" i="8" s="1"/>
  <c r="W9552" i="8"/>
  <c r="V9552" i="8" s="1"/>
  <c r="W9553" i="8"/>
  <c r="W9554" i="8"/>
  <c r="W9555" i="8"/>
  <c r="V9555" i="8" s="1"/>
  <c r="W9556" i="8"/>
  <c r="W9557" i="8"/>
  <c r="V9557" i="8" s="1"/>
  <c r="W9558" i="8"/>
  <c r="W9559" i="8"/>
  <c r="V9559" i="8" s="1"/>
  <c r="W9560" i="8"/>
  <c r="V9560" i="8" s="1"/>
  <c r="W9561" i="8"/>
  <c r="W9562" i="8"/>
  <c r="W9563" i="8"/>
  <c r="W9564" i="8"/>
  <c r="W9565" i="8"/>
  <c r="V9565" i="8" s="1"/>
  <c r="W9566" i="8"/>
  <c r="W9567" i="8"/>
  <c r="V9567" i="8" s="1"/>
  <c r="W9568" i="8"/>
  <c r="V9568" i="8" s="1"/>
  <c r="W9569" i="8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W9586" i="8"/>
  <c r="W9587" i="8"/>
  <c r="V9587" i="8" s="1"/>
  <c r="W9588" i="8"/>
  <c r="W9589" i="8"/>
  <c r="V9589" i="8" s="1"/>
  <c r="W9590" i="8"/>
  <c r="W9591" i="8"/>
  <c r="V9591" i="8" s="1"/>
  <c r="W9592" i="8"/>
  <c r="V9592" i="8" s="1"/>
  <c r="W9593" i="8"/>
  <c r="W9594" i="8"/>
  <c r="W9595" i="8"/>
  <c r="W9596" i="8"/>
  <c r="W9597" i="8"/>
  <c r="V9597" i="8" s="1"/>
  <c r="W9598" i="8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W9607" i="8"/>
  <c r="V9607" i="8" s="1"/>
  <c r="W9608" i="8"/>
  <c r="V9608" i="8" s="1"/>
  <c r="W9609" i="8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W9618" i="8"/>
  <c r="W9619" i="8"/>
  <c r="V9619" i="8" s="1"/>
  <c r="W9620" i="8"/>
  <c r="W9621" i="8"/>
  <c r="V9621" i="8" s="1"/>
  <c r="W9622" i="8"/>
  <c r="W9623" i="8"/>
  <c r="V9623" i="8" s="1"/>
  <c r="W9624" i="8"/>
  <c r="V9624" i="8" s="1"/>
  <c r="W9625" i="8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W9642" i="8"/>
  <c r="W9643" i="8"/>
  <c r="W9644" i="8"/>
  <c r="W9645" i="8"/>
  <c r="V9645" i="8" s="1"/>
  <c r="W9646" i="8"/>
  <c r="W9647" i="8"/>
  <c r="V9647" i="8" s="1"/>
  <c r="W9648" i="8"/>
  <c r="V9648" i="8" s="1"/>
  <c r="W9649" i="8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W9658" i="8"/>
  <c r="W9659" i="8"/>
  <c r="V9659" i="8" s="1"/>
  <c r="W9660" i="8"/>
  <c r="W9661" i="8"/>
  <c r="V9661" i="8" s="1"/>
  <c r="W9662" i="8"/>
  <c r="W9663" i="8"/>
  <c r="V9663" i="8" s="1"/>
  <c r="W9664" i="8"/>
  <c r="V9664" i="8" s="1"/>
  <c r="W9665" i="8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W9674" i="8"/>
  <c r="W9675" i="8"/>
  <c r="W9676" i="8"/>
  <c r="W9677" i="8"/>
  <c r="V9677" i="8" s="1"/>
  <c r="W9678" i="8"/>
  <c r="W9679" i="8"/>
  <c r="V9679" i="8" s="1"/>
  <c r="W9680" i="8"/>
  <c r="V9680" i="8" s="1"/>
  <c r="W9681" i="8"/>
  <c r="W9682" i="8"/>
  <c r="W9683" i="8"/>
  <c r="V9683" i="8" s="1"/>
  <c r="W9684" i="8"/>
  <c r="W9685" i="8"/>
  <c r="V9685" i="8" s="1"/>
  <c r="W9686" i="8"/>
  <c r="W9687" i="8"/>
  <c r="V9687" i="8" s="1"/>
  <c r="W9688" i="8"/>
  <c r="V9688" i="8" s="1"/>
  <c r="W9689" i="8"/>
  <c r="W9690" i="8"/>
  <c r="W9691" i="8"/>
  <c r="W9692" i="8"/>
  <c r="W9693" i="8"/>
  <c r="V9693" i="8" s="1"/>
  <c r="W9694" i="8"/>
  <c r="W9695" i="8"/>
  <c r="V9695" i="8" s="1"/>
  <c r="W9696" i="8"/>
  <c r="V9696" i="8" s="1"/>
  <c r="W9697" i="8"/>
  <c r="W9698" i="8"/>
  <c r="W9699" i="8"/>
  <c r="V9699" i="8" s="1"/>
  <c r="W9700" i="8"/>
  <c r="W9701" i="8"/>
  <c r="V9701" i="8" s="1"/>
  <c r="W9702" i="8"/>
  <c r="W9703" i="8"/>
  <c r="V9703" i="8" s="1"/>
  <c r="W9704" i="8"/>
  <c r="V9704" i="8" s="1"/>
  <c r="W9705" i="8"/>
  <c r="W9706" i="8"/>
  <c r="W9707" i="8"/>
  <c r="V9707" i="8" s="1"/>
  <c r="W9708" i="8"/>
  <c r="W9709" i="8"/>
  <c r="V9709" i="8" s="1"/>
  <c r="W9710" i="8"/>
  <c r="W9711" i="8"/>
  <c r="V9711" i="8" s="1"/>
  <c r="W9712" i="8"/>
  <c r="V9712" i="8" s="1"/>
  <c r="W9713" i="8"/>
  <c r="W9714" i="8"/>
  <c r="W9715" i="8"/>
  <c r="V9715" i="8" s="1"/>
  <c r="W9716" i="8"/>
  <c r="W9717" i="8"/>
  <c r="V9717" i="8" s="1"/>
  <c r="W9718" i="8"/>
  <c r="W9719" i="8"/>
  <c r="V9719" i="8" s="1"/>
  <c r="W9720" i="8"/>
  <c r="V9720" i="8" s="1"/>
  <c r="W9721" i="8"/>
  <c r="W9722" i="8"/>
  <c r="W9723" i="8"/>
  <c r="W9724" i="8"/>
  <c r="W9725" i="8"/>
  <c r="V9725" i="8" s="1"/>
  <c r="W9726" i="8"/>
  <c r="W9727" i="8"/>
  <c r="V9727" i="8" s="1"/>
  <c r="W9728" i="8"/>
  <c r="V9728" i="8" s="1"/>
  <c r="W9729" i="8"/>
  <c r="W9730" i="8"/>
  <c r="W9731" i="8"/>
  <c r="V9731" i="8" s="1"/>
  <c r="W9732" i="8"/>
  <c r="W9733" i="8"/>
  <c r="V9733" i="8" s="1"/>
  <c r="W9734" i="8"/>
  <c r="W9735" i="8"/>
  <c r="V9735" i="8" s="1"/>
  <c r="W9736" i="8"/>
  <c r="V9736" i="8" s="1"/>
  <c r="W9737" i="8"/>
  <c r="W9738" i="8"/>
  <c r="W9739" i="8"/>
  <c r="V9739" i="8" s="1"/>
  <c r="W9740" i="8"/>
  <c r="W9741" i="8"/>
  <c r="V9741" i="8" s="1"/>
  <c r="W9742" i="8"/>
  <c r="W9743" i="8"/>
  <c r="V9743" i="8" s="1"/>
  <c r="W9744" i="8"/>
  <c r="V9744" i="8" s="1"/>
  <c r="W9745" i="8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W9754" i="8"/>
  <c r="W9755" i="8"/>
  <c r="W9756" i="8"/>
  <c r="W9757" i="8"/>
  <c r="V9757" i="8" s="1"/>
  <c r="W9758" i="8"/>
  <c r="W9759" i="8"/>
  <c r="V9759" i="8" s="1"/>
  <c r="W9760" i="8"/>
  <c r="V9760" i="8" s="1"/>
  <c r="W9761" i="8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W9770" i="8"/>
  <c r="W9771" i="8"/>
  <c r="W9772" i="8"/>
  <c r="W9773" i="8"/>
  <c r="V9773" i="8" s="1"/>
  <c r="W9774" i="8"/>
  <c r="W9775" i="8"/>
  <c r="V9775" i="8" s="1"/>
  <c r="W9776" i="8"/>
  <c r="V9776" i="8" s="1"/>
  <c r="W9777" i="8"/>
  <c r="W9778" i="8"/>
  <c r="W9779" i="8"/>
  <c r="V9779" i="8" s="1"/>
  <c r="W9780" i="8"/>
  <c r="W9781" i="8"/>
  <c r="V9781" i="8" s="1"/>
  <c r="W9782" i="8"/>
  <c r="W9783" i="8"/>
  <c r="V9783" i="8" s="1"/>
  <c r="W9784" i="8"/>
  <c r="V9784" i="8" s="1"/>
  <c r="W9785" i="8"/>
  <c r="W9786" i="8"/>
  <c r="W9787" i="8"/>
  <c r="V9787" i="8" s="1"/>
  <c r="W9788" i="8"/>
  <c r="W9789" i="8"/>
  <c r="V9789" i="8" s="1"/>
  <c r="W9790" i="8"/>
  <c r="W9791" i="8"/>
  <c r="V9791" i="8" s="1"/>
  <c r="W9792" i="8"/>
  <c r="V9792" i="8" s="1"/>
  <c r="W9793" i="8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W9802" i="8"/>
  <c r="W9803" i="8"/>
  <c r="W9804" i="8"/>
  <c r="W9805" i="8"/>
  <c r="V9805" i="8" s="1"/>
  <c r="W9806" i="8"/>
  <c r="W9807" i="8"/>
  <c r="V9807" i="8" s="1"/>
  <c r="W9808" i="8"/>
  <c r="V9808" i="8" s="1"/>
  <c r="W9809" i="8"/>
  <c r="W9810" i="8"/>
  <c r="W9811" i="8"/>
  <c r="W9812" i="8"/>
  <c r="W9813" i="8"/>
  <c r="V9813" i="8" s="1"/>
  <c r="W9814" i="8"/>
  <c r="W9815" i="8"/>
  <c r="V9815" i="8" s="1"/>
  <c r="W9816" i="8"/>
  <c r="V9816" i="8" s="1"/>
  <c r="W9817" i="8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W9826" i="8"/>
  <c r="V9826" i="8" s="1"/>
  <c r="W9827" i="8"/>
  <c r="V9827" i="8" s="1"/>
  <c r="W9828" i="8"/>
  <c r="W9829" i="8"/>
  <c r="V9829" i="8" s="1"/>
  <c r="W9830" i="8"/>
  <c r="W9831" i="8"/>
  <c r="V9831" i="8" s="1"/>
  <c r="W9832" i="8"/>
  <c r="V9832" i="8" s="1"/>
  <c r="W9833" i="8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W9842" i="8"/>
  <c r="V9842" i="8" s="1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W9850" i="8"/>
  <c r="W9851" i="8"/>
  <c r="V9851" i="8" s="1"/>
  <c r="W9852" i="8"/>
  <c r="W9853" i="8"/>
  <c r="V9853" i="8" s="1"/>
  <c r="W9854" i="8"/>
  <c r="W9855" i="8"/>
  <c r="V9855" i="8" s="1"/>
  <c r="W9856" i="8"/>
  <c r="V9856" i="8" s="1"/>
  <c r="W9857" i="8"/>
  <c r="W9858" i="8"/>
  <c r="V9858" i="8" s="1"/>
  <c r="W9859" i="8"/>
  <c r="V9859" i="8" s="1"/>
  <c r="W9860" i="8"/>
  <c r="W9861" i="8"/>
  <c r="V9861" i="8" s="1"/>
  <c r="W9862" i="8"/>
  <c r="W9863" i="8"/>
  <c r="V9863" i="8" s="1"/>
  <c r="W9864" i="8"/>
  <c r="V9864" i="8" s="1"/>
  <c r="W9865" i="8"/>
  <c r="W9866" i="8"/>
  <c r="W9867" i="8"/>
  <c r="V9867" i="8" s="1"/>
  <c r="W9868" i="8"/>
  <c r="W9869" i="8"/>
  <c r="V9869" i="8" s="1"/>
  <c r="W9870" i="8"/>
  <c r="W9871" i="8"/>
  <c r="V9871" i="8" s="1"/>
  <c r="W9872" i="8"/>
  <c r="V9872" i="8" s="1"/>
  <c r="W9873" i="8"/>
  <c r="W9874" i="8"/>
  <c r="V9874" i="8" s="1"/>
  <c r="W9875" i="8"/>
  <c r="W9876" i="8"/>
  <c r="W9877" i="8"/>
  <c r="V9877" i="8" s="1"/>
  <c r="W9878" i="8"/>
  <c r="W9879" i="8"/>
  <c r="V9879" i="8" s="1"/>
  <c r="W9880" i="8"/>
  <c r="V9880" i="8" s="1"/>
  <c r="W9881" i="8"/>
  <c r="W9882" i="8"/>
  <c r="V9882" i="8" s="1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W9890" i="8"/>
  <c r="W9891" i="8"/>
  <c r="V9891" i="8" s="1"/>
  <c r="W9892" i="8"/>
  <c r="W9893" i="8"/>
  <c r="V9893" i="8" s="1"/>
  <c r="W9894" i="8"/>
  <c r="W9895" i="8"/>
  <c r="V9895" i="8" s="1"/>
  <c r="W9896" i="8"/>
  <c r="V9896" i="8" s="1"/>
  <c r="W9897" i="8"/>
  <c r="W9898" i="8"/>
  <c r="V9898" i="8" s="1"/>
  <c r="W9899" i="8"/>
  <c r="V9899" i="8" s="1"/>
  <c r="W9900" i="8"/>
  <c r="W9901" i="8"/>
  <c r="V9901" i="8" s="1"/>
  <c r="W9902" i="8"/>
  <c r="W9903" i="8"/>
  <c r="V9903" i="8" s="1"/>
  <c r="W9904" i="8"/>
  <c r="V9904" i="8" s="1"/>
  <c r="W9905" i="8"/>
  <c r="W9906" i="8"/>
  <c r="W9907" i="8"/>
  <c r="W9908" i="8"/>
  <c r="W9909" i="8"/>
  <c r="V9909" i="8" s="1"/>
  <c r="W9910" i="8"/>
  <c r="W9911" i="8"/>
  <c r="V9911" i="8" s="1"/>
  <c r="W9912" i="8"/>
  <c r="V9912" i="8" s="1"/>
  <c r="W9913" i="8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W9922" i="8"/>
  <c r="V9922" i="8" s="1"/>
  <c r="W9923" i="8"/>
  <c r="W9924" i="8"/>
  <c r="W9925" i="8"/>
  <c r="V9925" i="8" s="1"/>
  <c r="W9926" i="8"/>
  <c r="W9927" i="8"/>
  <c r="V9927" i="8" s="1"/>
  <c r="W9928" i="8"/>
  <c r="V9928" i="8" s="1"/>
  <c r="W9929" i="8"/>
  <c r="W9930" i="8"/>
  <c r="V9930" i="8" s="1"/>
  <c r="W9931" i="8"/>
  <c r="V9931" i="8" s="1"/>
  <c r="W9932" i="8"/>
  <c r="W9933" i="8"/>
  <c r="V9933" i="8" s="1"/>
  <c r="W9934" i="8"/>
  <c r="W9935" i="8"/>
  <c r="V9935" i="8" s="1"/>
  <c r="W9936" i="8"/>
  <c r="V9936" i="8" s="1"/>
  <c r="W9937" i="8"/>
  <c r="W9938" i="8"/>
  <c r="W9939" i="8"/>
  <c r="V9939" i="8" s="1"/>
  <c r="W9940" i="8"/>
  <c r="W9941" i="8"/>
  <c r="V9941" i="8" s="1"/>
  <c r="W9942" i="8"/>
  <c r="W9943" i="8"/>
  <c r="V9943" i="8" s="1"/>
  <c r="W9944" i="8"/>
  <c r="V9944" i="8" s="1"/>
  <c r="W9945" i="8"/>
  <c r="W9946" i="8"/>
  <c r="V9946" i="8" s="1"/>
  <c r="W9947" i="8"/>
  <c r="V9947" i="8" s="1"/>
  <c r="W9948" i="8"/>
  <c r="W9949" i="8"/>
  <c r="V9949" i="8" s="1"/>
  <c r="W9950" i="8"/>
  <c r="W9951" i="8"/>
  <c r="W9952" i="8"/>
  <c r="V9952" i="8" s="1"/>
  <c r="W9953" i="8"/>
  <c r="W9954" i="8"/>
  <c r="V9954" i="8" s="1"/>
  <c r="W9955" i="8"/>
  <c r="V9955" i="8" s="1"/>
  <c r="W9956" i="8"/>
  <c r="W9957" i="8"/>
  <c r="V9957" i="8" s="1"/>
  <c r="W9958" i="8"/>
  <c r="W9959" i="8"/>
  <c r="V9959" i="8" s="1"/>
  <c r="W9960" i="8"/>
  <c r="V9960" i="8" s="1"/>
  <c r="W9961" i="8"/>
  <c r="W9962" i="8"/>
  <c r="V9962" i="8" s="1"/>
  <c r="W9963" i="8"/>
  <c r="V9963" i="8" s="1"/>
  <c r="W9964" i="8"/>
  <c r="W9965" i="8"/>
  <c r="V9965" i="8" s="1"/>
  <c r="W9966" i="8"/>
  <c r="W9967" i="8"/>
  <c r="V9967" i="8" s="1"/>
  <c r="W9968" i="8"/>
  <c r="V9968" i="8" s="1"/>
  <c r="W9969" i="8"/>
  <c r="W9970" i="8"/>
  <c r="V9970" i="8" s="1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W9978" i="8"/>
  <c r="V9978" i="8" s="1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W9986" i="8"/>
  <c r="W9987" i="8"/>
  <c r="V9987" i="8" s="1"/>
  <c r="W9988" i="8"/>
  <c r="W9989" i="8"/>
  <c r="V9989" i="8" s="1"/>
  <c r="W9990" i="8"/>
  <c r="W9991" i="8"/>
  <c r="V9991" i="8" s="1"/>
  <c r="W9992" i="8"/>
  <c r="V9992" i="8" s="1"/>
  <c r="W9993" i="8"/>
  <c r="W9994" i="8"/>
  <c r="W9995" i="8"/>
  <c r="V9995" i="8" s="1"/>
  <c r="W9996" i="8"/>
  <c r="W9997" i="8"/>
  <c r="V9997" i="8" s="1"/>
  <c r="W9998" i="8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5" i="8"/>
  <c r="V9266" i="8"/>
  <c r="V9268" i="8"/>
  <c r="V9270" i="8"/>
  <c r="V9273" i="8"/>
  <c r="V9274" i="8"/>
  <c r="V9275" i="8"/>
  <c r="V9276" i="8"/>
  <c r="V9278" i="8"/>
  <c r="V9281" i="8"/>
  <c r="V9282" i="8"/>
  <c r="V9284" i="8"/>
  <c r="V9286" i="8"/>
  <c r="V9289" i="8"/>
  <c r="V9290" i="8"/>
  <c r="V9291" i="8"/>
  <c r="V9292" i="8"/>
  <c r="V9294" i="8"/>
  <c r="V9297" i="8"/>
  <c r="V9298" i="8"/>
  <c r="V9300" i="8"/>
  <c r="V9302" i="8"/>
  <c r="V9305" i="8"/>
  <c r="V9306" i="8"/>
  <c r="V9307" i="8"/>
  <c r="V9308" i="8"/>
  <c r="V9310" i="8"/>
  <c r="V9313" i="8"/>
  <c r="V9314" i="8"/>
  <c r="V9316" i="8"/>
  <c r="V9318" i="8"/>
  <c r="V9321" i="8"/>
  <c r="V9322" i="8"/>
  <c r="V9323" i="8"/>
  <c r="V9324" i="8"/>
  <c r="V9326" i="8"/>
  <c r="V9329" i="8"/>
  <c r="V9330" i="8"/>
  <c r="V9332" i="8"/>
  <c r="V9334" i="8"/>
  <c r="V9337" i="8"/>
  <c r="V9338" i="8"/>
  <c r="V9339" i="8"/>
  <c r="V9340" i="8"/>
  <c r="V9342" i="8"/>
  <c r="V9345" i="8"/>
  <c r="V9346" i="8"/>
  <c r="V9348" i="8"/>
  <c r="V9350" i="8"/>
  <c r="V9353" i="8"/>
  <c r="V9354" i="8"/>
  <c r="V9355" i="8"/>
  <c r="V9356" i="8"/>
  <c r="V9358" i="8"/>
  <c r="V9361" i="8"/>
  <c r="V9362" i="8"/>
  <c r="V9364" i="8"/>
  <c r="V9366" i="8"/>
  <c r="V9369" i="8"/>
  <c r="V9370" i="8"/>
  <c r="V9371" i="8"/>
  <c r="V9372" i="8"/>
  <c r="V9374" i="8"/>
  <c r="V9377" i="8"/>
  <c r="V9378" i="8"/>
  <c r="V9380" i="8"/>
  <c r="V9382" i="8"/>
  <c r="V9385" i="8"/>
  <c r="V9386" i="8"/>
  <c r="V9387" i="8"/>
  <c r="V9388" i="8"/>
  <c r="V9390" i="8"/>
  <c r="V9393" i="8"/>
  <c r="V9394" i="8"/>
  <c r="V9396" i="8"/>
  <c r="V9398" i="8"/>
  <c r="V9401" i="8"/>
  <c r="V9402" i="8"/>
  <c r="V9403" i="8"/>
  <c r="V9404" i="8"/>
  <c r="V9406" i="8"/>
  <c r="V9409" i="8"/>
  <c r="V9410" i="8"/>
  <c r="V9412" i="8"/>
  <c r="V9414" i="8"/>
  <c r="V9417" i="8"/>
  <c r="V9418" i="8"/>
  <c r="V9419" i="8"/>
  <c r="V9420" i="8"/>
  <c r="V9422" i="8"/>
  <c r="V9425" i="8"/>
  <c r="V9426" i="8"/>
  <c r="V9428" i="8"/>
  <c r="V9430" i="8"/>
  <c r="V9433" i="8"/>
  <c r="V9434" i="8"/>
  <c r="V9435" i="8"/>
  <c r="V9436" i="8"/>
  <c r="V9438" i="8"/>
  <c r="V9441" i="8"/>
  <c r="V9442" i="8"/>
  <c r="V9444" i="8"/>
  <c r="V9446" i="8"/>
  <c r="V9449" i="8"/>
  <c r="V9450" i="8"/>
  <c r="V9451" i="8"/>
  <c r="V9452" i="8"/>
  <c r="V9454" i="8"/>
  <c r="V9457" i="8"/>
  <c r="V9458" i="8"/>
  <c r="V9460" i="8"/>
  <c r="V9462" i="8"/>
  <c r="V9465" i="8"/>
  <c r="V9466" i="8"/>
  <c r="V9467" i="8"/>
  <c r="V9468" i="8"/>
  <c r="V9470" i="8"/>
  <c r="V9473" i="8"/>
  <c r="V9474" i="8"/>
  <c r="V9476" i="8"/>
  <c r="V9478" i="8"/>
  <c r="V9481" i="8"/>
  <c r="V9482" i="8"/>
  <c r="V9484" i="8"/>
  <c r="V9486" i="8"/>
  <c r="V9489" i="8"/>
  <c r="V9490" i="8"/>
  <c r="V9492" i="8"/>
  <c r="V9494" i="8"/>
  <c r="V9497" i="8"/>
  <c r="V9498" i="8"/>
  <c r="V9499" i="8"/>
  <c r="V9500" i="8"/>
  <c r="V9502" i="8"/>
  <c r="V9505" i="8"/>
  <c r="V9506" i="8"/>
  <c r="V9508" i="8"/>
  <c r="V9510" i="8"/>
  <c r="V9513" i="8"/>
  <c r="V9514" i="8"/>
  <c r="V9515" i="8"/>
  <c r="V9516" i="8"/>
  <c r="V9518" i="8"/>
  <c r="V9521" i="8"/>
  <c r="V9522" i="8"/>
  <c r="V9524" i="8"/>
  <c r="V9526" i="8"/>
  <c r="V9529" i="8"/>
  <c r="V9530" i="8"/>
  <c r="V9532" i="8"/>
  <c r="V9534" i="8"/>
  <c r="V9537" i="8"/>
  <c r="V9538" i="8"/>
  <c r="V9540" i="8"/>
  <c r="V9542" i="8"/>
  <c r="V9545" i="8"/>
  <c r="V9546" i="8"/>
  <c r="V9547" i="8"/>
  <c r="V9548" i="8"/>
  <c r="V9550" i="8"/>
  <c r="V9553" i="8"/>
  <c r="V9554" i="8"/>
  <c r="V9556" i="8"/>
  <c r="V9558" i="8"/>
  <c r="V9561" i="8"/>
  <c r="V9562" i="8"/>
  <c r="V9563" i="8"/>
  <c r="V9564" i="8"/>
  <c r="V9566" i="8"/>
  <c r="V9569" i="8"/>
  <c r="V9570" i="8"/>
  <c r="V9572" i="8"/>
  <c r="V9574" i="8"/>
  <c r="V9577" i="8"/>
  <c r="V9578" i="8"/>
  <c r="V9580" i="8"/>
  <c r="V9582" i="8"/>
  <c r="V9585" i="8"/>
  <c r="V9586" i="8"/>
  <c r="V9588" i="8"/>
  <c r="V9590" i="8"/>
  <c r="V9593" i="8"/>
  <c r="V9594" i="8"/>
  <c r="V9595" i="8"/>
  <c r="V9596" i="8"/>
  <c r="V9598" i="8"/>
  <c r="V9601" i="8"/>
  <c r="V9602" i="8"/>
  <c r="V9604" i="8"/>
  <c r="V9606" i="8"/>
  <c r="V9609" i="8"/>
  <c r="V9610" i="8"/>
  <c r="V9612" i="8"/>
  <c r="V9614" i="8"/>
  <c r="V9617" i="8"/>
  <c r="V9618" i="8"/>
  <c r="V9620" i="8"/>
  <c r="V9622" i="8"/>
  <c r="V9625" i="8"/>
  <c r="V9626" i="8"/>
  <c r="V9627" i="8"/>
  <c r="V9628" i="8"/>
  <c r="V9630" i="8"/>
  <c r="V9633" i="8"/>
  <c r="V9634" i="8"/>
  <c r="V9636" i="8"/>
  <c r="V9638" i="8"/>
  <c r="V9641" i="8"/>
  <c r="V9642" i="8"/>
  <c r="V9643" i="8"/>
  <c r="V9644" i="8"/>
  <c r="V9646" i="8"/>
  <c r="V9649" i="8"/>
  <c r="V9650" i="8"/>
  <c r="V9652" i="8"/>
  <c r="V9654" i="8"/>
  <c r="V9657" i="8"/>
  <c r="V9658" i="8"/>
  <c r="V9660" i="8"/>
  <c r="V9662" i="8"/>
  <c r="V9665" i="8"/>
  <c r="V9666" i="8"/>
  <c r="V9668" i="8"/>
  <c r="V9670" i="8"/>
  <c r="V9673" i="8"/>
  <c r="V9674" i="8"/>
  <c r="V9675" i="8"/>
  <c r="V9676" i="8"/>
  <c r="V9678" i="8"/>
  <c r="V9681" i="8"/>
  <c r="V9682" i="8"/>
  <c r="V9684" i="8"/>
  <c r="V9686" i="8"/>
  <c r="V9689" i="8"/>
  <c r="V9690" i="8"/>
  <c r="V9691" i="8"/>
  <c r="V9692" i="8"/>
  <c r="V9694" i="8"/>
  <c r="V9697" i="8"/>
  <c r="V9698" i="8"/>
  <c r="V9700" i="8"/>
  <c r="V9702" i="8"/>
  <c r="V9705" i="8"/>
  <c r="V9706" i="8"/>
  <c r="V9708" i="8"/>
  <c r="V9710" i="8"/>
  <c r="V9713" i="8"/>
  <c r="V9714" i="8"/>
  <c r="V9716" i="8"/>
  <c r="V9718" i="8"/>
  <c r="V9721" i="8"/>
  <c r="V9722" i="8"/>
  <c r="V9723" i="8"/>
  <c r="V9724" i="8"/>
  <c r="V9726" i="8"/>
  <c r="V9729" i="8"/>
  <c r="V9730" i="8"/>
  <c r="V9732" i="8"/>
  <c r="V9734" i="8"/>
  <c r="V9737" i="8"/>
  <c r="V9738" i="8"/>
  <c r="V9740" i="8"/>
  <c r="V9742" i="8"/>
  <c r="V9745" i="8"/>
  <c r="V9746" i="8"/>
  <c r="V9748" i="8"/>
  <c r="V9749" i="8"/>
  <c r="V9750" i="8"/>
  <c r="V9753" i="8"/>
  <c r="V9754" i="8"/>
  <c r="V9755" i="8"/>
  <c r="V9756" i="8"/>
  <c r="V9758" i="8"/>
  <c r="V9761" i="8"/>
  <c r="V9762" i="8"/>
  <c r="V9764" i="8"/>
  <c r="V9766" i="8"/>
  <c r="V9769" i="8"/>
  <c r="V9770" i="8"/>
  <c r="V9771" i="8"/>
  <c r="V9772" i="8"/>
  <c r="V9774" i="8"/>
  <c r="V9777" i="8"/>
  <c r="V9778" i="8"/>
  <c r="V9780" i="8"/>
  <c r="V9782" i="8"/>
  <c r="V9785" i="8"/>
  <c r="V9786" i="8"/>
  <c r="V9788" i="8"/>
  <c r="V9790" i="8"/>
  <c r="V9793" i="8"/>
  <c r="V9794" i="8"/>
  <c r="V9796" i="8"/>
  <c r="V9798" i="8"/>
  <c r="V9801" i="8"/>
  <c r="V9802" i="8"/>
  <c r="V9803" i="8"/>
  <c r="V9804" i="8"/>
  <c r="V9806" i="8"/>
  <c r="V9809" i="8"/>
  <c r="V9810" i="8"/>
  <c r="V9811" i="8"/>
  <c r="V9812" i="8"/>
  <c r="V9814" i="8"/>
  <c r="V9817" i="8"/>
  <c r="V9818" i="8"/>
  <c r="V9820" i="8"/>
  <c r="V9822" i="8"/>
  <c r="V9825" i="8"/>
  <c r="V9828" i="8"/>
  <c r="V9830" i="8"/>
  <c r="V9833" i="8"/>
  <c r="V9834" i="8"/>
  <c r="V9836" i="8"/>
  <c r="V9838" i="8"/>
  <c r="V9841" i="8"/>
  <c r="V9844" i="8"/>
  <c r="V9846" i="8"/>
  <c r="V9849" i="8"/>
  <c r="V9850" i="8"/>
  <c r="V9852" i="8"/>
  <c r="V9854" i="8"/>
  <c r="V9857" i="8"/>
  <c r="V9860" i="8"/>
  <c r="V9862" i="8"/>
  <c r="V9865" i="8"/>
  <c r="V9866" i="8"/>
  <c r="V9868" i="8"/>
  <c r="V9870" i="8"/>
  <c r="V9873" i="8"/>
  <c r="V9875" i="8"/>
  <c r="V9876" i="8"/>
  <c r="V9878" i="8"/>
  <c r="V9881" i="8"/>
  <c r="V9884" i="8"/>
  <c r="V9886" i="8"/>
  <c r="V9889" i="8"/>
  <c r="V9890" i="8"/>
  <c r="V9892" i="8"/>
  <c r="V9894" i="8"/>
  <c r="V9897" i="8"/>
  <c r="V9900" i="8"/>
  <c r="V9902" i="8"/>
  <c r="V9905" i="8"/>
  <c r="V9906" i="8"/>
  <c r="V9907" i="8"/>
  <c r="V9908" i="8"/>
  <c r="V9910" i="8"/>
  <c r="V9913" i="8"/>
  <c r="V9914" i="8"/>
  <c r="V9916" i="8"/>
  <c r="V9918" i="8"/>
  <c r="V9921" i="8"/>
  <c r="V9923" i="8"/>
  <c r="V9924" i="8"/>
  <c r="V9926" i="8"/>
  <c r="V9929" i="8"/>
  <c r="V9932" i="8"/>
  <c r="V9934" i="8"/>
  <c r="V9937" i="8"/>
  <c r="V9938" i="8"/>
  <c r="V9940" i="8"/>
  <c r="V9942" i="8"/>
  <c r="V9945" i="8"/>
  <c r="V9948" i="8"/>
  <c r="V9950" i="8"/>
  <c r="V9951" i="8"/>
  <c r="V9953" i="8"/>
  <c r="V9956" i="8"/>
  <c r="V9958" i="8"/>
  <c r="V9961" i="8"/>
  <c r="V9964" i="8"/>
  <c r="V9966" i="8"/>
  <c r="V9969" i="8"/>
  <c r="V9972" i="8"/>
  <c r="V9974" i="8"/>
  <c r="V9977" i="8"/>
  <c r="V9980" i="8"/>
  <c r="V9982" i="8"/>
  <c r="V9985" i="8"/>
  <c r="V9986" i="8"/>
  <c r="V9988" i="8"/>
  <c r="V9990" i="8"/>
  <c r="V9993" i="8"/>
  <c r="V9994" i="8"/>
  <c r="V9996" i="8"/>
  <c r="V9998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1" i="8"/>
  <c r="V9202" i="8"/>
  <c r="V9203" i="8"/>
  <c r="V9204" i="8"/>
  <c r="V9205" i="8"/>
  <c r="V9206" i="8"/>
  <c r="V9207" i="8"/>
  <c r="V9209" i="8"/>
  <c r="V9210" i="8"/>
  <c r="V9211" i="8"/>
  <c r="V9212" i="8"/>
  <c r="V9213" i="8"/>
  <c r="V9214" i="8"/>
  <c r="V9215" i="8"/>
  <c r="V9217" i="8"/>
  <c r="V9218" i="8"/>
  <c r="V9219" i="8"/>
  <c r="V9220" i="8"/>
  <c r="V9221" i="8"/>
  <c r="V9222" i="8"/>
  <c r="V9223" i="8"/>
  <c r="V9225" i="8"/>
  <c r="V9226" i="8"/>
  <c r="V9227" i="8"/>
  <c r="V9228" i="8"/>
  <c r="V9229" i="8"/>
  <c r="V9230" i="8"/>
  <c r="V9231" i="8"/>
  <c r="V9233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49" i="8"/>
  <c r="V9250" i="8"/>
  <c r="V9251" i="8"/>
  <c r="V9252" i="8"/>
  <c r="V9253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1" i="8"/>
  <c r="V6003" i="8"/>
  <c r="V6004" i="8"/>
  <c r="V6005" i="8"/>
  <c r="V6006" i="8"/>
  <c r="V6007" i="8"/>
  <c r="V6008" i="8"/>
  <c r="V6009" i="8"/>
  <c r="V6011" i="8"/>
  <c r="V6012" i="8"/>
  <c r="V6013" i="8"/>
  <c r="V6014" i="8"/>
  <c r="V6015" i="8"/>
  <c r="V6016" i="8"/>
  <c r="V6017" i="8"/>
  <c r="V6019" i="8"/>
  <c r="V6020" i="8"/>
  <c r="V6021" i="8"/>
  <c r="V6022" i="8"/>
  <c r="V6023" i="8"/>
  <c r="V6024" i="8"/>
  <c r="V6025" i="8"/>
  <c r="V6027" i="8"/>
  <c r="V6028" i="8"/>
  <c r="V6029" i="8"/>
  <c r="V6030" i="8"/>
  <c r="V6031" i="8"/>
  <c r="V6032" i="8"/>
  <c r="V6033" i="8"/>
  <c r="V6035" i="8"/>
  <c r="V6036" i="8"/>
  <c r="V6037" i="8"/>
  <c r="V6038" i="8"/>
  <c r="V6039" i="8"/>
  <c r="V6040" i="8"/>
  <c r="V6041" i="8"/>
  <c r="V6043" i="8"/>
  <c r="V6044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0" i="8"/>
  <c r="V6061" i="8"/>
  <c r="V6062" i="8"/>
  <c r="V6063" i="8"/>
  <c r="V6064" i="8"/>
  <c r="V6065" i="8"/>
  <c r="V6067" i="8"/>
  <c r="V6068" i="8"/>
  <c r="V6069" i="8"/>
  <c r="V6070" i="8"/>
  <c r="V6071" i="8"/>
  <c r="V6072" i="8"/>
  <c r="V6073" i="8"/>
  <c r="V6075" i="8"/>
  <c r="V6076" i="8"/>
  <c r="V6078" i="8"/>
  <c r="V6079" i="8"/>
  <c r="V6080" i="8"/>
  <c r="V6081" i="8"/>
  <c r="V6083" i="8"/>
  <c r="V6084" i="8"/>
  <c r="V6085" i="8"/>
  <c r="V6086" i="8"/>
  <c r="V6087" i="8"/>
  <c r="V6088" i="8"/>
  <c r="V6089" i="8"/>
  <c r="V6091" i="8"/>
  <c r="V6092" i="8"/>
  <c r="V6093" i="8"/>
  <c r="V6094" i="8"/>
  <c r="V6095" i="8"/>
  <c r="V6096" i="8"/>
  <c r="V6097" i="8"/>
  <c r="V6099" i="8"/>
  <c r="V6100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6" i="8"/>
  <c r="V6117" i="8"/>
  <c r="V6118" i="8"/>
  <c r="V6119" i="8"/>
  <c r="V6120" i="8"/>
  <c r="V6121" i="8"/>
  <c r="V6123" i="8"/>
  <c r="V6124" i="8"/>
  <c r="V6125" i="8"/>
  <c r="V6126" i="8"/>
  <c r="V6127" i="8"/>
  <c r="V6128" i="8"/>
  <c r="V6129" i="8"/>
  <c r="V6131" i="8"/>
  <c r="V6132" i="8"/>
  <c r="V6133" i="8"/>
  <c r="V6134" i="8"/>
  <c r="V6135" i="8"/>
  <c r="V6137" i="8"/>
  <c r="V6139" i="8"/>
  <c r="V6140" i="8"/>
  <c r="V6141" i="8"/>
  <c r="V6142" i="8"/>
  <c r="V6143" i="8"/>
  <c r="V6145" i="8"/>
  <c r="V6147" i="8"/>
  <c r="V6148" i="8"/>
  <c r="V6149" i="8"/>
  <c r="V6150" i="8"/>
  <c r="V6151" i="8"/>
  <c r="V6153" i="8"/>
  <c r="V6155" i="8"/>
  <c r="V6156" i="8"/>
  <c r="V6157" i="8"/>
  <c r="V6158" i="8"/>
  <c r="V6159" i="8"/>
  <c r="V6161" i="8"/>
  <c r="V6163" i="8"/>
  <c r="V6164" i="8"/>
  <c r="V6165" i="8"/>
  <c r="V6166" i="8"/>
  <c r="V6167" i="8"/>
  <c r="V6169" i="8"/>
  <c r="V6171" i="8"/>
  <c r="V6172" i="8"/>
  <c r="V6173" i="8"/>
  <c r="V6174" i="8"/>
  <c r="V6175" i="8"/>
  <c r="V6177" i="8"/>
  <c r="V6179" i="8"/>
  <c r="V6180" i="8"/>
  <c r="V6181" i="8"/>
  <c r="V6182" i="8"/>
  <c r="V6183" i="8"/>
  <c r="V6185" i="8"/>
  <c r="V6187" i="8"/>
  <c r="V6188" i="8"/>
  <c r="V6189" i="8"/>
  <c r="V6190" i="8"/>
  <c r="V6191" i="8"/>
  <c r="V6193" i="8"/>
  <c r="V6195" i="8"/>
  <c r="V6196" i="8"/>
  <c r="V6197" i="8"/>
  <c r="V6198" i="8"/>
  <c r="V6199" i="8"/>
  <c r="V6201" i="8"/>
  <c r="V6203" i="8"/>
  <c r="V6204" i="8"/>
  <c r="V6205" i="8"/>
  <c r="V6206" i="8"/>
  <c r="V6207" i="8"/>
  <c r="V6209" i="8"/>
  <c r="V6211" i="8"/>
  <c r="V6212" i="8"/>
  <c r="V6213" i="8"/>
  <c r="V6214" i="8"/>
  <c r="V6215" i="8"/>
  <c r="V6217" i="8"/>
  <c r="V6219" i="8"/>
  <c r="V6220" i="8"/>
  <c r="V6221" i="8"/>
  <c r="V6222" i="8"/>
  <c r="V6223" i="8"/>
  <c r="V6225" i="8"/>
  <c r="V6227" i="8"/>
  <c r="V6228" i="8"/>
  <c r="V6229" i="8"/>
  <c r="V6230" i="8"/>
  <c r="V6231" i="8"/>
  <c r="V6233" i="8"/>
  <c r="V6235" i="8"/>
  <c r="V6236" i="8"/>
  <c r="V6237" i="8"/>
  <c r="V6238" i="8"/>
  <c r="V6239" i="8"/>
  <c r="V6241" i="8"/>
  <c r="V6243" i="8"/>
  <c r="V6244" i="8"/>
  <c r="V6245" i="8"/>
  <c r="V6246" i="8"/>
  <c r="V6247" i="8"/>
  <c r="V6249" i="8"/>
  <c r="V6251" i="8"/>
  <c r="V6252" i="8"/>
  <c r="V6253" i="8"/>
  <c r="V6254" i="8"/>
  <c r="V6255" i="8"/>
  <c r="V6257" i="8"/>
  <c r="V6259" i="8"/>
  <c r="V6260" i="8"/>
  <c r="V6261" i="8"/>
  <c r="V6262" i="8"/>
  <c r="V6263" i="8"/>
  <c r="V6265" i="8"/>
  <c r="V6267" i="8"/>
  <c r="V6268" i="8"/>
  <c r="V6269" i="8"/>
  <c r="V6270" i="8"/>
  <c r="V6271" i="8"/>
  <c r="V6273" i="8"/>
  <c r="V6275" i="8"/>
  <c r="V6276" i="8"/>
  <c r="V6277" i="8"/>
  <c r="V6278" i="8"/>
  <c r="V6279" i="8"/>
  <c r="V6281" i="8"/>
  <c r="V6283" i="8"/>
  <c r="V6284" i="8"/>
  <c r="V6285" i="8"/>
  <c r="V6286" i="8"/>
  <c r="V6287" i="8"/>
  <c r="V6289" i="8"/>
  <c r="V6291" i="8"/>
  <c r="V6292" i="8"/>
  <c r="V6293" i="8"/>
  <c r="V6294" i="8"/>
  <c r="V6295" i="8"/>
  <c r="V6297" i="8"/>
  <c r="V6298" i="8"/>
  <c r="V6299" i="8"/>
  <c r="V6300" i="8"/>
  <c r="V6301" i="8"/>
  <c r="V6302" i="8"/>
  <c r="V6303" i="8"/>
  <c r="V6305" i="8"/>
  <c r="V6307" i="8"/>
  <c r="V6308" i="8"/>
  <c r="V6309" i="8"/>
  <c r="V6310" i="8"/>
  <c r="V6311" i="8"/>
  <c r="V6313" i="8"/>
  <c r="V6315" i="8"/>
  <c r="V6316" i="8"/>
  <c r="V6317" i="8"/>
  <c r="V6318" i="8"/>
  <c r="V6319" i="8"/>
  <c r="V6321" i="8"/>
  <c r="V6323" i="8"/>
  <c r="V6324" i="8"/>
  <c r="V6325" i="8"/>
  <c r="V6326" i="8"/>
  <c r="V6327" i="8"/>
  <c r="V6329" i="8"/>
  <c r="V6331" i="8"/>
  <c r="V6332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8" i="8"/>
  <c r="V6349" i="8"/>
  <c r="V6350" i="8"/>
  <c r="V6351" i="8"/>
  <c r="V6352" i="8"/>
  <c r="V6353" i="8"/>
  <c r="V6355" i="8"/>
  <c r="V6356" i="8"/>
  <c r="V6357" i="8"/>
  <c r="V6358" i="8"/>
  <c r="V6359" i="8"/>
  <c r="V6360" i="8"/>
  <c r="V6361" i="8"/>
  <c r="V6363" i="8"/>
  <c r="V6364" i="8"/>
  <c r="V6365" i="8"/>
  <c r="V6366" i="8"/>
  <c r="V6367" i="8"/>
  <c r="V6368" i="8"/>
  <c r="V6369" i="8"/>
  <c r="V6371" i="8"/>
  <c r="V6372" i="8"/>
  <c r="V6373" i="8"/>
  <c r="V6374" i="8"/>
  <c r="V6375" i="8"/>
  <c r="V6376" i="8"/>
  <c r="V6377" i="8"/>
  <c r="V6379" i="8"/>
  <c r="V6380" i="8"/>
  <c r="V6381" i="8"/>
  <c r="V6382" i="8"/>
  <c r="V6383" i="8"/>
  <c r="V6385" i="8"/>
  <c r="V6387" i="8"/>
  <c r="V6388" i="8"/>
  <c r="V6389" i="8"/>
  <c r="V6390" i="8"/>
  <c r="V6391" i="8"/>
  <c r="V6393" i="8"/>
  <c r="V6395" i="8"/>
  <c r="V6396" i="8"/>
  <c r="V6397" i="8"/>
  <c r="V6398" i="8"/>
  <c r="V6399" i="8"/>
  <c r="V6401" i="8"/>
  <c r="V6403" i="8"/>
  <c r="V6404" i="8"/>
  <c r="V6405" i="8"/>
  <c r="V6406" i="8"/>
  <c r="V6407" i="8"/>
  <c r="V6409" i="8"/>
  <c r="V6411" i="8"/>
  <c r="V6412" i="8"/>
  <c r="V6413" i="8"/>
  <c r="V6414" i="8"/>
  <c r="V6415" i="8"/>
  <c r="V6417" i="8"/>
  <c r="V6419" i="8"/>
  <c r="V6420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6" i="8"/>
  <c r="V6437" i="8"/>
  <c r="V6438" i="8"/>
  <c r="V6439" i="8"/>
  <c r="V6440" i="8"/>
  <c r="V6441" i="8"/>
  <c r="V6443" i="8"/>
  <c r="V6444" i="8"/>
  <c r="V6445" i="8"/>
  <c r="V6446" i="8"/>
  <c r="V6447" i="8"/>
  <c r="V6448" i="8"/>
  <c r="V6449" i="8"/>
  <c r="V6451" i="8"/>
  <c r="V6452" i="8"/>
  <c r="V6453" i="8"/>
  <c r="V6454" i="8"/>
  <c r="V6455" i="8"/>
  <c r="V6456" i="8"/>
  <c r="V6457" i="8"/>
  <c r="V6459" i="8"/>
  <c r="V6460" i="8"/>
  <c r="V6461" i="8"/>
  <c r="V6462" i="8"/>
  <c r="V6463" i="8"/>
  <c r="V6464" i="8"/>
  <c r="V6465" i="8"/>
  <c r="V6467" i="8"/>
  <c r="V6468" i="8"/>
  <c r="V6469" i="8"/>
  <c r="V6470" i="8"/>
  <c r="V6471" i="8"/>
  <c r="V6472" i="8"/>
  <c r="V6473" i="8"/>
  <c r="V6475" i="8"/>
  <c r="V6476" i="8"/>
  <c r="V6477" i="8"/>
  <c r="V6478" i="8"/>
  <c r="V6479" i="8"/>
  <c r="V6480" i="8"/>
  <c r="V6481" i="8"/>
  <c r="V6483" i="8"/>
  <c r="V6484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0" i="8"/>
  <c r="V6501" i="8"/>
  <c r="V6502" i="8"/>
  <c r="V6503" i="8"/>
  <c r="V6504" i="8"/>
  <c r="V6505" i="8"/>
  <c r="V6507" i="8"/>
  <c r="V6508" i="8"/>
  <c r="V6509" i="8"/>
  <c r="V6510" i="8"/>
  <c r="V6511" i="8"/>
  <c r="V6512" i="8"/>
  <c r="V6513" i="8"/>
  <c r="V6515" i="8"/>
  <c r="V6516" i="8"/>
  <c r="V6517" i="8"/>
  <c r="V6518" i="8"/>
  <c r="V6519" i="8"/>
  <c r="V6520" i="8"/>
  <c r="V6521" i="8"/>
  <c r="V6523" i="8"/>
  <c r="V6524" i="8"/>
  <c r="V6525" i="8"/>
  <c r="V6526" i="8"/>
  <c r="V6527" i="8"/>
  <c r="V6528" i="8"/>
  <c r="V6529" i="8"/>
  <c r="V6531" i="8"/>
  <c r="V6532" i="8"/>
  <c r="V6533" i="8"/>
  <c r="V6534" i="8"/>
  <c r="V6535" i="8"/>
  <c r="V6536" i="8"/>
  <c r="V6537" i="8"/>
  <c r="V6539" i="8"/>
  <c r="V6540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6" i="8"/>
  <c r="V6557" i="8"/>
  <c r="V6558" i="8"/>
  <c r="V6559" i="8"/>
  <c r="V6560" i="8"/>
  <c r="V6561" i="8"/>
  <c r="V6564" i="8"/>
  <c r="V6565" i="8"/>
  <c r="V6566" i="8"/>
  <c r="V6567" i="8"/>
  <c r="V6568" i="8"/>
  <c r="V6569" i="8"/>
  <c r="V6572" i="8"/>
  <c r="V6573" i="8"/>
  <c r="V6574" i="8"/>
  <c r="V6575" i="8"/>
  <c r="V6576" i="8"/>
  <c r="V6577" i="8"/>
  <c r="V6580" i="8"/>
  <c r="V6581" i="8"/>
  <c r="V6582" i="8"/>
  <c r="V6583" i="8"/>
  <c r="V6584" i="8"/>
  <c r="V6585" i="8"/>
  <c r="V6588" i="8"/>
  <c r="V6589" i="8"/>
  <c r="V6590" i="8"/>
  <c r="V6591" i="8"/>
  <c r="V6592" i="8"/>
  <c r="V6593" i="8"/>
  <c r="V6596" i="8"/>
  <c r="V6597" i="8"/>
  <c r="V6598" i="8"/>
  <c r="V6599" i="8"/>
  <c r="V6600" i="8"/>
  <c r="V6601" i="8"/>
  <c r="V6603" i="8"/>
  <c r="V6604" i="8"/>
  <c r="V6605" i="8"/>
  <c r="V6606" i="8"/>
  <c r="V6607" i="8"/>
  <c r="V6608" i="8"/>
  <c r="V6609" i="8"/>
  <c r="V6612" i="8"/>
  <c r="V6613" i="8"/>
  <c r="V6614" i="8"/>
  <c r="V6615" i="8"/>
  <c r="V6616" i="8"/>
  <c r="V6617" i="8"/>
  <c r="V6619" i="8"/>
  <c r="V6620" i="8"/>
  <c r="V6621" i="8"/>
  <c r="V6622" i="8"/>
  <c r="V6623" i="8"/>
  <c r="V6624" i="8"/>
  <c r="V6625" i="8"/>
  <c r="V6628" i="8"/>
  <c r="V6629" i="8"/>
  <c r="V6630" i="8"/>
  <c r="V6631" i="8"/>
  <c r="V6632" i="8"/>
  <c r="V6633" i="8"/>
  <c r="V6636" i="8"/>
  <c r="V6637" i="8"/>
  <c r="V6638" i="8"/>
  <c r="V6639" i="8"/>
  <c r="V6640" i="8"/>
  <c r="V6641" i="8"/>
  <c r="V6644" i="8"/>
  <c r="V6645" i="8"/>
  <c r="V6646" i="8"/>
  <c r="V6647" i="8"/>
  <c r="V6648" i="8"/>
  <c r="V6649" i="8"/>
  <c r="V6652" i="8"/>
  <c r="V6653" i="8"/>
  <c r="V6654" i="8"/>
  <c r="V6655" i="8"/>
  <c r="V6656" i="8"/>
  <c r="V6657" i="8"/>
  <c r="V6660" i="8"/>
  <c r="V6661" i="8"/>
  <c r="V6662" i="8"/>
  <c r="V6663" i="8"/>
  <c r="V6664" i="8"/>
  <c r="V6665" i="8"/>
  <c r="V6667" i="8"/>
  <c r="V6668" i="8"/>
  <c r="V6669" i="8"/>
  <c r="V6670" i="8"/>
  <c r="V6671" i="8"/>
  <c r="V6672" i="8"/>
  <c r="V6673" i="8"/>
  <c r="V6676" i="8"/>
  <c r="V6677" i="8"/>
  <c r="V6678" i="8"/>
  <c r="V6679" i="8"/>
  <c r="V6680" i="8"/>
  <c r="V6681" i="8"/>
  <c r="V6683" i="8"/>
  <c r="V6684" i="8"/>
  <c r="V6685" i="8"/>
  <c r="V6686" i="8"/>
  <c r="V6687" i="8"/>
  <c r="V6688" i="8"/>
  <c r="V6689" i="8"/>
  <c r="V6692" i="8"/>
  <c r="V6693" i="8"/>
  <c r="V6694" i="8"/>
  <c r="V6695" i="8"/>
  <c r="V6696" i="8"/>
  <c r="V6697" i="8"/>
  <c r="V6700" i="8"/>
  <c r="V6701" i="8"/>
  <c r="V6702" i="8"/>
  <c r="V6703" i="8"/>
  <c r="V6704" i="8"/>
  <c r="V6705" i="8"/>
  <c r="V6708" i="8"/>
  <c r="V6709" i="8"/>
  <c r="V6710" i="8"/>
  <c r="V6711" i="8"/>
  <c r="V6712" i="8"/>
  <c r="V6713" i="8"/>
  <c r="V6716" i="8"/>
  <c r="V6717" i="8"/>
  <c r="V6718" i="8"/>
  <c r="V6719" i="8"/>
  <c r="V6720" i="8"/>
  <c r="V6721" i="8"/>
  <c r="V6724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0" i="8"/>
  <c r="V6741" i="8"/>
  <c r="V6742" i="8"/>
  <c r="V6743" i="8"/>
  <c r="V6744" i="8"/>
  <c r="V6745" i="8"/>
  <c r="V6747" i="8"/>
  <c r="V6748" i="8"/>
  <c r="V6749" i="8"/>
  <c r="V6750" i="8"/>
  <c r="V6751" i="8"/>
  <c r="V6752" i="8"/>
  <c r="V6753" i="8"/>
  <c r="V6756" i="8"/>
  <c r="V6757" i="8"/>
  <c r="V6758" i="8"/>
  <c r="V6759" i="8"/>
  <c r="V6760" i="8"/>
  <c r="V6761" i="8"/>
  <c r="V6763" i="8"/>
  <c r="V6764" i="8"/>
  <c r="V6765" i="8"/>
  <c r="V6766" i="8"/>
  <c r="V6767" i="8"/>
  <c r="V6768" i="8"/>
  <c r="V6769" i="8"/>
  <c r="V6771" i="8"/>
  <c r="V6772" i="8"/>
  <c r="V6773" i="8"/>
  <c r="V6774" i="8"/>
  <c r="V6775" i="8"/>
  <c r="V6776" i="8"/>
  <c r="V6777" i="8"/>
  <c r="V6780" i="8"/>
  <c r="V6781" i="8"/>
  <c r="V6782" i="8"/>
  <c r="V6783" i="8"/>
  <c r="V6784" i="8"/>
  <c r="V6785" i="8"/>
  <c r="V6787" i="8"/>
  <c r="V6788" i="8"/>
  <c r="V6789" i="8"/>
  <c r="V6790" i="8"/>
  <c r="V6791" i="8"/>
  <c r="V6792" i="8"/>
  <c r="V6793" i="8"/>
  <c r="V6795" i="8"/>
  <c r="V6796" i="8"/>
  <c r="V6797" i="8"/>
  <c r="V6798" i="8"/>
  <c r="V6799" i="8"/>
  <c r="V6800" i="8"/>
  <c r="V6801" i="8"/>
  <c r="V6803" i="8"/>
  <c r="V6804" i="8"/>
  <c r="V6805" i="8"/>
  <c r="V6806" i="8"/>
  <c r="V6807" i="8"/>
  <c r="V6808" i="8"/>
  <c r="V6809" i="8"/>
  <c r="V6811" i="8"/>
  <c r="V6812" i="8"/>
  <c r="V6813" i="8"/>
  <c r="V6814" i="8"/>
  <c r="V6815" i="8"/>
  <c r="V6816" i="8"/>
  <c r="V6817" i="8"/>
  <c r="V6820" i="8"/>
  <c r="V6821" i="8"/>
  <c r="V6822" i="8"/>
  <c r="V6823" i="8"/>
  <c r="V6824" i="8"/>
  <c r="V6825" i="8"/>
  <c r="V6827" i="8"/>
  <c r="V6828" i="8"/>
  <c r="V6829" i="8"/>
  <c r="V6830" i="8"/>
  <c r="V6831" i="8"/>
  <c r="V6832" i="8"/>
  <c r="V6833" i="8"/>
  <c r="V6835" i="8"/>
  <c r="V6836" i="8"/>
  <c r="V6837" i="8"/>
  <c r="V6838" i="8"/>
  <c r="V6839" i="8"/>
  <c r="V6840" i="8"/>
  <c r="V6841" i="8"/>
  <c r="V6843" i="8"/>
  <c r="V6844" i="8"/>
  <c r="V6845" i="8"/>
  <c r="V6846" i="8"/>
  <c r="V6847" i="8"/>
  <c r="V6848" i="8"/>
  <c r="V6849" i="8"/>
  <c r="V6851" i="8"/>
  <c r="V6852" i="8"/>
  <c r="V6853" i="8"/>
  <c r="V6854" i="8"/>
  <c r="V6855" i="8"/>
  <c r="V6856" i="8"/>
  <c r="V6857" i="8"/>
  <c r="V6859" i="8"/>
  <c r="V6860" i="8"/>
  <c r="V6861" i="8"/>
  <c r="V6862" i="8"/>
  <c r="V6863" i="8"/>
  <c r="V6864" i="8"/>
  <c r="V6865" i="8"/>
  <c r="V6867" i="8"/>
  <c r="V6868" i="8"/>
  <c r="V6869" i="8"/>
  <c r="V6870" i="8"/>
  <c r="V6871" i="8"/>
  <c r="V6872" i="8"/>
  <c r="V6873" i="8"/>
  <c r="V6875" i="8"/>
  <c r="V6876" i="8"/>
  <c r="V6877" i="8"/>
  <c r="V6878" i="8"/>
  <c r="V6879" i="8"/>
  <c r="V6880" i="8"/>
  <c r="V6881" i="8"/>
  <c r="V6884" i="8"/>
  <c r="V6885" i="8"/>
  <c r="V6886" i="8"/>
  <c r="V6887" i="8"/>
  <c r="V6888" i="8"/>
  <c r="V6889" i="8"/>
  <c r="V6891" i="8"/>
  <c r="V6892" i="8"/>
  <c r="V6893" i="8"/>
  <c r="V6894" i="8"/>
  <c r="V6895" i="8"/>
  <c r="V6896" i="8"/>
  <c r="V6897" i="8"/>
  <c r="V6899" i="8"/>
  <c r="V6900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6" i="8"/>
  <c r="V6917" i="8"/>
  <c r="V6918" i="8"/>
  <c r="V6919" i="8"/>
  <c r="V6920" i="8"/>
  <c r="V6921" i="8"/>
  <c r="V6923" i="8"/>
  <c r="V6924" i="8"/>
  <c r="V6925" i="8"/>
  <c r="V6926" i="8"/>
  <c r="V6927" i="8"/>
  <c r="V6928" i="8"/>
  <c r="V6929" i="8"/>
  <c r="V6931" i="8"/>
  <c r="V6932" i="8"/>
  <c r="V6933" i="8"/>
  <c r="V6934" i="8"/>
  <c r="V6935" i="8"/>
  <c r="V6936" i="8"/>
  <c r="V6937" i="8"/>
  <c r="V6939" i="8"/>
  <c r="V6940" i="8"/>
  <c r="V6941" i="8"/>
  <c r="V6942" i="8"/>
  <c r="V6943" i="8"/>
  <c r="V6944" i="8"/>
  <c r="V6945" i="8"/>
  <c r="V6948" i="8"/>
  <c r="V6949" i="8"/>
  <c r="V6950" i="8"/>
  <c r="V6951" i="8"/>
  <c r="V6952" i="8"/>
  <c r="V6953" i="8"/>
  <c r="V6955" i="8"/>
  <c r="V6956" i="8"/>
  <c r="V6957" i="8"/>
  <c r="V6958" i="8"/>
  <c r="V6959" i="8"/>
  <c r="V6960" i="8"/>
  <c r="V6961" i="8"/>
  <c r="V6963" i="8"/>
  <c r="V6964" i="8"/>
  <c r="V6965" i="8"/>
  <c r="V6966" i="8"/>
  <c r="V6967" i="8"/>
  <c r="V6968" i="8"/>
  <c r="V6969" i="8"/>
  <c r="V6971" i="8"/>
  <c r="V6972" i="8"/>
  <c r="V6973" i="8"/>
  <c r="V6974" i="8"/>
  <c r="V6975" i="8"/>
  <c r="V6976" i="8"/>
  <c r="V6977" i="8"/>
  <c r="V6979" i="8"/>
  <c r="V6980" i="8"/>
  <c r="V6981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6" i="8"/>
  <c r="V6997" i="8"/>
  <c r="V6998" i="8"/>
  <c r="V6999" i="8"/>
  <c r="V7000" i="8"/>
  <c r="V7001" i="8"/>
  <c r="V7003" i="8"/>
  <c r="V7004" i="8"/>
  <c r="V7005" i="8"/>
  <c r="V7006" i="8"/>
  <c r="V7007" i="8"/>
  <c r="V7008" i="8"/>
  <c r="V7009" i="8"/>
  <c r="V7012" i="8"/>
  <c r="V7013" i="8"/>
  <c r="V7014" i="8"/>
  <c r="V7015" i="8"/>
  <c r="V7016" i="8"/>
  <c r="V7017" i="8"/>
  <c r="V7019" i="8"/>
  <c r="V7020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6" i="8"/>
  <c r="V7037" i="8"/>
  <c r="V7038" i="8"/>
  <c r="V7039" i="8"/>
  <c r="V7040" i="8"/>
  <c r="V7041" i="8"/>
  <c r="V7043" i="8"/>
  <c r="V7044" i="8"/>
  <c r="V7045" i="8"/>
  <c r="V7046" i="8"/>
  <c r="V7047" i="8"/>
  <c r="V7048" i="8"/>
  <c r="V7049" i="8"/>
  <c r="V7051" i="8"/>
  <c r="V7052" i="8"/>
  <c r="V7053" i="8"/>
  <c r="V7054" i="8"/>
  <c r="V7055" i="8"/>
  <c r="V7056" i="8"/>
  <c r="V7057" i="8"/>
  <c r="V7059" i="8"/>
  <c r="V7060" i="8"/>
  <c r="V7061" i="8"/>
  <c r="V7062" i="8"/>
  <c r="V7063" i="8"/>
  <c r="V7064" i="8"/>
  <c r="V7065" i="8"/>
  <c r="V7067" i="8"/>
  <c r="V7068" i="8"/>
  <c r="V7069" i="8"/>
  <c r="V7070" i="8"/>
  <c r="V7071" i="8"/>
  <c r="V7072" i="8"/>
  <c r="V7073" i="8"/>
  <c r="V7076" i="8"/>
  <c r="V7077" i="8"/>
  <c r="V7078" i="8"/>
  <c r="V7079" i="8"/>
  <c r="V7080" i="8"/>
  <c r="V7081" i="8"/>
  <c r="V7083" i="8"/>
  <c r="V7084" i="8"/>
  <c r="V7085" i="8"/>
  <c r="V7086" i="8"/>
  <c r="V7087" i="8"/>
  <c r="V7088" i="8"/>
  <c r="V7089" i="8"/>
  <c r="V7091" i="8"/>
  <c r="V7092" i="8"/>
  <c r="V7093" i="8"/>
  <c r="V7094" i="8"/>
  <c r="V7095" i="8"/>
  <c r="V7096" i="8"/>
  <c r="V7097" i="8"/>
  <c r="V7099" i="8"/>
  <c r="V7100" i="8"/>
  <c r="V7101" i="8"/>
  <c r="V7102" i="8"/>
  <c r="V7103" i="8"/>
  <c r="V7104" i="8"/>
  <c r="V7105" i="8"/>
  <c r="V7107" i="8"/>
  <c r="V7108" i="8"/>
  <c r="V7109" i="8"/>
  <c r="V7110" i="8"/>
  <c r="V7111" i="8"/>
  <c r="V7112" i="8"/>
  <c r="V7113" i="8"/>
  <c r="V7115" i="8"/>
  <c r="V7116" i="8"/>
  <c r="V7117" i="8"/>
  <c r="V7118" i="8"/>
  <c r="V7119" i="8"/>
  <c r="V7120" i="8"/>
  <c r="V7121" i="8"/>
  <c r="V7123" i="8"/>
  <c r="V7124" i="8"/>
  <c r="V7125" i="8"/>
  <c r="V7126" i="8"/>
  <c r="V7127" i="8"/>
  <c r="V7128" i="8"/>
  <c r="V7129" i="8"/>
  <c r="V7131" i="8"/>
  <c r="V7132" i="8"/>
  <c r="V7133" i="8"/>
  <c r="V7134" i="8"/>
  <c r="V7135" i="8"/>
  <c r="V7136" i="8"/>
  <c r="V7137" i="8"/>
  <c r="V7140" i="8"/>
  <c r="V7141" i="8"/>
  <c r="V7142" i="8"/>
  <c r="V7143" i="8"/>
  <c r="V7144" i="8"/>
  <c r="V7145" i="8"/>
  <c r="V7147" i="8"/>
  <c r="V7148" i="8"/>
  <c r="V7149" i="8"/>
  <c r="V7150" i="8"/>
  <c r="V7151" i="8"/>
  <c r="V7152" i="8"/>
  <c r="V7153" i="8"/>
  <c r="V7155" i="8"/>
  <c r="V7156" i="8"/>
  <c r="V7157" i="8"/>
  <c r="V7158" i="8"/>
  <c r="V7159" i="8"/>
  <c r="V7160" i="8"/>
  <c r="V7161" i="8"/>
  <c r="V7163" i="8"/>
  <c r="V7164" i="8"/>
  <c r="V7165" i="8"/>
  <c r="V7166" i="8"/>
  <c r="V7167" i="8"/>
  <c r="V7168" i="8"/>
  <c r="V7169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4" i="8"/>
  <c r="V7185" i="8"/>
  <c r="V7187" i="8"/>
  <c r="V7188" i="8"/>
  <c r="V7189" i="8"/>
  <c r="V7190" i="8"/>
  <c r="V7191" i="8"/>
  <c r="V7192" i="8"/>
  <c r="V7193" i="8"/>
  <c r="V7195" i="8"/>
  <c r="V7196" i="8"/>
  <c r="V7197" i="8"/>
  <c r="V7198" i="8"/>
  <c r="V7199" i="8"/>
  <c r="V7200" i="8"/>
  <c r="V7201" i="8"/>
  <c r="V7204" i="8"/>
  <c r="V7205" i="8"/>
  <c r="V7206" i="8"/>
  <c r="V7207" i="8"/>
  <c r="V7208" i="8"/>
  <c r="V7209" i="8"/>
  <c r="V7211" i="8"/>
  <c r="V7212" i="8"/>
  <c r="V7213" i="8"/>
  <c r="V7214" i="8"/>
  <c r="V7215" i="8"/>
  <c r="V7216" i="8"/>
  <c r="V7217" i="8"/>
  <c r="V7219" i="8"/>
  <c r="V7220" i="8"/>
  <c r="V7221" i="8"/>
  <c r="V7222" i="8"/>
  <c r="V7223" i="8"/>
  <c r="V7224" i="8"/>
  <c r="V7225" i="8"/>
  <c r="V7227" i="8"/>
  <c r="V7228" i="8"/>
  <c r="V7229" i="8"/>
  <c r="V7230" i="8"/>
  <c r="V7231" i="8"/>
  <c r="V7232" i="8"/>
  <c r="V7233" i="8"/>
  <c r="V7235" i="8"/>
  <c r="V7236" i="8"/>
  <c r="V7237" i="8"/>
  <c r="V7238" i="8"/>
  <c r="V7239" i="8"/>
  <c r="V7240" i="8"/>
  <c r="V7241" i="8"/>
  <c r="V7243" i="8"/>
  <c r="V7244" i="8"/>
  <c r="V7245" i="8"/>
  <c r="V7246" i="8"/>
  <c r="V7247" i="8"/>
  <c r="V7248" i="8"/>
  <c r="V7249" i="8"/>
  <c r="V7251" i="8"/>
  <c r="V7252" i="8"/>
  <c r="V7253" i="8"/>
  <c r="V7254" i="8"/>
  <c r="V7255" i="8"/>
  <c r="V7256" i="8"/>
  <c r="V7257" i="8"/>
  <c r="V7259" i="8"/>
  <c r="V7260" i="8"/>
  <c r="V7261" i="8"/>
  <c r="V7262" i="8"/>
  <c r="V7263" i="8"/>
  <c r="V7264" i="8"/>
  <c r="V7265" i="8"/>
  <c r="V7267" i="8"/>
  <c r="V7268" i="8"/>
  <c r="V7269" i="8"/>
  <c r="V7270" i="8"/>
  <c r="V7271" i="8"/>
  <c r="V7272" i="8"/>
  <c r="V7273" i="8"/>
  <c r="V7275" i="8"/>
  <c r="V7276" i="8"/>
  <c r="V7277" i="8"/>
  <c r="V7278" i="8"/>
  <c r="V7279" i="8"/>
  <c r="V7280" i="8"/>
  <c r="V7281" i="8"/>
  <c r="V7283" i="8"/>
  <c r="V7284" i="8"/>
  <c r="V7285" i="8"/>
  <c r="V7286" i="8"/>
  <c r="V7287" i="8"/>
  <c r="V7288" i="8"/>
  <c r="V7289" i="8"/>
  <c r="V7291" i="8"/>
  <c r="V7292" i="8"/>
  <c r="V7293" i="8"/>
  <c r="V7294" i="8"/>
  <c r="V7295" i="8"/>
  <c r="V7296" i="8"/>
  <c r="V7297" i="8"/>
  <c r="V7299" i="8"/>
  <c r="V7300" i="8"/>
  <c r="V7301" i="8"/>
  <c r="V7302" i="8"/>
  <c r="V7303" i="8"/>
  <c r="V7304" i="8"/>
  <c r="V7305" i="8"/>
  <c r="V7307" i="8"/>
  <c r="V7308" i="8"/>
  <c r="V7309" i="8"/>
  <c r="V7310" i="8"/>
  <c r="V7311" i="8"/>
  <c r="V7312" i="8"/>
  <c r="V7313" i="8"/>
  <c r="V7315" i="8"/>
  <c r="V7316" i="8"/>
  <c r="V7317" i="8"/>
  <c r="V7318" i="8"/>
  <c r="V7319" i="8"/>
  <c r="V7320" i="8"/>
  <c r="V7321" i="8"/>
  <c r="V7323" i="8"/>
  <c r="V7324" i="8"/>
  <c r="V7325" i="8"/>
  <c r="V7326" i="8"/>
  <c r="V7327" i="8"/>
  <c r="V7328" i="8"/>
  <c r="V7329" i="8"/>
  <c r="V7331" i="8"/>
  <c r="V7332" i="8"/>
  <c r="V7333" i="8"/>
  <c r="V7334" i="8"/>
  <c r="V7335" i="8"/>
  <c r="V7336" i="8"/>
  <c r="V7337" i="8"/>
  <c r="V7339" i="8"/>
  <c r="V7340" i="8"/>
  <c r="V7341" i="8"/>
  <c r="V7342" i="8"/>
  <c r="V7343" i="8"/>
  <c r="V7344" i="8"/>
  <c r="V7345" i="8"/>
  <c r="V7347" i="8"/>
  <c r="V7348" i="8"/>
  <c r="V7349" i="8"/>
  <c r="V7350" i="8"/>
  <c r="V7351" i="8"/>
  <c r="V7352" i="8"/>
  <c r="V7353" i="8"/>
  <c r="V7355" i="8"/>
  <c r="V7356" i="8"/>
  <c r="V7357" i="8"/>
  <c r="V7358" i="8"/>
  <c r="V7359" i="8"/>
  <c r="V7360" i="8"/>
  <c r="V7361" i="8"/>
  <c r="V7363" i="8"/>
  <c r="V7364" i="8"/>
  <c r="V7365" i="8"/>
  <c r="V7366" i="8"/>
  <c r="V7367" i="8"/>
  <c r="V7368" i="8"/>
  <c r="V7369" i="8"/>
  <c r="V7371" i="8"/>
  <c r="V7372" i="8"/>
  <c r="V7373" i="8"/>
  <c r="V7374" i="8"/>
  <c r="V7375" i="8"/>
  <c r="V7376" i="8"/>
  <c r="V7377" i="8"/>
  <c r="V7379" i="8"/>
  <c r="V7380" i="8"/>
  <c r="V7381" i="8"/>
  <c r="V7382" i="8"/>
  <c r="V7383" i="8"/>
  <c r="V7384" i="8"/>
  <c r="V7385" i="8"/>
  <c r="V7387" i="8"/>
  <c r="V7388" i="8"/>
  <c r="V7389" i="8"/>
  <c r="V7390" i="8"/>
  <c r="V7391" i="8"/>
  <c r="V7392" i="8"/>
  <c r="V7393" i="8"/>
  <c r="V7395" i="8"/>
  <c r="V7396" i="8"/>
  <c r="V7397" i="8"/>
  <c r="V7398" i="8"/>
  <c r="V7399" i="8"/>
  <c r="V7400" i="8"/>
  <c r="V7401" i="8"/>
  <c r="V7403" i="8"/>
  <c r="V7404" i="8"/>
  <c r="V7405" i="8"/>
  <c r="V7406" i="8"/>
  <c r="V7407" i="8"/>
  <c r="V7408" i="8"/>
  <c r="V7409" i="8"/>
  <c r="V7411" i="8"/>
  <c r="V7412" i="8"/>
  <c r="V7413" i="8"/>
  <c r="V7414" i="8"/>
  <c r="V7415" i="8"/>
  <c r="V7416" i="8"/>
  <c r="V7417" i="8"/>
  <c r="V7419" i="8"/>
  <c r="V7420" i="8"/>
  <c r="V7421" i="8"/>
  <c r="V7422" i="8"/>
  <c r="V7423" i="8"/>
  <c r="V7424" i="8"/>
  <c r="V7425" i="8"/>
  <c r="V7427" i="8"/>
  <c r="V7428" i="8"/>
  <c r="V7429" i="8"/>
  <c r="V7430" i="8"/>
  <c r="V7431" i="8"/>
  <c r="V7432" i="8"/>
  <c r="V7433" i="8"/>
  <c r="V7435" i="8"/>
  <c r="V7436" i="8"/>
  <c r="V7437" i="8"/>
  <c r="V7438" i="8"/>
  <c r="V7439" i="8"/>
  <c r="V7440" i="8"/>
  <c r="V7441" i="8"/>
  <c r="V7443" i="8"/>
  <c r="V7444" i="8"/>
  <c r="V7445" i="8"/>
  <c r="V7446" i="8"/>
  <c r="V7447" i="8"/>
  <c r="V7448" i="8"/>
  <c r="V7449" i="8"/>
  <c r="V7451" i="8"/>
  <c r="V7452" i="8"/>
  <c r="V7453" i="8"/>
  <c r="V7454" i="8"/>
  <c r="V7455" i="8"/>
  <c r="V7456" i="8"/>
  <c r="V7457" i="8"/>
  <c r="V7459" i="8"/>
  <c r="V7460" i="8"/>
  <c r="V7461" i="8"/>
  <c r="V7462" i="8"/>
  <c r="V7463" i="8"/>
  <c r="V7464" i="8"/>
  <c r="V7465" i="8"/>
  <c r="V7467" i="8"/>
  <c r="V7468" i="8"/>
  <c r="V7469" i="8"/>
  <c r="V7470" i="8"/>
  <c r="V7471" i="8"/>
  <c r="V7472" i="8"/>
  <c r="V7473" i="8"/>
  <c r="V7475" i="8"/>
  <c r="V7476" i="8"/>
  <c r="V7477" i="8"/>
  <c r="V7478" i="8"/>
  <c r="V7479" i="8"/>
  <c r="V7480" i="8"/>
  <c r="V7481" i="8"/>
  <c r="V7483" i="8"/>
  <c r="V7484" i="8"/>
  <c r="V7485" i="8"/>
  <c r="V7486" i="8"/>
  <c r="V7487" i="8"/>
  <c r="V7488" i="8"/>
  <c r="V7489" i="8"/>
  <c r="V7491" i="8"/>
  <c r="V7492" i="8"/>
  <c r="V7493" i="8"/>
  <c r="V7494" i="8"/>
  <c r="V7495" i="8"/>
  <c r="V7496" i="8"/>
  <c r="V7497" i="8"/>
  <c r="V7499" i="8"/>
  <c r="V7500" i="8"/>
  <c r="V7501" i="8"/>
  <c r="V7502" i="8"/>
  <c r="V7503" i="8"/>
  <c r="V7504" i="8"/>
  <c r="V7505" i="8"/>
  <c r="V7507" i="8"/>
  <c r="V7508" i="8"/>
  <c r="V7509" i="8"/>
  <c r="V7510" i="8"/>
  <c r="V7511" i="8"/>
  <c r="V7512" i="8"/>
  <c r="V7513" i="8"/>
  <c r="V7515" i="8"/>
  <c r="V7516" i="8"/>
  <c r="V7517" i="8"/>
  <c r="V7518" i="8"/>
  <c r="V7519" i="8"/>
  <c r="V7520" i="8"/>
  <c r="V7521" i="8"/>
  <c r="V7523" i="8"/>
  <c r="V7524" i="8"/>
  <c r="V7525" i="8"/>
  <c r="V7526" i="8"/>
  <c r="V7527" i="8"/>
  <c r="V7528" i="8"/>
  <c r="V7529" i="8"/>
  <c r="V7531" i="8"/>
  <c r="V7532" i="8"/>
  <c r="V7533" i="8"/>
  <c r="V7534" i="8"/>
  <c r="V7535" i="8"/>
  <c r="V7536" i="8"/>
  <c r="V7537" i="8"/>
  <c r="V7539" i="8"/>
  <c r="V7540" i="8"/>
  <c r="V7541" i="8"/>
  <c r="V7542" i="8"/>
  <c r="V7543" i="8"/>
  <c r="V7544" i="8"/>
  <c r="V7545" i="8"/>
  <c r="V7547" i="8"/>
  <c r="V7548" i="8"/>
  <c r="V7549" i="8"/>
  <c r="V7550" i="8"/>
  <c r="V7551" i="8"/>
  <c r="V7552" i="8"/>
  <c r="V7553" i="8"/>
  <c r="V7555" i="8"/>
  <c r="V7556" i="8"/>
  <c r="V7557" i="8"/>
  <c r="V7558" i="8"/>
  <c r="V7559" i="8"/>
  <c r="V7560" i="8"/>
  <c r="V7561" i="8"/>
  <c r="V7563" i="8"/>
  <c r="V7564" i="8"/>
  <c r="V7565" i="8"/>
  <c r="V7566" i="8"/>
  <c r="V7567" i="8"/>
  <c r="V7568" i="8"/>
  <c r="V7569" i="8"/>
  <c r="V7571" i="8"/>
  <c r="V7572" i="8"/>
  <c r="V7573" i="8"/>
  <c r="V7574" i="8"/>
  <c r="V7575" i="8"/>
  <c r="V7576" i="8"/>
  <c r="V7577" i="8"/>
  <c r="V7579" i="8"/>
  <c r="V7580" i="8"/>
  <c r="V7581" i="8"/>
  <c r="V7582" i="8"/>
  <c r="V7583" i="8"/>
  <c r="V7584" i="8"/>
  <c r="V7585" i="8"/>
  <c r="V7587" i="8"/>
  <c r="V7588" i="8"/>
  <c r="V7589" i="8"/>
  <c r="V7590" i="8"/>
  <c r="V7591" i="8"/>
  <c r="V7592" i="8"/>
  <c r="V7593" i="8"/>
  <c r="V7595" i="8"/>
  <c r="V7596" i="8"/>
  <c r="V7597" i="8"/>
  <c r="V7598" i="8"/>
  <c r="V7599" i="8"/>
  <c r="V7600" i="8"/>
  <c r="V7601" i="8"/>
  <c r="V7603" i="8"/>
  <c r="V7604" i="8"/>
  <c r="V7605" i="8"/>
  <c r="V7606" i="8"/>
  <c r="V7607" i="8"/>
  <c r="V7608" i="8"/>
  <c r="V7609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4" i="8"/>
  <c r="V7625" i="8"/>
  <c r="V7627" i="8"/>
  <c r="V7628" i="8"/>
  <c r="V7629" i="8"/>
  <c r="V7630" i="8"/>
  <c r="V7631" i="8"/>
  <c r="V7632" i="8"/>
  <c r="V7633" i="8"/>
  <c r="V7635" i="8"/>
  <c r="V7636" i="8"/>
  <c r="V7637" i="8"/>
  <c r="V7638" i="8"/>
  <c r="V7639" i="8"/>
  <c r="V7640" i="8"/>
  <c r="V7641" i="8"/>
  <c r="V7643" i="8"/>
  <c r="V7644" i="8"/>
  <c r="V7645" i="8"/>
  <c r="V7646" i="8"/>
  <c r="V7647" i="8"/>
  <c r="V7648" i="8"/>
  <c r="V7649" i="8"/>
  <c r="V7651" i="8"/>
  <c r="V7652" i="8"/>
  <c r="V7653" i="8"/>
  <c r="V7654" i="8"/>
  <c r="V7655" i="8"/>
  <c r="V7656" i="8"/>
  <c r="V7657" i="8"/>
  <c r="V7659" i="8"/>
  <c r="V7660" i="8"/>
  <c r="V7661" i="8"/>
  <c r="V7662" i="8"/>
  <c r="V7663" i="8"/>
  <c r="V7664" i="8"/>
  <c r="V7665" i="8"/>
  <c r="V7667" i="8"/>
  <c r="V7668" i="8"/>
  <c r="V7669" i="8"/>
  <c r="V7670" i="8"/>
  <c r="V7671" i="8"/>
  <c r="V7672" i="8"/>
  <c r="V7673" i="8"/>
  <c r="V7675" i="8"/>
  <c r="V7676" i="8"/>
  <c r="V7677" i="8"/>
  <c r="V7678" i="8"/>
  <c r="V7679" i="8"/>
  <c r="V7680" i="8"/>
  <c r="V7681" i="8"/>
  <c r="V7683" i="8"/>
  <c r="V7684" i="8"/>
  <c r="V7685" i="8"/>
  <c r="V7686" i="8"/>
  <c r="V7687" i="8"/>
  <c r="V7688" i="8"/>
  <c r="V7689" i="8"/>
  <c r="V7691" i="8"/>
  <c r="V7692" i="8"/>
  <c r="V7693" i="8"/>
  <c r="V7694" i="8"/>
  <c r="V7695" i="8"/>
  <c r="V7696" i="8"/>
  <c r="V7697" i="8"/>
  <c r="V7699" i="8"/>
  <c r="V7700" i="8"/>
  <c r="V7701" i="8"/>
  <c r="V7702" i="8"/>
  <c r="V7703" i="8"/>
  <c r="V7704" i="8"/>
  <c r="V7705" i="8"/>
  <c r="V7707" i="8"/>
  <c r="V7708" i="8"/>
  <c r="V7709" i="8"/>
  <c r="V7710" i="8"/>
  <c r="V7711" i="8"/>
  <c r="V7712" i="8"/>
  <c r="V7713" i="8"/>
  <c r="V7715" i="8"/>
  <c r="V7716" i="8"/>
  <c r="V7717" i="8"/>
  <c r="V7718" i="8"/>
  <c r="V7719" i="8"/>
  <c r="V7720" i="8"/>
  <c r="V7721" i="8"/>
  <c r="V7723" i="8"/>
  <c r="V7724" i="8"/>
  <c r="V7725" i="8"/>
  <c r="V7726" i="8"/>
  <c r="V7727" i="8"/>
  <c r="V7728" i="8"/>
  <c r="V7729" i="8"/>
  <c r="V7731" i="8"/>
  <c r="V7732" i="8"/>
  <c r="V7733" i="8"/>
  <c r="V7734" i="8"/>
  <c r="V7735" i="8"/>
  <c r="V7736" i="8"/>
  <c r="V7737" i="8"/>
  <c r="V7739" i="8"/>
  <c r="V7740" i="8"/>
  <c r="V7741" i="8"/>
  <c r="V7742" i="8"/>
  <c r="V7743" i="8"/>
  <c r="V7744" i="8"/>
  <c r="V7745" i="8"/>
  <c r="V7747" i="8"/>
  <c r="V7748" i="8"/>
  <c r="V7749" i="8"/>
  <c r="V7750" i="8"/>
  <c r="V7751" i="8"/>
  <c r="V7752" i="8"/>
  <c r="V7753" i="8"/>
  <c r="V7755" i="8"/>
  <c r="V7756" i="8"/>
  <c r="V7757" i="8"/>
  <c r="V7758" i="8"/>
  <c r="V7759" i="8"/>
  <c r="V7760" i="8"/>
  <c r="V7761" i="8"/>
  <c r="V7763" i="8"/>
  <c r="V7764" i="8"/>
  <c r="V7765" i="8"/>
  <c r="V7766" i="8"/>
  <c r="V7767" i="8"/>
  <c r="V7768" i="8"/>
  <c r="V7769" i="8"/>
  <c r="V7771" i="8"/>
  <c r="V7772" i="8"/>
  <c r="V7773" i="8"/>
  <c r="V7774" i="8"/>
  <c r="V7775" i="8"/>
  <c r="V7776" i="8"/>
  <c r="V7777" i="8"/>
  <c r="V7779" i="8"/>
  <c r="V7780" i="8"/>
  <c r="V7781" i="8"/>
  <c r="V7782" i="8"/>
  <c r="V7783" i="8"/>
  <c r="V7784" i="8"/>
  <c r="V7785" i="8"/>
  <c r="V7787" i="8"/>
  <c r="V7788" i="8"/>
  <c r="V7789" i="8"/>
  <c r="V7790" i="8"/>
  <c r="V7791" i="8"/>
  <c r="V7792" i="8"/>
  <c r="V7793" i="8"/>
  <c r="V7795" i="8"/>
  <c r="V7796" i="8"/>
  <c r="V7797" i="8"/>
  <c r="V7798" i="8"/>
  <c r="V7799" i="8"/>
  <c r="V7800" i="8"/>
  <c r="V7801" i="8"/>
  <c r="V7803" i="8"/>
  <c r="V7804" i="8"/>
  <c r="V7805" i="8"/>
  <c r="V7806" i="8"/>
  <c r="V7807" i="8"/>
  <c r="V7808" i="8"/>
  <c r="V7809" i="8"/>
  <c r="V7811" i="8"/>
  <c r="V7812" i="8"/>
  <c r="V7813" i="8"/>
  <c r="V7814" i="8"/>
  <c r="V7815" i="8"/>
  <c r="V7816" i="8"/>
  <c r="V7817" i="8"/>
  <c r="V7819" i="8"/>
  <c r="V7820" i="8"/>
  <c r="V7821" i="8"/>
  <c r="V7822" i="8"/>
  <c r="V7823" i="8"/>
  <c r="V7824" i="8"/>
  <c r="V7825" i="8"/>
  <c r="V7827" i="8"/>
  <c r="V7828" i="8"/>
  <c r="V7829" i="8"/>
  <c r="V7830" i="8"/>
  <c r="V7831" i="8"/>
  <c r="V7832" i="8"/>
  <c r="V7833" i="8"/>
  <c r="V7835" i="8"/>
  <c r="V7836" i="8"/>
  <c r="V7837" i="8"/>
  <c r="V7838" i="8"/>
  <c r="V7839" i="8"/>
  <c r="V7840" i="8"/>
  <c r="V7841" i="8"/>
  <c r="V7843" i="8"/>
  <c r="V7844" i="8"/>
  <c r="V7845" i="8"/>
  <c r="V7846" i="8"/>
  <c r="V7847" i="8"/>
  <c r="V7848" i="8"/>
  <c r="V7849" i="8"/>
  <c r="V7851" i="8"/>
  <c r="V7852" i="8"/>
  <c r="V7853" i="8"/>
  <c r="V7854" i="8"/>
  <c r="V7855" i="8"/>
  <c r="V7856" i="8"/>
  <c r="V7857" i="8"/>
  <c r="V7859" i="8"/>
  <c r="V7860" i="8"/>
  <c r="V7861" i="8"/>
  <c r="V7862" i="8"/>
  <c r="V7863" i="8"/>
  <c r="V7864" i="8"/>
  <c r="V7865" i="8"/>
  <c r="V7867" i="8"/>
  <c r="V7868" i="8"/>
  <c r="V7869" i="8"/>
  <c r="V7870" i="8"/>
  <c r="V7871" i="8"/>
  <c r="V7872" i="8"/>
  <c r="V7873" i="8"/>
  <c r="V7875" i="8"/>
  <c r="V7876" i="8"/>
  <c r="V7877" i="8"/>
  <c r="V7878" i="8"/>
  <c r="V7879" i="8"/>
  <c r="V7880" i="8"/>
  <c r="V7881" i="8"/>
  <c r="V7883" i="8"/>
  <c r="V7884" i="8"/>
  <c r="V7885" i="8"/>
  <c r="V7886" i="8"/>
  <c r="V7887" i="8"/>
  <c r="V7888" i="8"/>
  <c r="V7889" i="8"/>
  <c r="V7891" i="8"/>
  <c r="V7892" i="8"/>
  <c r="V7893" i="8"/>
  <c r="V7894" i="8"/>
  <c r="V7895" i="8"/>
  <c r="V7896" i="8"/>
  <c r="V7897" i="8"/>
  <c r="V7899" i="8"/>
  <c r="V7900" i="8"/>
  <c r="V7901" i="8"/>
  <c r="V7902" i="8"/>
  <c r="V7903" i="8"/>
  <c r="V7904" i="8"/>
  <c r="V7905" i="8"/>
  <c r="V7907" i="8"/>
  <c r="V7908" i="8"/>
  <c r="V7909" i="8"/>
  <c r="V7910" i="8"/>
  <c r="V7911" i="8"/>
  <c r="V7912" i="8"/>
  <c r="V7913" i="8"/>
  <c r="V7915" i="8"/>
  <c r="V7916" i="8"/>
  <c r="V7917" i="8"/>
  <c r="V7918" i="8"/>
  <c r="V7919" i="8"/>
  <c r="V7920" i="8"/>
  <c r="V7921" i="8"/>
  <c r="V7923" i="8"/>
  <c r="V7924" i="8"/>
  <c r="V7925" i="8"/>
  <c r="V7926" i="8"/>
  <c r="V7927" i="8"/>
  <c r="V7928" i="8"/>
  <c r="V7929" i="8"/>
  <c r="V7931" i="8"/>
  <c r="V7932" i="8"/>
  <c r="V7933" i="8"/>
  <c r="V7934" i="8"/>
  <c r="V7935" i="8"/>
  <c r="V7936" i="8"/>
  <c r="V7937" i="8"/>
  <c r="V7939" i="8"/>
  <c r="V7940" i="8"/>
  <c r="V7941" i="8"/>
  <c r="V7942" i="8"/>
  <c r="V7943" i="8"/>
  <c r="V7944" i="8"/>
  <c r="V7945" i="8"/>
  <c r="V7947" i="8"/>
  <c r="V7948" i="8"/>
  <c r="V7949" i="8"/>
  <c r="V7950" i="8"/>
  <c r="V7951" i="8"/>
  <c r="V7952" i="8"/>
  <c r="V7953" i="8"/>
  <c r="V7955" i="8"/>
  <c r="V7956" i="8"/>
  <c r="V7957" i="8"/>
  <c r="V7958" i="8"/>
  <c r="V7959" i="8"/>
  <c r="V7960" i="8"/>
  <c r="V7961" i="8"/>
  <c r="V7963" i="8"/>
  <c r="V7964" i="8"/>
  <c r="V7965" i="8"/>
  <c r="V7966" i="8"/>
  <c r="V7967" i="8"/>
  <c r="V7968" i="8"/>
  <c r="V7969" i="8"/>
  <c r="V7971" i="8"/>
  <c r="V7972" i="8"/>
  <c r="V7973" i="8"/>
  <c r="V7974" i="8"/>
  <c r="V7975" i="8"/>
  <c r="V7976" i="8"/>
  <c r="V7977" i="8"/>
  <c r="V7979" i="8"/>
  <c r="V7980" i="8"/>
  <c r="V7981" i="8"/>
  <c r="V7982" i="8"/>
  <c r="V7983" i="8"/>
  <c r="V7984" i="8"/>
  <c r="V7985" i="8"/>
  <c r="V7987" i="8"/>
  <c r="V7988" i="8"/>
  <c r="V7989" i="8"/>
  <c r="V7990" i="8"/>
  <c r="V7991" i="8"/>
  <c r="V7992" i="8"/>
  <c r="V7993" i="8"/>
  <c r="V7995" i="8"/>
  <c r="V7996" i="8"/>
  <c r="V7997" i="8"/>
  <c r="V7998" i="8"/>
  <c r="V7999" i="8"/>
  <c r="V8000" i="8"/>
  <c r="V8001" i="8"/>
  <c r="V8003" i="8"/>
  <c r="V8004" i="8"/>
  <c r="V8005" i="8"/>
  <c r="V8006" i="8"/>
  <c r="V8007" i="8"/>
  <c r="V8008" i="8"/>
  <c r="V8009" i="8"/>
  <c r="V8011" i="8"/>
  <c r="V8012" i="8"/>
  <c r="V8013" i="8"/>
  <c r="V8014" i="8"/>
  <c r="V8015" i="8"/>
  <c r="V8016" i="8"/>
  <c r="V8017" i="8"/>
  <c r="V8019" i="8"/>
  <c r="V8020" i="8"/>
  <c r="V8021" i="8"/>
  <c r="V8022" i="8"/>
  <c r="V8023" i="8"/>
  <c r="V8024" i="8"/>
  <c r="V8025" i="8"/>
  <c r="V8027" i="8"/>
  <c r="V8028" i="8"/>
  <c r="V8029" i="8"/>
  <c r="V8030" i="8"/>
  <c r="V8031" i="8"/>
  <c r="V8032" i="8"/>
  <c r="V8033" i="8"/>
  <c r="V8035" i="8"/>
  <c r="V8036" i="8"/>
  <c r="V8037" i="8"/>
  <c r="V8038" i="8"/>
  <c r="V8039" i="8"/>
  <c r="V8040" i="8"/>
  <c r="V8041" i="8"/>
  <c r="V8043" i="8"/>
  <c r="V8044" i="8"/>
  <c r="V8045" i="8"/>
  <c r="V8046" i="8"/>
  <c r="V8047" i="8"/>
  <c r="V8048" i="8"/>
  <c r="V8049" i="8"/>
  <c r="V8051" i="8"/>
  <c r="V8052" i="8"/>
  <c r="V8053" i="8"/>
  <c r="V8054" i="8"/>
  <c r="V8055" i="8"/>
  <c r="V8056" i="8"/>
  <c r="V8057" i="8"/>
  <c r="V8059" i="8"/>
  <c r="V8060" i="8"/>
  <c r="V8061" i="8"/>
  <c r="V8062" i="8"/>
  <c r="V8063" i="8"/>
  <c r="V8064" i="8"/>
  <c r="V8065" i="8"/>
  <c r="V8067" i="8"/>
  <c r="V8068" i="8"/>
  <c r="V8069" i="8"/>
  <c r="V8070" i="8"/>
  <c r="V8071" i="8"/>
  <c r="V8072" i="8"/>
  <c r="V8073" i="8"/>
  <c r="V8075" i="8"/>
  <c r="V8076" i="8"/>
  <c r="V8077" i="8"/>
  <c r="V8078" i="8"/>
  <c r="V8079" i="8"/>
  <c r="V8080" i="8"/>
  <c r="V8081" i="8"/>
  <c r="V8083" i="8"/>
  <c r="V8084" i="8"/>
  <c r="V8085" i="8"/>
  <c r="V8086" i="8"/>
  <c r="V8087" i="8"/>
  <c r="V8088" i="8"/>
  <c r="V8089" i="8"/>
  <c r="V8091" i="8"/>
  <c r="V8092" i="8"/>
  <c r="V8093" i="8"/>
  <c r="V8094" i="8"/>
  <c r="V8095" i="8"/>
  <c r="V8096" i="8"/>
  <c r="V8097" i="8"/>
  <c r="V8099" i="8"/>
  <c r="V8100" i="8"/>
  <c r="V8101" i="8"/>
  <c r="V8102" i="8"/>
  <c r="V8103" i="8"/>
  <c r="V8104" i="8"/>
  <c r="V8105" i="8"/>
  <c r="V8107" i="8"/>
  <c r="V8108" i="8"/>
  <c r="V8109" i="8"/>
  <c r="V8110" i="8"/>
  <c r="V8111" i="8"/>
  <c r="V8112" i="8"/>
  <c r="V8113" i="8"/>
  <c r="V8115" i="8"/>
  <c r="V8116" i="8"/>
  <c r="V8117" i="8"/>
  <c r="V8118" i="8"/>
  <c r="V8119" i="8"/>
  <c r="V8120" i="8"/>
  <c r="V8121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6" i="8"/>
  <c r="V8137" i="8"/>
  <c r="V8139" i="8"/>
  <c r="V8140" i="8"/>
  <c r="V8141" i="8"/>
  <c r="V8142" i="8"/>
  <c r="V8143" i="8"/>
  <c r="V8144" i="8"/>
  <c r="V8145" i="8"/>
  <c r="V8147" i="8"/>
  <c r="V8148" i="8"/>
  <c r="V8149" i="8"/>
  <c r="V8150" i="8"/>
  <c r="V8151" i="8"/>
  <c r="V8152" i="8"/>
  <c r="V8153" i="8"/>
  <c r="V8155" i="8"/>
  <c r="V8156" i="8"/>
  <c r="V8157" i="8"/>
  <c r="V8158" i="8"/>
  <c r="V8159" i="8"/>
  <c r="V8160" i="8"/>
  <c r="V8161" i="8"/>
  <c r="V8163" i="8"/>
  <c r="V8164" i="8"/>
  <c r="V8165" i="8"/>
  <c r="V8166" i="8"/>
  <c r="V8167" i="8"/>
  <c r="V8168" i="8"/>
  <c r="V8169" i="8"/>
  <c r="V8171" i="8"/>
  <c r="V8172" i="8"/>
  <c r="V8173" i="8"/>
  <c r="V8174" i="8"/>
  <c r="V8175" i="8"/>
  <c r="V8176" i="8"/>
  <c r="V8177" i="8"/>
  <c r="V8179" i="8"/>
  <c r="V8180" i="8"/>
  <c r="V8181" i="8"/>
  <c r="V8182" i="8"/>
  <c r="V8183" i="8"/>
  <c r="V8184" i="8"/>
  <c r="V8185" i="8"/>
  <c r="V8187" i="8"/>
  <c r="V8188" i="8"/>
  <c r="V8189" i="8"/>
  <c r="V8190" i="8"/>
  <c r="V8191" i="8"/>
  <c r="V8192" i="8"/>
  <c r="V8193" i="8"/>
  <c r="V8195" i="8"/>
  <c r="V8196" i="8"/>
  <c r="V8197" i="8"/>
  <c r="V8198" i="8"/>
  <c r="V8199" i="8"/>
  <c r="V8201" i="8"/>
  <c r="V8203" i="8"/>
  <c r="V8204" i="8"/>
  <c r="V8205" i="8"/>
  <c r="V8206" i="8"/>
  <c r="V8207" i="8"/>
  <c r="V8208" i="8"/>
  <c r="V8209" i="8"/>
  <c r="V8211" i="8"/>
  <c r="V8212" i="8"/>
  <c r="V8213" i="8"/>
  <c r="V8214" i="8"/>
  <c r="V8215" i="8"/>
  <c r="V8216" i="8"/>
  <c r="V8217" i="8"/>
  <c r="V8219" i="8"/>
  <c r="V8220" i="8"/>
  <c r="V8221" i="8"/>
  <c r="V8222" i="8"/>
  <c r="V8223" i="8"/>
  <c r="V8224" i="8"/>
  <c r="V8225" i="8"/>
  <c r="V8227" i="8"/>
  <c r="V8228" i="8"/>
  <c r="V8229" i="8"/>
  <c r="V8230" i="8"/>
  <c r="V8231" i="8"/>
  <c r="V8232" i="8"/>
  <c r="V8233" i="8"/>
  <c r="V8235" i="8"/>
  <c r="V8236" i="8"/>
  <c r="V8237" i="8"/>
  <c r="V8238" i="8"/>
  <c r="V8239" i="8"/>
  <c r="V8240" i="8"/>
  <c r="V8241" i="8"/>
  <c r="V8243" i="8"/>
  <c r="V8244" i="8"/>
  <c r="V8245" i="8"/>
  <c r="V8246" i="8"/>
  <c r="V8247" i="8"/>
  <c r="V8248" i="8"/>
  <c r="V8249" i="8"/>
  <c r="V8251" i="8"/>
  <c r="V8252" i="8"/>
  <c r="V8253" i="8"/>
  <c r="V8254" i="8"/>
  <c r="V8255" i="8"/>
  <c r="V8256" i="8"/>
  <c r="V8257" i="8"/>
  <c r="V8259" i="8"/>
  <c r="V8260" i="8"/>
  <c r="V8261" i="8"/>
  <c r="V8262" i="8"/>
  <c r="V8263" i="8"/>
  <c r="V8265" i="8"/>
  <c r="V8267" i="8"/>
  <c r="V8268" i="8"/>
  <c r="V8269" i="8"/>
  <c r="V8270" i="8"/>
  <c r="V8271" i="8"/>
  <c r="V8272" i="8"/>
  <c r="V8273" i="8"/>
  <c r="V8275" i="8"/>
  <c r="V8276" i="8"/>
  <c r="V8277" i="8"/>
  <c r="V8278" i="8"/>
  <c r="V8279" i="8"/>
  <c r="V8281" i="8"/>
  <c r="V8283" i="8"/>
  <c r="V8284" i="8"/>
  <c r="V8285" i="8"/>
  <c r="V8286" i="8"/>
  <c r="V8287" i="8"/>
  <c r="V8288" i="8"/>
  <c r="V8289" i="8"/>
  <c r="V8291" i="8"/>
  <c r="V8292" i="8"/>
  <c r="V8293" i="8"/>
  <c r="V8294" i="8"/>
  <c r="V8295" i="8"/>
  <c r="V8297" i="8"/>
  <c r="V8299" i="8"/>
  <c r="V8300" i="8"/>
  <c r="V8301" i="8"/>
  <c r="V8302" i="8"/>
  <c r="V8303" i="8"/>
  <c r="V8304" i="8"/>
  <c r="V8305" i="8"/>
  <c r="V8307" i="8"/>
  <c r="V8308" i="8"/>
  <c r="V8309" i="8"/>
  <c r="V8310" i="8"/>
  <c r="V8311" i="8"/>
  <c r="V8312" i="8"/>
  <c r="V8313" i="8"/>
  <c r="V8315" i="8"/>
  <c r="V8316" i="8"/>
  <c r="V8317" i="8"/>
  <c r="V8318" i="8"/>
  <c r="V8319" i="8"/>
  <c r="V8320" i="8"/>
  <c r="V8321" i="8"/>
  <c r="V8323" i="8"/>
  <c r="V8324" i="8"/>
  <c r="V8325" i="8"/>
  <c r="V8326" i="8"/>
  <c r="V8327" i="8"/>
  <c r="V8329" i="8"/>
  <c r="V8331" i="8"/>
  <c r="V8332" i="8"/>
  <c r="V8333" i="8"/>
  <c r="V8334" i="8"/>
  <c r="V8335" i="8"/>
  <c r="V8336" i="8"/>
  <c r="V8337" i="8"/>
  <c r="V8339" i="8"/>
  <c r="V8340" i="8"/>
  <c r="V8341" i="8"/>
  <c r="V8342" i="8"/>
  <c r="V8343" i="8"/>
  <c r="V8345" i="8"/>
  <c r="V8347" i="8"/>
  <c r="V8348" i="8"/>
  <c r="V8349" i="8"/>
  <c r="V8350" i="8"/>
  <c r="V8351" i="8"/>
  <c r="V8352" i="8"/>
  <c r="V8353" i="8"/>
  <c r="V8355" i="8"/>
  <c r="V8356" i="8"/>
  <c r="V8357" i="8"/>
  <c r="V8358" i="8"/>
  <c r="V8359" i="8"/>
  <c r="V8361" i="8"/>
  <c r="V8363" i="8"/>
  <c r="V8364" i="8"/>
  <c r="V8365" i="8"/>
  <c r="V8366" i="8"/>
  <c r="V8367" i="8"/>
  <c r="V8368" i="8"/>
  <c r="V8369" i="8"/>
  <c r="V8371" i="8"/>
  <c r="V8372" i="8"/>
  <c r="V8373" i="8"/>
  <c r="V8374" i="8"/>
  <c r="V8375" i="8"/>
  <c r="V8376" i="8"/>
  <c r="V8377" i="8"/>
  <c r="V8379" i="8"/>
  <c r="V8380" i="8"/>
  <c r="V8381" i="8"/>
  <c r="V8382" i="8"/>
  <c r="V8383" i="8"/>
  <c r="V8384" i="8"/>
  <c r="V8385" i="8"/>
  <c r="V8387" i="8"/>
  <c r="V8388" i="8"/>
  <c r="V8389" i="8"/>
  <c r="V8390" i="8"/>
  <c r="V8391" i="8"/>
  <c r="V8393" i="8"/>
  <c r="V8395" i="8"/>
  <c r="V8396" i="8"/>
  <c r="V8397" i="8"/>
  <c r="V8398" i="8"/>
  <c r="V8399" i="8"/>
  <c r="V8400" i="8"/>
  <c r="V8401" i="8"/>
  <c r="V8403" i="8"/>
  <c r="V8404" i="8"/>
  <c r="V8405" i="8"/>
  <c r="V8406" i="8"/>
  <c r="V8407" i="8"/>
  <c r="V8409" i="8"/>
  <c r="V8411" i="8"/>
  <c r="V8412" i="8"/>
  <c r="V8413" i="8"/>
  <c r="V8414" i="8"/>
  <c r="V8415" i="8"/>
  <c r="V8416" i="8"/>
  <c r="V8417" i="8"/>
  <c r="V8419" i="8"/>
  <c r="V8420" i="8"/>
  <c r="V8421" i="8"/>
  <c r="V8422" i="8"/>
  <c r="V8423" i="8"/>
  <c r="V8425" i="8"/>
  <c r="V8427" i="8"/>
  <c r="V8428" i="8"/>
  <c r="V8429" i="8"/>
  <c r="V8430" i="8"/>
  <c r="V8431" i="8"/>
  <c r="V8432" i="8"/>
  <c r="V8433" i="8"/>
  <c r="V8435" i="8"/>
  <c r="V8436" i="8"/>
  <c r="V8437" i="8"/>
  <c r="V8438" i="8"/>
  <c r="V8439" i="8"/>
  <c r="V8440" i="8"/>
  <c r="V8441" i="8"/>
  <c r="V8443" i="8"/>
  <c r="V8444" i="8"/>
  <c r="V8445" i="8"/>
  <c r="V8446" i="8"/>
  <c r="V8447" i="8"/>
  <c r="V8448" i="8"/>
  <c r="V8449" i="8"/>
  <c r="V8451" i="8"/>
  <c r="V8452" i="8"/>
  <c r="V8453" i="8"/>
  <c r="V8454" i="8"/>
  <c r="V8455" i="8"/>
  <c r="V8457" i="8"/>
  <c r="V8459" i="8"/>
  <c r="V8460" i="8"/>
  <c r="V8461" i="8"/>
  <c r="V8462" i="8"/>
  <c r="V8463" i="8"/>
  <c r="V8464" i="8"/>
  <c r="V8465" i="8"/>
  <c r="V8467" i="8"/>
  <c r="V8468" i="8"/>
  <c r="V8469" i="8"/>
  <c r="V8470" i="8"/>
  <c r="V8471" i="8"/>
  <c r="V8473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89" i="8"/>
  <c r="V8491" i="8"/>
  <c r="V8492" i="8"/>
  <c r="V8493" i="8"/>
  <c r="V8494" i="8"/>
  <c r="V8495" i="8"/>
  <c r="V8496" i="8"/>
  <c r="V8497" i="8"/>
  <c r="V8499" i="8"/>
  <c r="V8500" i="8"/>
  <c r="V8501" i="8"/>
  <c r="V8502" i="8"/>
  <c r="V8503" i="8"/>
  <c r="V8504" i="8"/>
  <c r="V8505" i="8"/>
  <c r="V8507" i="8"/>
  <c r="V8508" i="8"/>
  <c r="V8509" i="8"/>
  <c r="V8510" i="8"/>
  <c r="V8511" i="8"/>
  <c r="V8512" i="8"/>
  <c r="V8513" i="8"/>
  <c r="V8515" i="8"/>
  <c r="V8516" i="8"/>
  <c r="V8517" i="8"/>
  <c r="V8518" i="8"/>
  <c r="V8519" i="8"/>
  <c r="V8521" i="8"/>
  <c r="V8523" i="8"/>
  <c r="V8524" i="8"/>
  <c r="V8525" i="8"/>
  <c r="V8526" i="8"/>
  <c r="V8527" i="8"/>
  <c r="V8528" i="8"/>
  <c r="V8529" i="8"/>
  <c r="V8531" i="8"/>
  <c r="V8532" i="8"/>
  <c r="V8533" i="8"/>
  <c r="V8534" i="8"/>
  <c r="V8535" i="8"/>
  <c r="V8537" i="8"/>
  <c r="V8539" i="8"/>
  <c r="V8540" i="8"/>
  <c r="V8541" i="8"/>
  <c r="V8542" i="8"/>
  <c r="V8543" i="8"/>
  <c r="V8544" i="8"/>
  <c r="V8545" i="8"/>
  <c r="V8547" i="8"/>
  <c r="V8548" i="8"/>
  <c r="V8549" i="8"/>
  <c r="V8550" i="8"/>
  <c r="V8551" i="8"/>
  <c r="V8553" i="8"/>
  <c r="V8555" i="8"/>
  <c r="V8556" i="8"/>
  <c r="V8557" i="8"/>
  <c r="V8558" i="8"/>
  <c r="V8559" i="8"/>
  <c r="V8560" i="8"/>
  <c r="V8561" i="8"/>
  <c r="V8563" i="8"/>
  <c r="V8564" i="8"/>
  <c r="V8565" i="8"/>
  <c r="V8566" i="8"/>
  <c r="V8567" i="8"/>
  <c r="V8568" i="8"/>
  <c r="V8569" i="8"/>
  <c r="V8571" i="8"/>
  <c r="V8572" i="8"/>
  <c r="V8573" i="8"/>
  <c r="V8574" i="8"/>
  <c r="V8575" i="8"/>
  <c r="V8576" i="8"/>
  <c r="V8577" i="8"/>
  <c r="V8579" i="8"/>
  <c r="V8580" i="8"/>
  <c r="V8581" i="8"/>
  <c r="V8582" i="8"/>
  <c r="V8583" i="8"/>
  <c r="V8585" i="8"/>
  <c r="V8587" i="8"/>
  <c r="V8588" i="8"/>
  <c r="V8589" i="8"/>
  <c r="V8590" i="8"/>
  <c r="V8591" i="8"/>
  <c r="V8593" i="8"/>
  <c r="V8595" i="8"/>
  <c r="V8596" i="8"/>
  <c r="V8597" i="8"/>
  <c r="V8598" i="8"/>
  <c r="V8599" i="8"/>
  <c r="V8601" i="8"/>
  <c r="V8603" i="8"/>
  <c r="V8604" i="8"/>
  <c r="V8605" i="8"/>
  <c r="V8606" i="8"/>
  <c r="V8607" i="8"/>
  <c r="V8608" i="8"/>
  <c r="V8609" i="8"/>
  <c r="V8611" i="8"/>
  <c r="V8612" i="8"/>
  <c r="V8613" i="8"/>
  <c r="V8614" i="8"/>
  <c r="V8615" i="8"/>
  <c r="V8617" i="8"/>
  <c r="V8619" i="8"/>
  <c r="V8620" i="8"/>
  <c r="V8621" i="8"/>
  <c r="V8622" i="8"/>
  <c r="V8623" i="8"/>
  <c r="V8625" i="8"/>
  <c r="V8627" i="8"/>
  <c r="V8628" i="8"/>
  <c r="V8629" i="8"/>
  <c r="V8630" i="8"/>
  <c r="V8631" i="8"/>
  <c r="V8632" i="8"/>
  <c r="V8633" i="8"/>
  <c r="V8635" i="8"/>
  <c r="V8636" i="8"/>
  <c r="V8637" i="8"/>
  <c r="V8638" i="8"/>
  <c r="V8639" i="8"/>
  <c r="V8640" i="8"/>
  <c r="V8641" i="8"/>
  <c r="V8643" i="8"/>
  <c r="V8644" i="8"/>
  <c r="V8645" i="8"/>
  <c r="V8646" i="8"/>
  <c r="V8647" i="8"/>
  <c r="V8649" i="8"/>
  <c r="V8651" i="8"/>
  <c r="V8652" i="8"/>
  <c r="V8653" i="8"/>
  <c r="V8654" i="8"/>
  <c r="V8655" i="8"/>
  <c r="V8657" i="8"/>
  <c r="V8659" i="8"/>
  <c r="V8660" i="8"/>
  <c r="V8661" i="8"/>
  <c r="V8662" i="8"/>
  <c r="V8663" i="8"/>
  <c r="V8665" i="8"/>
  <c r="V8667" i="8"/>
  <c r="V8668" i="8"/>
  <c r="V8669" i="8"/>
  <c r="V8670" i="8"/>
  <c r="V8671" i="8"/>
  <c r="V8672" i="8"/>
  <c r="V8673" i="8"/>
  <c r="V8675" i="8"/>
  <c r="V8676" i="8"/>
  <c r="V8677" i="8"/>
  <c r="V8678" i="8"/>
  <c r="V8679" i="8"/>
  <c r="V8681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7" i="8"/>
  <c r="V8699" i="8"/>
  <c r="V8700" i="8"/>
  <c r="V8701" i="8"/>
  <c r="V8702" i="8"/>
  <c r="V8703" i="8"/>
  <c r="V8704" i="8"/>
  <c r="V8705" i="8"/>
  <c r="V8707" i="8"/>
  <c r="V8708" i="8"/>
  <c r="V8709" i="8"/>
  <c r="V8710" i="8"/>
  <c r="V8711" i="8"/>
  <c r="V8713" i="8"/>
  <c r="V8715" i="8"/>
  <c r="V8716" i="8"/>
  <c r="V8717" i="8"/>
  <c r="V8718" i="8"/>
  <c r="V8719" i="8"/>
  <c r="V8721" i="8"/>
  <c r="V8723" i="8"/>
  <c r="V8724" i="8"/>
  <c r="V8725" i="8"/>
  <c r="V8726" i="8"/>
  <c r="V8727" i="8"/>
  <c r="V8729" i="8"/>
  <c r="V8731" i="8"/>
  <c r="V8732" i="8"/>
  <c r="V8733" i="8"/>
  <c r="V8734" i="8"/>
  <c r="V8735" i="8"/>
  <c r="V8737" i="8"/>
  <c r="V8739" i="8"/>
  <c r="V8740" i="8"/>
  <c r="V8741" i="8"/>
  <c r="V8742" i="8"/>
  <c r="V8743" i="8"/>
  <c r="V8745" i="8"/>
  <c r="V8747" i="8"/>
  <c r="V8748" i="8"/>
  <c r="V8749" i="8"/>
  <c r="V8750" i="8"/>
  <c r="V8751" i="8"/>
  <c r="V8753" i="8"/>
  <c r="V8755" i="8"/>
  <c r="V8756" i="8"/>
  <c r="V8757" i="8"/>
  <c r="V8758" i="8"/>
  <c r="V8759" i="8"/>
  <c r="V8760" i="8"/>
  <c r="V8761" i="8"/>
  <c r="V8763" i="8"/>
  <c r="V8764" i="8"/>
  <c r="V8765" i="8"/>
  <c r="V8766" i="8"/>
  <c r="V8767" i="8"/>
  <c r="V8768" i="8"/>
  <c r="V8769" i="8"/>
  <c r="V8771" i="8"/>
  <c r="V8772" i="8"/>
  <c r="V8773" i="8"/>
  <c r="V8774" i="8"/>
  <c r="V8775" i="8"/>
  <c r="V8777" i="8"/>
  <c r="V8779" i="8"/>
  <c r="V8780" i="8"/>
  <c r="V8781" i="8"/>
  <c r="V8782" i="8"/>
  <c r="V8783" i="8"/>
  <c r="V8785" i="8"/>
  <c r="V8787" i="8"/>
  <c r="V8788" i="8"/>
  <c r="V8789" i="8"/>
  <c r="V8790" i="8"/>
  <c r="V8791" i="8"/>
  <c r="V8793" i="8"/>
  <c r="V8795" i="8"/>
  <c r="V8796" i="8"/>
  <c r="V8797" i="8"/>
  <c r="V8798" i="8"/>
  <c r="V8799" i="8"/>
  <c r="V8801" i="8"/>
  <c r="V8803" i="8"/>
  <c r="V8804" i="8"/>
  <c r="V8805" i="8"/>
  <c r="V8806" i="8"/>
  <c r="V8807" i="8"/>
  <c r="V8809" i="8"/>
  <c r="V8811" i="8"/>
  <c r="V8812" i="8"/>
  <c r="V8813" i="8"/>
  <c r="V8814" i="8"/>
  <c r="V8815" i="8"/>
  <c r="V8817" i="8"/>
  <c r="V8819" i="8"/>
  <c r="V8820" i="8"/>
  <c r="V8821" i="8"/>
  <c r="V8822" i="8"/>
  <c r="V8823" i="8"/>
  <c r="V8824" i="8"/>
  <c r="V8825" i="8"/>
  <c r="V8827" i="8"/>
  <c r="V8828" i="8"/>
  <c r="V8829" i="8"/>
  <c r="V8830" i="8"/>
  <c r="V8831" i="8"/>
  <c r="V8832" i="8"/>
  <c r="V8833" i="8"/>
  <c r="V8835" i="8"/>
  <c r="V8836" i="8"/>
  <c r="V8837" i="8"/>
  <c r="V8838" i="8"/>
  <c r="V8839" i="8"/>
  <c r="V8841" i="8"/>
  <c r="V8843" i="8"/>
  <c r="V8844" i="8"/>
  <c r="V8845" i="8"/>
  <c r="V8846" i="8"/>
  <c r="V8847" i="8"/>
  <c r="V8849" i="8"/>
  <c r="V8851" i="8"/>
  <c r="V8852" i="8"/>
  <c r="V8853" i="8"/>
  <c r="V8854" i="8"/>
  <c r="V8855" i="8"/>
  <c r="V8857" i="8"/>
  <c r="V8859" i="8"/>
  <c r="V8860" i="8"/>
  <c r="V8861" i="8"/>
  <c r="V8862" i="8"/>
  <c r="V8863" i="8"/>
  <c r="V8865" i="8"/>
  <c r="V8867" i="8"/>
  <c r="V8868" i="8"/>
  <c r="V8869" i="8"/>
  <c r="V8870" i="8"/>
  <c r="V8871" i="8"/>
  <c r="V8873" i="8"/>
  <c r="V8875" i="8"/>
  <c r="V8876" i="8"/>
  <c r="V8877" i="8"/>
  <c r="V8878" i="8"/>
  <c r="V8879" i="8"/>
  <c r="V8881" i="8"/>
  <c r="V8883" i="8"/>
  <c r="V8884" i="8"/>
  <c r="V8885" i="8"/>
  <c r="V8886" i="8"/>
  <c r="V8887" i="8"/>
  <c r="V8888" i="8"/>
  <c r="V8889" i="8"/>
  <c r="V8891" i="8"/>
  <c r="V8892" i="8"/>
  <c r="V8893" i="8"/>
  <c r="V8894" i="8"/>
  <c r="V8895" i="8"/>
  <c r="V8896" i="8"/>
  <c r="V8897" i="8"/>
  <c r="V8899" i="8"/>
  <c r="V8900" i="8"/>
  <c r="V8901" i="8"/>
  <c r="V8902" i="8"/>
  <c r="V8903" i="8"/>
  <c r="V8905" i="8"/>
  <c r="V8907" i="8"/>
  <c r="V8908" i="8"/>
  <c r="V8909" i="8"/>
  <c r="V8910" i="8"/>
  <c r="V8911" i="8"/>
  <c r="V8913" i="8"/>
  <c r="V8915" i="8"/>
  <c r="V8916" i="8"/>
  <c r="V8917" i="8"/>
  <c r="V8918" i="8"/>
  <c r="V8919" i="8"/>
  <c r="V8921" i="8"/>
  <c r="V8923" i="8"/>
  <c r="V8924" i="8"/>
  <c r="V8925" i="8"/>
  <c r="V8926" i="8"/>
  <c r="V8927" i="8"/>
  <c r="V8929" i="8"/>
  <c r="V8931" i="8"/>
  <c r="V8932" i="8"/>
  <c r="V8933" i="8"/>
  <c r="V8934" i="8"/>
  <c r="V8935" i="8"/>
  <c r="V8937" i="8"/>
  <c r="V8939" i="8"/>
  <c r="V8940" i="8"/>
  <c r="V8941" i="8"/>
  <c r="V8942" i="8"/>
  <c r="V8943" i="8"/>
  <c r="V8945" i="8"/>
  <c r="V8947" i="8"/>
  <c r="V8948" i="8"/>
  <c r="V8949" i="8"/>
  <c r="V8950" i="8"/>
  <c r="V8951" i="8"/>
  <c r="V8952" i="8"/>
  <c r="V8953" i="8"/>
  <c r="V8955" i="8"/>
  <c r="V8956" i="8"/>
  <c r="V8957" i="8"/>
  <c r="V8958" i="8"/>
  <c r="V8959" i="8"/>
  <c r="V8960" i="8"/>
  <c r="V8961" i="8"/>
  <c r="V8963" i="8"/>
  <c r="V8964" i="8"/>
  <c r="V8965" i="8"/>
  <c r="V8966" i="8"/>
  <c r="V8967" i="8"/>
  <c r="V8969" i="8"/>
  <c r="V8971" i="8"/>
  <c r="V8972" i="8"/>
  <c r="V8973" i="8"/>
  <c r="V8974" i="8"/>
  <c r="V8975" i="8"/>
  <c r="V8977" i="8"/>
  <c r="V8979" i="8"/>
  <c r="V8980" i="8"/>
  <c r="V8981" i="8"/>
  <c r="V8982" i="8"/>
  <c r="V8983" i="8"/>
  <c r="V8985" i="8"/>
  <c r="V8987" i="8"/>
  <c r="V8988" i="8"/>
  <c r="V8989" i="8"/>
  <c r="V8990" i="8"/>
  <c r="V8991" i="8"/>
  <c r="V8993" i="8"/>
  <c r="V8995" i="8"/>
  <c r="V8996" i="8"/>
  <c r="V8997" i="8"/>
  <c r="V8998" i="8"/>
  <c r="V8999" i="8"/>
  <c r="V9001" i="8"/>
  <c r="V9003" i="8"/>
  <c r="V9004" i="8"/>
  <c r="V9005" i="8"/>
  <c r="V9006" i="8"/>
  <c r="V9007" i="8"/>
  <c r="V9009" i="8"/>
  <c r="V9011" i="8"/>
  <c r="V9012" i="8"/>
  <c r="V9013" i="8"/>
  <c r="V9014" i="8"/>
  <c r="V9015" i="8"/>
  <c r="V9016" i="8"/>
  <c r="V9017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3" i="8"/>
  <c r="V9035" i="8"/>
  <c r="V9036" i="8"/>
  <c r="V9037" i="8"/>
  <c r="V9038" i="8"/>
  <c r="V9039" i="8"/>
  <c r="V9041" i="8"/>
  <c r="V9043" i="8"/>
  <c r="V9044" i="8"/>
  <c r="V9045" i="8"/>
  <c r="V9046" i="8"/>
  <c r="V9047" i="8"/>
  <c r="V9049" i="8"/>
  <c r="V9051" i="8"/>
  <c r="V9052" i="8"/>
  <c r="V9053" i="8"/>
  <c r="V9054" i="8"/>
  <c r="V9055" i="8"/>
  <c r="V9057" i="8"/>
  <c r="V9059" i="8"/>
  <c r="V9060" i="8"/>
  <c r="V9061" i="8"/>
  <c r="V9062" i="8"/>
  <c r="V9063" i="8"/>
  <c r="V9065" i="8"/>
  <c r="V9067" i="8"/>
  <c r="V9068" i="8"/>
  <c r="V9069" i="8"/>
  <c r="V9070" i="8"/>
  <c r="V9071" i="8"/>
  <c r="V9073" i="8"/>
  <c r="V9075" i="8"/>
  <c r="V9076" i="8"/>
  <c r="V9077" i="8"/>
  <c r="V9078" i="8"/>
  <c r="V9079" i="8"/>
  <c r="V9080" i="8"/>
  <c r="V9081" i="8"/>
  <c r="V9083" i="8"/>
  <c r="V9084" i="8"/>
  <c r="V9085" i="8"/>
  <c r="V9086" i="8"/>
  <c r="V9087" i="8"/>
  <c r="V9088" i="8"/>
  <c r="V9089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T3" i="1" l="1"/>
  <c r="F3" i="1"/>
  <c r="BF4" i="1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76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3" i="1" l="1"/>
  <c r="L4" i="1"/>
  <c r="BF3" i="1"/>
  <c r="E3" i="1"/>
  <c r="X66" i="8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4" i="1" s="1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<sst xmlns="http://schemas.openxmlformats.org/spreadsheetml/2006/main" count="3538" uniqueCount="1125">
  <si>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</si>
  <si>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</si>
  <si>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</si>
  <si>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</si>
  <si>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</si>
  <si>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</si>
  <si>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</si>
  <si>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</si>
  <si>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</si>
  <si>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</si>
  <si>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</si>
  <si>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</si>
  <si>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</si>
  <si>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</si>
  <si>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</si>
  <si>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</si>
  <si>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</si>
  <si>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</si>
  <si>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</si>
  <si>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</si>
  <si>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</si>
  <si>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</si>
  <si>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</si>
  <si>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</si>
  <si>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</si>
  <si>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</si>
  <si>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</si>
  <si>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</si>
  <si>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</si>
  <si>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</si>
  <si>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</si>
  <si>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</si>
  <si>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</si>
  <si>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</si>
  <si>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</si>
  <si>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</si>
  <si>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</si>
  <si>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</si>
  <si>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</si>
  <si>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</si>
  <si>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</si>
  <si>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</si>
  <si>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</si>
  <si>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</si>
  <si>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</si>
  <si>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</si>
  <si>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</si>
  <si>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</si>
  <si>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</si>
  <si>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</si>
  <si>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</si>
  <si>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</si>
  <si>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</si>
  <si>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</si>
  <si>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</si>
  <si>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</si>
  <si>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</si>
  <si>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</si>
  <si>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</si>
  <si>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</si>
  <si>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</si>
  <si>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</si>
  <si>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</si>
  <si>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</si>
  <si>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</si>
  <si>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</si>
  <si>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</si>
  <si>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</si>
  <si>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</si>
  <si>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</si>
  <si>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</si>
  <si>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</si>
  <si>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</si>
  <si>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</si>
  <si>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</si>
  <si>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</si>
  <si>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</si>
  <si>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</si>
  <si>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</si>
  <si>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</si>
  <si>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</si>
  <si>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</si>
  <si>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</si>
  <si>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</si>
  <si>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</si>
  <si>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</si>
  <si>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</si>
  <si>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</si>
  <si>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</si>
  <si>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</si>
  <si>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</si>
  <si>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</si>
  <si>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</si>
  <si>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</si>
  <si>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</si>
  <si>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</si>
  <si>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</si>
  <si>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</si>
  <si>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</si>
  <si>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</si>
  <si>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</si>
  <si>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</si>
  <si>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</si>
  <si>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</si>
  <si>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</si>
  <si>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</si>
  <si>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</si>
  <si>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</si>
  <si>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</si>
  <si>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</si>
  <si>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</si>
  <si>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</si>
  <si>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</si>
  <si>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</si>
  <si>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</si>
  <si>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</si>
  <si>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</si>
  <si>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</si>
  <si>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</si>
  <si>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</si>
  <si>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</si>
  <si>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</si>
  <si>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</si>
  <si>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</si>
  <si>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</si>
  <si>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</si>
  <si>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</si>
  <si>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</si>
  <si>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</si>
  <si>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</si>
  <si>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</si>
  <si>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</si>
  <si>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</si>
  <si>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</si>
  <si>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</si>
  <si>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</si>
  <si>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</si>
  <si>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</si>
  <si>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</si>
  <si>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</si>
  <si>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</si>
  <si>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</si>
  <si>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</si>
  <si>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</si>
  <si>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</si>
  <si>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</si>
  <si>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</si>
  <si>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</si>
  <si>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</si>
  <si>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</si>
  <si>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</si>
  <si>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</si>
  <si>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</si>
  <si>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</si>
  <si>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</si>
  <si>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</si>
  <si>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</si>
  <si>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</si>
  <si>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</si>
  <si>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</si>
  <si>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</si>
  <si>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</si>
  <si>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</si>
  <si>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</si>
  <si>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</si>
  <si>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</si>
  <si>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</si>
  <si>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</si>
  <si>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</si>
  <si>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</si>
  <si>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</si>
  <si>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</si>
  <si>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</si>
  <si>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</si>
  <si>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</si>
  <si>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</si>
  <si>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</si>
  <si>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</si>
  <si>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</si>
  <si>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</si>
  <si>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</si>
  <si>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</si>
  <si>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</si>
  <si>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</si>
  <si>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</si>
  <si>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</si>
  <si>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</si>
  <si>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</si>
  <si>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</si>
  <si>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</si>
  <si>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</si>
  <si>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</si>
  <si>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</si>
  <si>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</si>
  <si>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</si>
  <si>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</si>
  <si>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</si>
  <si>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</si>
  <si>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</si>
  <si>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</si>
  <si>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</si>
  <si>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</si>
  <si>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</si>
  <si>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</si>
  <si>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</si>
  <si>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</si>
  <si>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</si>
  <si>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</si>
  <si>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</si>
  <si>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</si>
  <si>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</si>
  <si>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</si>
  <si>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</si>
  <si>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</si>
  <si>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</si>
  <si>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</si>
  <si>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</si>
  <si>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</si>
  <si>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</si>
  <si>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</si>
  <si>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</si>
  <si>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</si>
  <si>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</si>
  <si>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</si>
  <si>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</si>
  <si>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</si>
  <si>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</si>
  <si>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</si>
  <si>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</si>
  <si>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</si>
  <si>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</si>
  <si>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</si>
  <si>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</si>
  <si>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</si>
  <si>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</si>
  <si>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</si>
  <si>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</si>
  <si>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</si>
  <si>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</si>
  <si>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</si>
  <si>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</si>
  <si>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</si>
  <si>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</si>
  <si>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</si>
  <si>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</si>
  <si>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</si>
  <si>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</si>
  <si>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</si>
  <si>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</si>
  <si>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</si>
  <si>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</si>
  <si>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</si>
  <si>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</si>
  <si>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</si>
  <si>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</si>
  <si>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</si>
  <si>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</si>
  <si>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</si>
  <si>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</si>
  <si>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</si>
  <si>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</si>
  <si>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</si>
  <si>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</si>
  <si>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</si>
  <si>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</si>
  <si>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</si>
  <si>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</si>
  <si>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</si>
  <si>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</si>
  <si>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</si>
  <si>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</si>
  <si>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</si>
  <si>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</si>
  <si>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</si>
  <si>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</si>
  <si>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</si>
  <si>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</si>
  <si>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</si>
  <si>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</si>
  <si>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</si>
  <si>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</si>
  <si>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</si>
  <si>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</si>
  <si>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</si>
  <si>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</si>
  <si>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</si>
  <si>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</si>
  <si>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</si>
  <si>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</si>
  <si>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</si>
  <si>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</si>
  <si>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</si>
  <si>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</si>
  <si>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</si>
  <si>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</si>
  <si>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</si>
  <si>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</si>
  <si>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</si>
  <si>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</si>
  <si>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</si>
  <si>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</si>
  <si>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</si>
  <si>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</si>
  <si>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</si>
  <si>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</si>
  <si>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</si>
  <si>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</si>
  <si>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</si>
  <si>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</si>
  <si>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</si>
  <si>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</si>
  <si>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</si>
  <si>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</si>
  <si>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</si>
  <si>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</si>
  <si>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</si>
  <si>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</si>
  <si>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</si>
  <si>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</si>
  <si>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</si>
  <si>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</si>
  <si>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</si>
  <si>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</si>
  <si>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</si>
  <si>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</si>
  <si>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</si>
  <si>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</si>
  <si>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</si>
  <si>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</si>
  <si>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</si>
  <si>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</si>
  <si>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</si>
  <si>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</si>
  <si>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</si>
  <si>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</si>
  <si>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</si>
  <si>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</si>
  <si>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</si>
  <si>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</si>
  <si>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</si>
  <si>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</si>
  <si>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</si>
  <si>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</si>
  <si>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</si>
  <si>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</si>
  <si>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</si>
  <si>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</si>
  <si>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</si>
  <si>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</si>
  <si>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</si>
  <si>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</si>
  <si>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</si>
  <si>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</si>
  <si>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</si>
  <si>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</si>
  <si>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</si>
  <si>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</si>
  <si>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</si>
  <si>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</si>
  <si>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</si>
  <si>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</si>
  <si>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</si>
  <si>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</si>
  <si>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</si>
  <si>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</si>
  <si>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</si>
  <si>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</si>
  <si>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</si>
  <si>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</si>
  <si>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</si>
  <si>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</si>
  <si>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</si>
  <si>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</si>
  <si>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</si>
  <si>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</si>
  <si>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</si>
  <si>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</si>
  <si>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</si>
  <si>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</si>
  <si>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</si>
  <si>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</si>
  <si>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</si>
  <si>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</si>
  <si>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</si>
  <si>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</si>
  <si>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</si>
  <si>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</si>
  <si>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</si>
  <si>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</si>
  <si>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</si>
  <si>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</si>
  <si>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</si>
  <si>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</si>
  <si>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</si>
  <si>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</si>
  <si>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</si>
  <si>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</si>
  <si>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</si>
  <si>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</si>
  <si>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</si>
  <si>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</si>
  <si>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</si>
  <si>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</si>
  <si>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</si>
  <si>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</si>
  <si>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</si>
  <si>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</si>
  <si>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</si>
  <si>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</si>
  <si>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</si>
  <si>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</si>
  <si>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</si>
  <si>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</si>
  <si>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</si>
  <si>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</si>
  <si>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</si>
  <si>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</si>
  <si>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</si>
  <si>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</si>
  <si>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</si>
  <si>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</si>
  <si>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</si>
  <si>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</si>
  <si>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</si>
  <si>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</si>
  <si>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</si>
  <si>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</si>
  <si>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</si>
  <si>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</si>
  <si>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</si>
  <si>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</si>
  <si>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</si>
  <si>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</si>
  <si>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</si>
  <si>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</si>
  <si>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</si>
  <si>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</si>
  <si>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</si>
  <si>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</si>
  <si>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</si>
  <si>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</si>
  <si>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</si>
  <si>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</si>
  <si>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</si>
  <si>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</si>
  <si>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</si>
  <si>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</si>
  <si>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</si>
  <si>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</si>
  <si>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</si>
  <si>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</si>
  <si>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</si>
  <si>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</si>
  <si>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</si>
  <si>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</si>
  <si>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</si>
  <si>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</si>
  <si>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</si>
  <si>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</si>
  <si>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</si>
  <si>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</si>
  <si>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</si>
  <si>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</si>
  <si>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</si>
  <si>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</si>
  <si>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</si>
  <si>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</si>
  <si>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</si>
  <si>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</si>
  <si>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</si>
  <si>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</si>
  <si>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</si>
  <si>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</si>
  <si>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</si>
  <si>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</si>
  <si>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</si>
  <si>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</si>
  <si>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</si>
  <si>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</si>
  <si>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</si>
  <si>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</si>
  <si>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</si>
  <si>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</si>
  <si>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</si>
  <si>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</si>
  <si>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</si>
  <si>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</si>
  <si>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</si>
  <si>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</si>
  <si>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</si>
  <si>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</si>
  <si>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</si>
  <si>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</si>
  <si>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</si>
  <si>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</si>
  <si>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</si>
  <si>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</si>
  <si>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</si>
  <si>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</si>
  <si>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</si>
  <si>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</si>
  <si>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</si>
  <si>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</si>
  <si>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</si>
  <si>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</si>
  <si>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</si>
  <si>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</si>
  <si>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</si>
  <si>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</si>
  <si>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</si>
  <si>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</si>
  <si>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</si>
  <si>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</si>
  <si>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</si>
  <si>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</si>
  <si>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</si>
  <si>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</si>
  <si>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</si>
  <si>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</si>
  <si>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</si>
  <si>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</si>
  <si>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</si>
  <si>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</si>
  <si>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</si>
  <si>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</si>
  <si>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</si>
  <si>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</si>
  <si>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</si>
  <si>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</si>
  <si>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</si>
  <si>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</si>
  <si>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</si>
  <si>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</si>
  <si>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</si>
  <si>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</si>
  <si>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</si>
  <si>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</si>
  <si>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</si>
  <si>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</si>
  <si>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</si>
  <si>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</si>
  <si>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</si>
  <si>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</si>
  <si>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</si>
  <si>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</si>
  <si>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</si>
  <si>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</si>
  <si>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</si>
  <si>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</si>
  <si>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</si>
  <si>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</si>
  <si>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</si>
  <si>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</si>
  <si>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</si>
  <si>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</si>
  <si>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</si>
  <si>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</si>
  <si>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</si>
  <si>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</si>
  <si>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</si>
  <si>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</si>
  <si>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</si>
  <si>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</si>
  <si>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</si>
  <si>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</si>
  <si>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</si>
  <si>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</si>
  <si>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</si>
  <si>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</si>
  <si>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</si>
  <si>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</si>
  <si>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</si>
  <si>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</si>
  <si>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</si>
  <si>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</si>
  <si>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</si>
  <si>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</si>
  <si>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</si>
  <si>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</si>
  <si>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</si>
  <si>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</si>
  <si>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</si>
  <si>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</si>
  <si>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</si>
  <si>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</si>
  <si>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</si>
  <si>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</si>
  <si>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</si>
  <si>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</si>
  <si>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</si>
  <si>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</si>
  <si>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</si>
  <si>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</si>
  <si>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</si>
  <si>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</si>
  <si>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</si>
  <si>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</si>
  <si>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</si>
  <si>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</si>
  <si>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</si>
  <si>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</si>
  <si>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</si>
  <si>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</si>
  <si>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</si>
  <si>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</si>
  <si>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</si>
  <si>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</si>
  <si>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</si>
  <si>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</si>
  <si>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</si>
  <si>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</si>
  <si>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</si>
  <si>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</si>
  <si>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</si>
  <si>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</si>
  <si>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</si>
  <si>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</si>
  <si>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</si>
  <si>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</si>
  <si>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</si>
  <si>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</si>
  <si>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</si>
  <si>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</si>
  <si>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</si>
  <si>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</si>
  <si>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</si>
  <si>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</si>
  <si>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</si>
  <si>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</si>
  <si>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</si>
  <si>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</si>
  <si>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</si>
  <si>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</si>
  <si>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</si>
  <si>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</si>
  <si>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</si>
  <si>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</si>
  <si>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</si>
  <si>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</si>
  <si>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</si>
  <si>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</si>
  <si>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</si>
  <si>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</si>
  <si>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</si>
  <si>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</si>
  <si>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</si>
  <si>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</si>
  <si>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</si>
  <si>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</si>
  <si>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</si>
  <si>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</si>
  <si>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</si>
  <si>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</si>
  <si>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</si>
  <si>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</si>
  <si>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</si>
  <si>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</si>
  <si>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</si>
  <si>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</si>
  <si>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</si>
  <si>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</si>
  <si>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</si>
  <si>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</si>
  <si>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</si>
  <si>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</si>
  <si>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</si>
  <si>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</si>
  <si>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</si>
  <si>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</si>
  <si>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</si>
  <si>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</si>
  <si>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</si>
  <si>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</si>
  <si>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</si>
  <si>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</si>
  <si>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</si>
  <si>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</si>
  <si>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</si>
  <si>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</si>
  <si>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</si>
  <si>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</si>
  <si>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</si>
  <si>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</si>
  <si>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</si>
  <si>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</si>
  <si>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</si>
  <si>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</si>
  <si>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</si>
  <si>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</si>
  <si>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</si>
  <si>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</si>
  <si>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</si>
  <si>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</si>
  <si>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</si>
  <si>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</si>
  <si>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</si>
  <si>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</si>
  <si>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</si>
  <si>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</si>
  <si>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</si>
  <si>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</si>
  <si>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</si>
  <si>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</si>
  <si>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</si>
  <si>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</si>
  <si>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</si>
  <si>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</si>
  <si>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</si>
  <si>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</si>
  <si>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</si>
  <si>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</si>
  <si>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</si>
  <si>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</si>
  <si>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</si>
  <si>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</si>
  <si>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</si>
  <si>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</si>
  <si>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</si>
  <si>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</si>
  <si>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</si>
  <si>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</si>
  <si>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</si>
  <si>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</si>
  <si>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</si>
  <si>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</si>
  <si>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</si>
  <si>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</si>
  <si>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</si>
  <si>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</si>
  <si>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</si>
  <si>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</si>
  <si>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</si>
  <si>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</si>
  <si>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</si>
  <si>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</si>
  <si>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</si>
  <si>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</si>
  <si>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</si>
  <si>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</si>
  <si>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</si>
  <si>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</si>
  <si>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</si>
  <si>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</si>
  <si>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</si>
  <si>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</si>
  <si>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</si>
  <si>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</si>
  <si>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</si>
  <si>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</si>
  <si>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</si>
  <si>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</si>
  <si>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</si>
  <si>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</si>
  <si>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</si>
  <si>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</si>
  <si>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</si>
  <si>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</si>
  <si>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</si>
  <si>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</si>
  <si>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</si>
  <si>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</si>
  <si>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</si>
  <si>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</si>
  <si>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</si>
  <si>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</si>
  <si>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</si>
  <si>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</si>
  <si>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</si>
  <si>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</si>
  <si>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</si>
  <si>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</si>
  <si>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</si>
  <si>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</si>
  <si>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</si>
  <si>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</si>
  <si>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</si>
  <si>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</si>
  <si>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</si>
  <si>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</si>
  <si>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</si>
  <si>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</si>
  <si>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</si>
  <si>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</si>
  <si>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</si>
  <si>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</si>
  <si>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</si>
  <si>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</si>
  <si>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</si>
  <si>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</si>
  <si>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</si>
  <si>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</si>
  <si>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</si>
  <si>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</si>
  <si>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</si>
  <si>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</si>
  <si>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</si>
  <si>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</si>
  <si>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</si>
  <si>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</si>
  <si>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</si>
  <si>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</si>
  <si>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</si>
  <si>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</si>
  <si>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</si>
  <si>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</si>
  <si>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</si>
  <si>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</si>
  <si>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</si>
  <si>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</si>
  <si>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</si>
  <si>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</si>
  <si>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</si>
  <si>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</si>
  <si>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</si>
  <si>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</si>
  <si>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</si>
  <si>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</si>
  <si>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</si>
  <si>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</si>
  <si>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</si>
  <si>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</si>
  <si>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</si>
  <si>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</si>
  <si>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</si>
  <si>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</si>
  <si>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</si>
  <si>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</si>
  <si>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</si>
  <si>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</si>
  <si>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</si>
  <si>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</si>
  <si>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</si>
  <si>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</si>
  <si>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</si>
  <si>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</si>
  <si>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</si>
  <si>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</si>
  <si>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</si>
  <si>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</si>
  <si>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</si>
  <si>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</si>
  <si>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</si>
  <si>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</si>
  <si>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</si>
  <si>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</si>
  <si>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</si>
  <si>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</si>
  <si>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</si>
  <si>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</si>
  <si>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</si>
  <si>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</si>
  <si>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</si>
  <si>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</si>
  <si>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</si>
  <si>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</si>
  <si>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</si>
  <si>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</si>
  <si>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</si>
  <si>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</si>
  <si>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</si>
  <si>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</si>
  <si>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</si>
  <si>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</si>
  <si>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</si>
  <si>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</si>
  <si>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</si>
  <si>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</si>
  <si>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</si>
  <si>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</si>
  <si>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</si>
  <si>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</si>
  <si>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</si>
  <si>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</si>
  <si>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</si>
  <si>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</si>
  <si>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</si>
  <si>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</si>
  <si>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</si>
  <si>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</si>
  <si>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</si>
  <si>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</si>
  <si>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</si>
  <si>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</si>
  <si>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</si>
  <si>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</si>
  <si>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</si>
  <si>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</si>
  <si>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</si>
  <si>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</si>
  <si>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</si>
  <si>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</si>
  <si>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</si>
  <si>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</si>
  <si>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</si>
  <si>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</si>
  <si>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</si>
  <si>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</si>
  <si>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</si>
  <si>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</si>
  <si>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black</t>
  </si>
  <si>
    <t>56-019-09-57</t>
  </si>
  <si>
    <t>Бейсболка ADIDAS арт. HD9695 CURVED TRUCKER (серый / черный) {black}</t>
  </si>
  <si>
    <t>57 M</t>
  </si>
  <si>
    <t>HD9695 CURVED TRUCKER</t>
  </si>
  <si>
    <t>90% полиэстер - 10% эластан</t>
  </si>
  <si>
    <t>Adidas International Trading AG; Switzerland, Platz 1b, 6039 Root D4</t>
  </si>
  <si>
    <t>56-018-35-57</t>
  </si>
  <si>
    <t>Бейсболка ADIDAS арт. HD9755 CAMO BALLCAP (разноцветный) {multicoloured}</t>
  </si>
  <si>
    <t>HD9755 CAMO BALLCAP</t>
  </si>
  <si>
    <t>100% полиэстер</t>
  </si>
  <si>
    <t>multicoloured</t>
  </si>
  <si>
    <t>56-017-02-57</t>
  </si>
  <si>
    <t>Бейсболка ADIDAS арт. HD2224 BSBL STREET (бежевый) {beige}</t>
  </si>
  <si>
    <t>HD2224 BSBL STREET</t>
  </si>
  <si>
    <t>100% хлопок</t>
  </si>
  <si>
    <t>beige</t>
  </si>
  <si>
    <t>56-016-06-61</t>
  </si>
  <si>
    <t>Бейсболка ADIDAS арт. HD7239 BBALLCAP LT MET (синий) {blue}</t>
  </si>
  <si>
    <t>61 XL</t>
  </si>
  <si>
    <t>HD7239 BBALLCAP LT MET</t>
  </si>
  <si>
    <t>blue</t>
  </si>
  <si>
    <t>56-016-06-57</t>
  </si>
  <si>
    <t>56-015-09-61</t>
  </si>
  <si>
    <t>Бейсболка ADIDAS арт. HD7045 BASEBALL CAP (черный) {black}</t>
  </si>
  <si>
    <t>HD7045 BASEBALL CAP</t>
  </si>
  <si>
    <t>56-015-09-57</t>
  </si>
  <si>
    <t>56-014-41-57</t>
  </si>
  <si>
    <t>Бейсболка ADIDAS арт. HD9700 BASEB CLASS TRE (фиолетовый) {purple}</t>
  </si>
  <si>
    <t>HD9700 BASEB CLASS TRE</t>
  </si>
  <si>
    <t>purple</t>
  </si>
  <si>
    <t>56-014-41-56</t>
  </si>
  <si>
    <t>56 S/M</t>
  </si>
  <si>
    <t>56-013-09-57</t>
  </si>
  <si>
    <t>Бейсболка ADIDAS арт. HD9699 BASEB CLASS TRE (серый) {black}</t>
  </si>
  <si>
    <t>HD9699 BASEB CLASS TRE</t>
  </si>
  <si>
    <t>56-012-34-57</t>
  </si>
  <si>
    <t>Бейсболка ADIDAS арт. HE9766 BASEB CLASS TRE (розовый) {pink}</t>
  </si>
  <si>
    <t>HE9766 BASEB CLASS TRE</t>
  </si>
  <si>
    <t>pink</t>
  </si>
  <si>
    <t>56-011-09-61</t>
  </si>
  <si>
    <t>Бейсболка ADIDAS арт. GN2291 STAN BBALL CAP (черный) {black}</t>
  </si>
  <si>
    <t>GN2291 STAN BBALL CAP</t>
  </si>
  <si>
    <t>56-011-09-57</t>
  </si>
  <si>
    <t>56-010-09-61</t>
  </si>
  <si>
    <t>Бейсболка ADIDAS арт. GN2052 3S CAP (черный) {black}</t>
  </si>
  <si>
    <t>GN2052 3S CAP</t>
  </si>
  <si>
    <t>56-010-09-57</t>
  </si>
  <si>
    <t>56-009-09-61</t>
  </si>
  <si>
    <t>Бейсболка ADIDAS арт. GM4508 BBALLCAP LT MET (черный) {black}</t>
  </si>
  <si>
    <t>GM4508 BBALLCAP LT MET</t>
  </si>
  <si>
    <t>56-009-09-57</t>
  </si>
  <si>
    <t>56-008-09-61</t>
  </si>
  <si>
    <t>Бейсболка ADIDAS арт. GE0750 BBALL 3S CAP CT (темно-синий) {black}</t>
  </si>
  <si>
    <t>GE0750 BBALL 3S CAP CT</t>
  </si>
  <si>
    <t>56-008-09-57</t>
  </si>
  <si>
    <t>56-007-09-61</t>
  </si>
  <si>
    <t>Бейсболка ADIDAS арт. DM6178 DAILY CAP (черный) {black}</t>
  </si>
  <si>
    <t>DM6178 DAILY CAP</t>
  </si>
  <si>
    <t>56-007-09-57</t>
  </si>
  <si>
    <t>56-006-09-61</t>
  </si>
  <si>
    <t>Бейсболка ADIDAS арт. FK0891 BBALL CAP COT (черный) {black}</t>
  </si>
  <si>
    <t>FK0891 BBALL CAP COT</t>
  </si>
  <si>
    <t>56-006-09-57</t>
  </si>
  <si>
    <t>56-005-17-57</t>
  </si>
  <si>
    <t>Бейсболка ADIDAS арт. FK0890 BBALL CAP COT (белый) {white}</t>
  </si>
  <si>
    <t>FK0890 BBALL CAP COT</t>
  </si>
  <si>
    <t>white</t>
  </si>
  <si>
    <t>56-004-17-61</t>
  </si>
  <si>
    <t>Бейсболка ADIDAS арт. FQ5411 BBALL 3S CAP CT (белый) {white}</t>
  </si>
  <si>
    <t>FQ5411 BBALL 3S CAP CT</t>
  </si>
  <si>
    <t>56-004-17-57</t>
  </si>
  <si>
    <t>56-003-09-57</t>
  </si>
  <si>
    <t>Бейсболка ADIDAS арт. FK0894 BBALL 3S CAP CT (черный) {black}</t>
  </si>
  <si>
    <t>FK0894 BBALL 3S CAP CT</t>
  </si>
  <si>
    <t>56-002-09-61</t>
  </si>
  <si>
    <t>Бейсболка ADIDAS арт. FL3713 BASEBALL BOLD (черный) {black}</t>
  </si>
  <si>
    <t>FL3713 BASEBALL BOLD</t>
  </si>
  <si>
    <t>56-002-09-57</t>
  </si>
  <si>
    <t>56-001-09-61</t>
  </si>
  <si>
    <t>Бейсболка ADIDAS арт. EC3603 BASEB CLASS TRE (черный) {black}</t>
  </si>
  <si>
    <t>EC3603 BASEB CLASS TRE</t>
  </si>
  <si>
    <t>56-001-09-57</t>
  </si>
  <si>
    <t>56-023-16-00</t>
  </si>
  <si>
    <t>Бейсболка LACOSTE арт. RK7415HDE LACOSTE CAP (темно-синий) {navy}</t>
  </si>
  <si>
    <t>ONE</t>
  </si>
  <si>
    <t>RK7415HDE LACOSTE CAP</t>
  </si>
  <si>
    <t>LACOSTE OPERATIONS S.A.; France, 23-25, rue de Provence, 75009 Paris</t>
  </si>
  <si>
    <t>navy</t>
  </si>
  <si>
    <t>56-022-02-00</t>
  </si>
  <si>
    <t>Бейсболка LACOSTE арт. RK741502S LACOSTE CAP (бежевый) {beige}</t>
  </si>
  <si>
    <t>RK741502S LACOSTE CAP</t>
  </si>
  <si>
    <t>56-021-18-00</t>
  </si>
  <si>
    <t>Бейсболка LACOSTE арт. RK2450DP4 LACOSTE CAP (красный) {red}</t>
  </si>
  <si>
    <t>RK2450DP4 LACOSTE CAP</t>
  </si>
  <si>
    <t>red</t>
  </si>
  <si>
    <t>56-020-17-00</t>
  </si>
  <si>
    <t>Бейсболка LACOSTE арт. RK2450800 CAPS (белый) {white}</t>
  </si>
  <si>
    <t>RK2450800 CAPS</t>
  </si>
  <si>
    <t>56-044-17-57</t>
  </si>
  <si>
    <t>Бейсболка PUMA арт. 5291902 ESS CAP (белый) {white}</t>
  </si>
  <si>
    <t>5291902 ESS CAP</t>
  </si>
  <si>
    <t>Puma SE Rudolf Dassler Sport; Puma way 1, D-91074 Herzogenaurach, Germany</t>
  </si>
  <si>
    <t>56-043-09-57</t>
  </si>
  <si>
    <t>Бейсболка PUMA арт. 5291901 ESS CAP (черный) {black}</t>
  </si>
  <si>
    <t>5291901 ESS CAP</t>
  </si>
  <si>
    <t>56-042-09-00</t>
  </si>
  <si>
    <t>Бейсболка PUMA арт. 2390901 PUMA X NJR BB CAP (черный) {black}</t>
  </si>
  <si>
    <t>2390901 PUMA X NJR BB CAP</t>
  </si>
  <si>
    <t>100% нейлон</t>
  </si>
  <si>
    <t>56-041-09-57</t>
  </si>
  <si>
    <t>Бейсболка PUMA арт. 2375801 RUNNING PONYTAIL CAP (черный) {black}</t>
  </si>
  <si>
    <t>2375801 RUNNING PONYTAIL CAP</t>
  </si>
  <si>
    <t>Филиппины</t>
  </si>
  <si>
    <t>56-040-17-00</t>
  </si>
  <si>
    <t>Бейсболка PUMA арт. 2241685 ESS CAP (белый) {white}</t>
  </si>
  <si>
    <t>2241685 ESS CAP</t>
  </si>
  <si>
    <t>56-039-80-00</t>
  </si>
  <si>
    <t>Бейсболка PUMA арт. 2371104 POLY COTTON CAP (серый) {grey}</t>
  </si>
  <si>
    <t>2371104 POLY COTTON CAP</t>
  </si>
  <si>
    <t>grey</t>
  </si>
  <si>
    <t>56-038-80-00</t>
  </si>
  <si>
    <t>Бейсболка PUMA арт. 2367503 ACADEMY AOP CAP (камуфляж) {grey}</t>
  </si>
  <si>
    <t>2367503 ACADEMY AOP CAP</t>
  </si>
  <si>
    <t>56-037-09-00</t>
  </si>
  <si>
    <t>Бейсболка PUMA арт. 2366901 ESS CAP III (черный) {black}</t>
  </si>
  <si>
    <t>2366901 ESS CAP III</t>
  </si>
  <si>
    <t>56-036-34-00</t>
  </si>
  <si>
    <t>Бейсболка PUMA арт. 2343805 PRIME TRUCKER CAP (розовый) {pink}</t>
  </si>
  <si>
    <t>2343805 PRIME TRUCKER CAP</t>
  </si>
  <si>
    <t>80% полиэстер - 20% полиуретан</t>
  </si>
  <si>
    <t>56-035-09-00</t>
  </si>
  <si>
    <t>Бейсболка PUMA арт. 2343801 PRIME TRUCKER CAP (черный) {black}</t>
  </si>
  <si>
    <t>2343801 PRIME TRUCKER CAP</t>
  </si>
  <si>
    <t>56-034-09-00</t>
  </si>
  <si>
    <t>Бейсболка PUMA арт. 2342801 PUMA TRUCKER CAP (черный) {black}</t>
  </si>
  <si>
    <t>2342801 PUMA TRUCKER CAP</t>
  </si>
  <si>
    <t>56-033-06-00</t>
  </si>
  <si>
    <t>Бейсболка PUMA арт. 2255417 ARCHIVE LOGO BB CAP (синий) {blue}</t>
  </si>
  <si>
    <t>2255417 ARCHIVE LOGO BB CAP</t>
  </si>
  <si>
    <t>56-032-41-00</t>
  </si>
  <si>
    <t>Бейсболка PUMA арт. 2241679 ESS CAP (фиолетовый) {purple}</t>
  </si>
  <si>
    <t>2241679 ESS CAP</t>
  </si>
  <si>
    <t>56-031-34-00</t>
  </si>
  <si>
    <t>Бейсболка PUMA арт. 2241678 ESS CAP (розовый) {pink}</t>
  </si>
  <si>
    <t>2241678 ESS CAP</t>
  </si>
  <si>
    <t>56-030-17-00</t>
  </si>
  <si>
    <t>Бейсболка PUMA арт. 2241675 ESS CAP (белый) {white}</t>
  </si>
  <si>
    <t>2241675 ESS CAP</t>
  </si>
  <si>
    <t>56-029-09-00</t>
  </si>
  <si>
    <t>Бейсболка PUMA арт. 2359301 BMW MMS HERITAGE BB CAP (черный) {black}</t>
  </si>
  <si>
    <t>2359301 BMW MMS HERITAGE BB CAP</t>
  </si>
  <si>
    <t>56-028-09-00</t>
  </si>
  <si>
    <t>Бейсболка PUMA арт. 2353501 ARCHIVE LOGO LABEL CAP (черный) {black}</t>
  </si>
  <si>
    <t>2353501 ARCHIVE LOGO LABEL CAP</t>
  </si>
  <si>
    <t>56-027-09-00</t>
  </si>
  <si>
    <t>Бейсболка PUMA арт. 2344502 CLASSICS CAPSULE CAP (черный) {black}</t>
  </si>
  <si>
    <t>2344502 CLASSICS CAPSULE CAP</t>
  </si>
  <si>
    <t>56-026-09-00</t>
  </si>
  <si>
    <t>Бейсболка PUMA арт. 2241674 ESS CAP (черный) {black}</t>
  </si>
  <si>
    <t>2241674 ESS CAP</t>
  </si>
  <si>
    <t>56-025-06-57</t>
  </si>
  <si>
    <t>Бейсболка PUMA арт. 2126907 PUMA METAL CAT CAP (синий) {blue}</t>
  </si>
  <si>
    <t>2126907 PUMA METAL CAT CAP</t>
  </si>
  <si>
    <t>56-024-09-57</t>
  </si>
  <si>
    <t>Бейсболка PUMA арт. 2126901 PUMA METAL CAT CAP (черный) {black}</t>
  </si>
  <si>
    <t>2126901 PUMA METAL CAT CAP</t>
  </si>
  <si>
    <t>56-056-02-00</t>
  </si>
  <si>
    <t>Бейсболка PUMA арт. 2360205 MCFC LEGACY BB CAP (темно-синий) {beige}</t>
  </si>
  <si>
    <t>2360205 MCFC LEGACY BB CAP</t>
  </si>
  <si>
    <t>56-050-09-57</t>
  </si>
  <si>
    <t>Бейсболка REEBOK арт. HE2388 UBF ATHLETE A-FLEX CAP (черный) {black}</t>
  </si>
  <si>
    <t>HE2388 UBF ATHLETE A-FLEX CAP</t>
  </si>
  <si>
    <t>88% полиэстер - 12% эластан</t>
  </si>
  <si>
    <t>56-050-09-56</t>
  </si>
  <si>
    <t>56-049-06-57</t>
  </si>
  <si>
    <t>Бейсболка REEBOK арт. HE2381 UBF BASEB CAP (синий) {blue}</t>
  </si>
  <si>
    <t>HE2381 UBF BASEB CAP</t>
  </si>
  <si>
    <t>56-048-80-57</t>
  </si>
  <si>
    <t>Бейсболка REEBOK арт. HD9887 TE LOGO CAP (серый) {grey}</t>
  </si>
  <si>
    <t>HD9887 TE LOGO CAP</t>
  </si>
  <si>
    <t>56-047-19-57</t>
  </si>
  <si>
    <t>Бейсболка REEBOK арт. HD9884 TE BADGE CAP (голубой) {lt.blue}</t>
  </si>
  <si>
    <t>HD9884 TE BADGE CAP</t>
  </si>
  <si>
    <t>lt.blue</t>
  </si>
  <si>
    <t>56-046-34-57</t>
  </si>
  <si>
    <t>Бейсболка REEBOK арт. HD9885 TE BADGE CAP (розовый) {pink}</t>
  </si>
  <si>
    <t>HD9885 TE BADGE CAP</t>
  </si>
  <si>
    <t>56-045-09-57</t>
  </si>
  <si>
    <t>Бейсболка REEBOK арт. GP0124 TE LOGO CAP (черный) {black}</t>
  </si>
  <si>
    <t>GP0124 TE LOGO CAP</t>
  </si>
  <si>
    <t>56-055-80-00</t>
  </si>
  <si>
    <t>Бейсболка UNDER ARMOUR арт. 1369804-012 ISO-CHILL DRIVER MESH (серый) {grey}</t>
  </si>
  <si>
    <t>1369804-012 ISO-CHILL DRIVER MESH</t>
  </si>
  <si>
    <t>Under Armour Europe B.V.; Stadionplein 10 1076 CM Amsterdam, The Netherlands</t>
  </si>
  <si>
    <t>56-054-17-59</t>
  </si>
  <si>
    <t>Бейсболка UNDER ARMOUR арт. 1369785-100 TEAM BLANK CHINO ADJ (белый) {white}</t>
  </si>
  <si>
    <t>59 L</t>
  </si>
  <si>
    <t>1369785-100 TEAM BLANK CHINO ADJ</t>
  </si>
  <si>
    <t>65% полиэстер - 35% хлопок</t>
  </si>
  <si>
    <t>56-053-17-59</t>
  </si>
  <si>
    <t>Бейсболка UNDER ARMOUR арт. 1361562-100 ISOCHILL LAUNCH RUN (белый) {white}</t>
  </si>
  <si>
    <t>1361562-100 ISOCHILL LAUNCH RUN</t>
  </si>
  <si>
    <t>56-052-18-59</t>
  </si>
  <si>
    <t>Бейсболка UNDER ARMOUR арт. 1361532-601 UA BLITZING ADJ HAT (красный) {red}</t>
  </si>
  <si>
    <t>1361532-601 UA BLITZING ADJ HAT</t>
  </si>
  <si>
    <t>56-051-80-59</t>
  </si>
  <si>
    <t>Бейсболка UNDER ARMOUR арт. 1361532-012 UA BLITZING ADJ HAT (серый) {grey}</t>
  </si>
  <si>
    <t>1361532-012 UA BLITZING ADJ HAT</t>
  </si>
  <si>
    <t>2324601</t>
  </si>
  <si>
    <t>2372001</t>
  </si>
  <si>
    <t>2372201</t>
  </si>
  <si>
    <t>2373201</t>
  </si>
  <si>
    <t>2374301</t>
  </si>
  <si>
    <t>100% Хлопок</t>
  </si>
  <si>
    <t>56-057-</t>
  </si>
  <si>
    <t>56-058-</t>
  </si>
  <si>
    <t>56-059-</t>
  </si>
  <si>
    <t>56-060-</t>
  </si>
  <si>
    <t>56-061-</t>
  </si>
  <si>
    <t>FK0894</t>
  </si>
  <si>
    <t>HD9721</t>
  </si>
  <si>
    <t>AC SNAPBACK</t>
  </si>
  <si>
    <t>10216170/071221/0361724</t>
  </si>
  <si>
    <t>10216170/120122/3008300</t>
  </si>
  <si>
    <t>56-062-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</si>
</sst>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12" fontId="6" fillId="0" borderId="0" xfId="0" applyNumberFormat="1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zoomScale="65" zoomScaleNormal="65" workbookViewId="0">
      <pane ySplit="1" topLeftCell="A2" activePane="bottomLeft" state="frozen"/>
      <selection pane="bottomLeft" activeCell="B3" sqref="B3:B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4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Fredrikson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4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4" ca="1" si="2">IF(AU2&lt;&gt;"",VLOOKUP(AU2,INDIRECT(SUBSTITUTE($J2," ","")&amp;"Manufactures"),3,0),"Требуется код страны")</f>
        <v>Требуется код страны</v>
      </c>
      <c r="AW2" s="56" t="str">
        <f t="shared" ref="AW2:AW4" ca="1" si="3">IF(AU2&lt;&gt;"",VLOOKUP(AU2,INDIRECT(SUBSTITUTE($J2," ","")&amp;"Manufactures"),2,0),"Требуется код страны")</f>
        <v>Требуется код страны</v>
      </c>
      <c r="AX2" s="141">
        <f t="shared" ref="AX2:AX4" si="4">0.05+0.05</f>
        <v>0.1</v>
      </c>
      <c r="AY2" s="56">
        <f t="shared" ref="AY2:AY4" si="5">IF(AX2&lt;&gt;"",AX2*1.5,"Требуется нетто")</f>
        <v>0.15000000000000002</v>
      </c>
      <c r="AZ2" s="56" t="str">
        <f t="shared" ref="AZ2:AZ4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4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4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4" si="9">IFERROR(IF(BE2,"-",IFERROR(IF(BD2&gt;0,0,1),"")),"")</f>
        <v/>
      </c>
      <c r="BG2" s="88"/>
    </row>
    <row r="3" spans="1:59" ht="98.1" customHeight="1">
      <c r="A3" s="43" t="str">
        <f t="shared" si="0"/>
        <v>FK0894black</v>
      </c>
      <c r="B3" s="4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56-003-09</v>
      </c>
      <c r="C3" s="145" t="s">
        <v>1119</v>
      </c>
      <c r="D3" s="43" t="str">
        <f>IF(A3&lt;&gt;"",_xlfn.XLOOKUP(C3,'1C'!W:W,'1C'!X:X,"",0),"")</f>
        <v>BBALL 3S CAP CT</v>
      </c>
      <c r="E3" s="43" t="str">
        <f>IF(F3&lt;&gt;"",IFERROR(VLOOKUP(F3,Категории!A:B,2,0),""),"Требуется категория")</f>
        <v>Бейсболки</v>
      </c>
      <c r="F3" s="43" t="str">
        <f>IF(A3&lt;&gt;"",IF(BD3&gt;0,_xlfn.XLOOKUP(A3,'1C'!A:A,'1C'!J:J,"",0),_xlfn.XLOOKUP(C3,'1C'!W:W,'1C'!J:J,"",0)),"")</f>
        <v>Бейсболка</v>
      </c>
      <c r="G3" s="56" t="str">
        <f>IF(C3&lt;&gt;"",IF(BD3&gt;0,_xlfn.XLOOKUP(A3,'1C'!A:A,'1C'!L:L,"",0),_xlfn.XLOOKUP(C3,'1C'!W:W,'1C'!L:L,"",0)),"")</f>
        <v>Adidas</v>
      </c>
      <c r="H3" s="43" t="str">
        <f>IF(A3&lt;&gt;"",_xlfn.XLOOKUP(A3,'1C'!A:A,'1C'!M:M,_xlfn.XLOOKUP(C3,'1C'!W:W,'1C'!M:M,"",0),0))</f>
        <v>всесезон</v>
      </c>
      <c r="I3" s="134"/>
      <c r="J3" s="57" t="s">
        <v>888</v>
      </c>
      <c r="K3" s="99" t="s">
        <v>899</v>
      </c>
      <c r="L3" s="150" t="str">
        <f>IF(K3&lt;&gt;"",IFERROR(VLOOKUP(A3,'1C'!A:X,8,0),IFERROR(VLOOKUP(K3,Colors!D:E,2,0),"")),"")</f>
        <v>черный</v>
      </c>
      <c r="M3" s="56" t="str">
        <f>IF(K3&lt;&gt;"",_xlfn.XLOOKUP(A3,'1C'!A:A,'1C'!R:R,"",0),"")</f>
        <v>черный</v>
      </c>
      <c r="N3" s="56" t="s">
        <v>1122</v>
      </c>
      <c r="O3" s="62"/>
      <c r="P3" s="62"/>
      <c r="Q3" s="155" t="str">
        <f>IF(A3&lt;&gt;"",_xlfn.XLOOKUP(A3,'1C'!A:A,'1C'!I:I,_xlfn.XLOOKUP(C3,'1C'!W:W,'1C'!I:I,"",0),0),"")</f>
        <v>100% хлопок</v>
      </c>
      <c r="R3" s="64"/>
      <c r="S3" s="56" t="str">
        <f>_xlfn.LET(_xlpm.RES,IF(A3&lt;&gt;"",_xlfn.XLOOKUP(A3,'1C'!A:A,'1C'!N:N,_xlfn.XLOOKUP(C3,'1C'!W:W,'1C'!N:N,"",0),0),""),IF(_xlpm.RES=0,"",_xlpm.RES))</f>
        <v>хлопковые</v>
      </c>
      <c r="T3" s="59" t="str">
        <f>IF(S3&lt;&gt;"",IFERROR(VLOOKUP(S3,MaterialsTypes!F:G,2,0),IFERROR(VLOOKUP(Q3,MaterialsTypes100,2,0),"")),IFERROR(VLOOKUP(Q3,MaterialsTypes100,2,0),""))</f>
        <v>Текстиль, ткань</v>
      </c>
      <c r="U3" s="59" t="str">
        <f>IF(A3&lt;&gt;"",_xlfn.XLOOKUP(A3,'1C'!A:A,'1C'!K:K,_xlfn.XLOOKUP(C3,'1C'!W:W,'1C'!K:K,"",0),0),"")</f>
        <v>Унисекс</v>
      </c>
      <c r="V3" s="58"/>
      <c r="Y3" s="58"/>
      <c r="AA3" s="58">
        <v>3</v>
      </c>
      <c r="AC3" s="58"/>
      <c r="AE3" s="58"/>
      <c r="AG3" s="58"/>
      <c r="AT3" s="57">
        <f t="shared" si="1"/>
        <v>3</v>
      </c>
      <c r="AU3" s="154" t="s">
        <v>423</v>
      </c>
      <c r="AV3" s="62" t="s">
        <v>893</v>
      </c>
      <c r="AW3" s="44" t="s">
        <v>386</v>
      </c>
      <c r="AX3" s="74">
        <f t="shared" si="4"/>
        <v>0.1</v>
      </c>
      <c r="AY3" s="43">
        <f t="shared" si="5"/>
        <v>0.15000000000000002</v>
      </c>
      <c r="AZ3" s="43">
        <f t="shared" si="6"/>
        <v>0.30000000000000004</v>
      </c>
      <c r="BA3" s="43">
        <f t="shared" si="7"/>
        <v>0.45000000000000007</v>
      </c>
      <c r="BB3" s="139">
        <v>1316.7</v>
      </c>
      <c r="BC3" s="152">
        <f t="shared" si="8"/>
        <v>3950.1000000000004</v>
      </c>
      <c r="BD3" s="45">
        <f>IF(A3&lt;&gt;"",IF(_xlfn.XLOOKUP(A3,'1C'!A:A,'1C'!A:A,0,0)&gt;0,1,0),"")</f>
        <v>1</v>
      </c>
      <c r="BE3" s="153">
        <f>IF(C3&lt;&gt;"",IF(_xlfn.XLOOKUP(TEXT(C3,"###"),'1C'!W:W,'1C'!D:D,0,0)&gt;0,0,1),"")</f>
        <v>0</v>
      </c>
      <c r="BF3" s="72">
        <f t="shared" si="9"/>
        <v>0</v>
      </c>
    </row>
    <row r="4" spans="1:59" ht="98.1" customHeight="1">
      <c r="A4" s="43" t="str">
        <f t="shared" si="0"/>
        <v>HD9721black</v>
      </c>
      <c r="B4" s="4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56-062-09</v>
      </c>
      <c r="C4" s="145" t="s">
        <v>1120</v>
      </c>
      <c r="D4" s="43" t="s">
        <v>1121</v>
      </c>
      <c r="E4" s="43" t="str">
        <f>IF(F4&lt;&gt;"",IFERROR(VLOOKUP(F4,Категории!A:B,2,0),""),"Требуется категория")</f>
        <v>Бейсболки</v>
      </c>
      <c r="F4" s="43" t="s">
        <v>783</v>
      </c>
      <c r="G4" s="56" t="s">
        <v>888</v>
      </c>
      <c r="H4" s="43" t="s">
        <v>388</v>
      </c>
      <c r="I4" s="134"/>
      <c r="J4" s="57" t="s">
        <v>888</v>
      </c>
      <c r="K4" s="98" t="s">
        <v>899</v>
      </c>
      <c r="L4" s="151" t="str">
        <f>IF(K4&lt;&gt;"",IFERROR(VLOOKUP(A4,'1C'!A:X,8,0),IFERROR(VLOOKUP(K4,Colors!D:E,2,0),"")),"")</f>
        <v>черный</v>
      </c>
      <c r="M4" s="62"/>
      <c r="N4" s="56" t="s">
        <v>1123</v>
      </c>
      <c r="O4" s="62"/>
      <c r="P4" s="62"/>
      <c r="Q4" s="155" t="s">
        <v>1113</v>
      </c>
      <c r="R4" s="64"/>
      <c r="S4" s="56" t="s">
        <v>43</v>
      </c>
      <c r="T4" s="59" t="str">
        <f>IF(S4&lt;&gt;"",IFERROR(VLOOKUP(S4,MaterialsTypes!F:G,2,0),IFERROR(VLOOKUP(Q4,MaterialsTypes100,2,0),"")),IFERROR(VLOOKUP(Q4,MaterialsTypes100,2,0),""))</f>
        <v>Текстиль, ткань</v>
      </c>
      <c r="U4" s="59" t="s">
        <v>382</v>
      </c>
      <c r="V4" s="58"/>
      <c r="Y4" s="58"/>
      <c r="AA4" s="58"/>
      <c r="AC4" s="58">
        <v>6</v>
      </c>
      <c r="AE4" s="58"/>
      <c r="AG4" s="58"/>
      <c r="AT4" s="57">
        <f t="shared" si="1"/>
        <v>6</v>
      </c>
      <c r="AU4" s="154" t="s">
        <v>423</v>
      </c>
      <c r="AV4" s="56" t="str">
        <f t="shared" ca="1" si="2"/>
        <v>ERR</v>
      </c>
      <c r="AW4" s="43" t="str">
        <f t="shared" ca="1" si="3"/>
        <v>Китай</v>
      </c>
      <c r="AX4" s="74">
        <f t="shared" si="4"/>
        <v>0.1</v>
      </c>
      <c r="AY4" s="43">
        <f t="shared" si="5"/>
        <v>0.15000000000000002</v>
      </c>
      <c r="AZ4" s="43">
        <f t="shared" si="6"/>
        <v>0.60000000000000009</v>
      </c>
      <c r="BA4" s="43">
        <f t="shared" si="7"/>
        <v>0.90000000000000013</v>
      </c>
      <c r="BB4" s="139">
        <v>1889.37</v>
      </c>
      <c r="BC4" s="152">
        <f t="shared" si="8"/>
        <v>11336.22</v>
      </c>
      <c r="BD4" s="45">
        <f>IF(A4&lt;&gt;"",IF(_xlfn.XLOOKUP(A4,'1C'!A:A,'1C'!A:A,0,0)&gt;0,1,0),"")</f>
        <v>0</v>
      </c>
      <c r="BE4" s="153">
        <f>IF(C4&lt;&gt;"",IF(_xlfn.XLOOKUP(TEXT(C4,"###"),'1C'!W:W,'1C'!D:D,0,0)&gt;0,0,1),"")</f>
        <v>1</v>
      </c>
      <c r="BF4" s="72" t="str">
        <f t="shared" si="9"/>
        <v>-</v>
      </c>
    </row>
    <row r="5" spans="1:59" ht="98.1" customHeight="1">
      <c r="C5" s="145" t="s">
        <v>47</v>
      </c>
      <c r="G5" s="56"/>
      <c r="I5" s="134"/>
      <c r="J5" s="64"/>
      <c r="K5" s="98"/>
      <c r="M5" s="62"/>
      <c r="N5" s="62"/>
      <c r="O5" s="62"/>
      <c r="P5" s="62"/>
      <c r="Q5" s="132"/>
      <c r="R5" s="64"/>
      <c r="S5" s="62"/>
      <c r="T5" s="58"/>
      <c r="U5" s="58"/>
      <c r="V5" s="58"/>
      <c r="Y5" s="58"/>
      <c r="AA5" s="58"/>
      <c r="AC5" s="58"/>
      <c r="AE5" s="58"/>
      <c r="AG5" s="58"/>
      <c r="AT5" s="57"/>
      <c r="AU5" s="65"/>
      <c r="AV5" s="56"/>
      <c r="BE5" s="102"/>
      <c r="BF5" s="72"/>
    </row>
    <row r="6" spans="1:59" ht="98.1" customHeight="1">
      <c r="C6" s="146"/>
      <c r="G6" s="56"/>
      <c r="I6" s="134"/>
      <c r="J6" s="64"/>
      <c r="K6" s="100"/>
      <c r="M6" s="62"/>
      <c r="N6" s="62"/>
      <c r="O6" s="62"/>
      <c r="P6" s="62"/>
      <c r="Q6" s="132"/>
      <c r="R6" s="64"/>
      <c r="S6" s="62"/>
      <c r="T6" s="58"/>
      <c r="U6" s="58"/>
      <c r="V6" s="58"/>
      <c r="Y6" s="58"/>
      <c r="AA6" s="58"/>
      <c r="AC6" s="58"/>
      <c r="AE6" s="58"/>
      <c r="AG6" s="58"/>
      <c r="AT6" s="57"/>
      <c r="AU6" s="65"/>
      <c r="AV6" s="56"/>
      <c r="BE6" s="102"/>
      <c r="BF6" s="72"/>
    </row>
    <row r="7" spans="1:59" ht="98.1" customHeight="1">
      <c r="C7" s="146"/>
      <c r="G7" s="56"/>
      <c r="I7" s="134"/>
      <c r="J7" s="64"/>
      <c r="K7" s="100"/>
      <c r="M7" s="62"/>
      <c r="N7" s="62"/>
      <c r="O7" s="62"/>
      <c r="P7" s="62"/>
      <c r="Q7" s="132"/>
      <c r="R7" s="64"/>
      <c r="S7" s="62"/>
      <c r="T7" s="58"/>
      <c r="U7" s="58"/>
      <c r="V7" s="58"/>
      <c r="Y7" s="58"/>
      <c r="AA7" s="58"/>
      <c r="AC7" s="58"/>
      <c r="AE7" s="58"/>
      <c r="AG7" s="58"/>
      <c r="AT7" s="57"/>
      <c r="AU7" s="65"/>
      <c r="AV7" s="56"/>
      <c r="BE7" s="102"/>
      <c r="BF7" s="72"/>
    </row>
    <row r="8" spans="1:59" ht="98.1" customHeight="1">
      <c r="C8" s="146"/>
      <c r="G8" s="56"/>
      <c r="J8" s="64"/>
      <c r="K8" s="100"/>
      <c r="M8" s="62"/>
      <c r="N8" s="62"/>
      <c r="O8" s="62"/>
      <c r="P8" s="62"/>
      <c r="Q8" s="132"/>
      <c r="R8" s="64"/>
      <c r="S8" s="62"/>
      <c r="T8" s="58"/>
      <c r="U8" s="58"/>
      <c r="V8" s="58"/>
      <c r="Y8" s="58"/>
      <c r="AA8" s="58"/>
      <c r="AC8" s="58"/>
      <c r="AE8" s="58"/>
      <c r="AG8" s="58"/>
      <c r="AT8" s="57"/>
      <c r="AU8" s="65"/>
      <c r="AV8" s="56"/>
      <c r="BE8" s="102"/>
      <c r="BF8" s="72"/>
    </row>
    <row r="9" spans="1:59" ht="98.1" customHeight="1">
      <c r="C9" s="146"/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J3:M3 M3:O52 A1:O2 N3:O187 B3:B187 A8:O356 P1:BD356 A3:H7 J4:O7">
    <cfRule type="expression" dxfId="25" priority="16">
      <formula>IF(УФ_Переключатель=1,IFERROR(TEXT(RIGHT(A1,255),"###"),TRUE))</formula>
    </cfRule>
  </conditionalFormatting>
  <conditionalFormatting sqref="J3:M3 M3:O52 A1:O2 N3:O187 B3:B187 A8:O356 P1:BF356 A3:H7 J4:O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2" t="s">
        <v>466</v>
      </c>
      <c r="C5" s="162"/>
      <c r="D5" s="162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3"/>
      <c r="C6" s="164"/>
      <c r="D6" s="164"/>
      <c r="E6" s="165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9" t="s">
        <v>543</v>
      </c>
      <c r="C8" s="160"/>
      <c r="D8" s="160"/>
      <c r="E8" s="161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6"/>
      <c r="C17" s="157"/>
      <c r="D17" s="157"/>
      <c r="E17" s="158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888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889</v>
      </c>
      <c r="N24" s="46" t="s">
        <v>541</v>
      </c>
      <c r="O24" s="46" t="s">
        <v>571</v>
      </c>
    </row>
    <row r="25" spans="2:17" ht="22.15" customHeight="1">
      <c r="L25" s="46" t="s">
        <v>890</v>
      </c>
      <c r="N25" s="46" t="s">
        <v>538</v>
      </c>
      <c r="O25" s="46" t="s">
        <v>589</v>
      </c>
    </row>
    <row r="26" spans="2:17" ht="22.15" customHeight="1">
      <c r="L26" s="46" t="s">
        <v>892</v>
      </c>
      <c r="N26" s="46" t="s">
        <v>542</v>
      </c>
      <c r="O26" s="46" t="s">
        <v>438</v>
      </c>
    </row>
    <row r="27" spans="2:17" ht="22.15" customHeight="1">
      <c r="L27" s="46" t="s">
        <v>891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X6" sqref="CX6:DC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workbookViewId="0">
      <pane ySplit="1" topLeftCell="A59" activePane="bottomLeft" state="frozen"/>
      <selection pane="bottomLeft" activeCell="F28" sqref="A28:XFD28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56</v>
      </c>
      <c r="AD1" s="75"/>
      <c r="AE1" s="75" t="str">
        <f>RIGHT(TEXT(MAX(AE2:AE10000),"###"),3)</f>
        <v>062</v>
      </c>
      <c r="AF1" s="76" t="str">
        <f>RIGHT("000"&amp;AC1,2)&amp;"-"&amp;RIGHT("000"&amp;AE1,3)</f>
        <v>56-062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56-063-</v>
      </c>
      <c r="AI1" s="78" t="s">
        <v>582</v>
      </c>
      <c r="AJ1" s="142" t="s">
        <v>885</v>
      </c>
      <c r="AK1" s="78" t="s">
        <v>852</v>
      </c>
      <c r="AL1" s="143">
        <v>1</v>
      </c>
    </row>
    <row r="2" spans="1:38">
      <c r="A2" s="81" t="str">
        <f>IF(G2&amp;Q2&lt;&gt;"",W2&amp;Q2,"")</f>
        <v>HD9695black</v>
      </c>
      <c r="B2" s="81" t="str">
        <f>IF(C2&lt;&gt;"",LEFT(C2,9),"")</f>
        <v>56-019-09</v>
      </c>
      <c r="C2" s="103" t="s">
        <v>900</v>
      </c>
      <c r="D2" s="103" t="s">
        <v>901</v>
      </c>
      <c r="E2" s="103" t="s">
        <v>902</v>
      </c>
      <c r="F2" s="104">
        <v>57</v>
      </c>
      <c r="G2" s="104" t="s">
        <v>903</v>
      </c>
      <c r="H2" s="103" t="s">
        <v>246</v>
      </c>
      <c r="I2" s="103" t="s">
        <v>904</v>
      </c>
      <c r="J2" s="103" t="s">
        <v>356</v>
      </c>
      <c r="K2" s="103" t="s">
        <v>382</v>
      </c>
      <c r="L2" s="103" t="s">
        <v>888</v>
      </c>
      <c r="M2" s="103" t="s">
        <v>388</v>
      </c>
      <c r="O2" s="103" t="s">
        <v>386</v>
      </c>
      <c r="P2" s="103" t="s">
        <v>905</v>
      </c>
      <c r="Q2" s="103" t="s">
        <v>899</v>
      </c>
      <c r="R2" s="103" t="s">
        <v>83</v>
      </c>
      <c r="V2" s="81" t="str">
        <f>W2&amp;H2</f>
        <v>HD9695серый / 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HD9695</v>
      </c>
      <c r="X2" s="81" t="str">
        <f>IF(A2&lt;&gt;"",IFERROR(IF(FIND(" ",G2)&gt;=1,MID(G2,FIND(" ",G2)+1,LEN(G2)),""),""),"")</f>
        <v>CURVED TRUCKER</v>
      </c>
      <c r="AC2" s="60">
        <f>IFERROR(VALUE(MID($C2,1,2)),0)</f>
        <v>56</v>
      </c>
      <c r="AD2" s="49">
        <f t="shared" ref="AD2:AD66" si="1">IFERROR(VALUE(MID($C2,4,3)),0)</f>
        <v>19</v>
      </c>
      <c r="AE2" s="60">
        <f>VALUE(RIGHT("00"&amp;AC2,2)&amp;RIGHT("000"&amp;AD2,3))</f>
        <v>56019</v>
      </c>
    </row>
    <row r="3" spans="1:38">
      <c r="A3" s="81" t="str">
        <f t="shared" ref="A3:A66" si="2">IF(G3&amp;Q3&lt;&gt;"",W3&amp;Q3,"")</f>
        <v>HD9755multicoloured</v>
      </c>
      <c r="B3" s="81" t="str">
        <f t="shared" ref="B3:B66" si="3">IF(C3&lt;&gt;"",LEFT(C3,9),"")</f>
        <v>56-018-35</v>
      </c>
      <c r="C3" s="103" t="s">
        <v>906</v>
      </c>
      <c r="D3" s="103" t="s">
        <v>907</v>
      </c>
      <c r="E3" s="103" t="s">
        <v>902</v>
      </c>
      <c r="F3" s="104">
        <v>57</v>
      </c>
      <c r="G3" s="104" t="s">
        <v>908</v>
      </c>
      <c r="H3" s="103" t="s">
        <v>209</v>
      </c>
      <c r="I3" s="103" t="s">
        <v>909</v>
      </c>
      <c r="J3" s="103" t="s">
        <v>327</v>
      </c>
      <c r="K3" s="103" t="s">
        <v>382</v>
      </c>
      <c r="L3" s="103" t="s">
        <v>888</v>
      </c>
      <c r="M3" s="103" t="s">
        <v>388</v>
      </c>
      <c r="O3" s="103" t="s">
        <v>386</v>
      </c>
      <c r="P3" s="103" t="s">
        <v>905</v>
      </c>
      <c r="Q3" s="103" t="s">
        <v>910</v>
      </c>
      <c r="R3" s="103" t="s">
        <v>209</v>
      </c>
      <c r="V3" s="81" t="str">
        <f t="shared" ref="V3:V66" si="4">W3&amp;H3</f>
        <v>HD9755разноцветный</v>
      </c>
      <c r="W3" s="81" t="str">
        <f t="shared" si="0"/>
        <v>HD9755</v>
      </c>
      <c r="X3" s="81" t="str">
        <f t="shared" ref="X3:X66" si="5">IF(A3&lt;&gt;"",IFERROR(IF(FIND(" ",G3)&gt;=1,MID(G3,FIND(" ",G3)+1,LEN(G3)),""),""),"")</f>
        <v>CAMO BALLCAP</v>
      </c>
      <c r="AC3" s="60">
        <f t="shared" ref="AC3:AC66" si="6">IFERROR(VALUE(MID($C3,1,2)),0)</f>
        <v>56</v>
      </c>
      <c r="AD3" s="49">
        <f t="shared" si="1"/>
        <v>18</v>
      </c>
      <c r="AE3" s="60">
        <f t="shared" ref="AE3:AE66" si="7">VALUE(RIGHT("00"&amp;AC3,2)&amp;RIGHT("000"&amp;AD3,3))</f>
        <v>56018</v>
      </c>
    </row>
    <row r="4" spans="1:38">
      <c r="A4" s="81" t="str">
        <f t="shared" si="2"/>
        <v>HD2224beige</v>
      </c>
      <c r="B4" s="81" t="str">
        <f t="shared" si="3"/>
        <v>56-017-02</v>
      </c>
      <c r="C4" s="103" t="s">
        <v>911</v>
      </c>
      <c r="D4" s="103" t="s">
        <v>912</v>
      </c>
      <c r="E4" s="103" t="s">
        <v>902</v>
      </c>
      <c r="F4" s="104">
        <v>57</v>
      </c>
      <c r="G4" s="104" t="s">
        <v>913</v>
      </c>
      <c r="H4" s="103" t="s">
        <v>63</v>
      </c>
      <c r="I4" s="103" t="s">
        <v>914</v>
      </c>
      <c r="J4" s="103" t="s">
        <v>327</v>
      </c>
      <c r="K4" s="103" t="s">
        <v>382</v>
      </c>
      <c r="L4" s="103" t="s">
        <v>888</v>
      </c>
      <c r="M4" s="103" t="s">
        <v>388</v>
      </c>
      <c r="N4" s="103" t="s">
        <v>43</v>
      </c>
      <c r="O4" s="103" t="s">
        <v>386</v>
      </c>
      <c r="P4" s="103" t="s">
        <v>905</v>
      </c>
      <c r="Q4" s="103" t="s">
        <v>915</v>
      </c>
      <c r="R4" s="103" t="s">
        <v>63</v>
      </c>
      <c r="V4" s="81" t="str">
        <f t="shared" si="4"/>
        <v>HD2224бежевый</v>
      </c>
      <c r="W4" s="81" t="str">
        <f t="shared" si="0"/>
        <v>HD2224</v>
      </c>
      <c r="X4" s="81" t="str">
        <f t="shared" si="5"/>
        <v>BSBL STREET</v>
      </c>
      <c r="AC4" s="60">
        <f t="shared" si="6"/>
        <v>56</v>
      </c>
      <c r="AD4" s="49">
        <f t="shared" si="1"/>
        <v>17</v>
      </c>
      <c r="AE4" s="60">
        <f t="shared" si="7"/>
        <v>56017</v>
      </c>
    </row>
    <row r="5" spans="1:38">
      <c r="A5" s="81" t="str">
        <f t="shared" si="2"/>
        <v>HD7239blue</v>
      </c>
      <c r="B5" s="81" t="str">
        <f t="shared" si="3"/>
        <v>56-016-06</v>
      </c>
      <c r="C5" s="103" t="s">
        <v>916</v>
      </c>
      <c r="D5" s="103" t="s">
        <v>917</v>
      </c>
      <c r="E5" s="103" t="s">
        <v>918</v>
      </c>
      <c r="F5" s="104">
        <v>61</v>
      </c>
      <c r="G5" s="104" t="s">
        <v>919</v>
      </c>
      <c r="H5" s="103" t="s">
        <v>71</v>
      </c>
      <c r="I5" s="103" t="s">
        <v>914</v>
      </c>
      <c r="J5" s="103" t="s">
        <v>327</v>
      </c>
      <c r="K5" s="103" t="s">
        <v>382</v>
      </c>
      <c r="L5" s="103" t="s">
        <v>888</v>
      </c>
      <c r="M5" s="103" t="s">
        <v>388</v>
      </c>
      <c r="N5" s="103" t="s">
        <v>43</v>
      </c>
      <c r="O5" s="103" t="s">
        <v>386</v>
      </c>
      <c r="P5" s="103" t="s">
        <v>905</v>
      </c>
      <c r="Q5" s="103" t="s">
        <v>920</v>
      </c>
      <c r="R5" s="103" t="s">
        <v>71</v>
      </c>
      <c r="V5" s="81" t="str">
        <f t="shared" si="4"/>
        <v>HD7239синий</v>
      </c>
      <c r="W5" s="81" t="str">
        <f t="shared" si="0"/>
        <v>HD7239</v>
      </c>
      <c r="X5" s="81" t="str">
        <f t="shared" si="5"/>
        <v>BBALLCAP LT MET</v>
      </c>
      <c r="AC5" s="60">
        <f t="shared" si="6"/>
        <v>56</v>
      </c>
      <c r="AD5" s="49">
        <f t="shared" si="1"/>
        <v>16</v>
      </c>
      <c r="AE5" s="60">
        <f t="shared" si="7"/>
        <v>56016</v>
      </c>
    </row>
    <row r="6" spans="1:38">
      <c r="A6" s="81" t="str">
        <f t="shared" si="2"/>
        <v>HD7239blue</v>
      </c>
      <c r="B6" s="81" t="str">
        <f t="shared" si="3"/>
        <v>56-016-06</v>
      </c>
      <c r="C6" s="103" t="s">
        <v>921</v>
      </c>
      <c r="D6" s="103" t="s">
        <v>917</v>
      </c>
      <c r="E6" s="103" t="s">
        <v>902</v>
      </c>
      <c r="F6" s="104">
        <v>57</v>
      </c>
      <c r="G6" s="104" t="s">
        <v>919</v>
      </c>
      <c r="H6" s="103" t="s">
        <v>71</v>
      </c>
      <c r="I6" s="103" t="s">
        <v>914</v>
      </c>
      <c r="J6" s="103" t="s">
        <v>327</v>
      </c>
      <c r="K6" s="103" t="s">
        <v>382</v>
      </c>
      <c r="L6" s="103" t="s">
        <v>888</v>
      </c>
      <c r="M6" s="103" t="s">
        <v>388</v>
      </c>
      <c r="N6" s="103" t="s">
        <v>43</v>
      </c>
      <c r="O6" s="103" t="s">
        <v>386</v>
      </c>
      <c r="P6" s="103" t="s">
        <v>905</v>
      </c>
      <c r="Q6" s="103" t="s">
        <v>920</v>
      </c>
      <c r="R6" s="103" t="s">
        <v>71</v>
      </c>
      <c r="V6" s="81" t="str">
        <f t="shared" si="4"/>
        <v>HD7239синий</v>
      </c>
      <c r="W6" s="81" t="str">
        <f t="shared" si="0"/>
        <v>HD7239</v>
      </c>
      <c r="X6" s="81" t="str">
        <f t="shared" si="5"/>
        <v>BBALLCAP LT MET</v>
      </c>
      <c r="AC6" s="60">
        <f t="shared" si="6"/>
        <v>56</v>
      </c>
      <c r="AD6" s="49">
        <f t="shared" si="1"/>
        <v>16</v>
      </c>
      <c r="AE6" s="60">
        <f t="shared" si="7"/>
        <v>56016</v>
      </c>
    </row>
    <row r="7" spans="1:38">
      <c r="A7" s="81" t="str">
        <f t="shared" si="2"/>
        <v>HD7045black</v>
      </c>
      <c r="B7" s="81" t="str">
        <f t="shared" si="3"/>
        <v>56-015-09</v>
      </c>
      <c r="C7" s="103" t="s">
        <v>922</v>
      </c>
      <c r="D7" s="103" t="s">
        <v>923</v>
      </c>
      <c r="E7" s="103" t="s">
        <v>918</v>
      </c>
      <c r="F7" s="104">
        <v>61</v>
      </c>
      <c r="G7" s="104" t="s">
        <v>924</v>
      </c>
      <c r="H7" s="103" t="s">
        <v>53</v>
      </c>
      <c r="I7" s="103" t="s">
        <v>909</v>
      </c>
      <c r="J7" s="103" t="s">
        <v>327</v>
      </c>
      <c r="K7" s="103" t="s">
        <v>382</v>
      </c>
      <c r="L7" s="103" t="s">
        <v>888</v>
      </c>
      <c r="M7" s="103" t="s">
        <v>388</v>
      </c>
      <c r="O7" s="103" t="s">
        <v>386</v>
      </c>
      <c r="P7" s="103" t="s">
        <v>905</v>
      </c>
      <c r="Q7" s="103" t="s">
        <v>899</v>
      </c>
      <c r="R7" s="103" t="s">
        <v>53</v>
      </c>
      <c r="V7" s="81" t="str">
        <f t="shared" si="4"/>
        <v>HD7045черный</v>
      </c>
      <c r="W7" s="81" t="str">
        <f t="shared" si="0"/>
        <v>HD7045</v>
      </c>
      <c r="X7" s="81" t="str">
        <f t="shared" si="5"/>
        <v>BASEBALL CAP</v>
      </c>
      <c r="AC7" s="60">
        <f t="shared" si="6"/>
        <v>56</v>
      </c>
      <c r="AD7" s="49">
        <f t="shared" si="1"/>
        <v>15</v>
      </c>
      <c r="AE7" s="60">
        <f t="shared" si="7"/>
        <v>56015</v>
      </c>
    </row>
    <row r="8" spans="1:38">
      <c r="A8" s="81" t="str">
        <f t="shared" si="2"/>
        <v>HD7045black</v>
      </c>
      <c r="B8" s="81" t="str">
        <f t="shared" si="3"/>
        <v>56-015-09</v>
      </c>
      <c r="C8" s="103" t="s">
        <v>925</v>
      </c>
      <c r="D8" s="103" t="s">
        <v>923</v>
      </c>
      <c r="E8" s="103" t="s">
        <v>902</v>
      </c>
      <c r="F8" s="104">
        <v>57</v>
      </c>
      <c r="G8" s="104" t="s">
        <v>924</v>
      </c>
      <c r="H8" s="103" t="s">
        <v>53</v>
      </c>
      <c r="I8" s="103" t="s">
        <v>909</v>
      </c>
      <c r="J8" s="103" t="s">
        <v>327</v>
      </c>
      <c r="K8" s="103" t="s">
        <v>382</v>
      </c>
      <c r="L8" s="103" t="s">
        <v>888</v>
      </c>
      <c r="M8" s="103" t="s">
        <v>388</v>
      </c>
      <c r="O8" s="103" t="s">
        <v>386</v>
      </c>
      <c r="P8" s="103" t="s">
        <v>905</v>
      </c>
      <c r="Q8" s="103" t="s">
        <v>899</v>
      </c>
      <c r="R8" s="103" t="s">
        <v>53</v>
      </c>
      <c r="V8" s="81" t="str">
        <f t="shared" si="4"/>
        <v>HD7045черный</v>
      </c>
      <c r="W8" s="81" t="str">
        <f t="shared" si="0"/>
        <v>HD7045</v>
      </c>
      <c r="X8" s="81" t="str">
        <f t="shared" si="5"/>
        <v>BASEBALL CAP</v>
      </c>
      <c r="AC8" s="60">
        <f t="shared" si="6"/>
        <v>56</v>
      </c>
      <c r="AD8" s="49">
        <f t="shared" si="1"/>
        <v>15</v>
      </c>
      <c r="AE8" s="60">
        <f t="shared" si="7"/>
        <v>56015</v>
      </c>
    </row>
    <row r="9" spans="1:38">
      <c r="A9" s="81" t="str">
        <f t="shared" si="2"/>
        <v>HD9700purple</v>
      </c>
      <c r="B9" s="81" t="str">
        <f t="shared" si="3"/>
        <v>56-014-41</v>
      </c>
      <c r="C9" s="103" t="s">
        <v>926</v>
      </c>
      <c r="D9" s="103" t="s">
        <v>927</v>
      </c>
      <c r="E9" s="103" t="s">
        <v>902</v>
      </c>
      <c r="F9" s="104">
        <v>57</v>
      </c>
      <c r="G9" s="104" t="s">
        <v>928</v>
      </c>
      <c r="H9" s="103" t="s">
        <v>286</v>
      </c>
      <c r="I9" s="103" t="s">
        <v>914</v>
      </c>
      <c r="J9" s="103" t="s">
        <v>327</v>
      </c>
      <c r="K9" s="103" t="s">
        <v>382</v>
      </c>
      <c r="L9" s="103" t="s">
        <v>888</v>
      </c>
      <c r="M9" s="103" t="s">
        <v>388</v>
      </c>
      <c r="N9" s="103" t="s">
        <v>43</v>
      </c>
      <c r="O9" s="103" t="s">
        <v>386</v>
      </c>
      <c r="P9" s="103" t="s">
        <v>905</v>
      </c>
      <c r="Q9" s="103" t="s">
        <v>929</v>
      </c>
      <c r="R9" s="103" t="s">
        <v>286</v>
      </c>
      <c r="V9" s="81" t="str">
        <f t="shared" si="4"/>
        <v>HD9700фиолетовый</v>
      </c>
      <c r="W9" s="81" t="str">
        <f t="shared" si="0"/>
        <v>HD9700</v>
      </c>
      <c r="X9" s="81" t="str">
        <f t="shared" si="5"/>
        <v>BASEB CLASS TRE</v>
      </c>
      <c r="AC9" s="60">
        <f t="shared" si="6"/>
        <v>56</v>
      </c>
      <c r="AD9" s="49">
        <f t="shared" si="1"/>
        <v>14</v>
      </c>
      <c r="AE9" s="60">
        <f t="shared" si="7"/>
        <v>56014</v>
      </c>
    </row>
    <row r="10" spans="1:38">
      <c r="A10" s="81" t="str">
        <f t="shared" si="2"/>
        <v>HD9700purple</v>
      </c>
      <c r="B10" s="81" t="str">
        <f t="shared" si="3"/>
        <v>56-014-41</v>
      </c>
      <c r="C10" s="103" t="s">
        <v>930</v>
      </c>
      <c r="D10" s="103" t="s">
        <v>927</v>
      </c>
      <c r="E10" s="103" t="s">
        <v>931</v>
      </c>
      <c r="F10" s="104">
        <v>56</v>
      </c>
      <c r="G10" s="104" t="s">
        <v>928</v>
      </c>
      <c r="H10" s="103" t="s">
        <v>286</v>
      </c>
      <c r="I10" s="103" t="s">
        <v>914</v>
      </c>
      <c r="J10" s="103" t="s">
        <v>327</v>
      </c>
      <c r="K10" s="103" t="s">
        <v>382</v>
      </c>
      <c r="L10" s="103" t="s">
        <v>888</v>
      </c>
      <c r="M10" s="103" t="s">
        <v>388</v>
      </c>
      <c r="N10" s="103" t="s">
        <v>43</v>
      </c>
      <c r="O10" s="103" t="s">
        <v>386</v>
      </c>
      <c r="P10" s="103" t="s">
        <v>905</v>
      </c>
      <c r="Q10" s="103" t="s">
        <v>929</v>
      </c>
      <c r="R10" s="103" t="s">
        <v>286</v>
      </c>
      <c r="V10" s="81" t="str">
        <f t="shared" si="4"/>
        <v>HD9700фиолетовый</v>
      </c>
      <c r="W10" s="81" t="str">
        <f t="shared" si="0"/>
        <v>HD9700</v>
      </c>
      <c r="X10" s="81" t="str">
        <f t="shared" si="5"/>
        <v>BASEB CLASS TRE</v>
      </c>
      <c r="AC10" s="60">
        <f t="shared" si="6"/>
        <v>56</v>
      </c>
      <c r="AD10" s="49">
        <f t="shared" si="1"/>
        <v>14</v>
      </c>
      <c r="AE10" s="60">
        <f t="shared" si="7"/>
        <v>56014</v>
      </c>
    </row>
    <row r="11" spans="1:38">
      <c r="A11" s="81" t="str">
        <f t="shared" si="2"/>
        <v>HD9699black</v>
      </c>
      <c r="B11" s="81" t="str">
        <f t="shared" si="3"/>
        <v>56-013-09</v>
      </c>
      <c r="C11" s="103" t="s">
        <v>932</v>
      </c>
      <c r="D11" s="103" t="s">
        <v>933</v>
      </c>
      <c r="E11" s="103" t="s">
        <v>902</v>
      </c>
      <c r="F11" s="104">
        <v>57</v>
      </c>
      <c r="G11" s="104" t="s">
        <v>934</v>
      </c>
      <c r="H11" s="103" t="s">
        <v>83</v>
      </c>
      <c r="I11" s="103" t="s">
        <v>914</v>
      </c>
      <c r="J11" s="103" t="s">
        <v>327</v>
      </c>
      <c r="K11" s="103" t="s">
        <v>382</v>
      </c>
      <c r="L11" s="103" t="s">
        <v>888</v>
      </c>
      <c r="M11" s="103" t="s">
        <v>388</v>
      </c>
      <c r="N11" s="103" t="s">
        <v>43</v>
      </c>
      <c r="O11" s="103" t="s">
        <v>386</v>
      </c>
      <c r="P11" s="103" t="s">
        <v>905</v>
      </c>
      <c r="Q11" s="103" t="s">
        <v>899</v>
      </c>
      <c r="R11" s="103" t="s">
        <v>53</v>
      </c>
      <c r="V11" s="81" t="str">
        <f t="shared" si="4"/>
        <v>HD9699серый</v>
      </c>
      <c r="W11" s="81" t="str">
        <f t="shared" si="0"/>
        <v>HD9699</v>
      </c>
      <c r="X11" s="81" t="str">
        <f t="shared" si="5"/>
        <v>BASEB CLASS TRE</v>
      </c>
      <c r="AC11" s="60">
        <f t="shared" si="6"/>
        <v>56</v>
      </c>
      <c r="AD11" s="49">
        <f t="shared" si="1"/>
        <v>13</v>
      </c>
      <c r="AE11" s="60">
        <f t="shared" si="7"/>
        <v>56013</v>
      </c>
    </row>
    <row r="12" spans="1:38">
      <c r="A12" s="81" t="str">
        <f t="shared" si="2"/>
        <v>HE9766pink</v>
      </c>
      <c r="B12" s="81" t="str">
        <f t="shared" si="3"/>
        <v>56-012-34</v>
      </c>
      <c r="C12" s="103" t="s">
        <v>935</v>
      </c>
      <c r="D12" s="103" t="s">
        <v>936</v>
      </c>
      <c r="E12" s="103" t="s">
        <v>902</v>
      </c>
      <c r="F12" s="104">
        <v>57</v>
      </c>
      <c r="G12" s="104" t="s">
        <v>937</v>
      </c>
      <c r="H12" s="103" t="s">
        <v>68</v>
      </c>
      <c r="I12" s="103" t="s">
        <v>914</v>
      </c>
      <c r="J12" s="103" t="s">
        <v>327</v>
      </c>
      <c r="K12" s="103" t="s">
        <v>387</v>
      </c>
      <c r="L12" s="103" t="s">
        <v>888</v>
      </c>
      <c r="M12" s="103" t="s">
        <v>388</v>
      </c>
      <c r="N12" s="103" t="s">
        <v>43</v>
      </c>
      <c r="O12" s="103" t="s">
        <v>386</v>
      </c>
      <c r="P12" s="103" t="s">
        <v>905</v>
      </c>
      <c r="Q12" s="103" t="s">
        <v>938</v>
      </c>
      <c r="R12" s="103" t="s">
        <v>68</v>
      </c>
      <c r="V12" s="81" t="str">
        <f t="shared" si="4"/>
        <v>HE9766розовый</v>
      </c>
      <c r="W12" s="81" t="str">
        <f t="shared" si="0"/>
        <v>HE9766</v>
      </c>
      <c r="X12" s="81" t="str">
        <f t="shared" si="5"/>
        <v>BASEB CLASS TRE</v>
      </c>
      <c r="AC12" s="60">
        <f t="shared" si="6"/>
        <v>56</v>
      </c>
      <c r="AD12" s="49">
        <f t="shared" si="1"/>
        <v>12</v>
      </c>
      <c r="AE12" s="60">
        <f t="shared" si="7"/>
        <v>56012</v>
      </c>
    </row>
    <row r="13" spans="1:38">
      <c r="A13" s="81" t="str">
        <f t="shared" si="2"/>
        <v>GN2291black</v>
      </c>
      <c r="B13" s="81" t="str">
        <f t="shared" si="3"/>
        <v>56-011-09</v>
      </c>
      <c r="C13" s="103" t="s">
        <v>939</v>
      </c>
      <c r="D13" s="103" t="s">
        <v>940</v>
      </c>
      <c r="E13" s="103" t="s">
        <v>918</v>
      </c>
      <c r="F13" s="104">
        <v>61</v>
      </c>
      <c r="G13" s="104" t="s">
        <v>941</v>
      </c>
      <c r="H13" s="103" t="s">
        <v>53</v>
      </c>
      <c r="I13" s="103" t="s">
        <v>909</v>
      </c>
      <c r="J13" s="103" t="s">
        <v>327</v>
      </c>
      <c r="K13" s="103" t="s">
        <v>382</v>
      </c>
      <c r="L13" s="103" t="s">
        <v>888</v>
      </c>
      <c r="M13" s="103" t="s">
        <v>388</v>
      </c>
      <c r="O13" s="103" t="s">
        <v>386</v>
      </c>
      <c r="P13" s="103" t="s">
        <v>905</v>
      </c>
      <c r="Q13" s="103" t="s">
        <v>899</v>
      </c>
      <c r="R13" s="103" t="s">
        <v>53</v>
      </c>
      <c r="V13" s="81" t="str">
        <f t="shared" si="4"/>
        <v>GN2291черный</v>
      </c>
      <c r="W13" s="81" t="str">
        <f t="shared" si="0"/>
        <v>GN2291</v>
      </c>
      <c r="X13" s="81" t="str">
        <f t="shared" si="5"/>
        <v>STAN BBALL CAP</v>
      </c>
      <c r="AC13" s="60">
        <f t="shared" si="6"/>
        <v>56</v>
      </c>
      <c r="AD13" s="49">
        <f t="shared" si="1"/>
        <v>11</v>
      </c>
      <c r="AE13" s="60">
        <f t="shared" si="7"/>
        <v>56011</v>
      </c>
    </row>
    <row r="14" spans="1:38">
      <c r="A14" s="81" t="str">
        <f t="shared" si="2"/>
        <v>GN2291black</v>
      </c>
      <c r="B14" s="81" t="str">
        <f t="shared" si="3"/>
        <v>56-011-09</v>
      </c>
      <c r="C14" s="103" t="s">
        <v>942</v>
      </c>
      <c r="D14" s="103" t="s">
        <v>940</v>
      </c>
      <c r="E14" s="103" t="s">
        <v>902</v>
      </c>
      <c r="F14" s="104">
        <v>57</v>
      </c>
      <c r="G14" s="104" t="s">
        <v>941</v>
      </c>
      <c r="H14" s="103" t="s">
        <v>53</v>
      </c>
      <c r="I14" s="103" t="s">
        <v>909</v>
      </c>
      <c r="J14" s="103" t="s">
        <v>327</v>
      </c>
      <c r="K14" s="103" t="s">
        <v>382</v>
      </c>
      <c r="L14" s="103" t="s">
        <v>888</v>
      </c>
      <c r="M14" s="103" t="s">
        <v>388</v>
      </c>
      <c r="O14" s="103" t="s">
        <v>386</v>
      </c>
      <c r="P14" s="103" t="s">
        <v>905</v>
      </c>
      <c r="Q14" s="103" t="s">
        <v>899</v>
      </c>
      <c r="R14" s="103" t="s">
        <v>53</v>
      </c>
      <c r="V14" s="81" t="str">
        <f t="shared" si="4"/>
        <v>GN2291черный</v>
      </c>
      <c r="W14" s="81" t="str">
        <f t="shared" si="0"/>
        <v>GN2291</v>
      </c>
      <c r="X14" s="81" t="str">
        <f t="shared" si="5"/>
        <v>STAN BBALL CAP</v>
      </c>
      <c r="AC14" s="60">
        <f t="shared" si="6"/>
        <v>56</v>
      </c>
      <c r="AD14" s="49">
        <f t="shared" si="1"/>
        <v>11</v>
      </c>
      <c r="AE14" s="60">
        <f t="shared" si="7"/>
        <v>56011</v>
      </c>
    </row>
    <row r="15" spans="1:38">
      <c r="A15" s="81" t="str">
        <f t="shared" si="2"/>
        <v>GN2052black</v>
      </c>
      <c r="B15" s="81" t="str">
        <f t="shared" si="3"/>
        <v>56-010-09</v>
      </c>
      <c r="C15" s="103" t="s">
        <v>943</v>
      </c>
      <c r="D15" s="103" t="s">
        <v>944</v>
      </c>
      <c r="E15" s="103" t="s">
        <v>918</v>
      </c>
      <c r="F15" s="104">
        <v>61</v>
      </c>
      <c r="G15" s="104" t="s">
        <v>945</v>
      </c>
      <c r="H15" s="103" t="s">
        <v>53</v>
      </c>
      <c r="I15" s="103" t="s">
        <v>914</v>
      </c>
      <c r="J15" s="103" t="s">
        <v>327</v>
      </c>
      <c r="K15" s="103" t="s">
        <v>382</v>
      </c>
      <c r="L15" s="103" t="s">
        <v>888</v>
      </c>
      <c r="M15" s="103" t="s">
        <v>388</v>
      </c>
      <c r="N15" s="103" t="s">
        <v>43</v>
      </c>
      <c r="O15" s="103" t="s">
        <v>386</v>
      </c>
      <c r="P15" s="103" t="s">
        <v>905</v>
      </c>
      <c r="Q15" s="103" t="s">
        <v>899</v>
      </c>
      <c r="R15" s="103" t="s">
        <v>53</v>
      </c>
      <c r="V15" s="81" t="str">
        <f t="shared" si="4"/>
        <v>GN2052черный</v>
      </c>
      <c r="W15" s="81" t="str">
        <f t="shared" si="0"/>
        <v>GN2052</v>
      </c>
      <c r="X15" s="81" t="str">
        <f t="shared" si="5"/>
        <v>3S CAP</v>
      </c>
      <c r="AC15" s="60">
        <f t="shared" si="6"/>
        <v>56</v>
      </c>
      <c r="AD15" s="49">
        <f t="shared" si="1"/>
        <v>10</v>
      </c>
      <c r="AE15" s="60">
        <f t="shared" si="7"/>
        <v>56010</v>
      </c>
    </row>
    <row r="16" spans="1:38">
      <c r="A16" s="81" t="str">
        <f t="shared" si="2"/>
        <v>GN2052black</v>
      </c>
      <c r="B16" s="81" t="str">
        <f t="shared" si="3"/>
        <v>56-010-09</v>
      </c>
      <c r="C16" s="103" t="s">
        <v>946</v>
      </c>
      <c r="D16" s="103" t="s">
        <v>944</v>
      </c>
      <c r="E16" s="103" t="s">
        <v>902</v>
      </c>
      <c r="F16" s="104">
        <v>57</v>
      </c>
      <c r="G16" s="104" t="s">
        <v>945</v>
      </c>
      <c r="H16" s="103" t="s">
        <v>53</v>
      </c>
      <c r="I16" s="103" t="s">
        <v>914</v>
      </c>
      <c r="J16" s="103" t="s">
        <v>327</v>
      </c>
      <c r="K16" s="103" t="s">
        <v>382</v>
      </c>
      <c r="L16" s="103" t="s">
        <v>888</v>
      </c>
      <c r="M16" s="103" t="s">
        <v>388</v>
      </c>
      <c r="N16" s="103" t="s">
        <v>43</v>
      </c>
      <c r="O16" s="103" t="s">
        <v>386</v>
      </c>
      <c r="P16" s="103" t="s">
        <v>905</v>
      </c>
      <c r="Q16" s="103" t="s">
        <v>899</v>
      </c>
      <c r="R16" s="103" t="s">
        <v>53</v>
      </c>
      <c r="V16" s="81" t="str">
        <f t="shared" si="4"/>
        <v>GN2052черный</v>
      </c>
      <c r="W16" s="81" t="str">
        <f t="shared" si="0"/>
        <v>GN2052</v>
      </c>
      <c r="X16" s="81" t="str">
        <f t="shared" si="5"/>
        <v>3S CAP</v>
      </c>
      <c r="AC16" s="60">
        <f t="shared" si="6"/>
        <v>56</v>
      </c>
      <c r="AD16" s="49">
        <f t="shared" si="1"/>
        <v>10</v>
      </c>
      <c r="AE16" s="60">
        <f t="shared" si="7"/>
        <v>56010</v>
      </c>
    </row>
    <row r="17" spans="1:31">
      <c r="A17" s="81" t="str">
        <f t="shared" si="2"/>
        <v>GM4508black</v>
      </c>
      <c r="B17" s="81" t="str">
        <f t="shared" si="3"/>
        <v>56-009-09</v>
      </c>
      <c r="C17" s="103" t="s">
        <v>947</v>
      </c>
      <c r="D17" s="103" t="s">
        <v>948</v>
      </c>
      <c r="E17" s="103" t="s">
        <v>918</v>
      </c>
      <c r="F17" s="104">
        <v>61</v>
      </c>
      <c r="G17" s="104" t="s">
        <v>949</v>
      </c>
      <c r="H17" s="103" t="s">
        <v>53</v>
      </c>
      <c r="I17" s="103" t="s">
        <v>909</v>
      </c>
      <c r="J17" s="103" t="s">
        <v>327</v>
      </c>
      <c r="K17" s="103" t="s">
        <v>382</v>
      </c>
      <c r="L17" s="103" t="s">
        <v>888</v>
      </c>
      <c r="M17" s="103" t="s">
        <v>388</v>
      </c>
      <c r="O17" s="103" t="s">
        <v>386</v>
      </c>
      <c r="P17" s="103" t="s">
        <v>905</v>
      </c>
      <c r="Q17" s="103" t="s">
        <v>899</v>
      </c>
      <c r="R17" s="103" t="s">
        <v>53</v>
      </c>
      <c r="V17" s="81" t="str">
        <f t="shared" si="4"/>
        <v>GM4508черный</v>
      </c>
      <c r="W17" s="81" t="str">
        <f t="shared" si="0"/>
        <v>GM4508</v>
      </c>
      <c r="X17" s="81" t="str">
        <f t="shared" si="5"/>
        <v>BBALLCAP LT MET</v>
      </c>
      <c r="AC17" s="60">
        <f t="shared" si="6"/>
        <v>56</v>
      </c>
      <c r="AD17" s="49">
        <f t="shared" si="1"/>
        <v>9</v>
      </c>
      <c r="AE17" s="60">
        <f t="shared" si="7"/>
        <v>56009</v>
      </c>
    </row>
    <row r="18" spans="1:31">
      <c r="A18" s="81" t="str">
        <f t="shared" si="2"/>
        <v>GM4508black</v>
      </c>
      <c r="B18" s="81" t="str">
        <f t="shared" si="3"/>
        <v>56-009-09</v>
      </c>
      <c r="C18" s="103" t="s">
        <v>950</v>
      </c>
      <c r="D18" s="103" t="s">
        <v>948</v>
      </c>
      <c r="E18" s="103" t="s">
        <v>902</v>
      </c>
      <c r="F18" s="104">
        <v>57</v>
      </c>
      <c r="G18" s="104" t="s">
        <v>949</v>
      </c>
      <c r="H18" s="103" t="s">
        <v>53</v>
      </c>
      <c r="I18" s="103" t="s">
        <v>909</v>
      </c>
      <c r="J18" s="103" t="s">
        <v>327</v>
      </c>
      <c r="K18" s="103" t="s">
        <v>382</v>
      </c>
      <c r="L18" s="103" t="s">
        <v>888</v>
      </c>
      <c r="M18" s="103" t="s">
        <v>388</v>
      </c>
      <c r="O18" s="103" t="s">
        <v>386</v>
      </c>
      <c r="P18" s="103" t="s">
        <v>905</v>
      </c>
      <c r="Q18" s="103" t="s">
        <v>899</v>
      </c>
      <c r="R18" s="103" t="s">
        <v>53</v>
      </c>
      <c r="V18" s="81" t="str">
        <f t="shared" si="4"/>
        <v>GM4508черный</v>
      </c>
      <c r="W18" s="81" t="str">
        <f t="shared" si="0"/>
        <v>GM4508</v>
      </c>
      <c r="X18" s="81" t="str">
        <f t="shared" si="5"/>
        <v>BBALLCAP LT MET</v>
      </c>
      <c r="AC18" s="60">
        <f t="shared" si="6"/>
        <v>56</v>
      </c>
      <c r="AD18" s="49">
        <f t="shared" si="1"/>
        <v>9</v>
      </c>
      <c r="AE18" s="60">
        <f t="shared" si="7"/>
        <v>56009</v>
      </c>
    </row>
    <row r="19" spans="1:31">
      <c r="A19" s="81" t="str">
        <f t="shared" si="2"/>
        <v>GE0750black</v>
      </c>
      <c r="B19" s="81" t="str">
        <f t="shared" si="3"/>
        <v>56-008-09</v>
      </c>
      <c r="C19" s="103" t="s">
        <v>951</v>
      </c>
      <c r="D19" s="103" t="s">
        <v>952</v>
      </c>
      <c r="E19" s="103" t="s">
        <v>918</v>
      </c>
      <c r="F19" s="104">
        <v>61</v>
      </c>
      <c r="G19" s="104" t="s">
        <v>953</v>
      </c>
      <c r="H19" s="103" t="s">
        <v>55</v>
      </c>
      <c r="I19" s="103" t="s">
        <v>914</v>
      </c>
      <c r="J19" s="103" t="s">
        <v>327</v>
      </c>
      <c r="K19" s="103" t="s">
        <v>382</v>
      </c>
      <c r="L19" s="103" t="s">
        <v>888</v>
      </c>
      <c r="M19" s="103" t="s">
        <v>388</v>
      </c>
      <c r="N19" s="103" t="s">
        <v>43</v>
      </c>
      <c r="O19" s="103" t="s">
        <v>386</v>
      </c>
      <c r="P19" s="103" t="s">
        <v>905</v>
      </c>
      <c r="Q19" s="103" t="s">
        <v>899</v>
      </c>
      <c r="R19" s="103" t="s">
        <v>71</v>
      </c>
      <c r="V19" s="81" t="str">
        <f t="shared" si="4"/>
        <v>GE0750темно-синий</v>
      </c>
      <c r="W19" s="81" t="str">
        <f t="shared" si="0"/>
        <v>GE0750</v>
      </c>
      <c r="X19" s="81" t="str">
        <f t="shared" si="5"/>
        <v>BBALL 3S CAP CT</v>
      </c>
      <c r="AC19" s="60">
        <f t="shared" si="6"/>
        <v>56</v>
      </c>
      <c r="AD19" s="49">
        <f t="shared" si="1"/>
        <v>8</v>
      </c>
      <c r="AE19" s="60">
        <f t="shared" si="7"/>
        <v>56008</v>
      </c>
    </row>
    <row r="20" spans="1:31">
      <c r="A20" s="81" t="str">
        <f t="shared" si="2"/>
        <v>GE0750black</v>
      </c>
      <c r="B20" s="81" t="str">
        <f t="shared" si="3"/>
        <v>56-008-09</v>
      </c>
      <c r="C20" s="103" t="s">
        <v>954</v>
      </c>
      <c r="D20" s="103" t="s">
        <v>952</v>
      </c>
      <c r="E20" s="103" t="s">
        <v>902</v>
      </c>
      <c r="F20" s="104">
        <v>57</v>
      </c>
      <c r="G20" s="104" t="s">
        <v>953</v>
      </c>
      <c r="H20" s="103" t="s">
        <v>55</v>
      </c>
      <c r="I20" s="103" t="s">
        <v>914</v>
      </c>
      <c r="J20" s="103" t="s">
        <v>327</v>
      </c>
      <c r="K20" s="103" t="s">
        <v>382</v>
      </c>
      <c r="L20" s="103" t="s">
        <v>888</v>
      </c>
      <c r="M20" s="103" t="s">
        <v>388</v>
      </c>
      <c r="N20" s="103" t="s">
        <v>43</v>
      </c>
      <c r="O20" s="103" t="s">
        <v>386</v>
      </c>
      <c r="P20" s="103" t="s">
        <v>905</v>
      </c>
      <c r="Q20" s="103" t="s">
        <v>899</v>
      </c>
      <c r="R20" s="103" t="s">
        <v>71</v>
      </c>
      <c r="V20" s="81" t="str">
        <f t="shared" si="4"/>
        <v>GE0750темно-синий</v>
      </c>
      <c r="W20" s="81" t="str">
        <f t="shared" si="0"/>
        <v>GE0750</v>
      </c>
      <c r="X20" s="81" t="str">
        <f t="shared" si="5"/>
        <v>BBALL 3S CAP CT</v>
      </c>
      <c r="AC20" s="60">
        <f t="shared" si="6"/>
        <v>56</v>
      </c>
      <c r="AD20" s="49">
        <f t="shared" si="1"/>
        <v>8</v>
      </c>
      <c r="AE20" s="60">
        <f t="shared" si="7"/>
        <v>56008</v>
      </c>
    </row>
    <row r="21" spans="1:31">
      <c r="A21" s="81" t="str">
        <f t="shared" si="2"/>
        <v>DM6178black</v>
      </c>
      <c r="B21" s="81" t="str">
        <f t="shared" si="3"/>
        <v>56-007-09</v>
      </c>
      <c r="C21" s="103" t="s">
        <v>955</v>
      </c>
      <c r="D21" s="103" t="s">
        <v>956</v>
      </c>
      <c r="E21" s="103" t="s">
        <v>918</v>
      </c>
      <c r="F21" s="104">
        <v>61</v>
      </c>
      <c r="G21" s="104" t="s">
        <v>957</v>
      </c>
      <c r="H21" s="103" t="s">
        <v>53</v>
      </c>
      <c r="I21" s="103" t="s">
        <v>914</v>
      </c>
      <c r="J21" s="103" t="s">
        <v>327</v>
      </c>
      <c r="K21" s="103" t="s">
        <v>382</v>
      </c>
      <c r="L21" s="103" t="s">
        <v>888</v>
      </c>
      <c r="M21" s="103" t="s">
        <v>388</v>
      </c>
      <c r="N21" s="103" t="s">
        <v>43</v>
      </c>
      <c r="O21" s="103" t="s">
        <v>386</v>
      </c>
      <c r="P21" s="103" t="s">
        <v>905</v>
      </c>
      <c r="Q21" s="103" t="s">
        <v>899</v>
      </c>
      <c r="R21" s="103" t="s">
        <v>53</v>
      </c>
      <c r="V21" s="81" t="str">
        <f t="shared" si="4"/>
        <v>DM6178черный</v>
      </c>
      <c r="W21" s="81" t="str">
        <f t="shared" si="0"/>
        <v>DM6178</v>
      </c>
      <c r="X21" s="81" t="str">
        <f t="shared" si="5"/>
        <v>DAILY CAP</v>
      </c>
      <c r="AC21" s="60">
        <f t="shared" si="6"/>
        <v>56</v>
      </c>
      <c r="AD21" s="49">
        <f t="shared" si="1"/>
        <v>7</v>
      </c>
      <c r="AE21" s="60">
        <f t="shared" si="7"/>
        <v>56007</v>
      </c>
    </row>
    <row r="22" spans="1:31">
      <c r="A22" s="81" t="str">
        <f t="shared" si="2"/>
        <v>DM6178black</v>
      </c>
      <c r="B22" s="81" t="str">
        <f t="shared" si="3"/>
        <v>56-007-09</v>
      </c>
      <c r="C22" s="103" t="s">
        <v>958</v>
      </c>
      <c r="D22" s="103" t="s">
        <v>956</v>
      </c>
      <c r="E22" s="103" t="s">
        <v>902</v>
      </c>
      <c r="F22" s="104">
        <v>57</v>
      </c>
      <c r="G22" s="104" t="s">
        <v>957</v>
      </c>
      <c r="H22" s="103" t="s">
        <v>53</v>
      </c>
      <c r="I22" s="103" t="s">
        <v>914</v>
      </c>
      <c r="J22" s="103" t="s">
        <v>327</v>
      </c>
      <c r="K22" s="103" t="s">
        <v>382</v>
      </c>
      <c r="L22" s="103" t="s">
        <v>888</v>
      </c>
      <c r="M22" s="103" t="s">
        <v>388</v>
      </c>
      <c r="N22" s="103" t="s">
        <v>43</v>
      </c>
      <c r="O22" s="103" t="s">
        <v>386</v>
      </c>
      <c r="P22" s="103" t="s">
        <v>905</v>
      </c>
      <c r="Q22" s="103" t="s">
        <v>899</v>
      </c>
      <c r="R22" s="103" t="s">
        <v>53</v>
      </c>
      <c r="V22" s="81" t="str">
        <f t="shared" si="4"/>
        <v>DM6178черный</v>
      </c>
      <c r="W22" s="81" t="str">
        <f t="shared" si="0"/>
        <v>DM6178</v>
      </c>
      <c r="X22" s="81" t="str">
        <f t="shared" si="5"/>
        <v>DAILY CAP</v>
      </c>
      <c r="AC22" s="60">
        <f t="shared" si="6"/>
        <v>56</v>
      </c>
      <c r="AD22" s="49">
        <f t="shared" si="1"/>
        <v>7</v>
      </c>
      <c r="AE22" s="60">
        <f t="shared" si="7"/>
        <v>56007</v>
      </c>
    </row>
    <row r="23" spans="1:31">
      <c r="A23" s="81" t="str">
        <f t="shared" si="2"/>
        <v>FK0891black</v>
      </c>
      <c r="B23" s="81" t="str">
        <f t="shared" si="3"/>
        <v>56-006-09</v>
      </c>
      <c r="C23" s="103" t="s">
        <v>959</v>
      </c>
      <c r="D23" s="103" t="s">
        <v>960</v>
      </c>
      <c r="E23" s="103" t="s">
        <v>918</v>
      </c>
      <c r="F23" s="104">
        <v>61</v>
      </c>
      <c r="G23" s="104" t="s">
        <v>961</v>
      </c>
      <c r="H23" s="103" t="s">
        <v>53</v>
      </c>
      <c r="I23" s="103" t="s">
        <v>914</v>
      </c>
      <c r="J23" s="103" t="s">
        <v>327</v>
      </c>
      <c r="K23" s="103" t="s">
        <v>382</v>
      </c>
      <c r="L23" s="103" t="s">
        <v>888</v>
      </c>
      <c r="M23" s="103" t="s">
        <v>388</v>
      </c>
      <c r="N23" s="103" t="s">
        <v>43</v>
      </c>
      <c r="O23" s="103" t="s">
        <v>386</v>
      </c>
      <c r="P23" s="103" t="s">
        <v>905</v>
      </c>
      <c r="Q23" s="103" t="s">
        <v>899</v>
      </c>
      <c r="R23" s="103" t="s">
        <v>53</v>
      </c>
      <c r="V23" s="81" t="str">
        <f t="shared" si="4"/>
        <v>FK0891черный</v>
      </c>
      <c r="W23" s="81" t="str">
        <f t="shared" si="0"/>
        <v>FK0891</v>
      </c>
      <c r="X23" s="81" t="str">
        <f t="shared" si="5"/>
        <v>BBALL CAP COT</v>
      </c>
      <c r="AC23" s="60">
        <f t="shared" si="6"/>
        <v>56</v>
      </c>
      <c r="AD23" s="49">
        <f t="shared" si="1"/>
        <v>6</v>
      </c>
      <c r="AE23" s="60">
        <f t="shared" si="7"/>
        <v>56006</v>
      </c>
    </row>
    <row r="24" spans="1:31">
      <c r="A24" s="81" t="str">
        <f t="shared" si="2"/>
        <v>FK0891black</v>
      </c>
      <c r="B24" s="81" t="str">
        <f t="shared" si="3"/>
        <v>56-006-09</v>
      </c>
      <c r="C24" s="103" t="s">
        <v>962</v>
      </c>
      <c r="D24" s="103" t="s">
        <v>960</v>
      </c>
      <c r="E24" s="103" t="s">
        <v>902</v>
      </c>
      <c r="F24" s="104">
        <v>57</v>
      </c>
      <c r="G24" s="104" t="s">
        <v>961</v>
      </c>
      <c r="H24" s="103" t="s">
        <v>53</v>
      </c>
      <c r="I24" s="103" t="s">
        <v>914</v>
      </c>
      <c r="J24" s="103" t="s">
        <v>327</v>
      </c>
      <c r="K24" s="103" t="s">
        <v>382</v>
      </c>
      <c r="L24" s="103" t="s">
        <v>888</v>
      </c>
      <c r="M24" s="103" t="s">
        <v>388</v>
      </c>
      <c r="N24" s="103" t="s">
        <v>43</v>
      </c>
      <c r="O24" s="103" t="s">
        <v>386</v>
      </c>
      <c r="P24" s="103" t="s">
        <v>905</v>
      </c>
      <c r="Q24" s="103" t="s">
        <v>899</v>
      </c>
      <c r="R24" s="103" t="s">
        <v>53</v>
      </c>
      <c r="V24" s="81" t="str">
        <f t="shared" si="4"/>
        <v>FK0891черный</v>
      </c>
      <c r="W24" s="81" t="str">
        <f t="shared" si="0"/>
        <v>FK0891</v>
      </c>
      <c r="X24" s="81" t="str">
        <f t="shared" si="5"/>
        <v>BBALL CAP COT</v>
      </c>
      <c r="AC24" s="60">
        <f t="shared" si="6"/>
        <v>56</v>
      </c>
      <c r="AD24" s="49">
        <f t="shared" si="1"/>
        <v>6</v>
      </c>
      <c r="AE24" s="60">
        <f t="shared" si="7"/>
        <v>56006</v>
      </c>
    </row>
    <row r="25" spans="1:31">
      <c r="A25" s="81" t="str">
        <f t="shared" si="2"/>
        <v>FK0890white</v>
      </c>
      <c r="B25" s="81" t="str">
        <f t="shared" si="3"/>
        <v>56-005-17</v>
      </c>
      <c r="C25" s="103" t="s">
        <v>963</v>
      </c>
      <c r="D25" s="103" t="s">
        <v>964</v>
      </c>
      <c r="E25" s="103" t="s">
        <v>902</v>
      </c>
      <c r="F25" s="104">
        <v>57</v>
      </c>
      <c r="G25" s="104" t="s">
        <v>965</v>
      </c>
      <c r="H25" s="103" t="s">
        <v>57</v>
      </c>
      <c r="I25" s="103" t="s">
        <v>914</v>
      </c>
      <c r="J25" s="103" t="s">
        <v>327</v>
      </c>
      <c r="K25" s="103" t="s">
        <v>382</v>
      </c>
      <c r="L25" s="103" t="s">
        <v>888</v>
      </c>
      <c r="M25" s="103" t="s">
        <v>388</v>
      </c>
      <c r="N25" s="103" t="s">
        <v>43</v>
      </c>
      <c r="O25" s="103" t="s">
        <v>386</v>
      </c>
      <c r="P25" s="103" t="s">
        <v>905</v>
      </c>
      <c r="Q25" s="103" t="s">
        <v>966</v>
      </c>
      <c r="R25" s="103" t="s">
        <v>57</v>
      </c>
      <c r="V25" s="81" t="str">
        <f t="shared" si="4"/>
        <v>FK0890белый</v>
      </c>
      <c r="W25" s="81" t="str">
        <f t="shared" si="0"/>
        <v>FK0890</v>
      </c>
      <c r="X25" s="81" t="str">
        <f t="shared" si="5"/>
        <v>BBALL CAP COT</v>
      </c>
      <c r="AC25" s="60">
        <f t="shared" si="6"/>
        <v>56</v>
      </c>
      <c r="AD25" s="49">
        <f t="shared" si="1"/>
        <v>5</v>
      </c>
      <c r="AE25" s="60">
        <f t="shared" si="7"/>
        <v>56005</v>
      </c>
    </row>
    <row r="26" spans="1:31">
      <c r="A26" s="81" t="str">
        <f t="shared" si="2"/>
        <v>FQ5411white</v>
      </c>
      <c r="B26" s="81" t="str">
        <f t="shared" si="3"/>
        <v>56-004-17</v>
      </c>
      <c r="C26" s="103" t="s">
        <v>967</v>
      </c>
      <c r="D26" s="103" t="s">
        <v>968</v>
      </c>
      <c r="E26" s="103" t="s">
        <v>918</v>
      </c>
      <c r="F26" s="104">
        <v>61</v>
      </c>
      <c r="G26" s="104" t="s">
        <v>969</v>
      </c>
      <c r="H26" s="103" t="s">
        <v>57</v>
      </c>
      <c r="I26" s="103" t="s">
        <v>914</v>
      </c>
      <c r="J26" s="103" t="s">
        <v>327</v>
      </c>
      <c r="K26" s="103" t="s">
        <v>382</v>
      </c>
      <c r="L26" s="103" t="s">
        <v>888</v>
      </c>
      <c r="M26" s="103" t="s">
        <v>388</v>
      </c>
      <c r="N26" s="103" t="s">
        <v>43</v>
      </c>
      <c r="O26" s="103" t="s">
        <v>386</v>
      </c>
      <c r="P26" s="103" t="s">
        <v>905</v>
      </c>
      <c r="Q26" s="103" t="s">
        <v>966</v>
      </c>
      <c r="R26" s="103" t="s">
        <v>57</v>
      </c>
      <c r="V26" s="81" t="str">
        <f t="shared" si="4"/>
        <v>FQ5411белый</v>
      </c>
      <c r="W26" s="81" t="str">
        <f t="shared" si="0"/>
        <v>FQ5411</v>
      </c>
      <c r="X26" s="81" t="str">
        <f t="shared" si="5"/>
        <v>BBALL 3S CAP CT</v>
      </c>
      <c r="AC26" s="60">
        <f t="shared" si="6"/>
        <v>56</v>
      </c>
      <c r="AD26" s="49">
        <f t="shared" si="1"/>
        <v>4</v>
      </c>
      <c r="AE26" s="60">
        <f t="shared" si="7"/>
        <v>56004</v>
      </c>
    </row>
    <row r="27" spans="1:31">
      <c r="A27" s="81" t="str">
        <f t="shared" si="2"/>
        <v>FQ5411white</v>
      </c>
      <c r="B27" s="81" t="str">
        <f t="shared" si="3"/>
        <v>56-004-17</v>
      </c>
      <c r="C27" s="103" t="s">
        <v>970</v>
      </c>
      <c r="D27" s="103" t="s">
        <v>968</v>
      </c>
      <c r="E27" s="103" t="s">
        <v>902</v>
      </c>
      <c r="F27" s="104">
        <v>57</v>
      </c>
      <c r="G27" s="104" t="s">
        <v>969</v>
      </c>
      <c r="H27" s="103" t="s">
        <v>57</v>
      </c>
      <c r="I27" s="103" t="s">
        <v>914</v>
      </c>
      <c r="J27" s="103" t="s">
        <v>327</v>
      </c>
      <c r="K27" s="103" t="s">
        <v>382</v>
      </c>
      <c r="L27" s="103" t="s">
        <v>888</v>
      </c>
      <c r="M27" s="103" t="s">
        <v>388</v>
      </c>
      <c r="N27" s="103" t="s">
        <v>43</v>
      </c>
      <c r="O27" s="103" t="s">
        <v>386</v>
      </c>
      <c r="P27" s="103" t="s">
        <v>905</v>
      </c>
      <c r="Q27" s="103" t="s">
        <v>966</v>
      </c>
      <c r="R27" s="103" t="s">
        <v>57</v>
      </c>
      <c r="V27" s="81" t="str">
        <f t="shared" si="4"/>
        <v>FQ5411белый</v>
      </c>
      <c r="W27" s="81" t="str">
        <f t="shared" si="0"/>
        <v>FQ5411</v>
      </c>
      <c r="X27" s="81" t="str">
        <f t="shared" si="5"/>
        <v>BBALL 3S CAP CT</v>
      </c>
      <c r="AC27" s="60">
        <f t="shared" si="6"/>
        <v>56</v>
      </c>
      <c r="AD27" s="49">
        <f t="shared" si="1"/>
        <v>4</v>
      </c>
      <c r="AE27" s="60">
        <f t="shared" si="7"/>
        <v>56004</v>
      </c>
    </row>
    <row r="28" spans="1:31">
      <c r="A28" s="81" t="str">
        <f t="shared" si="2"/>
        <v>FK0894black</v>
      </c>
      <c r="B28" s="81" t="str">
        <f t="shared" si="3"/>
        <v>56-003-09</v>
      </c>
      <c r="C28" s="103" t="s">
        <v>971</v>
      </c>
      <c r="D28" s="103" t="s">
        <v>972</v>
      </c>
      <c r="E28" s="103" t="s">
        <v>902</v>
      </c>
      <c r="F28" s="104">
        <v>57</v>
      </c>
      <c r="G28" s="104" t="s">
        <v>973</v>
      </c>
      <c r="H28" s="103" t="s">
        <v>53</v>
      </c>
      <c r="I28" s="103" t="s">
        <v>914</v>
      </c>
      <c r="J28" s="103" t="s">
        <v>327</v>
      </c>
      <c r="K28" s="103" t="s">
        <v>382</v>
      </c>
      <c r="L28" s="103" t="s">
        <v>888</v>
      </c>
      <c r="M28" s="103" t="s">
        <v>388</v>
      </c>
      <c r="N28" s="103" t="s">
        <v>43</v>
      </c>
      <c r="O28" s="103" t="s">
        <v>386</v>
      </c>
      <c r="P28" s="103" t="s">
        <v>905</v>
      </c>
      <c r="Q28" s="103" t="s">
        <v>899</v>
      </c>
      <c r="R28" s="103" t="s">
        <v>53</v>
      </c>
      <c r="V28" s="81" t="str">
        <f t="shared" si="4"/>
        <v>FK0894черный</v>
      </c>
      <c r="W28" s="81" t="str">
        <f t="shared" si="0"/>
        <v>FK0894</v>
      </c>
      <c r="X28" s="81" t="str">
        <f t="shared" si="5"/>
        <v>BBALL 3S CAP CT</v>
      </c>
      <c r="AC28" s="60">
        <f t="shared" si="6"/>
        <v>56</v>
      </c>
      <c r="AD28" s="49">
        <f t="shared" si="1"/>
        <v>3</v>
      </c>
      <c r="AE28" s="60">
        <f t="shared" si="7"/>
        <v>56003</v>
      </c>
    </row>
    <row r="29" spans="1:31">
      <c r="A29" s="81" t="str">
        <f t="shared" si="2"/>
        <v>FL3713black</v>
      </c>
      <c r="B29" s="81" t="str">
        <f t="shared" si="3"/>
        <v>56-002-09</v>
      </c>
      <c r="C29" s="103" t="s">
        <v>974</v>
      </c>
      <c r="D29" s="103" t="s">
        <v>975</v>
      </c>
      <c r="E29" s="103" t="s">
        <v>918</v>
      </c>
      <c r="F29" s="104">
        <v>61</v>
      </c>
      <c r="G29" s="104" t="s">
        <v>976</v>
      </c>
      <c r="H29" s="103" t="s">
        <v>53</v>
      </c>
      <c r="I29" s="103" t="s">
        <v>909</v>
      </c>
      <c r="J29" s="103" t="s">
        <v>327</v>
      </c>
      <c r="K29" s="103" t="s">
        <v>382</v>
      </c>
      <c r="L29" s="103" t="s">
        <v>888</v>
      </c>
      <c r="M29" s="103" t="s">
        <v>388</v>
      </c>
      <c r="O29" s="103" t="s">
        <v>386</v>
      </c>
      <c r="P29" s="103" t="s">
        <v>905</v>
      </c>
      <c r="Q29" s="103" t="s">
        <v>899</v>
      </c>
      <c r="R29" s="103" t="s">
        <v>53</v>
      </c>
      <c r="V29" s="81" t="str">
        <f t="shared" si="4"/>
        <v>FL3713черный</v>
      </c>
      <c r="W29" s="81" t="str">
        <f t="shared" si="0"/>
        <v>FL3713</v>
      </c>
      <c r="X29" s="81" t="str">
        <f t="shared" si="5"/>
        <v>BASEBALL BOLD</v>
      </c>
      <c r="AC29" s="60">
        <f t="shared" si="6"/>
        <v>56</v>
      </c>
      <c r="AD29" s="49">
        <f t="shared" si="1"/>
        <v>2</v>
      </c>
      <c r="AE29" s="60">
        <f t="shared" si="7"/>
        <v>56002</v>
      </c>
    </row>
    <row r="30" spans="1:31">
      <c r="A30" s="81" t="str">
        <f t="shared" si="2"/>
        <v>FL3713black</v>
      </c>
      <c r="B30" s="81" t="str">
        <f t="shared" si="3"/>
        <v>56-002-09</v>
      </c>
      <c r="C30" s="103" t="s">
        <v>977</v>
      </c>
      <c r="D30" s="103" t="s">
        <v>975</v>
      </c>
      <c r="E30" s="103" t="s">
        <v>902</v>
      </c>
      <c r="F30" s="104">
        <v>57</v>
      </c>
      <c r="G30" s="104" t="s">
        <v>976</v>
      </c>
      <c r="H30" s="103" t="s">
        <v>53</v>
      </c>
      <c r="I30" s="103" t="s">
        <v>909</v>
      </c>
      <c r="J30" s="103" t="s">
        <v>327</v>
      </c>
      <c r="K30" s="103" t="s">
        <v>382</v>
      </c>
      <c r="L30" s="103" t="s">
        <v>888</v>
      </c>
      <c r="M30" s="103" t="s">
        <v>388</v>
      </c>
      <c r="O30" s="103" t="s">
        <v>386</v>
      </c>
      <c r="P30" s="103" t="s">
        <v>905</v>
      </c>
      <c r="Q30" s="103" t="s">
        <v>899</v>
      </c>
      <c r="R30" s="103" t="s">
        <v>53</v>
      </c>
      <c r="V30" s="81" t="str">
        <f t="shared" si="4"/>
        <v>FL3713черный</v>
      </c>
      <c r="W30" s="81" t="str">
        <f t="shared" si="0"/>
        <v>FL3713</v>
      </c>
      <c r="X30" s="81" t="str">
        <f t="shared" si="5"/>
        <v>BASEBALL BOLD</v>
      </c>
      <c r="AC30" s="60">
        <f t="shared" si="6"/>
        <v>56</v>
      </c>
      <c r="AD30" s="49">
        <f t="shared" si="1"/>
        <v>2</v>
      </c>
      <c r="AE30" s="60">
        <f t="shared" si="7"/>
        <v>56002</v>
      </c>
    </row>
    <row r="31" spans="1:31">
      <c r="A31" s="81" t="str">
        <f t="shared" si="2"/>
        <v>EC3603black</v>
      </c>
      <c r="B31" s="81" t="str">
        <f t="shared" si="3"/>
        <v>56-001-09</v>
      </c>
      <c r="C31" s="103" t="s">
        <v>978</v>
      </c>
      <c r="D31" s="103" t="s">
        <v>979</v>
      </c>
      <c r="E31" s="103" t="s">
        <v>918</v>
      </c>
      <c r="F31" s="104">
        <v>61</v>
      </c>
      <c r="G31" s="104" t="s">
        <v>980</v>
      </c>
      <c r="H31" s="103" t="s">
        <v>53</v>
      </c>
      <c r="I31" s="103" t="s">
        <v>914</v>
      </c>
      <c r="J31" s="103" t="s">
        <v>327</v>
      </c>
      <c r="K31" s="103" t="s">
        <v>382</v>
      </c>
      <c r="L31" s="103" t="s">
        <v>888</v>
      </c>
      <c r="M31" s="103" t="s">
        <v>388</v>
      </c>
      <c r="N31" s="103" t="s">
        <v>43</v>
      </c>
      <c r="O31" s="103" t="s">
        <v>386</v>
      </c>
      <c r="P31" s="103" t="s">
        <v>905</v>
      </c>
      <c r="Q31" s="103" t="s">
        <v>899</v>
      </c>
      <c r="R31" s="103" t="s">
        <v>53</v>
      </c>
      <c r="V31" s="81" t="str">
        <f t="shared" si="4"/>
        <v>EC3603черный</v>
      </c>
      <c r="W31" s="81" t="str">
        <f t="shared" si="0"/>
        <v>EC3603</v>
      </c>
      <c r="X31" s="81" t="str">
        <f t="shared" si="5"/>
        <v>BASEB CLASS TRE</v>
      </c>
      <c r="AC31" s="60">
        <f t="shared" si="6"/>
        <v>56</v>
      </c>
      <c r="AD31" s="49">
        <f t="shared" si="1"/>
        <v>1</v>
      </c>
      <c r="AE31" s="60">
        <f t="shared" si="7"/>
        <v>56001</v>
      </c>
    </row>
    <row r="32" spans="1:31">
      <c r="A32" s="81" t="str">
        <f t="shared" si="2"/>
        <v>EC3603black</v>
      </c>
      <c r="B32" s="81" t="str">
        <f t="shared" si="3"/>
        <v>56-001-09</v>
      </c>
      <c r="C32" s="103" t="s">
        <v>981</v>
      </c>
      <c r="D32" s="103" t="s">
        <v>979</v>
      </c>
      <c r="E32" s="103" t="s">
        <v>902</v>
      </c>
      <c r="F32" s="104">
        <v>57</v>
      </c>
      <c r="G32" s="104" t="s">
        <v>980</v>
      </c>
      <c r="H32" s="103" t="s">
        <v>53</v>
      </c>
      <c r="I32" s="103" t="s">
        <v>914</v>
      </c>
      <c r="J32" s="103" t="s">
        <v>327</v>
      </c>
      <c r="K32" s="103" t="s">
        <v>382</v>
      </c>
      <c r="L32" s="103" t="s">
        <v>888</v>
      </c>
      <c r="M32" s="103" t="s">
        <v>388</v>
      </c>
      <c r="N32" s="103" t="s">
        <v>43</v>
      </c>
      <c r="O32" s="103" t="s">
        <v>386</v>
      </c>
      <c r="P32" s="103" t="s">
        <v>905</v>
      </c>
      <c r="Q32" s="103" t="s">
        <v>899</v>
      </c>
      <c r="R32" s="103" t="s">
        <v>53</v>
      </c>
      <c r="V32" s="81" t="str">
        <f t="shared" si="4"/>
        <v>EC3603черный</v>
      </c>
      <c r="W32" s="81" t="str">
        <f t="shared" si="0"/>
        <v>EC3603</v>
      </c>
      <c r="X32" s="81" t="str">
        <f t="shared" si="5"/>
        <v>BASEB CLASS TRE</v>
      </c>
      <c r="AC32" s="60">
        <f t="shared" si="6"/>
        <v>56</v>
      </c>
      <c r="AD32" s="49">
        <f t="shared" si="1"/>
        <v>1</v>
      </c>
      <c r="AE32" s="60">
        <f t="shared" si="7"/>
        <v>56001</v>
      </c>
    </row>
    <row r="33" spans="1:31">
      <c r="A33" s="81" t="str">
        <f t="shared" si="2"/>
        <v>RK7415HDEnavy</v>
      </c>
      <c r="B33" s="81" t="str">
        <f t="shared" si="3"/>
        <v>56-023-16</v>
      </c>
      <c r="C33" s="103" t="s">
        <v>982</v>
      </c>
      <c r="D33" s="103" t="s">
        <v>983</v>
      </c>
      <c r="E33" s="103" t="s">
        <v>984</v>
      </c>
      <c r="F33" s="104" t="s">
        <v>632</v>
      </c>
      <c r="G33" s="103" t="s">
        <v>985</v>
      </c>
      <c r="H33" s="103" t="s">
        <v>55</v>
      </c>
      <c r="I33" s="103" t="s">
        <v>914</v>
      </c>
      <c r="J33" s="103" t="s">
        <v>327</v>
      </c>
      <c r="K33" s="103" t="s">
        <v>382</v>
      </c>
      <c r="L33" s="103" t="s">
        <v>891</v>
      </c>
      <c r="M33" s="103" t="s">
        <v>388</v>
      </c>
      <c r="N33" s="103" t="s">
        <v>43</v>
      </c>
      <c r="O33" s="103" t="s">
        <v>533</v>
      </c>
      <c r="P33" s="103" t="s">
        <v>986</v>
      </c>
      <c r="Q33" s="103" t="s">
        <v>987</v>
      </c>
      <c r="R33" s="103" t="s">
        <v>71</v>
      </c>
      <c r="V33" s="81" t="str">
        <f t="shared" si="4"/>
        <v>RK7415HDEтемно-синий</v>
      </c>
      <c r="W33" s="81" t="str">
        <f t="shared" si="0"/>
        <v>RK7415HDE</v>
      </c>
      <c r="X33" s="81" t="str">
        <f t="shared" si="5"/>
        <v>LACOSTE CAP</v>
      </c>
      <c r="AC33" s="60">
        <f t="shared" si="6"/>
        <v>56</v>
      </c>
      <c r="AD33" s="49">
        <f t="shared" si="1"/>
        <v>23</v>
      </c>
      <c r="AE33" s="60">
        <f t="shared" si="7"/>
        <v>56023</v>
      </c>
    </row>
    <row r="34" spans="1:31">
      <c r="A34" s="81" t="str">
        <f t="shared" si="2"/>
        <v>RK741502Sbeige</v>
      </c>
      <c r="B34" s="81" t="str">
        <f t="shared" si="3"/>
        <v>56-022-02</v>
      </c>
      <c r="C34" s="103" t="s">
        <v>988</v>
      </c>
      <c r="D34" s="103" t="s">
        <v>989</v>
      </c>
      <c r="E34" s="103" t="s">
        <v>984</v>
      </c>
      <c r="F34" s="104" t="s">
        <v>632</v>
      </c>
      <c r="G34" s="104" t="s">
        <v>990</v>
      </c>
      <c r="H34" s="103" t="s">
        <v>63</v>
      </c>
      <c r="I34" s="103" t="s">
        <v>914</v>
      </c>
      <c r="J34" s="103" t="s">
        <v>327</v>
      </c>
      <c r="K34" s="103" t="s">
        <v>382</v>
      </c>
      <c r="L34" s="103" t="s">
        <v>891</v>
      </c>
      <c r="M34" s="103" t="s">
        <v>388</v>
      </c>
      <c r="N34" s="103" t="s">
        <v>43</v>
      </c>
      <c r="O34" s="103" t="s">
        <v>386</v>
      </c>
      <c r="P34" s="103" t="s">
        <v>986</v>
      </c>
      <c r="Q34" s="103" t="s">
        <v>915</v>
      </c>
      <c r="R34" s="103" t="s">
        <v>63</v>
      </c>
      <c r="V34" s="81" t="str">
        <f t="shared" si="4"/>
        <v>RK741502Sбежевый</v>
      </c>
      <c r="W34" s="81" t="str">
        <f t="shared" si="0"/>
        <v>RK741502S</v>
      </c>
      <c r="X34" s="81" t="str">
        <f t="shared" si="5"/>
        <v>LACOSTE CAP</v>
      </c>
      <c r="AC34" s="60">
        <f t="shared" si="6"/>
        <v>56</v>
      </c>
      <c r="AD34" s="49">
        <f t="shared" si="1"/>
        <v>22</v>
      </c>
      <c r="AE34" s="60">
        <f t="shared" si="7"/>
        <v>56022</v>
      </c>
    </row>
    <row r="35" spans="1:31">
      <c r="A35" s="81" t="str">
        <f t="shared" si="2"/>
        <v>RK2450DP4red</v>
      </c>
      <c r="B35" s="81" t="str">
        <f t="shared" si="3"/>
        <v>56-021-18</v>
      </c>
      <c r="C35" s="103" t="s">
        <v>991</v>
      </c>
      <c r="D35" s="103" t="s">
        <v>992</v>
      </c>
      <c r="E35" s="103" t="s">
        <v>984</v>
      </c>
      <c r="F35" s="104" t="s">
        <v>632</v>
      </c>
      <c r="G35" s="104" t="s">
        <v>993</v>
      </c>
      <c r="H35" s="103" t="s">
        <v>78</v>
      </c>
      <c r="I35" s="103" t="s">
        <v>909</v>
      </c>
      <c r="J35" s="103" t="s">
        <v>327</v>
      </c>
      <c r="K35" s="103" t="s">
        <v>382</v>
      </c>
      <c r="L35" s="103" t="s">
        <v>891</v>
      </c>
      <c r="M35" s="103" t="s">
        <v>388</v>
      </c>
      <c r="O35" s="103" t="s">
        <v>533</v>
      </c>
      <c r="P35" s="103" t="s">
        <v>986</v>
      </c>
      <c r="Q35" s="103" t="s">
        <v>994</v>
      </c>
      <c r="R35" s="103" t="s">
        <v>78</v>
      </c>
      <c r="V35" s="81" t="str">
        <f t="shared" si="4"/>
        <v>RK2450DP4красный</v>
      </c>
      <c r="W35" s="81" t="str">
        <f t="shared" si="0"/>
        <v>RK2450DP4</v>
      </c>
      <c r="X35" s="81" t="str">
        <f t="shared" si="5"/>
        <v>LACOSTE CAP</v>
      </c>
      <c r="AC35" s="60">
        <f t="shared" si="6"/>
        <v>56</v>
      </c>
      <c r="AD35" s="49">
        <f t="shared" si="1"/>
        <v>21</v>
      </c>
      <c r="AE35" s="60">
        <f t="shared" si="7"/>
        <v>56021</v>
      </c>
    </row>
    <row r="36" spans="1:31">
      <c r="A36" s="81" t="str">
        <f t="shared" si="2"/>
        <v>RK2450800white</v>
      </c>
      <c r="B36" s="81" t="str">
        <f t="shared" si="3"/>
        <v>56-020-17</v>
      </c>
      <c r="C36" s="103" t="s">
        <v>995</v>
      </c>
      <c r="D36" s="103" t="s">
        <v>996</v>
      </c>
      <c r="E36" s="103" t="s">
        <v>984</v>
      </c>
      <c r="F36" s="104" t="s">
        <v>632</v>
      </c>
      <c r="G36" s="104" t="s">
        <v>997</v>
      </c>
      <c r="H36" s="103" t="s">
        <v>57</v>
      </c>
      <c r="I36" s="103" t="s">
        <v>909</v>
      </c>
      <c r="J36" s="103" t="s">
        <v>327</v>
      </c>
      <c r="K36" s="103" t="s">
        <v>382</v>
      </c>
      <c r="L36" s="103" t="s">
        <v>891</v>
      </c>
      <c r="M36" s="103" t="s">
        <v>388</v>
      </c>
      <c r="O36" s="103" t="s">
        <v>386</v>
      </c>
      <c r="P36" s="103" t="s">
        <v>986</v>
      </c>
      <c r="Q36" s="103" t="s">
        <v>966</v>
      </c>
      <c r="R36" s="103" t="s">
        <v>57</v>
      </c>
      <c r="V36" s="81" t="str">
        <f t="shared" si="4"/>
        <v>RK2450800белый</v>
      </c>
      <c r="W36" s="81" t="str">
        <f t="shared" si="0"/>
        <v>RK2450800</v>
      </c>
      <c r="X36" s="81" t="str">
        <f t="shared" si="5"/>
        <v>CAPS</v>
      </c>
      <c r="AC36" s="60">
        <f t="shared" si="6"/>
        <v>56</v>
      </c>
      <c r="AD36" s="49">
        <f t="shared" si="1"/>
        <v>20</v>
      </c>
      <c r="AE36" s="60">
        <f t="shared" si="7"/>
        <v>56020</v>
      </c>
    </row>
    <row r="37" spans="1:31">
      <c r="A37" s="81" t="str">
        <f t="shared" si="2"/>
        <v>5291902white</v>
      </c>
      <c r="B37" s="81" t="str">
        <f t="shared" si="3"/>
        <v>56-044-17</v>
      </c>
      <c r="C37" s="103" t="s">
        <v>998</v>
      </c>
      <c r="D37" s="103" t="s">
        <v>999</v>
      </c>
      <c r="E37" s="103" t="s">
        <v>902</v>
      </c>
      <c r="F37" s="103">
        <v>57</v>
      </c>
      <c r="G37" s="103" t="s">
        <v>1000</v>
      </c>
      <c r="H37" s="103" t="s">
        <v>57</v>
      </c>
      <c r="I37" s="103" t="s">
        <v>914</v>
      </c>
      <c r="J37" s="103" t="s">
        <v>327</v>
      </c>
      <c r="K37" s="103" t="s">
        <v>382</v>
      </c>
      <c r="L37" s="103" t="s">
        <v>892</v>
      </c>
      <c r="M37" s="103" t="s">
        <v>388</v>
      </c>
      <c r="N37" s="103" t="s">
        <v>43</v>
      </c>
      <c r="O37" s="103" t="s">
        <v>541</v>
      </c>
      <c r="P37" s="103" t="s">
        <v>1001</v>
      </c>
      <c r="Q37" s="103" t="s">
        <v>966</v>
      </c>
      <c r="R37" s="103" t="s">
        <v>57</v>
      </c>
      <c r="V37" s="81" t="str">
        <f t="shared" si="4"/>
        <v>5291902белый</v>
      </c>
      <c r="W37" s="81" t="str">
        <f t="shared" si="0"/>
        <v>5291902</v>
      </c>
      <c r="X37" s="81" t="str">
        <f t="shared" si="5"/>
        <v>ESS CAP</v>
      </c>
      <c r="AC37" s="60">
        <f t="shared" si="6"/>
        <v>56</v>
      </c>
      <c r="AD37" s="49">
        <f t="shared" si="1"/>
        <v>44</v>
      </c>
      <c r="AE37" s="60">
        <f t="shared" si="7"/>
        <v>56044</v>
      </c>
    </row>
    <row r="38" spans="1:31">
      <c r="A38" s="81" t="str">
        <f t="shared" si="2"/>
        <v>5291901black</v>
      </c>
      <c r="B38" s="81" t="str">
        <f t="shared" si="3"/>
        <v>56-043-09</v>
      </c>
      <c r="C38" s="103" t="s">
        <v>1002</v>
      </c>
      <c r="D38" s="103" t="s">
        <v>1003</v>
      </c>
      <c r="E38" s="103" t="s">
        <v>902</v>
      </c>
      <c r="F38" s="104">
        <v>57</v>
      </c>
      <c r="G38" s="104" t="s">
        <v>1004</v>
      </c>
      <c r="H38" s="103" t="s">
        <v>53</v>
      </c>
      <c r="I38" s="103" t="s">
        <v>914</v>
      </c>
      <c r="J38" s="103" t="s">
        <v>327</v>
      </c>
      <c r="K38" s="103" t="s">
        <v>382</v>
      </c>
      <c r="L38" s="103" t="s">
        <v>892</v>
      </c>
      <c r="M38" s="103" t="s">
        <v>388</v>
      </c>
      <c r="N38" s="103" t="s">
        <v>43</v>
      </c>
      <c r="O38" s="103" t="s">
        <v>541</v>
      </c>
      <c r="P38" s="103" t="s">
        <v>1001</v>
      </c>
      <c r="Q38" s="103" t="s">
        <v>899</v>
      </c>
      <c r="R38" s="103" t="s">
        <v>53</v>
      </c>
      <c r="V38" s="81" t="str">
        <f t="shared" si="4"/>
        <v>5291901черный</v>
      </c>
      <c r="W38" s="81" t="str">
        <f t="shared" si="0"/>
        <v>5291901</v>
      </c>
      <c r="X38" s="81" t="str">
        <f t="shared" si="5"/>
        <v>ESS CAP</v>
      </c>
      <c r="AC38" s="60">
        <f t="shared" si="6"/>
        <v>56</v>
      </c>
      <c r="AD38" s="49">
        <f t="shared" si="1"/>
        <v>43</v>
      </c>
      <c r="AE38" s="60">
        <f t="shared" si="7"/>
        <v>56043</v>
      </c>
    </row>
    <row r="39" spans="1:31">
      <c r="A39" s="81" t="str">
        <f t="shared" si="2"/>
        <v>2390901black</v>
      </c>
      <c r="B39" s="81" t="str">
        <f t="shared" si="3"/>
        <v>56-042-09</v>
      </c>
      <c r="C39" s="103" t="s">
        <v>1005</v>
      </c>
      <c r="D39" s="103" t="s">
        <v>1006</v>
      </c>
      <c r="E39" s="103" t="s">
        <v>984</v>
      </c>
      <c r="F39" s="104" t="s">
        <v>632</v>
      </c>
      <c r="G39" s="104" t="s">
        <v>1007</v>
      </c>
      <c r="H39" s="103" t="s">
        <v>53</v>
      </c>
      <c r="I39" s="103" t="s">
        <v>1008</v>
      </c>
      <c r="J39" s="103" t="s">
        <v>327</v>
      </c>
      <c r="K39" s="103" t="s">
        <v>382</v>
      </c>
      <c r="L39" s="103" t="s">
        <v>892</v>
      </c>
      <c r="M39" s="103" t="s">
        <v>388</v>
      </c>
      <c r="O39" s="103" t="s">
        <v>386</v>
      </c>
      <c r="P39" s="103" t="s">
        <v>1001</v>
      </c>
      <c r="Q39" s="103" t="s">
        <v>899</v>
      </c>
      <c r="R39" s="103" t="s">
        <v>53</v>
      </c>
      <c r="V39" s="81" t="str">
        <f t="shared" si="4"/>
        <v>2390901черный</v>
      </c>
      <c r="W39" s="81" t="str">
        <f t="shared" si="0"/>
        <v>2390901</v>
      </c>
      <c r="X39" s="81" t="str">
        <f t="shared" si="5"/>
        <v>PUMA X NJR BB CAP</v>
      </c>
      <c r="AC39" s="60">
        <f t="shared" si="6"/>
        <v>56</v>
      </c>
      <c r="AD39" s="49">
        <f t="shared" si="1"/>
        <v>42</v>
      </c>
      <c r="AE39" s="60">
        <f t="shared" si="7"/>
        <v>56042</v>
      </c>
    </row>
    <row r="40" spans="1:31">
      <c r="A40" s="81" t="str">
        <f t="shared" si="2"/>
        <v>2375801black</v>
      </c>
      <c r="B40" s="81" t="str">
        <f t="shared" si="3"/>
        <v>56-041-09</v>
      </c>
      <c r="C40" s="103" t="s">
        <v>1009</v>
      </c>
      <c r="D40" s="103" t="s">
        <v>1010</v>
      </c>
      <c r="E40" s="103" t="s">
        <v>902</v>
      </c>
      <c r="F40" s="104">
        <v>57</v>
      </c>
      <c r="G40" s="104" t="s">
        <v>1011</v>
      </c>
      <c r="H40" s="103" t="s">
        <v>53</v>
      </c>
      <c r="I40" s="103" t="s">
        <v>909</v>
      </c>
      <c r="J40" s="103" t="s">
        <v>327</v>
      </c>
      <c r="K40" s="103" t="s">
        <v>382</v>
      </c>
      <c r="L40" s="103" t="s">
        <v>892</v>
      </c>
      <c r="M40" s="103" t="s">
        <v>388</v>
      </c>
      <c r="O40" s="103" t="s">
        <v>1012</v>
      </c>
      <c r="P40" s="103" t="s">
        <v>1001</v>
      </c>
      <c r="Q40" s="103" t="s">
        <v>899</v>
      </c>
      <c r="R40" s="103" t="s">
        <v>53</v>
      </c>
      <c r="V40" s="81" t="str">
        <f t="shared" si="4"/>
        <v>2375801черный</v>
      </c>
      <c r="W40" s="81" t="str">
        <f t="shared" si="0"/>
        <v>2375801</v>
      </c>
      <c r="X40" s="81" t="str">
        <f t="shared" si="5"/>
        <v>RUNNING PONYTAIL CAP</v>
      </c>
      <c r="AC40" s="60">
        <f t="shared" si="6"/>
        <v>56</v>
      </c>
      <c r="AD40" s="49">
        <f t="shared" si="1"/>
        <v>41</v>
      </c>
      <c r="AE40" s="60">
        <f t="shared" si="7"/>
        <v>56041</v>
      </c>
    </row>
    <row r="41" spans="1:31">
      <c r="A41" s="81" t="str">
        <f t="shared" si="2"/>
        <v>2241685white</v>
      </c>
      <c r="B41" s="81" t="str">
        <f t="shared" si="3"/>
        <v>56-040-17</v>
      </c>
      <c r="C41" s="103" t="s">
        <v>1013</v>
      </c>
      <c r="D41" s="103" t="s">
        <v>1014</v>
      </c>
      <c r="E41" s="103" t="s">
        <v>984</v>
      </c>
      <c r="F41" s="104" t="s">
        <v>632</v>
      </c>
      <c r="G41" s="104" t="s">
        <v>1015</v>
      </c>
      <c r="H41" s="103" t="s">
        <v>57</v>
      </c>
      <c r="I41" s="103" t="s">
        <v>914</v>
      </c>
      <c r="J41" s="103" t="s">
        <v>327</v>
      </c>
      <c r="K41" s="103" t="s">
        <v>382</v>
      </c>
      <c r="L41" s="103" t="s">
        <v>892</v>
      </c>
      <c r="M41" s="103" t="s">
        <v>388</v>
      </c>
      <c r="N41" s="103" t="s">
        <v>43</v>
      </c>
      <c r="O41" s="103" t="s">
        <v>541</v>
      </c>
      <c r="P41" s="103" t="s">
        <v>1001</v>
      </c>
      <c r="Q41" s="103" t="s">
        <v>966</v>
      </c>
      <c r="R41" s="103" t="s">
        <v>57</v>
      </c>
      <c r="V41" s="81" t="str">
        <f t="shared" si="4"/>
        <v>2241685белый</v>
      </c>
      <c r="W41" s="81" t="str">
        <f t="shared" si="0"/>
        <v>2241685</v>
      </c>
      <c r="X41" s="81" t="str">
        <f t="shared" si="5"/>
        <v>ESS CAP</v>
      </c>
      <c r="AC41" s="60">
        <f t="shared" si="6"/>
        <v>56</v>
      </c>
      <c r="AD41" s="49">
        <f t="shared" si="1"/>
        <v>40</v>
      </c>
      <c r="AE41" s="60">
        <f t="shared" si="7"/>
        <v>56040</v>
      </c>
    </row>
    <row r="42" spans="1:31">
      <c r="A42" s="81" t="str">
        <f t="shared" si="2"/>
        <v>2371104grey</v>
      </c>
      <c r="B42" s="81" t="str">
        <f t="shared" si="3"/>
        <v>56-039-80</v>
      </c>
      <c r="C42" s="103" t="s">
        <v>1016</v>
      </c>
      <c r="D42" s="103" t="s">
        <v>1017</v>
      </c>
      <c r="E42" s="103" t="s">
        <v>984</v>
      </c>
      <c r="F42" s="104" t="s">
        <v>632</v>
      </c>
      <c r="G42" s="104" t="s">
        <v>1018</v>
      </c>
      <c r="H42" s="103" t="s">
        <v>83</v>
      </c>
      <c r="I42" s="103" t="s">
        <v>909</v>
      </c>
      <c r="J42" s="103" t="s">
        <v>327</v>
      </c>
      <c r="K42" s="103" t="s">
        <v>382</v>
      </c>
      <c r="L42" s="103" t="s">
        <v>892</v>
      </c>
      <c r="M42" s="103" t="s">
        <v>388</v>
      </c>
      <c r="O42" s="103" t="s">
        <v>386</v>
      </c>
      <c r="P42" s="103" t="s">
        <v>1001</v>
      </c>
      <c r="Q42" s="103" t="s">
        <v>1019</v>
      </c>
      <c r="R42" s="103" t="s">
        <v>83</v>
      </c>
      <c r="V42" s="81" t="str">
        <f t="shared" si="4"/>
        <v>2371104серый</v>
      </c>
      <c r="W42" s="81" t="str">
        <f t="shared" si="0"/>
        <v>2371104</v>
      </c>
      <c r="X42" s="81" t="str">
        <f t="shared" si="5"/>
        <v>POLY COTTON CAP</v>
      </c>
      <c r="AC42" s="60">
        <f t="shared" si="6"/>
        <v>56</v>
      </c>
      <c r="AD42" s="49">
        <f t="shared" si="1"/>
        <v>39</v>
      </c>
      <c r="AE42" s="60">
        <f t="shared" si="7"/>
        <v>56039</v>
      </c>
    </row>
    <row r="43" spans="1:31">
      <c r="A43" s="81" t="str">
        <f t="shared" si="2"/>
        <v>2367503grey</v>
      </c>
      <c r="B43" s="81" t="str">
        <f t="shared" si="3"/>
        <v>56-038-80</v>
      </c>
      <c r="C43" s="103" t="s">
        <v>1020</v>
      </c>
      <c r="D43" s="103" t="s">
        <v>1021</v>
      </c>
      <c r="E43" s="103" t="s">
        <v>984</v>
      </c>
      <c r="F43" s="104" t="s">
        <v>632</v>
      </c>
      <c r="G43" s="104" t="s">
        <v>1022</v>
      </c>
      <c r="H43" s="103" t="s">
        <v>158</v>
      </c>
      <c r="I43" s="103" t="s">
        <v>909</v>
      </c>
      <c r="J43" s="103" t="s">
        <v>327</v>
      </c>
      <c r="K43" s="103" t="s">
        <v>382</v>
      </c>
      <c r="L43" s="103" t="s">
        <v>892</v>
      </c>
      <c r="M43" s="103" t="s">
        <v>388</v>
      </c>
      <c r="O43" s="103" t="s">
        <v>386</v>
      </c>
      <c r="P43" s="103" t="s">
        <v>1001</v>
      </c>
      <c r="Q43" s="103" t="s">
        <v>1019</v>
      </c>
      <c r="R43" s="103" t="s">
        <v>60</v>
      </c>
      <c r="V43" s="81" t="str">
        <f t="shared" si="4"/>
        <v>2367503камуфляж</v>
      </c>
      <c r="W43" s="81" t="str">
        <f t="shared" si="0"/>
        <v>2367503</v>
      </c>
      <c r="X43" s="81" t="str">
        <f t="shared" si="5"/>
        <v>ACADEMY AOP CAP</v>
      </c>
      <c r="AC43" s="60">
        <f t="shared" si="6"/>
        <v>56</v>
      </c>
      <c r="AD43" s="49">
        <f t="shared" si="1"/>
        <v>38</v>
      </c>
      <c r="AE43" s="60">
        <f t="shared" si="7"/>
        <v>56038</v>
      </c>
    </row>
    <row r="44" spans="1:31">
      <c r="A44" s="81" t="str">
        <f t="shared" si="2"/>
        <v>2366901black</v>
      </c>
      <c r="B44" s="81" t="str">
        <f t="shared" si="3"/>
        <v>56-037-09</v>
      </c>
      <c r="C44" s="103" t="s">
        <v>1023</v>
      </c>
      <c r="D44" s="103" t="s">
        <v>1024</v>
      </c>
      <c r="E44" s="103" t="s">
        <v>984</v>
      </c>
      <c r="F44" s="104" t="s">
        <v>632</v>
      </c>
      <c r="G44" s="104" t="s">
        <v>1025</v>
      </c>
      <c r="H44" s="103" t="s">
        <v>53</v>
      </c>
      <c r="I44" s="103" t="s">
        <v>914</v>
      </c>
      <c r="J44" s="103" t="s">
        <v>327</v>
      </c>
      <c r="K44" s="103" t="s">
        <v>382</v>
      </c>
      <c r="L44" s="103" t="s">
        <v>892</v>
      </c>
      <c r="M44" s="103" t="s">
        <v>388</v>
      </c>
      <c r="N44" s="103" t="s">
        <v>43</v>
      </c>
      <c r="O44" s="103" t="s">
        <v>541</v>
      </c>
      <c r="P44" s="103" t="s">
        <v>1001</v>
      </c>
      <c r="Q44" s="103" t="s">
        <v>899</v>
      </c>
      <c r="R44" s="103" t="s">
        <v>53</v>
      </c>
      <c r="V44" s="81" t="str">
        <f t="shared" si="4"/>
        <v>2366901черный</v>
      </c>
      <c r="W44" s="81" t="str">
        <f t="shared" si="0"/>
        <v>2366901</v>
      </c>
      <c r="X44" s="81" t="str">
        <f t="shared" si="5"/>
        <v>ESS CAP III</v>
      </c>
      <c r="AC44" s="60">
        <f t="shared" si="6"/>
        <v>56</v>
      </c>
      <c r="AD44" s="49">
        <f t="shared" si="1"/>
        <v>37</v>
      </c>
      <c r="AE44" s="60">
        <f t="shared" si="7"/>
        <v>56037</v>
      </c>
    </row>
    <row r="45" spans="1:31">
      <c r="A45" s="81" t="str">
        <f t="shared" si="2"/>
        <v>2343805pink</v>
      </c>
      <c r="B45" s="81" t="str">
        <f t="shared" si="3"/>
        <v>56-036-34</v>
      </c>
      <c r="C45" s="103" t="s">
        <v>1026</v>
      </c>
      <c r="D45" s="103" t="s">
        <v>1027</v>
      </c>
      <c r="E45" s="103" t="s">
        <v>984</v>
      </c>
      <c r="F45" s="104" t="s">
        <v>632</v>
      </c>
      <c r="G45" s="104" t="s">
        <v>1028</v>
      </c>
      <c r="H45" s="103" t="s">
        <v>68</v>
      </c>
      <c r="I45" s="103" t="s">
        <v>1029</v>
      </c>
      <c r="J45" s="103" t="s">
        <v>356</v>
      </c>
      <c r="K45" s="103" t="s">
        <v>387</v>
      </c>
      <c r="L45" s="103" t="s">
        <v>892</v>
      </c>
      <c r="M45" s="103" t="s">
        <v>388</v>
      </c>
      <c r="O45" s="103" t="s">
        <v>386</v>
      </c>
      <c r="P45" s="103" t="s">
        <v>1001</v>
      </c>
      <c r="Q45" s="103" t="s">
        <v>938</v>
      </c>
      <c r="R45" s="103" t="s">
        <v>68</v>
      </c>
      <c r="V45" s="81" t="str">
        <f t="shared" si="4"/>
        <v>2343805розовый</v>
      </c>
      <c r="W45" s="81" t="str">
        <f t="shared" si="0"/>
        <v>2343805</v>
      </c>
      <c r="X45" s="81" t="str">
        <f t="shared" si="5"/>
        <v>PRIME TRUCKER CAP</v>
      </c>
      <c r="AC45" s="60">
        <f t="shared" si="6"/>
        <v>56</v>
      </c>
      <c r="AD45" s="49">
        <f t="shared" si="1"/>
        <v>36</v>
      </c>
      <c r="AE45" s="60">
        <f t="shared" si="7"/>
        <v>56036</v>
      </c>
    </row>
    <row r="46" spans="1:31">
      <c r="A46" s="81" t="str">
        <f t="shared" si="2"/>
        <v>2343801black</v>
      </c>
      <c r="B46" s="81" t="str">
        <f t="shared" si="3"/>
        <v>56-035-09</v>
      </c>
      <c r="C46" s="103" t="s">
        <v>1030</v>
      </c>
      <c r="D46" s="103" t="s">
        <v>1031</v>
      </c>
      <c r="E46" s="103" t="s">
        <v>984</v>
      </c>
      <c r="F46" s="104" t="s">
        <v>632</v>
      </c>
      <c r="G46" s="104" t="s">
        <v>1032</v>
      </c>
      <c r="H46" s="103" t="s">
        <v>53</v>
      </c>
      <c r="I46" s="103" t="s">
        <v>1029</v>
      </c>
      <c r="J46" s="103" t="s">
        <v>356</v>
      </c>
      <c r="K46" s="103" t="s">
        <v>382</v>
      </c>
      <c r="L46" s="103" t="s">
        <v>892</v>
      </c>
      <c r="M46" s="103" t="s">
        <v>388</v>
      </c>
      <c r="O46" s="103" t="s">
        <v>386</v>
      </c>
      <c r="P46" s="103" t="s">
        <v>1001</v>
      </c>
      <c r="Q46" s="103" t="s">
        <v>899</v>
      </c>
      <c r="R46" s="103" t="s">
        <v>53</v>
      </c>
      <c r="V46" s="81" t="str">
        <f t="shared" si="4"/>
        <v>2343801черный</v>
      </c>
      <c r="W46" s="81" t="str">
        <f t="shared" si="0"/>
        <v>2343801</v>
      </c>
      <c r="X46" s="81" t="str">
        <f t="shared" si="5"/>
        <v>PRIME TRUCKER CAP</v>
      </c>
      <c r="AC46" s="60">
        <f t="shared" si="6"/>
        <v>56</v>
      </c>
      <c r="AD46" s="49">
        <f t="shared" si="1"/>
        <v>35</v>
      </c>
      <c r="AE46" s="60">
        <f t="shared" si="7"/>
        <v>56035</v>
      </c>
    </row>
    <row r="47" spans="1:31">
      <c r="A47" s="81" t="str">
        <f t="shared" si="2"/>
        <v>2342801black</v>
      </c>
      <c r="B47" s="81" t="str">
        <f t="shared" si="3"/>
        <v>56-034-09</v>
      </c>
      <c r="C47" s="103" t="s">
        <v>1033</v>
      </c>
      <c r="D47" s="103" t="s">
        <v>1034</v>
      </c>
      <c r="E47" s="103" t="s">
        <v>984</v>
      </c>
      <c r="F47" s="104" t="s">
        <v>632</v>
      </c>
      <c r="G47" s="104" t="s">
        <v>1035</v>
      </c>
      <c r="H47" s="103" t="s">
        <v>53</v>
      </c>
      <c r="I47" s="103" t="s">
        <v>909</v>
      </c>
      <c r="J47" s="103" t="s">
        <v>356</v>
      </c>
      <c r="K47" s="103" t="s">
        <v>382</v>
      </c>
      <c r="L47" s="103" t="s">
        <v>892</v>
      </c>
      <c r="M47" s="103" t="s">
        <v>388</v>
      </c>
      <c r="O47" s="103" t="s">
        <v>386</v>
      </c>
      <c r="P47" s="103" t="s">
        <v>1001</v>
      </c>
      <c r="Q47" s="103" t="s">
        <v>899</v>
      </c>
      <c r="R47" s="103" t="s">
        <v>53</v>
      </c>
      <c r="V47" s="81" t="str">
        <f t="shared" si="4"/>
        <v>2342801черный</v>
      </c>
      <c r="W47" s="81" t="str">
        <f t="shared" si="0"/>
        <v>2342801</v>
      </c>
      <c r="X47" s="81" t="str">
        <f t="shared" si="5"/>
        <v>PUMA TRUCKER CAP</v>
      </c>
      <c r="AC47" s="60">
        <f t="shared" si="6"/>
        <v>56</v>
      </c>
      <c r="AD47" s="49">
        <f t="shared" si="1"/>
        <v>34</v>
      </c>
      <c r="AE47" s="60">
        <f t="shared" si="7"/>
        <v>56034</v>
      </c>
    </row>
    <row r="48" spans="1:31">
      <c r="A48" s="81" t="str">
        <f t="shared" si="2"/>
        <v>2255417blue</v>
      </c>
      <c r="B48" s="81" t="str">
        <f t="shared" si="3"/>
        <v>56-033-06</v>
      </c>
      <c r="C48" s="103" t="s">
        <v>1036</v>
      </c>
      <c r="D48" s="103" t="s">
        <v>1037</v>
      </c>
      <c r="E48" s="103" t="s">
        <v>984</v>
      </c>
      <c r="F48" s="104" t="s">
        <v>632</v>
      </c>
      <c r="G48" s="104" t="s">
        <v>1038</v>
      </c>
      <c r="H48" s="103" t="s">
        <v>71</v>
      </c>
      <c r="I48" s="103" t="s">
        <v>914</v>
      </c>
      <c r="J48" s="103" t="s">
        <v>327</v>
      </c>
      <c r="K48" s="103" t="s">
        <v>382</v>
      </c>
      <c r="L48" s="103" t="s">
        <v>892</v>
      </c>
      <c r="M48" s="103" t="s">
        <v>388</v>
      </c>
      <c r="N48" s="103" t="s">
        <v>43</v>
      </c>
      <c r="O48" s="103" t="s">
        <v>541</v>
      </c>
      <c r="P48" s="103" t="s">
        <v>1001</v>
      </c>
      <c r="Q48" s="103" t="s">
        <v>920</v>
      </c>
      <c r="R48" s="103" t="s">
        <v>71</v>
      </c>
      <c r="V48" s="81" t="str">
        <f t="shared" si="4"/>
        <v>2255417синий</v>
      </c>
      <c r="W48" s="81" t="str">
        <f t="shared" si="0"/>
        <v>2255417</v>
      </c>
      <c r="X48" s="81" t="str">
        <f t="shared" si="5"/>
        <v>ARCHIVE LOGO BB CAP</v>
      </c>
      <c r="AC48" s="60">
        <f t="shared" si="6"/>
        <v>56</v>
      </c>
      <c r="AD48" s="49">
        <f t="shared" si="1"/>
        <v>33</v>
      </c>
      <c r="AE48" s="60">
        <f t="shared" si="7"/>
        <v>56033</v>
      </c>
    </row>
    <row r="49" spans="1:31">
      <c r="A49" s="81" t="str">
        <f t="shared" si="2"/>
        <v>2241679purple</v>
      </c>
      <c r="B49" s="81" t="str">
        <f t="shared" si="3"/>
        <v>56-032-41</v>
      </c>
      <c r="C49" s="103" t="s">
        <v>1039</v>
      </c>
      <c r="D49" s="103" t="s">
        <v>1040</v>
      </c>
      <c r="E49" s="103" t="s">
        <v>984</v>
      </c>
      <c r="F49" s="104" t="s">
        <v>632</v>
      </c>
      <c r="G49" s="104" t="s">
        <v>1041</v>
      </c>
      <c r="H49" s="103" t="s">
        <v>286</v>
      </c>
      <c r="I49" s="103" t="s">
        <v>914</v>
      </c>
      <c r="J49" s="103" t="s">
        <v>327</v>
      </c>
      <c r="K49" s="103" t="s">
        <v>382</v>
      </c>
      <c r="L49" s="103" t="s">
        <v>892</v>
      </c>
      <c r="M49" s="103" t="s">
        <v>388</v>
      </c>
      <c r="N49" s="103" t="s">
        <v>43</v>
      </c>
      <c r="O49" s="103" t="s">
        <v>541</v>
      </c>
      <c r="P49" s="103" t="s">
        <v>1001</v>
      </c>
      <c r="Q49" s="103" t="s">
        <v>929</v>
      </c>
      <c r="R49" s="103" t="s">
        <v>286</v>
      </c>
      <c r="V49" s="81" t="str">
        <f t="shared" si="4"/>
        <v>2241679фиолетовый</v>
      </c>
      <c r="W49" s="81" t="str">
        <f t="shared" si="0"/>
        <v>2241679</v>
      </c>
      <c r="X49" s="81" t="str">
        <f t="shared" si="5"/>
        <v>ESS CAP</v>
      </c>
      <c r="AC49" s="60">
        <f t="shared" si="6"/>
        <v>56</v>
      </c>
      <c r="AD49" s="49">
        <f t="shared" si="1"/>
        <v>32</v>
      </c>
      <c r="AE49" s="60">
        <f t="shared" si="7"/>
        <v>56032</v>
      </c>
    </row>
    <row r="50" spans="1:31">
      <c r="A50" s="81" t="str">
        <f t="shared" si="2"/>
        <v>2241678pink</v>
      </c>
      <c r="B50" s="81" t="str">
        <f t="shared" si="3"/>
        <v>56-031-34</v>
      </c>
      <c r="C50" s="103" t="s">
        <v>1042</v>
      </c>
      <c r="D50" s="103" t="s">
        <v>1043</v>
      </c>
      <c r="E50" s="103" t="s">
        <v>984</v>
      </c>
      <c r="F50" s="104" t="s">
        <v>632</v>
      </c>
      <c r="G50" s="104" t="s">
        <v>1044</v>
      </c>
      <c r="H50" s="103" t="s">
        <v>68</v>
      </c>
      <c r="I50" s="103" t="s">
        <v>914</v>
      </c>
      <c r="J50" s="103" t="s">
        <v>327</v>
      </c>
      <c r="K50" s="103" t="s">
        <v>387</v>
      </c>
      <c r="L50" s="103" t="s">
        <v>892</v>
      </c>
      <c r="M50" s="103" t="s">
        <v>388</v>
      </c>
      <c r="N50" s="103" t="s">
        <v>43</v>
      </c>
      <c r="O50" s="103" t="s">
        <v>541</v>
      </c>
      <c r="P50" s="103" t="s">
        <v>1001</v>
      </c>
      <c r="Q50" s="103" t="s">
        <v>938</v>
      </c>
      <c r="R50" s="103" t="s">
        <v>68</v>
      </c>
      <c r="V50" s="81" t="str">
        <f t="shared" si="4"/>
        <v>2241678розовый</v>
      </c>
      <c r="W50" s="81" t="str">
        <f t="shared" si="0"/>
        <v>2241678</v>
      </c>
      <c r="X50" s="81" t="str">
        <f t="shared" si="5"/>
        <v>ESS CAP</v>
      </c>
      <c r="AC50" s="60">
        <f t="shared" si="6"/>
        <v>56</v>
      </c>
      <c r="AD50" s="49">
        <f t="shared" si="1"/>
        <v>31</v>
      </c>
      <c r="AE50" s="60">
        <f t="shared" si="7"/>
        <v>56031</v>
      </c>
    </row>
    <row r="51" spans="1:31">
      <c r="A51" s="81" t="str">
        <f t="shared" si="2"/>
        <v>2241675white</v>
      </c>
      <c r="B51" s="81" t="str">
        <f t="shared" si="3"/>
        <v>56-030-17</v>
      </c>
      <c r="C51" s="103" t="s">
        <v>1045</v>
      </c>
      <c r="D51" s="103" t="s">
        <v>1046</v>
      </c>
      <c r="E51" s="103" t="s">
        <v>984</v>
      </c>
      <c r="F51" s="104" t="s">
        <v>632</v>
      </c>
      <c r="G51" s="104" t="s">
        <v>1047</v>
      </c>
      <c r="H51" s="103" t="s">
        <v>57</v>
      </c>
      <c r="I51" s="103" t="s">
        <v>914</v>
      </c>
      <c r="J51" s="103" t="s">
        <v>327</v>
      </c>
      <c r="K51" s="103" t="s">
        <v>382</v>
      </c>
      <c r="L51" s="103" t="s">
        <v>892</v>
      </c>
      <c r="M51" s="103" t="s">
        <v>388</v>
      </c>
      <c r="N51" s="103" t="s">
        <v>43</v>
      </c>
      <c r="O51" s="103" t="s">
        <v>541</v>
      </c>
      <c r="P51" s="103" t="s">
        <v>1001</v>
      </c>
      <c r="Q51" s="103" t="s">
        <v>966</v>
      </c>
      <c r="R51" s="103" t="s">
        <v>57</v>
      </c>
      <c r="V51" s="81" t="str">
        <f t="shared" si="4"/>
        <v>2241675белый</v>
      </c>
      <c r="W51" s="81" t="str">
        <f t="shared" si="0"/>
        <v>2241675</v>
      </c>
      <c r="X51" s="81" t="str">
        <f t="shared" si="5"/>
        <v>ESS CAP</v>
      </c>
      <c r="AC51" s="60">
        <f t="shared" si="6"/>
        <v>56</v>
      </c>
      <c r="AD51" s="49">
        <f t="shared" si="1"/>
        <v>30</v>
      </c>
      <c r="AE51" s="60">
        <f t="shared" si="7"/>
        <v>56030</v>
      </c>
    </row>
    <row r="52" spans="1:31">
      <c r="A52" s="81" t="str">
        <f t="shared" si="2"/>
        <v>2359301black</v>
      </c>
      <c r="B52" s="81" t="str">
        <f t="shared" si="3"/>
        <v>56-029-09</v>
      </c>
      <c r="C52" s="103" t="s">
        <v>1048</v>
      </c>
      <c r="D52" s="103" t="s">
        <v>1049</v>
      </c>
      <c r="E52" s="103" t="s">
        <v>984</v>
      </c>
      <c r="F52" s="104" t="s">
        <v>632</v>
      </c>
      <c r="G52" s="104" t="s">
        <v>1050</v>
      </c>
      <c r="H52" s="103" t="s">
        <v>53</v>
      </c>
      <c r="I52" s="103" t="s">
        <v>1008</v>
      </c>
      <c r="J52" s="103" t="s">
        <v>327</v>
      </c>
      <c r="K52" s="103" t="s">
        <v>382</v>
      </c>
      <c r="L52" s="103" t="s">
        <v>892</v>
      </c>
      <c r="M52" s="103" t="s">
        <v>388</v>
      </c>
      <c r="O52" s="103" t="s">
        <v>1012</v>
      </c>
      <c r="P52" s="103" t="s">
        <v>1001</v>
      </c>
      <c r="Q52" s="103" t="s">
        <v>899</v>
      </c>
      <c r="R52" s="103" t="s">
        <v>53</v>
      </c>
      <c r="V52" s="81" t="str">
        <f t="shared" si="4"/>
        <v>2359301черный</v>
      </c>
      <c r="W52" s="81" t="str">
        <f t="shared" si="0"/>
        <v>2359301</v>
      </c>
      <c r="X52" s="81" t="str">
        <f t="shared" si="5"/>
        <v>BMW MMS HERITAGE BB CAP</v>
      </c>
      <c r="AC52" s="60">
        <f t="shared" si="6"/>
        <v>56</v>
      </c>
      <c r="AD52" s="49">
        <f t="shared" si="1"/>
        <v>29</v>
      </c>
      <c r="AE52" s="60">
        <f t="shared" si="7"/>
        <v>56029</v>
      </c>
    </row>
    <row r="53" spans="1:31">
      <c r="A53" s="81" t="str">
        <f t="shared" si="2"/>
        <v>2353501black</v>
      </c>
      <c r="B53" s="81" t="str">
        <f t="shared" si="3"/>
        <v>56-028-09</v>
      </c>
      <c r="C53" s="103" t="s">
        <v>1051</v>
      </c>
      <c r="D53" s="103" t="s">
        <v>1052</v>
      </c>
      <c r="E53" s="103" t="s">
        <v>984</v>
      </c>
      <c r="F53" s="104" t="s">
        <v>632</v>
      </c>
      <c r="G53" s="104" t="s">
        <v>1053</v>
      </c>
      <c r="H53" s="103" t="s">
        <v>53</v>
      </c>
      <c r="I53" s="103" t="s">
        <v>914</v>
      </c>
      <c r="J53" s="103" t="s">
        <v>327</v>
      </c>
      <c r="K53" s="103" t="s">
        <v>382</v>
      </c>
      <c r="L53" s="103" t="s">
        <v>892</v>
      </c>
      <c r="M53" s="103" t="s">
        <v>388</v>
      </c>
      <c r="N53" s="103" t="s">
        <v>43</v>
      </c>
      <c r="O53" s="103" t="s">
        <v>386</v>
      </c>
      <c r="P53" s="103" t="s">
        <v>1001</v>
      </c>
      <c r="Q53" s="103" t="s">
        <v>899</v>
      </c>
      <c r="R53" s="103" t="s">
        <v>53</v>
      </c>
      <c r="V53" s="81" t="str">
        <f t="shared" si="4"/>
        <v>2353501черный</v>
      </c>
      <c r="W53" s="81" t="str">
        <f t="shared" si="0"/>
        <v>2353501</v>
      </c>
      <c r="X53" s="81" t="str">
        <f t="shared" si="5"/>
        <v>ARCHIVE LOGO LABEL CAP</v>
      </c>
      <c r="AC53" s="60">
        <f t="shared" si="6"/>
        <v>56</v>
      </c>
      <c r="AD53" s="49">
        <f t="shared" si="1"/>
        <v>28</v>
      </c>
      <c r="AE53" s="60">
        <f t="shared" si="7"/>
        <v>56028</v>
      </c>
    </row>
    <row r="54" spans="1:31">
      <c r="A54" s="81" t="str">
        <f t="shared" si="2"/>
        <v>2344502black</v>
      </c>
      <c r="B54" s="81" t="str">
        <f t="shared" si="3"/>
        <v>56-027-09</v>
      </c>
      <c r="C54" s="103" t="s">
        <v>1054</v>
      </c>
      <c r="D54" s="103" t="s">
        <v>1055</v>
      </c>
      <c r="E54" s="103" t="s">
        <v>984</v>
      </c>
      <c r="F54" s="104" t="s">
        <v>632</v>
      </c>
      <c r="G54" s="104" t="s">
        <v>1056</v>
      </c>
      <c r="H54" s="103" t="s">
        <v>53</v>
      </c>
      <c r="I54" s="103" t="s">
        <v>909</v>
      </c>
      <c r="J54" s="103" t="s">
        <v>327</v>
      </c>
      <c r="K54" s="103" t="s">
        <v>382</v>
      </c>
      <c r="L54" s="103" t="s">
        <v>892</v>
      </c>
      <c r="M54" s="103" t="s">
        <v>388</v>
      </c>
      <c r="O54" s="103" t="s">
        <v>386</v>
      </c>
      <c r="P54" s="103" t="s">
        <v>1001</v>
      </c>
      <c r="Q54" s="103" t="s">
        <v>899</v>
      </c>
      <c r="R54" s="103" t="s">
        <v>53</v>
      </c>
      <c r="V54" s="81" t="str">
        <f t="shared" si="4"/>
        <v>2344502черный</v>
      </c>
      <c r="W54" s="81" t="str">
        <f t="shared" si="0"/>
        <v>2344502</v>
      </c>
      <c r="X54" s="81" t="str">
        <f t="shared" si="5"/>
        <v>CLASSICS CAPSULE CAP</v>
      </c>
      <c r="AC54" s="60">
        <f t="shared" si="6"/>
        <v>56</v>
      </c>
      <c r="AD54" s="49">
        <f t="shared" si="1"/>
        <v>27</v>
      </c>
      <c r="AE54" s="60">
        <f t="shared" si="7"/>
        <v>56027</v>
      </c>
    </row>
    <row r="55" spans="1:31">
      <c r="A55" s="81" t="str">
        <f t="shared" si="2"/>
        <v>2241674black</v>
      </c>
      <c r="B55" s="81" t="str">
        <f t="shared" si="3"/>
        <v>56-026-09</v>
      </c>
      <c r="C55" s="103" t="s">
        <v>1057</v>
      </c>
      <c r="D55" s="103" t="s">
        <v>1058</v>
      </c>
      <c r="E55" s="103" t="s">
        <v>984</v>
      </c>
      <c r="F55" s="104" t="s">
        <v>632</v>
      </c>
      <c r="G55" s="104" t="s">
        <v>1059</v>
      </c>
      <c r="H55" s="103" t="s">
        <v>53</v>
      </c>
      <c r="I55" s="103" t="s">
        <v>914</v>
      </c>
      <c r="J55" s="103" t="s">
        <v>327</v>
      </c>
      <c r="K55" s="103" t="s">
        <v>382</v>
      </c>
      <c r="L55" s="103" t="s">
        <v>892</v>
      </c>
      <c r="M55" s="103" t="s">
        <v>388</v>
      </c>
      <c r="N55" s="103" t="s">
        <v>43</v>
      </c>
      <c r="O55" s="103" t="s">
        <v>541</v>
      </c>
      <c r="P55" s="103" t="s">
        <v>1001</v>
      </c>
      <c r="Q55" s="103" t="s">
        <v>899</v>
      </c>
      <c r="R55" s="103" t="s">
        <v>53</v>
      </c>
      <c r="V55" s="81" t="str">
        <f t="shared" si="4"/>
        <v>2241674черный</v>
      </c>
      <c r="W55" s="81" t="str">
        <f t="shared" si="0"/>
        <v>2241674</v>
      </c>
      <c r="X55" s="81" t="str">
        <f t="shared" si="5"/>
        <v>ESS CAP</v>
      </c>
      <c r="AC55" s="60">
        <f t="shared" si="6"/>
        <v>56</v>
      </c>
      <c r="AD55" s="49">
        <f t="shared" si="1"/>
        <v>26</v>
      </c>
      <c r="AE55" s="60">
        <f t="shared" si="7"/>
        <v>56026</v>
      </c>
    </row>
    <row r="56" spans="1:31">
      <c r="A56" s="81" t="str">
        <f t="shared" si="2"/>
        <v>2126907blue</v>
      </c>
      <c r="B56" s="81" t="str">
        <f t="shared" si="3"/>
        <v>56-025-06</v>
      </c>
      <c r="C56" s="103" t="s">
        <v>1060</v>
      </c>
      <c r="D56" s="103" t="s">
        <v>1061</v>
      </c>
      <c r="E56" s="103" t="s">
        <v>902</v>
      </c>
      <c r="F56" s="104">
        <v>57</v>
      </c>
      <c r="G56" s="104" t="s">
        <v>1062</v>
      </c>
      <c r="H56" s="103" t="s">
        <v>71</v>
      </c>
      <c r="I56" s="103" t="s">
        <v>909</v>
      </c>
      <c r="J56" s="103" t="s">
        <v>327</v>
      </c>
      <c r="K56" s="103" t="s">
        <v>382</v>
      </c>
      <c r="L56" s="103" t="s">
        <v>892</v>
      </c>
      <c r="M56" s="103" t="s">
        <v>388</v>
      </c>
      <c r="O56" s="103" t="s">
        <v>1012</v>
      </c>
      <c r="P56" s="103" t="s">
        <v>1001</v>
      </c>
      <c r="Q56" s="103" t="s">
        <v>920</v>
      </c>
      <c r="R56" s="103" t="s">
        <v>71</v>
      </c>
      <c r="V56" s="81" t="str">
        <f t="shared" si="4"/>
        <v>2126907синий</v>
      </c>
      <c r="W56" s="81" t="str">
        <f t="shared" si="0"/>
        <v>2126907</v>
      </c>
      <c r="X56" s="81" t="str">
        <f t="shared" si="5"/>
        <v>PUMA METAL CAT CAP</v>
      </c>
      <c r="AC56" s="60">
        <f t="shared" si="6"/>
        <v>56</v>
      </c>
      <c r="AD56" s="49">
        <f t="shared" si="1"/>
        <v>25</v>
      </c>
      <c r="AE56" s="60">
        <f t="shared" si="7"/>
        <v>56025</v>
      </c>
    </row>
    <row r="57" spans="1:31">
      <c r="A57" s="81" t="str">
        <f t="shared" si="2"/>
        <v>2126901black</v>
      </c>
      <c r="B57" s="81" t="str">
        <f t="shared" si="3"/>
        <v>56-024-09</v>
      </c>
      <c r="C57" s="103" t="s">
        <v>1063</v>
      </c>
      <c r="D57" s="103" t="s">
        <v>1064</v>
      </c>
      <c r="E57" s="103" t="s">
        <v>902</v>
      </c>
      <c r="F57" s="104">
        <v>57</v>
      </c>
      <c r="G57" s="104" t="s">
        <v>1065</v>
      </c>
      <c r="H57" s="103" t="s">
        <v>53</v>
      </c>
      <c r="I57" s="103" t="s">
        <v>909</v>
      </c>
      <c r="J57" s="103" t="s">
        <v>327</v>
      </c>
      <c r="K57" s="103" t="s">
        <v>382</v>
      </c>
      <c r="L57" s="103" t="s">
        <v>892</v>
      </c>
      <c r="M57" s="103" t="s">
        <v>388</v>
      </c>
      <c r="O57" s="103" t="s">
        <v>1012</v>
      </c>
      <c r="P57" s="103" t="s">
        <v>1001</v>
      </c>
      <c r="Q57" s="103" t="s">
        <v>899</v>
      </c>
      <c r="R57" s="103" t="s">
        <v>53</v>
      </c>
      <c r="V57" s="81" t="str">
        <f t="shared" si="4"/>
        <v>2126901черный</v>
      </c>
      <c r="W57" s="81" t="str">
        <f t="shared" si="0"/>
        <v>2126901</v>
      </c>
      <c r="X57" s="81" t="str">
        <f t="shared" si="5"/>
        <v>PUMA METAL CAT CAP</v>
      </c>
      <c r="AC57" s="60">
        <f t="shared" si="6"/>
        <v>56</v>
      </c>
      <c r="AD57" s="49">
        <f t="shared" si="1"/>
        <v>24</v>
      </c>
      <c r="AE57" s="60">
        <f t="shared" si="7"/>
        <v>56024</v>
      </c>
    </row>
    <row r="58" spans="1:31">
      <c r="A58" s="81" t="str">
        <f t="shared" si="2"/>
        <v>2360205beige</v>
      </c>
      <c r="B58" s="81" t="str">
        <f t="shared" si="3"/>
        <v>56-056-02</v>
      </c>
      <c r="C58" s="103" t="s">
        <v>1066</v>
      </c>
      <c r="D58" s="103" t="s">
        <v>1067</v>
      </c>
      <c r="E58" s="103" t="s">
        <v>984</v>
      </c>
      <c r="F58" s="104" t="s">
        <v>632</v>
      </c>
      <c r="G58" s="104" t="s">
        <v>1068</v>
      </c>
      <c r="H58" s="103" t="s">
        <v>55</v>
      </c>
      <c r="I58" s="103" t="s">
        <v>914</v>
      </c>
      <c r="J58" s="103" t="s">
        <v>327</v>
      </c>
      <c r="K58" s="103" t="s">
        <v>382</v>
      </c>
      <c r="L58" s="103" t="s">
        <v>892</v>
      </c>
      <c r="M58" s="103" t="s">
        <v>388</v>
      </c>
      <c r="N58" s="103" t="s">
        <v>43</v>
      </c>
      <c r="O58" s="103" t="s">
        <v>386</v>
      </c>
      <c r="P58" s="103" t="s">
        <v>1001</v>
      </c>
      <c r="Q58" s="103" t="s">
        <v>915</v>
      </c>
      <c r="R58" s="103" t="s">
        <v>71</v>
      </c>
      <c r="V58" s="81" t="str">
        <f t="shared" si="4"/>
        <v>2360205темно-синий</v>
      </c>
      <c r="W58" s="81" t="str">
        <f t="shared" si="0"/>
        <v>2360205</v>
      </c>
      <c r="X58" s="81" t="str">
        <f t="shared" si="5"/>
        <v>MCFC LEGACY BB CAP</v>
      </c>
      <c r="AC58" s="60">
        <f t="shared" si="6"/>
        <v>56</v>
      </c>
      <c r="AD58" s="49">
        <f t="shared" si="1"/>
        <v>56</v>
      </c>
      <c r="AE58" s="60">
        <f t="shared" si="7"/>
        <v>56056</v>
      </c>
    </row>
    <row r="59" spans="1:31">
      <c r="A59" s="81" t="str">
        <f t="shared" si="2"/>
        <v>HE2388black</v>
      </c>
      <c r="B59" s="81" t="str">
        <f t="shared" si="3"/>
        <v>56-050-09</v>
      </c>
      <c r="C59" s="103" t="s">
        <v>1069</v>
      </c>
      <c r="D59" s="103" t="s">
        <v>1070</v>
      </c>
      <c r="E59" s="103" t="s">
        <v>902</v>
      </c>
      <c r="F59" s="104">
        <v>57</v>
      </c>
      <c r="G59" s="103" t="s">
        <v>1071</v>
      </c>
      <c r="H59" s="103" t="s">
        <v>53</v>
      </c>
      <c r="I59" s="103" t="s">
        <v>1072</v>
      </c>
      <c r="J59" s="103" t="s">
        <v>327</v>
      </c>
      <c r="K59" s="103" t="s">
        <v>382</v>
      </c>
      <c r="L59" s="103" t="s">
        <v>889</v>
      </c>
      <c r="M59" s="103" t="s">
        <v>388</v>
      </c>
      <c r="O59" s="103" t="s">
        <v>386</v>
      </c>
      <c r="P59" s="103" t="s">
        <v>905</v>
      </c>
      <c r="Q59" s="103" t="s">
        <v>899</v>
      </c>
      <c r="R59" s="103" t="s">
        <v>53</v>
      </c>
      <c r="V59" s="81" t="str">
        <f t="shared" si="4"/>
        <v>HE2388черный</v>
      </c>
      <c r="W59" s="81" t="str">
        <f t="shared" si="0"/>
        <v>HE2388</v>
      </c>
      <c r="X59" s="81" t="str">
        <f t="shared" si="5"/>
        <v>UBF ATHLETE A-FLEX CAP</v>
      </c>
      <c r="AC59" s="60">
        <f t="shared" si="6"/>
        <v>56</v>
      </c>
      <c r="AD59" s="49">
        <f t="shared" si="1"/>
        <v>50</v>
      </c>
      <c r="AE59" s="60">
        <f t="shared" si="7"/>
        <v>56050</v>
      </c>
    </row>
    <row r="60" spans="1:31">
      <c r="A60" s="81" t="str">
        <f t="shared" si="2"/>
        <v>HE2388black</v>
      </c>
      <c r="B60" s="81" t="str">
        <f t="shared" si="3"/>
        <v>56-050-09</v>
      </c>
      <c r="C60" s="103" t="s">
        <v>1073</v>
      </c>
      <c r="D60" s="103" t="s">
        <v>1070</v>
      </c>
      <c r="E60" s="103" t="s">
        <v>931</v>
      </c>
      <c r="F60" s="104">
        <v>56</v>
      </c>
      <c r="G60" s="104" t="s">
        <v>1071</v>
      </c>
      <c r="H60" s="103" t="s">
        <v>53</v>
      </c>
      <c r="I60" s="103" t="s">
        <v>1072</v>
      </c>
      <c r="J60" s="103" t="s">
        <v>327</v>
      </c>
      <c r="K60" s="103" t="s">
        <v>382</v>
      </c>
      <c r="L60" s="103" t="s">
        <v>889</v>
      </c>
      <c r="M60" s="103" t="s">
        <v>388</v>
      </c>
      <c r="O60" s="103" t="s">
        <v>386</v>
      </c>
      <c r="P60" s="103" t="s">
        <v>905</v>
      </c>
      <c r="Q60" s="103" t="s">
        <v>899</v>
      </c>
      <c r="R60" s="103" t="s">
        <v>53</v>
      </c>
      <c r="V60" s="81" t="str">
        <f t="shared" si="4"/>
        <v>HE2388черный</v>
      </c>
      <c r="W60" s="81" t="str">
        <f t="shared" si="0"/>
        <v>HE2388</v>
      </c>
      <c r="X60" s="81" t="str">
        <f t="shared" si="5"/>
        <v>UBF ATHLETE A-FLEX CAP</v>
      </c>
      <c r="AC60" s="60">
        <f t="shared" si="6"/>
        <v>56</v>
      </c>
      <c r="AD60" s="49">
        <f t="shared" si="1"/>
        <v>50</v>
      </c>
      <c r="AE60" s="60">
        <f t="shared" si="7"/>
        <v>56050</v>
      </c>
    </row>
    <row r="61" spans="1:31">
      <c r="A61" s="81" t="str">
        <f t="shared" si="2"/>
        <v>HE2381blue</v>
      </c>
      <c r="B61" s="81" t="str">
        <f t="shared" si="3"/>
        <v>56-049-06</v>
      </c>
      <c r="C61" s="103" t="s">
        <v>1074</v>
      </c>
      <c r="D61" s="103" t="s">
        <v>1075</v>
      </c>
      <c r="E61" s="103" t="s">
        <v>902</v>
      </c>
      <c r="F61" s="104">
        <v>57</v>
      </c>
      <c r="G61" s="104" t="s">
        <v>1076</v>
      </c>
      <c r="H61" s="103" t="s">
        <v>71</v>
      </c>
      <c r="I61" s="103" t="s">
        <v>909</v>
      </c>
      <c r="J61" s="103" t="s">
        <v>327</v>
      </c>
      <c r="K61" s="103" t="s">
        <v>382</v>
      </c>
      <c r="L61" s="103" t="s">
        <v>889</v>
      </c>
      <c r="M61" s="103" t="s">
        <v>388</v>
      </c>
      <c r="O61" s="103" t="s">
        <v>386</v>
      </c>
      <c r="P61" s="103" t="s">
        <v>905</v>
      </c>
      <c r="Q61" s="103" t="s">
        <v>920</v>
      </c>
      <c r="R61" s="103" t="s">
        <v>71</v>
      </c>
      <c r="V61" s="81" t="str">
        <f t="shared" si="4"/>
        <v>HE2381синий</v>
      </c>
      <c r="W61" s="81" t="str">
        <f t="shared" si="0"/>
        <v>HE2381</v>
      </c>
      <c r="X61" s="81" t="str">
        <f t="shared" si="5"/>
        <v>UBF BASEB CAP</v>
      </c>
      <c r="AC61" s="60">
        <f t="shared" si="6"/>
        <v>56</v>
      </c>
      <c r="AD61" s="49">
        <f t="shared" si="1"/>
        <v>49</v>
      </c>
      <c r="AE61" s="60">
        <f t="shared" si="7"/>
        <v>56049</v>
      </c>
    </row>
    <row r="62" spans="1:31">
      <c r="A62" s="81" t="str">
        <f t="shared" si="2"/>
        <v>HD9887grey</v>
      </c>
      <c r="B62" s="81" t="str">
        <f t="shared" si="3"/>
        <v>56-048-80</v>
      </c>
      <c r="C62" s="103" t="s">
        <v>1077</v>
      </c>
      <c r="D62" s="103" t="s">
        <v>1078</v>
      </c>
      <c r="E62" s="103" t="s">
        <v>902</v>
      </c>
      <c r="F62" s="104">
        <v>57</v>
      </c>
      <c r="G62" s="104" t="s">
        <v>1079</v>
      </c>
      <c r="H62" s="103" t="s">
        <v>83</v>
      </c>
      <c r="I62" s="103" t="s">
        <v>914</v>
      </c>
      <c r="J62" s="103" t="s">
        <v>327</v>
      </c>
      <c r="K62" s="103" t="s">
        <v>382</v>
      </c>
      <c r="L62" s="103" t="s">
        <v>889</v>
      </c>
      <c r="M62" s="103" t="s">
        <v>388</v>
      </c>
      <c r="N62" s="103" t="s">
        <v>43</v>
      </c>
      <c r="O62" s="103" t="s">
        <v>386</v>
      </c>
      <c r="P62" s="103" t="s">
        <v>905</v>
      </c>
      <c r="Q62" s="103" t="s">
        <v>1019</v>
      </c>
      <c r="R62" s="103" t="s">
        <v>83</v>
      </c>
      <c r="V62" s="81" t="str">
        <f t="shared" si="4"/>
        <v>HD9887серый</v>
      </c>
      <c r="W62" s="81" t="str">
        <f t="shared" si="0"/>
        <v>HD9887</v>
      </c>
      <c r="X62" s="81" t="str">
        <f t="shared" si="5"/>
        <v>TE LOGO CAP</v>
      </c>
      <c r="AC62" s="60">
        <f t="shared" si="6"/>
        <v>56</v>
      </c>
      <c r="AD62" s="49">
        <f t="shared" si="1"/>
        <v>48</v>
      </c>
      <c r="AE62" s="60">
        <f t="shared" si="7"/>
        <v>56048</v>
      </c>
    </row>
    <row r="63" spans="1:31">
      <c r="A63" s="81" t="str">
        <f t="shared" si="2"/>
        <v>HD9884lt.blue</v>
      </c>
      <c r="B63" s="81" t="str">
        <f t="shared" si="3"/>
        <v>56-047-19</v>
      </c>
      <c r="C63" s="103" t="s">
        <v>1080</v>
      </c>
      <c r="D63" s="103" t="s">
        <v>1081</v>
      </c>
      <c r="E63" s="103" t="s">
        <v>902</v>
      </c>
      <c r="F63" s="104">
        <v>57</v>
      </c>
      <c r="G63" s="104" t="s">
        <v>1082</v>
      </c>
      <c r="H63" s="103" t="s">
        <v>91</v>
      </c>
      <c r="I63" s="103" t="s">
        <v>914</v>
      </c>
      <c r="J63" s="103" t="s">
        <v>327</v>
      </c>
      <c r="K63" s="103" t="s">
        <v>382</v>
      </c>
      <c r="L63" s="103" t="s">
        <v>889</v>
      </c>
      <c r="M63" s="103" t="s">
        <v>388</v>
      </c>
      <c r="N63" s="103" t="s">
        <v>43</v>
      </c>
      <c r="O63" s="103" t="s">
        <v>386</v>
      </c>
      <c r="P63" s="103" t="s">
        <v>905</v>
      </c>
      <c r="Q63" s="103" t="s">
        <v>1083</v>
      </c>
      <c r="R63" s="103" t="s">
        <v>91</v>
      </c>
      <c r="V63" s="81" t="str">
        <f t="shared" si="4"/>
        <v>HD9884голубой</v>
      </c>
      <c r="W63" s="81" t="str">
        <f t="shared" si="0"/>
        <v>HD9884</v>
      </c>
      <c r="X63" s="81" t="str">
        <f t="shared" si="5"/>
        <v>TE BADGE CAP</v>
      </c>
      <c r="AC63" s="60">
        <f t="shared" si="6"/>
        <v>56</v>
      </c>
      <c r="AD63" s="49">
        <f t="shared" si="1"/>
        <v>47</v>
      </c>
      <c r="AE63" s="60">
        <f t="shared" si="7"/>
        <v>56047</v>
      </c>
    </row>
    <row r="64" spans="1:31">
      <c r="A64" s="81" t="str">
        <f t="shared" si="2"/>
        <v>HD9885pink</v>
      </c>
      <c r="B64" s="81" t="str">
        <f t="shared" si="3"/>
        <v>56-046-34</v>
      </c>
      <c r="C64" s="103" t="s">
        <v>1084</v>
      </c>
      <c r="D64" s="103" t="s">
        <v>1085</v>
      </c>
      <c r="E64" s="103" t="s">
        <v>902</v>
      </c>
      <c r="F64" s="104">
        <v>57</v>
      </c>
      <c r="G64" s="104" t="s">
        <v>1086</v>
      </c>
      <c r="H64" s="103" t="s">
        <v>68</v>
      </c>
      <c r="I64" s="103" t="s">
        <v>914</v>
      </c>
      <c r="J64" s="103" t="s">
        <v>327</v>
      </c>
      <c r="K64" s="103" t="s">
        <v>387</v>
      </c>
      <c r="L64" s="103" t="s">
        <v>889</v>
      </c>
      <c r="M64" s="103" t="s">
        <v>388</v>
      </c>
      <c r="N64" s="103" t="s">
        <v>43</v>
      </c>
      <c r="O64" s="103" t="s">
        <v>386</v>
      </c>
      <c r="P64" s="103" t="s">
        <v>905</v>
      </c>
      <c r="Q64" s="103" t="s">
        <v>938</v>
      </c>
      <c r="R64" s="103" t="s">
        <v>68</v>
      </c>
      <c r="V64" s="81" t="str">
        <f t="shared" si="4"/>
        <v>HD9885розовый</v>
      </c>
      <c r="W64" s="81" t="str">
        <f t="shared" si="0"/>
        <v>HD9885</v>
      </c>
      <c r="X64" s="81" t="str">
        <f t="shared" si="5"/>
        <v>TE BADGE CAP</v>
      </c>
      <c r="AC64" s="60">
        <f t="shared" si="6"/>
        <v>56</v>
      </c>
      <c r="AD64" s="49">
        <f t="shared" si="1"/>
        <v>46</v>
      </c>
      <c r="AE64" s="60">
        <f t="shared" si="7"/>
        <v>56046</v>
      </c>
    </row>
    <row r="65" spans="1:31">
      <c r="A65" s="81" t="str">
        <f t="shared" si="2"/>
        <v>GP0124black</v>
      </c>
      <c r="B65" s="81" t="str">
        <f t="shared" si="3"/>
        <v>56-045-09</v>
      </c>
      <c r="C65" s="103" t="s">
        <v>1087</v>
      </c>
      <c r="D65" s="103" t="s">
        <v>1088</v>
      </c>
      <c r="E65" s="103" t="s">
        <v>902</v>
      </c>
      <c r="F65" s="104">
        <v>57</v>
      </c>
      <c r="G65" s="104" t="s">
        <v>1089</v>
      </c>
      <c r="H65" s="103" t="s">
        <v>53</v>
      </c>
      <c r="I65" s="103" t="s">
        <v>909</v>
      </c>
      <c r="J65" s="103" t="s">
        <v>327</v>
      </c>
      <c r="K65" s="103" t="s">
        <v>382</v>
      </c>
      <c r="L65" s="103" t="s">
        <v>889</v>
      </c>
      <c r="M65" s="103" t="s">
        <v>388</v>
      </c>
      <c r="O65" s="103" t="s">
        <v>386</v>
      </c>
      <c r="P65" s="103" t="s">
        <v>905</v>
      </c>
      <c r="Q65" s="103" t="s">
        <v>899</v>
      </c>
      <c r="R65" s="103" t="s">
        <v>53</v>
      </c>
      <c r="V65" s="81" t="str">
        <f t="shared" si="4"/>
        <v>GP0124черный</v>
      </c>
      <c r="W65" s="81" t="str">
        <f t="shared" si="0"/>
        <v>GP0124</v>
      </c>
      <c r="X65" s="81" t="str">
        <f t="shared" si="5"/>
        <v>TE LOGO CAP</v>
      </c>
      <c r="AC65" s="60">
        <f t="shared" si="6"/>
        <v>56</v>
      </c>
      <c r="AD65" s="49">
        <f t="shared" si="1"/>
        <v>45</v>
      </c>
      <c r="AE65" s="60">
        <f t="shared" si="7"/>
        <v>56045</v>
      </c>
    </row>
    <row r="66" spans="1:31">
      <c r="A66" s="81" t="str">
        <f t="shared" si="2"/>
        <v>1369804-012grey</v>
      </c>
      <c r="B66" s="81" t="str">
        <f t="shared" si="3"/>
        <v>56-055-80</v>
      </c>
      <c r="C66" s="103" t="s">
        <v>1090</v>
      </c>
      <c r="D66" s="103" t="s">
        <v>1091</v>
      </c>
      <c r="E66" s="103" t="s">
        <v>984</v>
      </c>
      <c r="F66" s="104" t="s">
        <v>632</v>
      </c>
      <c r="G66" s="103" t="s">
        <v>1092</v>
      </c>
      <c r="H66" s="103" t="s">
        <v>83</v>
      </c>
      <c r="I66" s="103" t="s">
        <v>904</v>
      </c>
      <c r="J66" s="103" t="s">
        <v>356</v>
      </c>
      <c r="K66" s="103" t="s">
        <v>382</v>
      </c>
      <c r="L66" s="103" t="s">
        <v>890</v>
      </c>
      <c r="M66" s="103" t="s">
        <v>388</v>
      </c>
      <c r="O66" s="103" t="s">
        <v>386</v>
      </c>
      <c r="P66" s="103" t="s">
        <v>1093</v>
      </c>
      <c r="Q66" s="103" t="s">
        <v>1019</v>
      </c>
      <c r="R66" s="103" t="s">
        <v>83</v>
      </c>
      <c r="V66" s="81" t="str">
        <f t="shared" si="4"/>
        <v>1369804-012серый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1369804-012</v>
      </c>
      <c r="X66" s="81" t="str">
        <f t="shared" si="5"/>
        <v>ISO-CHILL DRIVER MESH</v>
      </c>
      <c r="AC66" s="60">
        <f t="shared" si="6"/>
        <v>56</v>
      </c>
      <c r="AD66" s="49">
        <f t="shared" si="1"/>
        <v>55</v>
      </c>
      <c r="AE66" s="60">
        <f t="shared" si="7"/>
        <v>56055</v>
      </c>
    </row>
    <row r="67" spans="1:31">
      <c r="A67" s="81" t="str">
        <f t="shared" ref="A67:A130" si="9">IF(G67&amp;Q67&lt;&gt;"",W67&amp;Q67,"")</f>
        <v>1369785-100white</v>
      </c>
      <c r="B67" s="81" t="str">
        <f t="shared" ref="B67:B130" si="10">IF(C67&lt;&gt;"",LEFT(C67,9),"")</f>
        <v>56-054-17</v>
      </c>
      <c r="C67" s="103" t="s">
        <v>1094</v>
      </c>
      <c r="D67" s="103" t="s">
        <v>1095</v>
      </c>
      <c r="E67" s="103" t="s">
        <v>1096</v>
      </c>
      <c r="F67" s="104">
        <v>59</v>
      </c>
      <c r="G67" s="104" t="s">
        <v>1097</v>
      </c>
      <c r="H67" s="103" t="s">
        <v>57</v>
      </c>
      <c r="I67" s="103" t="s">
        <v>1098</v>
      </c>
      <c r="J67" s="103" t="s">
        <v>327</v>
      </c>
      <c r="K67" s="103" t="s">
        <v>382</v>
      </c>
      <c r="L67" s="103" t="s">
        <v>890</v>
      </c>
      <c r="M67" s="103" t="s">
        <v>388</v>
      </c>
      <c r="O67" s="103" t="s">
        <v>386</v>
      </c>
      <c r="P67" s="103" t="s">
        <v>1093</v>
      </c>
      <c r="Q67" s="103" t="s">
        <v>966</v>
      </c>
      <c r="R67" s="103" t="s">
        <v>57</v>
      </c>
      <c r="V67" s="81" t="str">
        <f t="shared" ref="V67:V130" si="11">W67&amp;H67</f>
        <v>1369785-100белый</v>
      </c>
      <c r="W67" s="81" t="str">
        <f t="shared" si="8"/>
        <v>1369785-100</v>
      </c>
      <c r="X67" s="81" t="str">
        <f t="shared" ref="X67:X130" si="12">IF(A67&lt;&gt;"",IFERROR(IF(FIND(" ",G67)&gt;=1,MID(G67,FIND(" ",G67)+1,LEN(G67)),""),""),"")</f>
        <v>TEAM BLANK CHINO ADJ</v>
      </c>
      <c r="AC67" s="60">
        <f t="shared" ref="AC67:AC130" si="13">IFERROR(VALUE(MID($C67,1,2)),0)</f>
        <v>56</v>
      </c>
      <c r="AD67" s="49">
        <f t="shared" ref="AD67:AD130" si="14">IFERROR(VALUE(MID($C67,4,3)),0)</f>
        <v>54</v>
      </c>
      <c r="AE67" s="60">
        <f t="shared" ref="AE67:AE130" si="15">VALUE(RIGHT("00"&amp;AC67,2)&amp;RIGHT("000"&amp;AD67,3))</f>
        <v>56054</v>
      </c>
    </row>
    <row r="68" spans="1:31">
      <c r="A68" s="81" t="str">
        <f t="shared" si="9"/>
        <v>1361562-100white</v>
      </c>
      <c r="B68" s="81" t="str">
        <f t="shared" si="10"/>
        <v>56-053-17</v>
      </c>
      <c r="C68" s="103" t="s">
        <v>1099</v>
      </c>
      <c r="D68" s="103" t="s">
        <v>1100</v>
      </c>
      <c r="E68" s="103" t="s">
        <v>1096</v>
      </c>
      <c r="F68" s="104">
        <v>59</v>
      </c>
      <c r="G68" s="104" t="s">
        <v>1101</v>
      </c>
      <c r="H68" s="103" t="s">
        <v>57</v>
      </c>
      <c r="I68" s="103" t="s">
        <v>909</v>
      </c>
      <c r="J68" s="103" t="s">
        <v>327</v>
      </c>
      <c r="K68" s="103" t="s">
        <v>382</v>
      </c>
      <c r="L68" s="103" t="s">
        <v>890</v>
      </c>
      <c r="M68" s="103" t="s">
        <v>388</v>
      </c>
      <c r="O68" s="103" t="s">
        <v>533</v>
      </c>
      <c r="P68" s="103" t="s">
        <v>1093</v>
      </c>
      <c r="Q68" s="103" t="s">
        <v>966</v>
      </c>
      <c r="R68" s="103" t="s">
        <v>57</v>
      </c>
      <c r="V68" s="81" t="str">
        <f t="shared" si="11"/>
        <v>1361562-100белый</v>
      </c>
      <c r="W68" s="81" t="str">
        <f t="shared" si="8"/>
        <v>1361562-100</v>
      </c>
      <c r="X68" s="81" t="str">
        <f t="shared" si="12"/>
        <v>ISOCHILL LAUNCH RUN</v>
      </c>
      <c r="AC68" s="60">
        <f t="shared" si="13"/>
        <v>56</v>
      </c>
      <c r="AD68" s="49">
        <f t="shared" si="14"/>
        <v>53</v>
      </c>
      <c r="AE68" s="60">
        <f t="shared" si="15"/>
        <v>56053</v>
      </c>
    </row>
    <row r="69" spans="1:31">
      <c r="A69" s="81" t="str">
        <f t="shared" si="9"/>
        <v>1361532-601red</v>
      </c>
      <c r="B69" s="81" t="str">
        <f t="shared" si="10"/>
        <v>56-052-18</v>
      </c>
      <c r="C69" s="103" t="s">
        <v>1102</v>
      </c>
      <c r="D69" s="103" t="s">
        <v>1103</v>
      </c>
      <c r="E69" s="103" t="s">
        <v>1096</v>
      </c>
      <c r="F69" s="104">
        <v>59</v>
      </c>
      <c r="G69" s="104" t="s">
        <v>1104</v>
      </c>
      <c r="H69" s="103" t="s">
        <v>78</v>
      </c>
      <c r="I69" s="103" t="s">
        <v>909</v>
      </c>
      <c r="J69" s="103" t="s">
        <v>327</v>
      </c>
      <c r="K69" s="103" t="s">
        <v>382</v>
      </c>
      <c r="L69" s="103" t="s">
        <v>890</v>
      </c>
      <c r="M69" s="103" t="s">
        <v>388</v>
      </c>
      <c r="O69" s="103" t="s">
        <v>386</v>
      </c>
      <c r="P69" s="103" t="s">
        <v>1093</v>
      </c>
      <c r="Q69" s="103" t="s">
        <v>994</v>
      </c>
      <c r="R69" s="103" t="s">
        <v>78</v>
      </c>
      <c r="V69" s="81" t="str">
        <f t="shared" si="11"/>
        <v>1361532-601красный</v>
      </c>
      <c r="W69" s="81" t="str">
        <f t="shared" si="8"/>
        <v>1361532-601</v>
      </c>
      <c r="X69" s="81" t="str">
        <f t="shared" si="12"/>
        <v>UA BLITZING ADJ HAT</v>
      </c>
      <c r="AC69" s="60">
        <f t="shared" si="13"/>
        <v>56</v>
      </c>
      <c r="AD69" s="49">
        <f t="shared" si="14"/>
        <v>52</v>
      </c>
      <c r="AE69" s="60">
        <f t="shared" si="15"/>
        <v>56052</v>
      </c>
    </row>
    <row r="70" spans="1:31">
      <c r="A70" s="81" t="str">
        <f t="shared" si="9"/>
        <v>1361532-012grey</v>
      </c>
      <c r="B70" s="81" t="str">
        <f t="shared" si="10"/>
        <v>56-051-80</v>
      </c>
      <c r="C70" s="103" t="s">
        <v>1105</v>
      </c>
      <c r="D70" s="103" t="s">
        <v>1106</v>
      </c>
      <c r="E70" s="103" t="s">
        <v>1096</v>
      </c>
      <c r="F70" s="104">
        <v>59</v>
      </c>
      <c r="G70" s="104" t="s">
        <v>1107</v>
      </c>
      <c r="H70" s="103" t="s">
        <v>83</v>
      </c>
      <c r="I70" s="103" t="s">
        <v>909</v>
      </c>
      <c r="J70" s="103" t="s">
        <v>327</v>
      </c>
      <c r="K70" s="103" t="s">
        <v>382</v>
      </c>
      <c r="L70" s="103" t="s">
        <v>890</v>
      </c>
      <c r="M70" s="103" t="s">
        <v>388</v>
      </c>
      <c r="O70" s="103" t="s">
        <v>386</v>
      </c>
      <c r="P70" s="103" t="s">
        <v>1093</v>
      </c>
      <c r="Q70" s="103" t="s">
        <v>1019</v>
      </c>
      <c r="R70" s="103" t="s">
        <v>83</v>
      </c>
      <c r="V70" s="81" t="str">
        <f t="shared" si="11"/>
        <v>1361532-012серый</v>
      </c>
      <c r="W70" s="81" t="str">
        <f t="shared" si="8"/>
        <v>1361532-012</v>
      </c>
      <c r="X70" s="81" t="str">
        <f t="shared" si="12"/>
        <v>UA BLITZING ADJ HAT</v>
      </c>
      <c r="AC70" s="60">
        <f t="shared" si="13"/>
        <v>56</v>
      </c>
      <c r="AD70" s="49">
        <f t="shared" si="14"/>
        <v>51</v>
      </c>
      <c r="AE70" s="60">
        <f t="shared" si="15"/>
        <v>56051</v>
      </c>
    </row>
    <row r="71" spans="1:31">
      <c r="A71" s="81" t="str">
        <f t="shared" si="9"/>
        <v>2324601</v>
      </c>
      <c r="B71" s="81" t="str">
        <f t="shared" si="10"/>
        <v>56-057-</v>
      </c>
      <c r="C71" s="103" t="s">
        <v>1114</v>
      </c>
      <c r="G71" s="104" t="s">
        <v>1108</v>
      </c>
      <c r="V71" s="81" t="str">
        <f t="shared" si="11"/>
        <v>2324601</v>
      </c>
      <c r="W71" s="81" t="str">
        <f t="shared" si="8"/>
        <v>2324601</v>
      </c>
      <c r="X71" s="81" t="str">
        <f t="shared" si="12"/>
        <v/>
      </c>
      <c r="AC71" s="60">
        <f t="shared" si="13"/>
        <v>56</v>
      </c>
      <c r="AD71" s="49">
        <f t="shared" si="14"/>
        <v>57</v>
      </c>
      <c r="AE71" s="60">
        <f t="shared" si="15"/>
        <v>56057</v>
      </c>
    </row>
    <row r="72" spans="1:31">
      <c r="A72" s="81" t="str">
        <f t="shared" si="9"/>
        <v>2372001</v>
      </c>
      <c r="B72" s="81" t="str">
        <f t="shared" si="10"/>
        <v>56-058-</v>
      </c>
      <c r="C72" s="103" t="s">
        <v>1115</v>
      </c>
      <c r="G72" s="104" t="s">
        <v>1109</v>
      </c>
      <c r="V72" s="81" t="str">
        <f t="shared" si="11"/>
        <v>2372001</v>
      </c>
      <c r="W72" s="81" t="str">
        <f t="shared" si="8"/>
        <v>2372001</v>
      </c>
      <c r="X72" s="81" t="str">
        <f t="shared" si="12"/>
        <v/>
      </c>
      <c r="AC72" s="60">
        <f t="shared" si="13"/>
        <v>56</v>
      </c>
      <c r="AD72" s="49">
        <f t="shared" si="14"/>
        <v>58</v>
      </c>
      <c r="AE72" s="60">
        <f t="shared" si="15"/>
        <v>56058</v>
      </c>
    </row>
    <row r="73" spans="1:31">
      <c r="A73" s="81" t="str">
        <f t="shared" si="9"/>
        <v>2372201</v>
      </c>
      <c r="B73" s="81" t="str">
        <f t="shared" si="10"/>
        <v>56-059-</v>
      </c>
      <c r="C73" s="103" t="s">
        <v>1116</v>
      </c>
      <c r="G73" s="104" t="s">
        <v>1110</v>
      </c>
      <c r="V73" s="81" t="str">
        <f t="shared" si="11"/>
        <v>2372201</v>
      </c>
      <c r="W73" s="81" t="str">
        <f t="shared" si="8"/>
        <v>2372201</v>
      </c>
      <c r="X73" s="81" t="str">
        <f t="shared" si="12"/>
        <v/>
      </c>
      <c r="AC73" s="60">
        <f t="shared" si="13"/>
        <v>56</v>
      </c>
      <c r="AD73" s="49">
        <f t="shared" si="14"/>
        <v>59</v>
      </c>
      <c r="AE73" s="60">
        <f t="shared" si="15"/>
        <v>56059</v>
      </c>
    </row>
    <row r="74" spans="1:31">
      <c r="A74" s="81" t="str">
        <f t="shared" si="9"/>
        <v>2373201</v>
      </c>
      <c r="B74" s="81" t="str">
        <f t="shared" si="10"/>
        <v>56-060-</v>
      </c>
      <c r="C74" s="103" t="s">
        <v>1117</v>
      </c>
      <c r="G74" s="104" t="s">
        <v>1111</v>
      </c>
      <c r="V74" s="81" t="str">
        <f t="shared" si="11"/>
        <v>2373201</v>
      </c>
      <c r="W74" s="81" t="str">
        <f t="shared" si="8"/>
        <v>2373201</v>
      </c>
      <c r="X74" s="81" t="str">
        <f t="shared" si="12"/>
        <v/>
      </c>
      <c r="AC74" s="60">
        <f t="shared" si="13"/>
        <v>56</v>
      </c>
      <c r="AD74" s="49">
        <f t="shared" si="14"/>
        <v>60</v>
      </c>
      <c r="AE74" s="60">
        <f t="shared" si="15"/>
        <v>56060</v>
      </c>
    </row>
    <row r="75" spans="1:31">
      <c r="A75" s="81" t="str">
        <f t="shared" si="9"/>
        <v>2374301</v>
      </c>
      <c r="B75" s="81" t="str">
        <f t="shared" si="10"/>
        <v>56-061-</v>
      </c>
      <c r="C75" s="103" t="s">
        <v>1118</v>
      </c>
      <c r="G75" s="104" t="s">
        <v>1112</v>
      </c>
      <c r="V75" s="81" t="str">
        <f t="shared" si="11"/>
        <v>2374301</v>
      </c>
      <c r="W75" s="81" t="str">
        <f t="shared" si="8"/>
        <v>2374301</v>
      </c>
      <c r="X75" s="81" t="str">
        <f t="shared" si="12"/>
        <v/>
      </c>
      <c r="AC75" s="60">
        <f t="shared" si="13"/>
        <v>56</v>
      </c>
      <c r="AD75" s="49">
        <f t="shared" si="14"/>
        <v>61</v>
      </c>
      <c r="AE75" s="60">
        <f t="shared" si="15"/>
        <v>56061</v>
      </c>
    </row>
    <row r="76" spans="1:31">
      <c r="A76" s="81" t="str">
        <f t="shared" si="9"/>
        <v>HD9721</v>
      </c>
      <c r="B76" s="81" t="str">
        <f t="shared" si="10"/>
        <v>56-062-</v>
      </c>
      <c r="C76" s="103" t="s">
        <v>1124</v>
      </c>
      <c r="G76" s="104" t="s">
        <v>1120</v>
      </c>
      <c r="V76" s="81" t="str">
        <f t="shared" si="11"/>
        <v>HD9721</v>
      </c>
      <c r="W76" s="81" t="str">
        <f t="shared" si="8"/>
        <v>HD9721</v>
      </c>
      <c r="X76" s="81" t="str">
        <f t="shared" si="12"/>
        <v/>
      </c>
      <c r="AC76" s="60">
        <f t="shared" si="13"/>
        <v>56</v>
      </c>
      <c r="AD76" s="49">
        <f t="shared" si="14"/>
        <v>62</v>
      </c>
      <c r="AE76" s="60">
        <f t="shared" si="15"/>
        <v>56062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84</vt:i4>
      </vt:variant>
    </vt:vector>
  </HeadingPairs>
  <TitlesOfParts>
    <vt:vector size="9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2022-04-25T15:20:40Z</dcterms:modified>
</cp:coreProperties>
</file>